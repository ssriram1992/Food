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2"/>
  </bookViews>
  <sheets>
    <sheet name="index" sheetId="1" r:id="rId1"/>
    <sheet name="sets" sheetId="3" r:id="rId2"/>
    <sheet name="Cattle" sheetId="8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externalReferences>
    <externalReference r:id="rId13"/>
  </externalReference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B102" i="8" l="1"/>
  <c r="C102" i="8"/>
  <c r="D102" i="8"/>
  <c r="E102" i="8"/>
  <c r="F102" i="8"/>
  <c r="G102" i="8"/>
  <c r="H102" i="8"/>
  <c r="I102" i="8"/>
  <c r="J102" i="8"/>
  <c r="K102" i="8"/>
  <c r="L102" i="8"/>
  <c r="B103" i="8"/>
  <c r="C103" i="8"/>
  <c r="D103" i="8"/>
  <c r="E103" i="8"/>
  <c r="F103" i="8"/>
  <c r="G103" i="8"/>
  <c r="H103" i="8"/>
  <c r="I103" i="8"/>
  <c r="J103" i="8"/>
  <c r="K103" i="8"/>
  <c r="L103" i="8"/>
  <c r="B104" i="8"/>
  <c r="C104" i="8"/>
  <c r="D104" i="8"/>
  <c r="E104" i="8"/>
  <c r="F104" i="8"/>
  <c r="G104" i="8"/>
  <c r="H104" i="8"/>
  <c r="I104" i="8"/>
  <c r="J104" i="8"/>
  <c r="K104" i="8"/>
  <c r="L104" i="8"/>
  <c r="B105" i="8"/>
  <c r="C105" i="8"/>
  <c r="D105" i="8"/>
  <c r="E105" i="8"/>
  <c r="F105" i="8"/>
  <c r="G105" i="8"/>
  <c r="H105" i="8"/>
  <c r="I105" i="8"/>
  <c r="J105" i="8"/>
  <c r="K105" i="8"/>
  <c r="L105" i="8"/>
  <c r="B106" i="8"/>
  <c r="C106" i="8"/>
  <c r="D106" i="8"/>
  <c r="E106" i="8"/>
  <c r="F106" i="8"/>
  <c r="G106" i="8"/>
  <c r="H106" i="8"/>
  <c r="I106" i="8"/>
  <c r="J106" i="8"/>
  <c r="K106" i="8"/>
  <c r="L106" i="8"/>
  <c r="B107" i="8"/>
  <c r="C107" i="8"/>
  <c r="D107" i="8"/>
  <c r="E107" i="8"/>
  <c r="F107" i="8"/>
  <c r="G107" i="8"/>
  <c r="H107" i="8"/>
  <c r="I107" i="8"/>
  <c r="J107" i="8"/>
  <c r="K107" i="8"/>
  <c r="L107" i="8"/>
  <c r="B108" i="8"/>
  <c r="C108" i="8"/>
  <c r="D108" i="8"/>
  <c r="E108" i="8"/>
  <c r="F108" i="8"/>
  <c r="G108" i="8"/>
  <c r="H108" i="8"/>
  <c r="I108" i="8"/>
  <c r="J108" i="8"/>
  <c r="K108" i="8"/>
  <c r="L108" i="8"/>
  <c r="B109" i="8"/>
  <c r="C109" i="8"/>
  <c r="D109" i="8"/>
  <c r="E109" i="8"/>
  <c r="F109" i="8"/>
  <c r="G109" i="8"/>
  <c r="H109" i="8"/>
  <c r="I109" i="8"/>
  <c r="J109" i="8"/>
  <c r="K109" i="8"/>
  <c r="L109" i="8"/>
  <c r="B110" i="8"/>
  <c r="C110" i="8"/>
  <c r="D110" i="8"/>
  <c r="E110" i="8"/>
  <c r="F110" i="8"/>
  <c r="G110" i="8"/>
  <c r="H110" i="8"/>
  <c r="I110" i="8"/>
  <c r="J110" i="8"/>
  <c r="K110" i="8"/>
  <c r="L110" i="8"/>
  <c r="B111" i="8"/>
  <c r="C111" i="8"/>
  <c r="D111" i="8"/>
  <c r="E111" i="8"/>
  <c r="F111" i="8"/>
  <c r="G111" i="8"/>
  <c r="H111" i="8"/>
  <c r="I111" i="8"/>
  <c r="J111" i="8"/>
  <c r="K111" i="8"/>
  <c r="L111" i="8"/>
  <c r="B112" i="8"/>
  <c r="C112" i="8"/>
  <c r="D112" i="8"/>
  <c r="E112" i="8"/>
  <c r="F112" i="8"/>
  <c r="G112" i="8"/>
  <c r="H112" i="8"/>
  <c r="I112" i="8"/>
  <c r="J112" i="8"/>
  <c r="K112" i="8"/>
  <c r="L112" i="8"/>
  <c r="G172" i="7"/>
  <c r="F172" i="7"/>
  <c r="E172" i="7"/>
  <c r="D172" i="7"/>
  <c r="C172" i="7"/>
  <c r="B172" i="7"/>
  <c r="A172" i="7"/>
  <c r="G171" i="7"/>
  <c r="F171" i="7"/>
  <c r="E171" i="7"/>
  <c r="D171" i="7"/>
  <c r="C171" i="7"/>
  <c r="B171" i="7"/>
  <c r="A171" i="7"/>
  <c r="G170" i="7"/>
  <c r="F170" i="7"/>
  <c r="E170" i="7"/>
  <c r="D170" i="7"/>
  <c r="C170" i="7"/>
  <c r="B170" i="7"/>
  <c r="A170" i="7"/>
  <c r="G169" i="7"/>
  <c r="F169" i="7"/>
  <c r="E169" i="7"/>
  <c r="D169" i="7"/>
  <c r="C169" i="7"/>
  <c r="B169" i="7"/>
  <c r="A169" i="7"/>
  <c r="G168" i="7"/>
  <c r="F168" i="7"/>
  <c r="E168" i="7"/>
  <c r="D168" i="7"/>
  <c r="C168" i="7"/>
  <c r="B168" i="7"/>
  <c r="A168" i="7"/>
  <c r="G167" i="7"/>
  <c r="F167" i="7"/>
  <c r="E167" i="7"/>
  <c r="D167" i="7"/>
  <c r="C167" i="7"/>
  <c r="B167" i="7"/>
  <c r="A167" i="7"/>
  <c r="G166" i="7"/>
  <c r="F166" i="7"/>
  <c r="E166" i="7"/>
  <c r="D166" i="7"/>
  <c r="C166" i="7"/>
  <c r="B166" i="7"/>
  <c r="A166" i="7"/>
  <c r="G165" i="7"/>
  <c r="F165" i="7"/>
  <c r="E165" i="7"/>
  <c r="D165" i="7"/>
  <c r="C165" i="7"/>
  <c r="B165" i="7"/>
  <c r="A165" i="7"/>
  <c r="G164" i="7"/>
  <c r="F164" i="7"/>
  <c r="E164" i="7"/>
  <c r="D164" i="7"/>
  <c r="C164" i="7"/>
  <c r="B164" i="7"/>
  <c r="A164" i="7"/>
  <c r="G163" i="7"/>
  <c r="F163" i="7"/>
  <c r="E163" i="7"/>
  <c r="D163" i="7"/>
  <c r="C163" i="7"/>
  <c r="B163" i="7"/>
  <c r="A163" i="7"/>
  <c r="G162" i="7"/>
  <c r="F162" i="7"/>
  <c r="E162" i="7"/>
  <c r="D162" i="7"/>
  <c r="C162" i="7"/>
  <c r="B162" i="7"/>
  <c r="A162" i="7"/>
  <c r="G161" i="7"/>
  <c r="F161" i="7"/>
  <c r="E161" i="7"/>
  <c r="D161" i="7"/>
  <c r="C161" i="7"/>
  <c r="B161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21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A13" i="9"/>
  <c r="A12" i="9"/>
  <c r="A11" i="9"/>
  <c r="A10" i="9"/>
  <c r="A9" i="9"/>
  <c r="A8" i="9"/>
  <c r="A7" i="9"/>
  <c r="A6" i="9"/>
  <c r="A5" i="9"/>
  <c r="A4" i="9"/>
  <c r="A3" i="9"/>
  <c r="C3" i="9"/>
  <c r="B3" i="9"/>
  <c r="C2" i="9"/>
  <c r="B2" i="9"/>
  <c r="C1" i="9"/>
  <c r="B1" i="9"/>
  <c r="B68" i="15"/>
  <c r="A68" i="15"/>
  <c r="B67" i="15"/>
  <c r="A67" i="15"/>
  <c r="B66" i="15"/>
  <c r="A66" i="15"/>
  <c r="B65" i="15"/>
  <c r="A65" i="15"/>
  <c r="B64" i="15"/>
  <c r="A64" i="15"/>
  <c r="B63" i="15"/>
  <c r="A63" i="15"/>
  <c r="B62" i="15"/>
  <c r="A62" i="15"/>
  <c r="B61" i="15"/>
  <c r="A61" i="15"/>
  <c r="B60" i="15"/>
  <c r="A60" i="15"/>
  <c r="B59" i="15"/>
  <c r="A59" i="15"/>
  <c r="B58" i="15"/>
  <c r="A58" i="15"/>
  <c r="B57" i="15"/>
  <c r="A57" i="15"/>
  <c r="B56" i="15"/>
  <c r="A56" i="15"/>
  <c r="B55" i="15"/>
  <c r="A55" i="15"/>
  <c r="B54" i="15"/>
  <c r="A54" i="15"/>
  <c r="B53" i="15"/>
  <c r="A53" i="15"/>
  <c r="B52" i="15"/>
  <c r="A52" i="15"/>
  <c r="B51" i="15"/>
  <c r="A51" i="15"/>
  <c r="B50" i="15"/>
  <c r="A50" i="15"/>
  <c r="B49" i="15"/>
  <c r="A49" i="15"/>
  <c r="B48" i="15"/>
  <c r="A48" i="15"/>
  <c r="B47" i="15"/>
  <c r="A47" i="15"/>
  <c r="B46" i="15"/>
  <c r="A46" i="15"/>
  <c r="B45" i="15"/>
  <c r="A45" i="15"/>
  <c r="B44" i="15"/>
  <c r="A44" i="15"/>
  <c r="B43" i="15"/>
  <c r="A43" i="15"/>
  <c r="B42" i="15"/>
  <c r="A42" i="15"/>
  <c r="B41" i="15"/>
  <c r="A41" i="15"/>
  <c r="B40" i="15"/>
  <c r="A40" i="15"/>
  <c r="B39" i="15"/>
  <c r="A39" i="15"/>
  <c r="B38" i="15"/>
  <c r="A38" i="15"/>
  <c r="B37" i="15"/>
  <c r="A37" i="15"/>
  <c r="B36" i="15"/>
  <c r="A36" i="15"/>
  <c r="B35" i="15"/>
  <c r="A35" i="15"/>
  <c r="B34" i="15"/>
  <c r="A34" i="15"/>
  <c r="B33" i="15"/>
  <c r="A33" i="15"/>
  <c r="B32" i="15"/>
  <c r="A32" i="15"/>
  <c r="B31" i="15"/>
  <c r="A31" i="15"/>
  <c r="B30" i="15"/>
  <c r="A30" i="15"/>
  <c r="B29" i="15"/>
  <c r="A29" i="15"/>
  <c r="B28" i="15"/>
  <c r="A28" i="15"/>
  <c r="B27" i="15"/>
  <c r="A27" i="15"/>
  <c r="B26" i="15"/>
  <c r="A26" i="15"/>
  <c r="B25" i="15"/>
  <c r="A25" i="15"/>
  <c r="B24" i="15"/>
  <c r="A24" i="15"/>
  <c r="B23" i="15"/>
  <c r="A23" i="15"/>
  <c r="B22" i="15"/>
  <c r="A22" i="15"/>
  <c r="B21" i="15"/>
  <c r="A21" i="15"/>
  <c r="B20" i="15"/>
  <c r="A20" i="15"/>
  <c r="B19" i="15"/>
  <c r="A19" i="15"/>
  <c r="B18" i="15"/>
  <c r="A18" i="15"/>
  <c r="B17" i="15"/>
  <c r="A17" i="15"/>
  <c r="B16" i="15"/>
  <c r="A16" i="15"/>
  <c r="B15" i="15"/>
  <c r="A15" i="15"/>
  <c r="B14" i="15"/>
  <c r="A14" i="15"/>
  <c r="B13" i="15"/>
  <c r="A13" i="15"/>
  <c r="B12" i="15"/>
  <c r="A12" i="15"/>
  <c r="B11" i="15"/>
  <c r="A11" i="15"/>
  <c r="B10" i="15"/>
  <c r="A10" i="15"/>
  <c r="B9" i="15"/>
  <c r="A9" i="15"/>
  <c r="B8" i="15"/>
  <c r="A8" i="15"/>
  <c r="B7" i="15"/>
  <c r="A7" i="15"/>
  <c r="B6" i="15"/>
  <c r="A6" i="15"/>
  <c r="B5" i="15"/>
  <c r="A5" i="15"/>
  <c r="B4" i="15"/>
  <c r="A4" i="15"/>
  <c r="B3" i="15"/>
  <c r="A3" i="15"/>
  <c r="D68" i="15"/>
  <c r="C68" i="15"/>
  <c r="D67" i="15"/>
  <c r="C67" i="15"/>
  <c r="D66" i="15"/>
  <c r="C66" i="15"/>
  <c r="D65" i="15"/>
  <c r="C65" i="15"/>
  <c r="D64" i="15"/>
  <c r="C64" i="15"/>
  <c r="D63" i="15"/>
  <c r="C63" i="15"/>
  <c r="D62" i="15"/>
  <c r="C62" i="15"/>
  <c r="D61" i="15"/>
  <c r="C61" i="15"/>
  <c r="D60" i="15"/>
  <c r="C60" i="15"/>
  <c r="D59" i="15"/>
  <c r="C59" i="15"/>
  <c r="D58" i="15"/>
  <c r="C58" i="15"/>
  <c r="D57" i="15"/>
  <c r="C57" i="15"/>
  <c r="D56" i="15"/>
  <c r="C56" i="15"/>
  <c r="D55" i="15"/>
  <c r="C55" i="15"/>
  <c r="D54" i="15"/>
  <c r="C54" i="15"/>
  <c r="D53" i="15"/>
  <c r="C53" i="15"/>
  <c r="D52" i="15"/>
  <c r="C52" i="15"/>
  <c r="D51" i="15"/>
  <c r="C51" i="15"/>
  <c r="D50" i="15"/>
  <c r="C50" i="15"/>
  <c r="D49" i="15"/>
  <c r="C49" i="15"/>
  <c r="D48" i="15"/>
  <c r="C48" i="15"/>
  <c r="D47" i="15"/>
  <c r="C47" i="15"/>
  <c r="D46" i="15"/>
  <c r="C46" i="15"/>
  <c r="D45" i="15"/>
  <c r="C45" i="15"/>
  <c r="D44" i="15"/>
  <c r="C44" i="15"/>
  <c r="D43" i="15"/>
  <c r="C43" i="15"/>
  <c r="D42" i="15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22" i="15"/>
  <c r="C22" i="15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4" i="15"/>
  <c r="C4" i="15"/>
  <c r="D3" i="15"/>
  <c r="C3" i="15"/>
  <c r="D2" i="15"/>
  <c r="C2" i="15"/>
  <c r="D1" i="15"/>
  <c r="C1" i="15"/>
  <c r="D2" i="14"/>
  <c r="C2" i="14"/>
  <c r="D1" i="14"/>
  <c r="C1" i="14"/>
  <c r="D68" i="14"/>
  <c r="C68" i="14"/>
  <c r="B68" i="14"/>
  <c r="A68" i="14"/>
  <c r="D67" i="14"/>
  <c r="C67" i="14"/>
  <c r="B67" i="14"/>
  <c r="A67" i="14"/>
  <c r="D66" i="14"/>
  <c r="C66" i="14"/>
  <c r="B66" i="14"/>
  <c r="A66" i="14"/>
  <c r="D65" i="14"/>
  <c r="C65" i="14"/>
  <c r="B65" i="14"/>
  <c r="A65" i="14"/>
  <c r="D64" i="14"/>
  <c r="C64" i="14"/>
  <c r="B64" i="14"/>
  <c r="A64" i="14"/>
  <c r="D63" i="14"/>
  <c r="C63" i="14"/>
  <c r="B63" i="14"/>
  <c r="A63" i="14"/>
  <c r="D62" i="14"/>
  <c r="C62" i="14"/>
  <c r="B62" i="14"/>
  <c r="A62" i="14"/>
  <c r="D61" i="14"/>
  <c r="C61" i="14"/>
  <c r="B61" i="14"/>
  <c r="A61" i="14"/>
  <c r="D60" i="14"/>
  <c r="C60" i="14"/>
  <c r="B60" i="14"/>
  <c r="A60" i="14"/>
  <c r="D59" i="14"/>
  <c r="C59" i="14"/>
  <c r="B59" i="14"/>
  <c r="A59" i="14"/>
  <c r="D58" i="14"/>
  <c r="C58" i="14"/>
  <c r="B58" i="14"/>
  <c r="A58" i="14"/>
  <c r="D57" i="14"/>
  <c r="C57" i="14"/>
  <c r="B57" i="14"/>
  <c r="A57" i="14"/>
  <c r="D56" i="14"/>
  <c r="C56" i="14"/>
  <c r="B56" i="14"/>
  <c r="A56" i="14"/>
  <c r="D55" i="14"/>
  <c r="C55" i="14"/>
  <c r="B55" i="14"/>
  <c r="A55" i="14"/>
  <c r="D54" i="14"/>
  <c r="C54" i="14"/>
  <c r="B54" i="14"/>
  <c r="A54" i="14"/>
  <c r="D53" i="14"/>
  <c r="C53" i="14"/>
  <c r="B53" i="14"/>
  <c r="A53" i="14"/>
  <c r="D52" i="14"/>
  <c r="C52" i="14"/>
  <c r="B52" i="14"/>
  <c r="A52" i="14"/>
  <c r="D51" i="14"/>
  <c r="C51" i="14"/>
  <c r="B51" i="14"/>
  <c r="A51" i="14"/>
  <c r="D50" i="14"/>
  <c r="C50" i="14"/>
  <c r="B50" i="14"/>
  <c r="A50" i="14"/>
  <c r="D49" i="14"/>
  <c r="C49" i="14"/>
  <c r="B49" i="14"/>
  <c r="A49" i="14"/>
  <c r="D48" i="14"/>
  <c r="C48" i="14"/>
  <c r="B48" i="14"/>
  <c r="A48" i="14"/>
  <c r="D47" i="14"/>
  <c r="C47" i="14"/>
  <c r="B47" i="14"/>
  <c r="A47" i="14"/>
  <c r="D46" i="14"/>
  <c r="C46" i="14"/>
  <c r="B46" i="14"/>
  <c r="A46" i="14"/>
  <c r="D45" i="14"/>
  <c r="C45" i="14"/>
  <c r="B45" i="14"/>
  <c r="A45" i="14"/>
  <c r="D44" i="14"/>
  <c r="C44" i="14"/>
  <c r="B44" i="14"/>
  <c r="A44" i="14"/>
  <c r="D43" i="14"/>
  <c r="C43" i="14"/>
  <c r="B43" i="14"/>
  <c r="A43" i="14"/>
  <c r="D42" i="14"/>
  <c r="C42" i="14"/>
  <c r="B42" i="14"/>
  <c r="A42" i="14"/>
  <c r="D41" i="14"/>
  <c r="C41" i="14"/>
  <c r="B41" i="14"/>
  <c r="A41" i="14"/>
  <c r="D40" i="14"/>
  <c r="C40" i="14"/>
  <c r="B40" i="14"/>
  <c r="A40" i="14"/>
  <c r="D39" i="14"/>
  <c r="C39" i="14"/>
  <c r="B39" i="14"/>
  <c r="A39" i="14"/>
  <c r="D38" i="14"/>
  <c r="C38" i="14"/>
  <c r="B38" i="14"/>
  <c r="A38" i="1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D32" i="14"/>
  <c r="C32" i="14"/>
  <c r="B32" i="14"/>
  <c r="A32" i="14"/>
  <c r="D31" i="14"/>
  <c r="C31" i="14"/>
  <c r="B31" i="14"/>
  <c r="A31" i="14"/>
  <c r="D30" i="14"/>
  <c r="C30" i="14"/>
  <c r="B30" i="14"/>
  <c r="A30" i="14"/>
  <c r="D29" i="14"/>
  <c r="C29" i="14"/>
  <c r="B29" i="14"/>
  <c r="A29" i="14"/>
  <c r="D28" i="14"/>
  <c r="C28" i="14"/>
  <c r="B28" i="14"/>
  <c r="A28" i="14"/>
  <c r="D27" i="14"/>
  <c r="C27" i="14"/>
  <c r="B27" i="14"/>
  <c r="A27" i="14"/>
  <c r="D26" i="14"/>
  <c r="C26" i="14"/>
  <c r="B26" i="14"/>
  <c r="A26" i="14"/>
  <c r="D25" i="14"/>
  <c r="C25" i="14"/>
  <c r="B25" i="14"/>
  <c r="A25" i="14"/>
  <c r="D24" i="14"/>
  <c r="C24" i="14"/>
  <c r="B24" i="14"/>
  <c r="A24" i="14"/>
  <c r="D23" i="14"/>
  <c r="C23" i="14"/>
  <c r="B23" i="14"/>
  <c r="A23" i="14"/>
  <c r="D22" i="14"/>
  <c r="C22" i="14"/>
  <c r="B22" i="14"/>
  <c r="A22" i="14"/>
  <c r="D21" i="14"/>
  <c r="C21" i="14"/>
  <c r="B21" i="14"/>
  <c r="A21" i="14"/>
  <c r="D20" i="14"/>
  <c r="C20" i="14"/>
  <c r="B20" i="14"/>
  <c r="A20" i="14"/>
  <c r="D19" i="14"/>
  <c r="C19" i="14"/>
  <c r="B19" i="14"/>
  <c r="A19" i="14"/>
  <c r="D18" i="14"/>
  <c r="C18" i="14"/>
  <c r="B18" i="14"/>
  <c r="A18" i="14"/>
  <c r="D17" i="14"/>
  <c r="C17" i="14"/>
  <c r="B17" i="14"/>
  <c r="A17" i="14"/>
  <c r="D16" i="14"/>
  <c r="C16" i="14"/>
  <c r="B16" i="14"/>
  <c r="A16" i="14"/>
  <c r="D15" i="14"/>
  <c r="C15" i="14"/>
  <c r="B15" i="14"/>
  <c r="A15" i="14"/>
  <c r="D14" i="14"/>
  <c r="C14" i="14"/>
  <c r="B14" i="14"/>
  <c r="A14" i="14"/>
  <c r="D13" i="14"/>
  <c r="C13" i="14"/>
  <c r="B13" i="14"/>
  <c r="A13" i="14"/>
  <c r="D12" i="14"/>
  <c r="C12" i="14"/>
  <c r="B12" i="14"/>
  <c r="A12" i="14"/>
  <c r="D11" i="14"/>
  <c r="C11" i="14"/>
  <c r="B11" i="14"/>
  <c r="A11" i="14"/>
  <c r="D10" i="14"/>
  <c r="C10" i="14"/>
  <c r="B10" i="14"/>
  <c r="A10" i="14"/>
  <c r="D9" i="14"/>
  <c r="C9" i="14"/>
  <c r="B9" i="14"/>
  <c r="A9" i="14"/>
  <c r="D8" i="14"/>
  <c r="C8" i="14"/>
  <c r="B8" i="14"/>
  <c r="A8" i="14"/>
  <c r="D7" i="14"/>
  <c r="C7" i="14"/>
  <c r="B7" i="14"/>
  <c r="A7" i="14"/>
  <c r="D6" i="14"/>
  <c r="C6" i="14"/>
  <c r="B6" i="14"/>
  <c r="A6" i="14"/>
  <c r="D5" i="14"/>
  <c r="C5" i="14"/>
  <c r="B5" i="14"/>
  <c r="A5" i="14"/>
  <c r="D4" i="14"/>
  <c r="C4" i="14"/>
  <c r="B4" i="14"/>
  <c r="A4" i="14"/>
  <c r="D3" i="14"/>
  <c r="C3" i="14"/>
  <c r="B3" i="14"/>
  <c r="A3" i="14"/>
  <c r="B68" i="11"/>
  <c r="A68" i="11"/>
  <c r="B67" i="11"/>
  <c r="A67" i="11"/>
  <c r="B66" i="11"/>
  <c r="A66" i="11"/>
  <c r="B65" i="11"/>
  <c r="A65" i="11"/>
  <c r="B64" i="11"/>
  <c r="A64" i="11"/>
  <c r="B63" i="11"/>
  <c r="A63" i="11"/>
  <c r="B62" i="11"/>
  <c r="A62" i="11"/>
  <c r="B61" i="11"/>
  <c r="A61" i="11"/>
  <c r="B60" i="11"/>
  <c r="A60" i="11"/>
  <c r="B59" i="11"/>
  <c r="A59" i="11"/>
  <c r="B58" i="11"/>
  <c r="A58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B12" i="11"/>
  <c r="A12" i="11"/>
  <c r="B11" i="11"/>
  <c r="A11" i="11"/>
  <c r="B10" i="11"/>
  <c r="A10" i="11"/>
  <c r="B9" i="11"/>
  <c r="A9" i="11"/>
  <c r="B8" i="11"/>
  <c r="A8" i="11"/>
  <c r="B7" i="11"/>
  <c r="A7" i="11"/>
  <c r="B6" i="11"/>
  <c r="A6" i="11"/>
  <c r="B5" i="11"/>
  <c r="A5" i="11"/>
  <c r="B4" i="11"/>
  <c r="A4" i="11"/>
  <c r="B3" i="11"/>
  <c r="A3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2" i="11"/>
  <c r="C2" i="11"/>
  <c r="D1" i="11"/>
  <c r="C1" i="11"/>
  <c r="D2" i="4"/>
  <c r="C2" i="4"/>
  <c r="D1" i="4"/>
  <c r="C1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D1" i="7"/>
  <c r="C1" i="7"/>
  <c r="B1" i="6"/>
  <c r="AB2" i="10"/>
  <c r="O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AL12" i="5"/>
  <c r="AK12" i="5"/>
  <c r="AJ12" i="5"/>
  <c r="AI12" i="5"/>
  <c r="AH12" i="5"/>
  <c r="AG12" i="5"/>
  <c r="AF12" i="5"/>
  <c r="AE12" i="5"/>
  <c r="AD12" i="5"/>
  <c r="AC12" i="5"/>
  <c r="AB12" i="5"/>
  <c r="AL11" i="5"/>
  <c r="AK11" i="5"/>
  <c r="AJ11" i="5"/>
  <c r="AI11" i="5"/>
  <c r="AH11" i="5"/>
  <c r="AG11" i="5"/>
  <c r="AF11" i="5"/>
  <c r="AE11" i="5"/>
  <c r="AD11" i="5"/>
  <c r="AC11" i="5"/>
  <c r="AB11" i="5"/>
  <c r="AL10" i="5"/>
  <c r="AK10" i="5"/>
  <c r="AJ10" i="5"/>
  <c r="AI10" i="5"/>
  <c r="AH10" i="5"/>
  <c r="AG10" i="5"/>
  <c r="AF10" i="5"/>
  <c r="AE10" i="5"/>
  <c r="AD10" i="5"/>
  <c r="AC10" i="5"/>
  <c r="AB10" i="5"/>
  <c r="AL9" i="5"/>
  <c r="AK9" i="5"/>
  <c r="AJ9" i="5"/>
  <c r="AI9" i="5"/>
  <c r="AH9" i="5"/>
  <c r="AG9" i="5"/>
  <c r="AF9" i="5"/>
  <c r="AE9" i="5"/>
  <c r="AD9" i="5"/>
  <c r="AC9" i="5"/>
  <c r="AB9" i="5"/>
  <c r="AL8" i="5"/>
  <c r="AK8" i="5"/>
  <c r="AJ8" i="5"/>
  <c r="AI8" i="5"/>
  <c r="AH8" i="5"/>
  <c r="AG8" i="5"/>
  <c r="AF8" i="5"/>
  <c r="AE8" i="5"/>
  <c r="AD8" i="5"/>
  <c r="AC8" i="5"/>
  <c r="AB8" i="5"/>
  <c r="AL7" i="5"/>
  <c r="AK7" i="5"/>
  <c r="AJ7" i="5"/>
  <c r="AI7" i="5"/>
  <c r="AH7" i="5"/>
  <c r="AG7" i="5"/>
  <c r="AF7" i="5"/>
  <c r="AE7" i="5"/>
  <c r="AD7" i="5"/>
  <c r="AC7" i="5"/>
  <c r="AB7" i="5"/>
  <c r="AL6" i="5"/>
  <c r="AK6" i="5"/>
  <c r="AJ6" i="5"/>
  <c r="AI6" i="5"/>
  <c r="AH6" i="5"/>
  <c r="AG6" i="5"/>
  <c r="AF6" i="5"/>
  <c r="AE6" i="5"/>
  <c r="AD6" i="5"/>
  <c r="AC6" i="5"/>
  <c r="AB6" i="5"/>
  <c r="AL5" i="5"/>
  <c r="AK5" i="5"/>
  <c r="AJ5" i="5"/>
  <c r="AI5" i="5"/>
  <c r="AH5" i="5"/>
  <c r="AG5" i="5"/>
  <c r="AF5" i="5"/>
  <c r="AE5" i="5"/>
  <c r="AD5" i="5"/>
  <c r="AC5" i="5"/>
  <c r="AB5" i="5"/>
  <c r="AL4" i="5"/>
  <c r="AK4" i="5"/>
  <c r="AJ4" i="5"/>
  <c r="AI4" i="5"/>
  <c r="AH4" i="5"/>
  <c r="AG4" i="5"/>
  <c r="AF4" i="5"/>
  <c r="AE4" i="5"/>
  <c r="AD4" i="5"/>
  <c r="AC4" i="5"/>
  <c r="AB4" i="5"/>
  <c r="AL3" i="5"/>
  <c r="AK3" i="5"/>
  <c r="AJ3" i="5"/>
  <c r="AI3" i="5"/>
  <c r="AH3" i="5"/>
  <c r="AG3" i="5"/>
  <c r="AF3" i="5"/>
  <c r="AE3" i="5"/>
  <c r="AD3" i="5"/>
  <c r="AC3" i="5"/>
  <c r="AB3" i="5"/>
  <c r="AL2" i="5"/>
  <c r="AK2" i="5"/>
  <c r="AJ2" i="5"/>
  <c r="AI2" i="5"/>
  <c r="AH2" i="5"/>
  <c r="AG2" i="5"/>
  <c r="AF2" i="5"/>
  <c r="AE2" i="5"/>
  <c r="AD2" i="5"/>
  <c r="AC2" i="5"/>
  <c r="AB2" i="5"/>
  <c r="Y12" i="5"/>
  <c r="X12" i="5"/>
  <c r="W12" i="5"/>
  <c r="V12" i="5"/>
  <c r="U12" i="5"/>
  <c r="T12" i="5"/>
  <c r="S12" i="5"/>
  <c r="R12" i="5"/>
  <c r="Q12" i="5"/>
  <c r="P12" i="5"/>
  <c r="O12" i="5"/>
  <c r="Y11" i="5"/>
  <c r="X11" i="5"/>
  <c r="W11" i="5"/>
  <c r="V11" i="5"/>
  <c r="U11" i="5"/>
  <c r="T11" i="5"/>
  <c r="S11" i="5"/>
  <c r="R11" i="5"/>
  <c r="Q11" i="5"/>
  <c r="P11" i="5"/>
  <c r="O11" i="5"/>
  <c r="Y10" i="5"/>
  <c r="X10" i="5"/>
  <c r="W10" i="5"/>
  <c r="V10" i="5"/>
  <c r="U10" i="5"/>
  <c r="T10" i="5"/>
  <c r="S10" i="5"/>
  <c r="R10" i="5"/>
  <c r="Q10" i="5"/>
  <c r="P10" i="5"/>
  <c r="O10" i="5"/>
  <c r="Y9" i="5"/>
  <c r="X9" i="5"/>
  <c r="W9" i="5"/>
  <c r="V9" i="5"/>
  <c r="U9" i="5"/>
  <c r="T9" i="5"/>
  <c r="S9" i="5"/>
  <c r="R9" i="5"/>
  <c r="Q9" i="5"/>
  <c r="P9" i="5"/>
  <c r="O9" i="5"/>
  <c r="Y8" i="5"/>
  <c r="X8" i="5"/>
  <c r="W8" i="5"/>
  <c r="V8" i="5"/>
  <c r="U8" i="5"/>
  <c r="T8" i="5"/>
  <c r="S8" i="5"/>
  <c r="R8" i="5"/>
  <c r="Q8" i="5"/>
  <c r="P8" i="5"/>
  <c r="O8" i="5"/>
  <c r="Y7" i="5"/>
  <c r="X7" i="5"/>
  <c r="W7" i="5"/>
  <c r="V7" i="5"/>
  <c r="U7" i="5"/>
  <c r="T7" i="5"/>
  <c r="S7" i="5"/>
  <c r="R7" i="5"/>
  <c r="Q7" i="5"/>
  <c r="P7" i="5"/>
  <c r="O7" i="5"/>
  <c r="Y6" i="5"/>
  <c r="X6" i="5"/>
  <c r="W6" i="5"/>
  <c r="V6" i="5"/>
  <c r="U6" i="5"/>
  <c r="T6" i="5"/>
  <c r="S6" i="5"/>
  <c r="R6" i="5"/>
  <c r="Q6" i="5"/>
  <c r="P6" i="5"/>
  <c r="O6" i="5"/>
  <c r="Y5" i="5"/>
  <c r="X5" i="5"/>
  <c r="W5" i="5"/>
  <c r="V5" i="5"/>
  <c r="U5" i="5"/>
  <c r="T5" i="5"/>
  <c r="S5" i="5"/>
  <c r="R5" i="5"/>
  <c r="Q5" i="5"/>
  <c r="P5" i="5"/>
  <c r="O5" i="5"/>
  <c r="Y4" i="5"/>
  <c r="X4" i="5"/>
  <c r="W4" i="5"/>
  <c r="V4" i="5"/>
  <c r="U4" i="5"/>
  <c r="T4" i="5"/>
  <c r="S4" i="5"/>
  <c r="R4" i="5"/>
  <c r="Q4" i="5"/>
  <c r="P4" i="5"/>
  <c r="O4" i="5"/>
  <c r="Y3" i="5"/>
  <c r="X3" i="5"/>
  <c r="W3" i="5"/>
  <c r="V3" i="5"/>
  <c r="U3" i="5"/>
  <c r="T3" i="5"/>
  <c r="S3" i="5"/>
  <c r="R3" i="5"/>
  <c r="Q3" i="5"/>
  <c r="P3" i="5"/>
  <c r="O3" i="5"/>
  <c r="Y2" i="5"/>
  <c r="X2" i="5"/>
  <c r="W2" i="5"/>
  <c r="V2" i="5"/>
  <c r="U2" i="5"/>
  <c r="T2" i="5"/>
  <c r="S2" i="5"/>
  <c r="R2" i="5"/>
  <c r="Q2" i="5"/>
  <c r="P2" i="5"/>
  <c r="O2" i="5"/>
  <c r="L12" i="5"/>
  <c r="K12" i="5"/>
  <c r="J12" i="5"/>
  <c r="I12" i="5"/>
  <c r="H12" i="5"/>
  <c r="G12" i="5"/>
  <c r="F12" i="5"/>
  <c r="E12" i="5"/>
  <c r="D12" i="5"/>
  <c r="C12" i="5"/>
  <c r="B12" i="5"/>
  <c r="L11" i="5"/>
  <c r="K11" i="5"/>
  <c r="J11" i="5"/>
  <c r="I11" i="5"/>
  <c r="H11" i="5"/>
  <c r="G11" i="5"/>
  <c r="F11" i="5"/>
  <c r="E11" i="5"/>
  <c r="D11" i="5"/>
  <c r="C11" i="5"/>
  <c r="B11" i="5"/>
  <c r="L10" i="5"/>
  <c r="K10" i="5"/>
  <c r="J10" i="5"/>
  <c r="I10" i="5"/>
  <c r="H10" i="5"/>
  <c r="G10" i="5"/>
  <c r="F10" i="5"/>
  <c r="E10" i="5"/>
  <c r="D10" i="5"/>
  <c r="C10" i="5"/>
  <c r="B10" i="5"/>
  <c r="L9" i="5"/>
  <c r="K9" i="5"/>
  <c r="J9" i="5"/>
  <c r="I9" i="5"/>
  <c r="H9" i="5"/>
  <c r="G9" i="5"/>
  <c r="F9" i="5"/>
  <c r="E9" i="5"/>
  <c r="D9" i="5"/>
  <c r="C9" i="5"/>
  <c r="B9" i="5"/>
  <c r="L8" i="5"/>
  <c r="K8" i="5"/>
  <c r="J8" i="5"/>
  <c r="I8" i="5"/>
  <c r="H8" i="5"/>
  <c r="G8" i="5"/>
  <c r="F8" i="5"/>
  <c r="E8" i="5"/>
  <c r="D8" i="5"/>
  <c r="C8" i="5"/>
  <c r="B8" i="5"/>
  <c r="L7" i="5"/>
  <c r="K7" i="5"/>
  <c r="J7" i="5"/>
  <c r="I7" i="5"/>
  <c r="H7" i="5"/>
  <c r="G7" i="5"/>
  <c r="F7" i="5"/>
  <c r="E7" i="5"/>
  <c r="D7" i="5"/>
  <c r="C7" i="5"/>
  <c r="B7" i="5"/>
  <c r="L6" i="5"/>
  <c r="K6" i="5"/>
  <c r="J6" i="5"/>
  <c r="I6" i="5"/>
  <c r="H6" i="5"/>
  <c r="G6" i="5"/>
  <c r="F6" i="5"/>
  <c r="E6" i="5"/>
  <c r="D6" i="5"/>
  <c r="C6" i="5"/>
  <c r="B6" i="5"/>
  <c r="L5" i="5"/>
  <c r="K5" i="5"/>
  <c r="J5" i="5"/>
  <c r="I5" i="5"/>
  <c r="H5" i="5"/>
  <c r="G5" i="5"/>
  <c r="F5" i="5"/>
  <c r="E5" i="5"/>
  <c r="D5" i="5"/>
  <c r="C5" i="5"/>
  <c r="B5" i="5"/>
  <c r="L4" i="5"/>
  <c r="K4" i="5"/>
  <c r="J4" i="5"/>
  <c r="I4" i="5"/>
  <c r="H4" i="5"/>
  <c r="G4" i="5"/>
  <c r="F4" i="5"/>
  <c r="E4" i="5"/>
  <c r="D4" i="5"/>
  <c r="C4" i="5"/>
  <c r="B4" i="5"/>
  <c r="L3" i="5"/>
  <c r="K3" i="5"/>
  <c r="J3" i="5"/>
  <c r="I3" i="5"/>
  <c r="H3" i="5"/>
  <c r="G3" i="5"/>
  <c r="F3" i="5"/>
  <c r="E3" i="5"/>
  <c r="D3" i="5"/>
  <c r="C3" i="5"/>
  <c r="B3" i="5"/>
  <c r="L2" i="5"/>
  <c r="K2" i="5"/>
  <c r="J2" i="5"/>
  <c r="I2" i="5"/>
  <c r="H2" i="5"/>
  <c r="G2" i="5"/>
  <c r="F2" i="5"/>
  <c r="E2" i="5"/>
  <c r="D2" i="5"/>
  <c r="C2" i="5"/>
  <c r="B2" i="5"/>
  <c r="J8" i="3"/>
  <c r="J7" i="3"/>
  <c r="J6" i="3"/>
  <c r="J5" i="3"/>
  <c r="J4" i="3"/>
  <c r="J3" i="3"/>
  <c r="H10" i="3"/>
  <c r="H9" i="3"/>
  <c r="H8" i="3"/>
  <c r="H7" i="3"/>
  <c r="H6" i="3"/>
  <c r="H5" i="3"/>
  <c r="H4" i="3"/>
  <c r="H3" i="3"/>
  <c r="F13" i="3"/>
  <c r="F12" i="3"/>
  <c r="F11" i="3"/>
  <c r="F10" i="3"/>
  <c r="F9" i="3"/>
  <c r="F8" i="3"/>
  <c r="F7" i="3"/>
  <c r="F6" i="3"/>
  <c r="F5" i="3"/>
  <c r="F4" i="3"/>
  <c r="F3" i="3"/>
  <c r="D4" i="3"/>
  <c r="D3" i="3"/>
  <c r="B3" i="3"/>
  <c r="A12" i="8"/>
  <c r="A11" i="8"/>
  <c r="A10" i="8"/>
  <c r="A9" i="8"/>
  <c r="A8" i="8"/>
  <c r="A7" i="8"/>
  <c r="A6" i="8"/>
  <c r="A5" i="8"/>
  <c r="A4" i="8"/>
  <c r="A3" i="8"/>
  <c r="A2" i="8"/>
  <c r="A52" i="8"/>
  <c r="A51" i="8"/>
  <c r="A50" i="8"/>
  <c r="A49" i="8"/>
  <c r="A48" i="8"/>
  <c r="A47" i="8"/>
  <c r="A46" i="8"/>
  <c r="A45" i="8"/>
  <c r="A44" i="8"/>
  <c r="A43" i="8"/>
  <c r="A42" i="8"/>
  <c r="A72" i="8"/>
  <c r="A71" i="8"/>
  <c r="A70" i="8"/>
  <c r="A69" i="8"/>
  <c r="A68" i="8"/>
  <c r="A67" i="8"/>
  <c r="A66" i="8"/>
  <c r="A65" i="8"/>
  <c r="A64" i="8"/>
  <c r="A63" i="8"/>
  <c r="A62" i="8"/>
  <c r="A92" i="8"/>
  <c r="A91" i="8"/>
  <c r="A90" i="8"/>
  <c r="A89" i="8"/>
  <c r="A88" i="8"/>
  <c r="A87" i="8"/>
  <c r="A86" i="8"/>
  <c r="A85" i="8"/>
  <c r="A84" i="8"/>
  <c r="A83" i="8"/>
  <c r="A82" i="8"/>
  <c r="L101" i="8"/>
  <c r="K101" i="8"/>
  <c r="J101" i="8"/>
  <c r="I101" i="8"/>
  <c r="H101" i="8"/>
  <c r="G101" i="8"/>
  <c r="F101" i="8"/>
  <c r="E101" i="8"/>
  <c r="D101" i="8"/>
  <c r="C101" i="8"/>
  <c r="B101" i="8"/>
  <c r="A112" i="8"/>
  <c r="A111" i="8"/>
  <c r="A110" i="8"/>
  <c r="A109" i="8"/>
  <c r="A108" i="8"/>
  <c r="A107" i="8"/>
  <c r="A106" i="8"/>
  <c r="A105" i="8"/>
  <c r="A104" i="8"/>
  <c r="A103" i="8"/>
  <c r="A102" i="8"/>
  <c r="A131" i="8"/>
  <c r="A130" i="8"/>
  <c r="A129" i="8"/>
  <c r="A128" i="8"/>
  <c r="A127" i="8"/>
  <c r="A126" i="8"/>
  <c r="A125" i="8"/>
  <c r="A124" i="8"/>
  <c r="A123" i="8"/>
  <c r="A122" i="8"/>
  <c r="A121" i="8"/>
  <c r="F131" i="8"/>
  <c r="F130" i="8"/>
  <c r="F129" i="8"/>
  <c r="F128" i="8"/>
  <c r="F127" i="8"/>
  <c r="F126" i="8"/>
  <c r="F125" i="8"/>
  <c r="F124" i="8"/>
  <c r="F123" i="8"/>
  <c r="F122" i="8"/>
  <c r="F121" i="8"/>
  <c r="K131" i="8"/>
  <c r="K130" i="8"/>
  <c r="K129" i="8"/>
  <c r="K128" i="8"/>
  <c r="K127" i="8"/>
  <c r="K126" i="8"/>
  <c r="K125" i="8"/>
  <c r="K124" i="8"/>
  <c r="K123" i="8"/>
  <c r="K122" i="8"/>
  <c r="K121" i="8"/>
  <c r="L131" i="8"/>
  <c r="L130" i="8"/>
  <c r="L129" i="8"/>
  <c r="L128" i="8"/>
  <c r="L127" i="8"/>
  <c r="L126" i="8"/>
  <c r="L125" i="8"/>
  <c r="L124" i="8"/>
  <c r="L123" i="8"/>
  <c r="L122" i="8"/>
  <c r="L121" i="8"/>
  <c r="G131" i="8"/>
  <c r="G130" i="8"/>
  <c r="G129" i="8"/>
  <c r="G128" i="8"/>
  <c r="G127" i="8"/>
  <c r="G126" i="8"/>
  <c r="G125" i="8"/>
  <c r="G124" i="8"/>
  <c r="G123" i="8"/>
  <c r="G122" i="8"/>
  <c r="G121" i="8"/>
  <c r="B131" i="8"/>
  <c r="B130" i="8"/>
  <c r="B129" i="8"/>
  <c r="B128" i="8"/>
  <c r="B127" i="8"/>
  <c r="B126" i="8"/>
  <c r="B125" i="8"/>
  <c r="B124" i="8"/>
  <c r="B123" i="8"/>
  <c r="B122" i="8"/>
  <c r="B121" i="8"/>
  <c r="B92" i="8"/>
  <c r="B91" i="8"/>
  <c r="B90" i="8"/>
  <c r="B89" i="8"/>
  <c r="B88" i="8"/>
  <c r="B87" i="8"/>
  <c r="B86" i="8"/>
  <c r="B85" i="8"/>
  <c r="B84" i="8"/>
  <c r="B83" i="8"/>
  <c r="B82" i="8"/>
  <c r="B72" i="8"/>
  <c r="B71" i="8"/>
  <c r="B70" i="8"/>
  <c r="B69" i="8"/>
  <c r="B68" i="8"/>
  <c r="B67" i="8"/>
  <c r="B66" i="8"/>
  <c r="B65" i="8"/>
  <c r="B64" i="8"/>
  <c r="B63" i="8"/>
  <c r="B62" i="8"/>
  <c r="B52" i="8"/>
  <c r="B51" i="8"/>
  <c r="B50" i="8"/>
  <c r="B49" i="8"/>
  <c r="B48" i="8"/>
  <c r="B47" i="8"/>
  <c r="B46" i="8"/>
  <c r="B45" i="8"/>
  <c r="B44" i="8"/>
  <c r="B43" i="8"/>
  <c r="B42" i="8"/>
  <c r="B32" i="8"/>
  <c r="B31" i="8"/>
  <c r="B30" i="8"/>
  <c r="B29" i="8"/>
  <c r="B28" i="8"/>
  <c r="B27" i="8"/>
  <c r="B26" i="8"/>
  <c r="B25" i="8"/>
  <c r="B24" i="8"/>
  <c r="B23" i="8"/>
  <c r="B22" i="8"/>
  <c r="B3" i="8"/>
  <c r="B4" i="8"/>
  <c r="B5" i="8"/>
  <c r="B6" i="8"/>
  <c r="B7" i="8"/>
  <c r="B8" i="8"/>
  <c r="B9" i="8"/>
  <c r="B10" i="8"/>
  <c r="B11" i="8"/>
  <c r="B12" i="8"/>
  <c r="B2" i="8"/>
  <c r="B143" i="8"/>
  <c r="B144" i="8"/>
  <c r="B145" i="8"/>
  <c r="B146" i="8"/>
  <c r="B147" i="8"/>
  <c r="B148" i="8"/>
  <c r="B149" i="8"/>
  <c r="B150" i="8"/>
  <c r="B151" i="8"/>
  <c r="B152" i="8"/>
  <c r="B142" i="8"/>
  <c r="B41" i="8" a="1"/>
  <c r="B41" i="8"/>
  <c r="B21" i="8" a="1"/>
  <c r="B21" i="8"/>
  <c r="B1" i="8" a="1"/>
  <c r="B1" i="8"/>
  <c r="B163" i="8"/>
  <c r="B164" i="8"/>
  <c r="B165" i="8"/>
  <c r="B166" i="8"/>
  <c r="B167" i="8"/>
  <c r="B168" i="8"/>
  <c r="B169" i="8"/>
  <c r="B170" i="8"/>
  <c r="B171" i="8"/>
  <c r="B172" i="8"/>
  <c r="B16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A22" i="8" a="1"/>
  <c r="A22" i="8"/>
  <c r="A23" i="8"/>
  <c r="A24" i="8"/>
  <c r="A25" i="8"/>
  <c r="A26" i="8"/>
  <c r="A27" i="8"/>
  <c r="A28" i="8"/>
  <c r="A29" i="8"/>
  <c r="A30" i="8"/>
  <c r="A31" i="8"/>
  <c r="A32" i="8"/>
</calcChain>
</file>

<file path=xl/sharedStrings.xml><?xml version="1.0" encoding="utf-8"?>
<sst xmlns="http://schemas.openxmlformats.org/spreadsheetml/2006/main" count="232" uniqueCount="82">
  <si>
    <t>Years</t>
  </si>
  <si>
    <t>Seasons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</si>
  <si>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</si>
  <si>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</si>
  <si>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</si>
  <si>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</si>
  <si>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</si>
  <si>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</si>
  <si>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</si>
  <si>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</si>
  <si>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</si>
  <si>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</si>
  <si>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</si>
  <si>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</si>
  <si>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SNNPR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</si>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</sst>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X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ttle"/>
      <sheetName val="sets"/>
      <sheetName val="Roads"/>
      <sheetName val="ElecLine"/>
      <sheetName val="DiscFact"/>
      <sheetName val="Crop"/>
      <sheetName val="CYF"/>
      <sheetName val="aFAO"/>
      <sheetName val="DemInt"/>
      <sheetName val="DemSlope"/>
      <sheetName val="Elec"/>
    </sheetNames>
    <sheetDataSet>
      <sheetData sheetId="0"/>
      <sheetData sheetId="1">
        <row r="2">
          <cell r="A2" t="str">
            <v>AddisAbaba</v>
          </cell>
          <cell r="B2">
            <v>1</v>
          </cell>
        </row>
        <row r="3">
          <cell r="A3" t="str">
            <v>Afar</v>
          </cell>
          <cell r="B3">
            <v>1</v>
          </cell>
        </row>
        <row r="4">
          <cell r="A4" t="str">
            <v>Amhara</v>
          </cell>
          <cell r="B4">
            <v>1</v>
          </cell>
        </row>
        <row r="5">
          <cell r="A5" t="str">
            <v>Gumuz</v>
          </cell>
          <cell r="B5">
            <v>1</v>
          </cell>
        </row>
        <row r="6">
          <cell r="A6" t="str">
            <v>DireDawa</v>
          </cell>
          <cell r="B6">
            <v>1</v>
          </cell>
        </row>
        <row r="7">
          <cell r="A7" t="str">
            <v>Gambela</v>
          </cell>
          <cell r="B7">
            <v>1</v>
          </cell>
        </row>
        <row r="8">
          <cell r="A8" t="str">
            <v>Harari</v>
          </cell>
          <cell r="B8">
            <v>1</v>
          </cell>
        </row>
        <row r="9">
          <cell r="A9" t="str">
            <v>Oromia</v>
          </cell>
          <cell r="B9">
            <v>1</v>
          </cell>
        </row>
        <row r="10">
          <cell r="A10" t="str">
            <v>Somali</v>
          </cell>
          <cell r="B10">
            <v>1</v>
          </cell>
        </row>
        <row r="11">
          <cell r="A11" t="str">
            <v>SNNPR</v>
          </cell>
          <cell r="B11">
            <v>1</v>
          </cell>
        </row>
        <row r="12">
          <cell r="A12" t="str">
            <v>Tigray</v>
          </cell>
          <cell r="B12">
            <v>1</v>
          </cell>
        </row>
        <row r="22">
          <cell r="B22">
            <v>1</v>
          </cell>
        </row>
        <row r="23">
          <cell r="B23">
            <v>1</v>
          </cell>
        </row>
        <row r="24">
          <cell r="B24">
            <v>1</v>
          </cell>
        </row>
        <row r="25">
          <cell r="B25">
            <v>1</v>
          </cell>
        </row>
        <row r="26">
          <cell r="B26">
            <v>1</v>
          </cell>
        </row>
        <row r="27">
          <cell r="B27">
            <v>1</v>
          </cell>
        </row>
        <row r="28">
          <cell r="B28">
            <v>1</v>
          </cell>
        </row>
        <row r="29">
          <cell r="B29">
            <v>1</v>
          </cell>
        </row>
        <row r="30">
          <cell r="B30">
            <v>1</v>
          </cell>
        </row>
        <row r="31">
          <cell r="B31">
            <v>1</v>
          </cell>
        </row>
        <row r="32">
          <cell r="B32">
            <v>1</v>
          </cell>
        </row>
        <row r="42">
          <cell r="A42" t="str">
            <v>AddisAbaba</v>
          </cell>
          <cell r="B42">
            <v>1</v>
          </cell>
        </row>
        <row r="43">
          <cell r="A43" t="str">
            <v>Afar</v>
          </cell>
          <cell r="B43">
            <v>1</v>
          </cell>
        </row>
        <row r="44">
          <cell r="A44" t="str">
            <v>Amhara</v>
          </cell>
          <cell r="B44">
            <v>1</v>
          </cell>
        </row>
        <row r="45">
          <cell r="A45" t="str">
            <v>Gumuz</v>
          </cell>
          <cell r="B45">
            <v>1</v>
          </cell>
        </row>
        <row r="46">
          <cell r="A46" t="str">
            <v>DireDawa</v>
          </cell>
          <cell r="B46">
            <v>1</v>
          </cell>
        </row>
        <row r="47">
          <cell r="A47" t="str">
            <v>Gambela</v>
          </cell>
          <cell r="B47">
            <v>1</v>
          </cell>
        </row>
        <row r="48">
          <cell r="A48" t="str">
            <v>Harari</v>
          </cell>
          <cell r="B48">
            <v>1</v>
          </cell>
        </row>
        <row r="49">
          <cell r="A49" t="str">
            <v>Oromia</v>
          </cell>
          <cell r="B49">
            <v>1</v>
          </cell>
        </row>
        <row r="50">
          <cell r="A50" t="str">
            <v>Somali</v>
          </cell>
          <cell r="B50">
            <v>1</v>
          </cell>
        </row>
        <row r="51">
          <cell r="A51" t="str">
            <v>SNNPR</v>
          </cell>
          <cell r="B51">
            <v>1</v>
          </cell>
        </row>
        <row r="52">
          <cell r="A52" t="str">
            <v>Tigray</v>
          </cell>
          <cell r="B52">
            <v>1</v>
          </cell>
        </row>
        <row r="62">
          <cell r="A62" t="str">
            <v>AddisAbaba</v>
          </cell>
          <cell r="B62">
            <v>0.7</v>
          </cell>
        </row>
        <row r="63">
          <cell r="A63" t="str">
            <v>Afar</v>
          </cell>
          <cell r="B63">
            <v>0.7</v>
          </cell>
        </row>
        <row r="64">
          <cell r="A64" t="str">
            <v>Amhara</v>
          </cell>
          <cell r="B64">
            <v>0.7</v>
          </cell>
        </row>
        <row r="65">
          <cell r="A65" t="str">
            <v>Gumuz</v>
          </cell>
          <cell r="B65">
            <v>0.7</v>
          </cell>
        </row>
        <row r="66">
          <cell r="A66" t="str">
            <v>DireDawa</v>
          </cell>
          <cell r="B66">
            <v>0.7</v>
          </cell>
        </row>
        <row r="67">
          <cell r="A67" t="str">
            <v>Gambela</v>
          </cell>
          <cell r="B67">
            <v>0.7</v>
          </cell>
        </row>
        <row r="68">
          <cell r="A68" t="str">
            <v>Harari</v>
          </cell>
          <cell r="B68">
            <v>0.7</v>
          </cell>
        </row>
        <row r="69">
          <cell r="A69" t="str">
            <v>Oromia</v>
          </cell>
          <cell r="B69">
            <v>0.7</v>
          </cell>
        </row>
        <row r="70">
          <cell r="A70" t="str">
            <v>Somali</v>
          </cell>
          <cell r="B70">
            <v>0.7</v>
          </cell>
        </row>
        <row r="71">
          <cell r="A71" t="str">
            <v>SNNPR</v>
          </cell>
          <cell r="B71">
            <v>0.7</v>
          </cell>
        </row>
        <row r="72">
          <cell r="A72" t="str">
            <v>Tigray</v>
          </cell>
          <cell r="B72">
            <v>0.7</v>
          </cell>
        </row>
        <row r="82">
          <cell r="A82" t="str">
            <v>AddisAbaba</v>
          </cell>
          <cell r="B82">
            <v>1</v>
          </cell>
        </row>
        <row r="83">
          <cell r="A83" t="str">
            <v>Afar</v>
          </cell>
          <cell r="B83">
            <v>1</v>
          </cell>
        </row>
        <row r="84">
          <cell r="A84" t="str">
            <v>Amhara</v>
          </cell>
          <cell r="B84">
            <v>1</v>
          </cell>
        </row>
        <row r="85">
          <cell r="A85" t="str">
            <v>Gumuz</v>
          </cell>
          <cell r="B85">
            <v>1</v>
          </cell>
        </row>
        <row r="86">
          <cell r="A86" t="str">
            <v>DireDawa</v>
          </cell>
          <cell r="B86">
            <v>1</v>
          </cell>
        </row>
        <row r="87">
          <cell r="A87" t="str">
            <v>Gambela</v>
          </cell>
          <cell r="B87">
            <v>1</v>
          </cell>
        </row>
        <row r="88">
          <cell r="A88" t="str">
            <v>Harari</v>
          </cell>
          <cell r="B88">
            <v>1</v>
          </cell>
        </row>
        <row r="89">
          <cell r="A89" t="str">
            <v>Oromia</v>
          </cell>
          <cell r="B89">
            <v>1</v>
          </cell>
        </row>
        <row r="90">
          <cell r="A90" t="str">
            <v>Somali</v>
          </cell>
          <cell r="B90">
            <v>1</v>
          </cell>
        </row>
        <row r="91">
          <cell r="A91" t="str">
            <v>SNNPR</v>
          </cell>
          <cell r="B91">
            <v>1</v>
          </cell>
        </row>
        <row r="92">
          <cell r="A92" t="str">
            <v>Tigray</v>
          </cell>
          <cell r="B92">
            <v>1</v>
          </cell>
        </row>
        <row r="101">
          <cell r="B101" t="str">
            <v>AddisAbaba</v>
          </cell>
          <cell r="C101" t="str">
            <v>Afar</v>
          </cell>
          <cell r="D101" t="str">
            <v>Amhara</v>
          </cell>
          <cell r="E101" t="str">
            <v>Gumuz</v>
          </cell>
          <cell r="F101" t="str">
            <v>DireDawa</v>
          </cell>
          <cell r="G101" t="str">
            <v>Gambela</v>
          </cell>
          <cell r="H101" t="str">
            <v>Harari</v>
          </cell>
          <cell r="I101" t="str">
            <v>Oromia</v>
          </cell>
          <cell r="J101" t="str">
            <v>Somali</v>
          </cell>
          <cell r="K101" t="str">
            <v>SNNPR</v>
          </cell>
          <cell r="L101" t="str">
            <v>Tigray</v>
          </cell>
        </row>
        <row r="102">
          <cell r="A102" t="str">
            <v>AddisAbaba</v>
          </cell>
          <cell r="B102">
            <v>0.1</v>
          </cell>
          <cell r="C102">
            <v>0.1</v>
          </cell>
          <cell r="D102">
            <v>0.1</v>
          </cell>
          <cell r="E102">
            <v>0.1</v>
          </cell>
          <cell r="F102">
            <v>0.1</v>
          </cell>
          <cell r="G102">
            <v>0.1</v>
          </cell>
          <cell r="H102">
            <v>0.1</v>
          </cell>
          <cell r="I102">
            <v>0.1</v>
          </cell>
          <cell r="J102">
            <v>0.1</v>
          </cell>
          <cell r="K102">
            <v>0.1</v>
          </cell>
          <cell r="L102">
            <v>0.1</v>
          </cell>
        </row>
        <row r="103">
          <cell r="A103" t="str">
            <v>Afar</v>
          </cell>
          <cell r="B103">
            <v>0.1</v>
          </cell>
          <cell r="C103">
            <v>0.1</v>
          </cell>
          <cell r="D103">
            <v>0.1</v>
          </cell>
          <cell r="E103">
            <v>0.1</v>
          </cell>
          <cell r="F103">
            <v>0.1</v>
          </cell>
          <cell r="G103">
            <v>0.1</v>
          </cell>
          <cell r="H103">
            <v>0.1</v>
          </cell>
          <cell r="I103">
            <v>0.1</v>
          </cell>
          <cell r="J103">
            <v>0.1</v>
          </cell>
          <cell r="K103">
            <v>0.1</v>
          </cell>
          <cell r="L103">
            <v>0.1</v>
          </cell>
        </row>
        <row r="104">
          <cell r="A104" t="str">
            <v>Amhara</v>
          </cell>
          <cell r="B104">
            <v>0.1</v>
          </cell>
          <cell r="C104">
            <v>0.1</v>
          </cell>
          <cell r="D104">
            <v>0.1</v>
          </cell>
          <cell r="E104">
            <v>0.1</v>
          </cell>
          <cell r="F104">
            <v>0.1</v>
          </cell>
          <cell r="G104">
            <v>0.1</v>
          </cell>
          <cell r="H104">
            <v>0.1</v>
          </cell>
          <cell r="I104">
            <v>0.1</v>
          </cell>
          <cell r="J104">
            <v>0.1</v>
          </cell>
          <cell r="K104">
            <v>0.1</v>
          </cell>
          <cell r="L104">
            <v>0.1</v>
          </cell>
        </row>
        <row r="105">
          <cell r="A105" t="str">
            <v>Gumuz</v>
          </cell>
          <cell r="B105">
            <v>0.1</v>
          </cell>
          <cell r="C105">
            <v>0.1</v>
          </cell>
          <cell r="D105">
            <v>0.1</v>
          </cell>
          <cell r="E105">
            <v>0.1</v>
          </cell>
          <cell r="F105">
            <v>0.1</v>
          </cell>
          <cell r="G105">
            <v>0.1</v>
          </cell>
          <cell r="H105">
            <v>0.1</v>
          </cell>
          <cell r="I105">
            <v>0.1</v>
          </cell>
          <cell r="J105">
            <v>0.1</v>
          </cell>
          <cell r="K105">
            <v>0.1</v>
          </cell>
          <cell r="L105">
            <v>0.1</v>
          </cell>
        </row>
        <row r="106">
          <cell r="A106" t="str">
            <v>DireDawa</v>
          </cell>
          <cell r="B106">
            <v>0.1</v>
          </cell>
          <cell r="C106">
            <v>0.1</v>
          </cell>
          <cell r="D106">
            <v>0.1</v>
          </cell>
          <cell r="E106">
            <v>0.1</v>
          </cell>
          <cell r="F106">
            <v>0.1</v>
          </cell>
          <cell r="G106">
            <v>0.1</v>
          </cell>
          <cell r="H106">
            <v>0.1</v>
          </cell>
          <cell r="I106">
            <v>0.1</v>
          </cell>
          <cell r="J106">
            <v>0.1</v>
          </cell>
          <cell r="K106">
            <v>0.1</v>
          </cell>
          <cell r="L106">
            <v>0.1</v>
          </cell>
        </row>
        <row r="107">
          <cell r="A107" t="str">
            <v>Gambela</v>
          </cell>
          <cell r="B107">
            <v>0.1</v>
          </cell>
          <cell r="C107">
            <v>0.1</v>
          </cell>
          <cell r="D107">
            <v>0.1</v>
          </cell>
          <cell r="E107">
            <v>0.1</v>
          </cell>
          <cell r="F107">
            <v>0.1</v>
          </cell>
          <cell r="G107">
            <v>0.1</v>
          </cell>
          <cell r="H107">
            <v>0.1</v>
          </cell>
          <cell r="I107">
            <v>0.1</v>
          </cell>
          <cell r="J107">
            <v>0.1</v>
          </cell>
          <cell r="K107">
            <v>0.1</v>
          </cell>
          <cell r="L107">
            <v>0.1</v>
          </cell>
        </row>
        <row r="108">
          <cell r="A108" t="str">
            <v>Harari</v>
          </cell>
          <cell r="B108">
            <v>0.1</v>
          </cell>
          <cell r="C108">
            <v>0.1</v>
          </cell>
          <cell r="D108">
            <v>0.1</v>
          </cell>
          <cell r="E108">
            <v>0.1</v>
          </cell>
          <cell r="F108">
            <v>0.1</v>
          </cell>
          <cell r="G108">
            <v>0.1</v>
          </cell>
          <cell r="H108">
            <v>0.1</v>
          </cell>
          <cell r="I108">
            <v>0.1</v>
          </cell>
          <cell r="J108">
            <v>0.1</v>
          </cell>
          <cell r="K108">
            <v>0.1</v>
          </cell>
          <cell r="L108">
            <v>0.1</v>
          </cell>
        </row>
        <row r="109">
          <cell r="A109" t="str">
            <v>Oromia</v>
          </cell>
          <cell r="B109">
            <v>0.1</v>
          </cell>
          <cell r="C109">
            <v>0.1</v>
          </cell>
          <cell r="D109">
            <v>0.1</v>
          </cell>
          <cell r="E109">
            <v>0.1</v>
          </cell>
          <cell r="F109">
            <v>0.1</v>
          </cell>
          <cell r="G109">
            <v>0.1</v>
          </cell>
          <cell r="H109">
            <v>0.1</v>
          </cell>
          <cell r="I109">
            <v>0.1</v>
          </cell>
          <cell r="J109">
            <v>0.1</v>
          </cell>
          <cell r="K109">
            <v>0.1</v>
          </cell>
          <cell r="L109">
            <v>0.1</v>
          </cell>
        </row>
        <row r="110">
          <cell r="A110" t="str">
            <v>Somali</v>
          </cell>
          <cell r="B110">
            <v>0.1</v>
          </cell>
          <cell r="C110">
            <v>0.1</v>
          </cell>
          <cell r="D110">
            <v>0.1</v>
          </cell>
          <cell r="E110">
            <v>0.1</v>
          </cell>
          <cell r="F110">
            <v>0.1</v>
          </cell>
          <cell r="G110">
            <v>0.1</v>
          </cell>
          <cell r="H110">
            <v>0.1</v>
          </cell>
          <cell r="I110">
            <v>0.1</v>
          </cell>
          <cell r="J110">
            <v>0.1</v>
          </cell>
          <cell r="K110">
            <v>0.1</v>
          </cell>
          <cell r="L110">
            <v>0.1</v>
          </cell>
        </row>
        <row r="111">
          <cell r="A111" t="str">
            <v>SNNPR</v>
          </cell>
          <cell r="B111">
            <v>0.1</v>
          </cell>
          <cell r="C111">
            <v>0.1</v>
          </cell>
          <cell r="D111">
            <v>0.1</v>
          </cell>
          <cell r="E111">
            <v>0.1</v>
          </cell>
          <cell r="F111">
            <v>0.1</v>
          </cell>
          <cell r="G111">
            <v>0.1</v>
          </cell>
          <cell r="H111">
            <v>0.1</v>
          </cell>
          <cell r="I111">
            <v>0.1</v>
          </cell>
          <cell r="J111">
            <v>0.1</v>
          </cell>
          <cell r="K111">
            <v>0.1</v>
          </cell>
          <cell r="L111">
            <v>0.1</v>
          </cell>
        </row>
        <row r="112">
          <cell r="A112" t="str">
            <v>Tigray</v>
          </cell>
          <cell r="B112">
            <v>0.1</v>
          </cell>
          <cell r="C112">
            <v>0.1</v>
          </cell>
          <cell r="D112">
            <v>0.1</v>
          </cell>
          <cell r="E112">
            <v>0.1</v>
          </cell>
          <cell r="F112">
            <v>0.1</v>
          </cell>
          <cell r="G112">
            <v>0.1</v>
          </cell>
          <cell r="H112">
            <v>0.1</v>
          </cell>
          <cell r="I112">
            <v>0.1</v>
          </cell>
          <cell r="J112">
            <v>0.1</v>
          </cell>
          <cell r="K112">
            <v>0.1</v>
          </cell>
          <cell r="L112">
            <v>0.1</v>
          </cell>
        </row>
        <row r="121">
          <cell r="A121" t="str">
            <v>AddisAbaba</v>
          </cell>
          <cell r="B121">
            <v>41</v>
          </cell>
          <cell r="F121" t="str">
            <v>AddisAbaba</v>
          </cell>
          <cell r="G121">
            <v>13.666666666666666</v>
          </cell>
          <cell r="K121" t="str">
            <v>AddisAbaba</v>
          </cell>
          <cell r="L121">
            <v>0.3</v>
          </cell>
        </row>
        <row r="122">
          <cell r="A122" t="str">
            <v>Afar</v>
          </cell>
          <cell r="B122">
            <v>42</v>
          </cell>
          <cell r="F122" t="str">
            <v>Afar</v>
          </cell>
          <cell r="G122">
            <v>14</v>
          </cell>
          <cell r="K122" t="str">
            <v>Afar</v>
          </cell>
          <cell r="L122">
            <v>0.3</v>
          </cell>
        </row>
        <row r="123">
          <cell r="A123" t="str">
            <v>Amhara</v>
          </cell>
          <cell r="B123">
            <v>43</v>
          </cell>
          <cell r="F123" t="str">
            <v>Amhara</v>
          </cell>
          <cell r="G123">
            <v>14.333333333333334</v>
          </cell>
          <cell r="K123" t="str">
            <v>Amhara</v>
          </cell>
          <cell r="L123">
            <v>0.3</v>
          </cell>
        </row>
        <row r="124">
          <cell r="A124" t="str">
            <v>Gumuz</v>
          </cell>
          <cell r="B124">
            <v>44</v>
          </cell>
          <cell r="F124" t="str">
            <v>Gumuz</v>
          </cell>
          <cell r="G124">
            <v>14.666666666666666</v>
          </cell>
          <cell r="K124" t="str">
            <v>Gumuz</v>
          </cell>
          <cell r="L124">
            <v>0.3</v>
          </cell>
        </row>
        <row r="125">
          <cell r="A125" t="str">
            <v>DireDawa</v>
          </cell>
          <cell r="B125">
            <v>45</v>
          </cell>
          <cell r="F125" t="str">
            <v>DireDawa</v>
          </cell>
          <cell r="G125">
            <v>15</v>
          </cell>
          <cell r="K125" t="str">
            <v>DireDawa</v>
          </cell>
          <cell r="L125">
            <v>0.3</v>
          </cell>
        </row>
        <row r="126">
          <cell r="A126" t="str">
            <v>Gambela</v>
          </cell>
          <cell r="B126">
            <v>46</v>
          </cell>
          <cell r="F126" t="str">
            <v>Gambela</v>
          </cell>
          <cell r="G126">
            <v>15.333333333333334</v>
          </cell>
          <cell r="K126" t="str">
            <v>Gambela</v>
          </cell>
          <cell r="L126">
            <v>0.3</v>
          </cell>
        </row>
        <row r="127">
          <cell r="A127" t="str">
            <v>Harari</v>
          </cell>
          <cell r="B127">
            <v>47</v>
          </cell>
          <cell r="F127" t="str">
            <v>Harari</v>
          </cell>
          <cell r="G127">
            <v>15.666666666666666</v>
          </cell>
          <cell r="K127" t="str">
            <v>Harari</v>
          </cell>
          <cell r="L127">
            <v>0.3</v>
          </cell>
        </row>
        <row r="128">
          <cell r="A128" t="str">
            <v>Oromia</v>
          </cell>
          <cell r="B128">
            <v>48</v>
          </cell>
          <cell r="F128" t="str">
            <v>Oromia</v>
          </cell>
          <cell r="G128">
            <v>16</v>
          </cell>
          <cell r="K128" t="str">
            <v>Oromia</v>
          </cell>
          <cell r="L128">
            <v>0.3</v>
          </cell>
        </row>
        <row r="129">
          <cell r="A129" t="str">
            <v>Somali</v>
          </cell>
          <cell r="B129">
            <v>49</v>
          </cell>
          <cell r="F129" t="str">
            <v>Somali</v>
          </cell>
          <cell r="G129">
            <v>16.333333333333332</v>
          </cell>
          <cell r="K129" t="str">
            <v>Somali</v>
          </cell>
          <cell r="L129">
            <v>0.3</v>
          </cell>
        </row>
        <row r="130">
          <cell r="A130" t="str">
            <v>SNNPR</v>
          </cell>
          <cell r="B130">
            <v>50</v>
          </cell>
          <cell r="F130" t="str">
            <v>SNNPR</v>
          </cell>
          <cell r="G130">
            <v>16.666666666666668</v>
          </cell>
          <cell r="K130" t="str">
            <v>SNNPR</v>
          </cell>
          <cell r="L130">
            <v>0.3</v>
          </cell>
        </row>
        <row r="131">
          <cell r="A131" t="str">
            <v>Tigray</v>
          </cell>
          <cell r="B131">
            <v>51</v>
          </cell>
          <cell r="F131" t="str">
            <v>Tigray</v>
          </cell>
          <cell r="G131">
            <v>17</v>
          </cell>
          <cell r="K131" t="str">
            <v>Tigray</v>
          </cell>
          <cell r="L131">
            <v>0.3</v>
          </cell>
        </row>
      </sheetData>
      <sheetData sheetId="2">
        <row r="3">
          <cell r="B3">
            <v>2015</v>
          </cell>
          <cell r="D3" t="str">
            <v>Belg</v>
          </cell>
          <cell r="F3" t="str">
            <v>AddisAbaba</v>
          </cell>
          <cell r="H3" t="str">
            <v>Teff</v>
          </cell>
          <cell r="J3" t="str">
            <v>Teff</v>
          </cell>
        </row>
        <row r="4">
          <cell r="D4" t="str">
            <v>Kremt</v>
          </cell>
          <cell r="F4" t="str">
            <v>Afar</v>
          </cell>
          <cell r="H4" t="str">
            <v>Sorghum</v>
          </cell>
          <cell r="J4" t="str">
            <v>Sorghum</v>
          </cell>
        </row>
        <row r="5">
          <cell r="F5" t="str">
            <v>Amhara</v>
          </cell>
          <cell r="H5" t="str">
            <v>Maize</v>
          </cell>
          <cell r="J5" t="str">
            <v>Maize</v>
          </cell>
        </row>
        <row r="6">
          <cell r="F6" t="str">
            <v>Gumuz</v>
          </cell>
          <cell r="H6" t="str">
            <v>Lentils</v>
          </cell>
          <cell r="J6" t="str">
            <v>Lentils</v>
          </cell>
        </row>
        <row r="7">
          <cell r="F7" t="str">
            <v>DireDawa</v>
          </cell>
          <cell r="H7" t="str">
            <v>Vegetables</v>
          </cell>
          <cell r="J7" t="str">
            <v>Vegetables</v>
          </cell>
        </row>
        <row r="8">
          <cell r="F8" t="str">
            <v>Gambela</v>
          </cell>
          <cell r="H8" t="str">
            <v>Coffee</v>
          </cell>
          <cell r="J8" t="str">
            <v>Coffee</v>
          </cell>
        </row>
        <row r="9">
          <cell r="F9" t="str">
            <v>Harari</v>
          </cell>
          <cell r="H9" t="str">
            <v>Beef</v>
          </cell>
        </row>
        <row r="10">
          <cell r="F10" t="str">
            <v>Oromia</v>
          </cell>
          <cell r="H10" t="str">
            <v>Milk</v>
          </cell>
        </row>
        <row r="11">
          <cell r="F11" t="str">
            <v>Somali</v>
          </cell>
        </row>
        <row r="12">
          <cell r="F12" t="str">
            <v>SNNPR</v>
          </cell>
        </row>
        <row r="13">
          <cell r="F13" t="str">
            <v>Tigray</v>
          </cell>
        </row>
      </sheetData>
      <sheetData sheetId="3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  <cell r="P2">
            <v>10</v>
          </cell>
          <cell r="Q2">
            <v>10</v>
          </cell>
          <cell r="R2">
            <v>10</v>
          </cell>
          <cell r="S2">
            <v>10</v>
          </cell>
          <cell r="T2">
            <v>10</v>
          </cell>
          <cell r="U2">
            <v>10</v>
          </cell>
          <cell r="V2">
            <v>10</v>
          </cell>
          <cell r="W2">
            <v>10</v>
          </cell>
          <cell r="X2">
            <v>10</v>
          </cell>
          <cell r="Y2">
            <v>10</v>
          </cell>
          <cell r="AC2">
            <v>500</v>
          </cell>
          <cell r="AD2">
            <v>500</v>
          </cell>
          <cell r="AE2">
            <v>500</v>
          </cell>
          <cell r="AF2">
            <v>500</v>
          </cell>
          <cell r="AG2">
            <v>500</v>
          </cell>
          <cell r="AH2">
            <v>500</v>
          </cell>
          <cell r="AI2">
            <v>500</v>
          </cell>
          <cell r="AJ2">
            <v>500</v>
          </cell>
          <cell r="AK2">
            <v>500</v>
          </cell>
          <cell r="AL2">
            <v>500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  <cell r="O3">
            <v>10</v>
          </cell>
          <cell r="Q3">
            <v>10.323611812166954</v>
          </cell>
          <cell r="R3">
            <v>13.176353943854021</v>
          </cell>
          <cell r="S3">
            <v>10.299275456925066</v>
          </cell>
          <cell r="T3">
            <v>11.530156164572134</v>
          </cell>
          <cell r="U3">
            <v>11.816886308055759</v>
          </cell>
          <cell r="V3">
            <v>11.243091796449605</v>
          </cell>
          <cell r="W3">
            <v>11.736013183932178</v>
          </cell>
          <cell r="X3">
            <v>13.808448024872362</v>
          </cell>
          <cell r="Y3">
            <v>10.440476734844173</v>
          </cell>
          <cell r="AB3">
            <v>500</v>
          </cell>
          <cell r="AD3">
            <v>293.52605582148283</v>
          </cell>
          <cell r="AE3">
            <v>277.01567281593145</v>
          </cell>
          <cell r="AF3">
            <v>262.92392479290868</v>
          </cell>
          <cell r="AG3">
            <v>252.9161991060711</v>
          </cell>
          <cell r="AH3">
            <v>284.18312156942858</v>
          </cell>
          <cell r="AI3">
            <v>262.81870319785395</v>
          </cell>
          <cell r="AJ3">
            <v>251.84609554158547</v>
          </cell>
          <cell r="AK3">
            <v>255.45078878361278</v>
          </cell>
          <cell r="AL3">
            <v>255.25596196534218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Yes</v>
          </cell>
          <cell r="O4">
            <v>10</v>
          </cell>
          <cell r="P4">
            <v>13.948802811825782</v>
          </cell>
          <cell r="R4">
            <v>14.691017731480105</v>
          </cell>
          <cell r="S4">
            <v>11.250923007899706</v>
          </cell>
          <cell r="T4">
            <v>12.259416486112016</v>
          </cell>
          <cell r="U4">
            <v>14.200479725479742</v>
          </cell>
          <cell r="V4">
            <v>13.723988281449115</v>
          </cell>
          <cell r="W4">
            <v>14.850284739595116</v>
          </cell>
          <cell r="X4">
            <v>12.114534415543673</v>
          </cell>
          <cell r="Y4">
            <v>12.186039134912335</v>
          </cell>
          <cell r="AB4">
            <v>500</v>
          </cell>
          <cell r="AC4">
            <v>250.82919129352453</v>
          </cell>
          <cell r="AE4">
            <v>265.67857174223218</v>
          </cell>
          <cell r="AF4">
            <v>259.91588888256268</v>
          </cell>
          <cell r="AG4">
            <v>298.1609927785525</v>
          </cell>
          <cell r="AH4">
            <v>296.00701552672746</v>
          </cell>
          <cell r="AI4">
            <v>266.58974678061156</v>
          </cell>
          <cell r="AJ4">
            <v>289.2859227122039</v>
          </cell>
          <cell r="AK4">
            <v>291.74684618508059</v>
          </cell>
          <cell r="AL4">
            <v>268.0699072963377</v>
          </cell>
        </row>
        <row r="5">
          <cell r="B5" t="str">
            <v>Yes</v>
          </cell>
          <cell r="C5" t="str">
            <v>Yes</v>
          </cell>
          <cell r="D5" t="str">
            <v>Yes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  <cell r="O5">
            <v>10</v>
          </cell>
          <cell r="P5">
            <v>12.680549153936768</v>
          </cell>
          <cell r="Q5">
            <v>12.833323086483098</v>
          </cell>
          <cell r="S5">
            <v>13.745774933334385</v>
          </cell>
          <cell r="T5">
            <v>14.17225807624339</v>
          </cell>
          <cell r="U5">
            <v>10.616194961740803</v>
          </cell>
          <cell r="V5">
            <v>10.484702863947229</v>
          </cell>
          <cell r="W5">
            <v>14.175205292192002</v>
          </cell>
          <cell r="X5">
            <v>11.15243551602258</v>
          </cell>
          <cell r="Y5">
            <v>10.558334395319969</v>
          </cell>
          <cell r="AB5">
            <v>500</v>
          </cell>
          <cell r="AC5">
            <v>254.40418572261052</v>
          </cell>
          <cell r="AD5">
            <v>290.98220740746098</v>
          </cell>
          <cell r="AF5">
            <v>282.71982750470414</v>
          </cell>
          <cell r="AG5">
            <v>294.61027807139834</v>
          </cell>
          <cell r="AH5">
            <v>259.68316987438038</v>
          </cell>
          <cell r="AI5">
            <v>273.13079753918623</v>
          </cell>
          <cell r="AJ5">
            <v>254.29040359217419</v>
          </cell>
          <cell r="AK5">
            <v>260.10076292161148</v>
          </cell>
          <cell r="AL5">
            <v>265.47174767725534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  <cell r="O6">
            <v>10</v>
          </cell>
          <cell r="P6">
            <v>10.458715218703979</v>
          </cell>
          <cell r="Q6">
            <v>13.079295520914371</v>
          </cell>
          <cell r="R6">
            <v>10.056634280103228</v>
          </cell>
          <cell r="T6">
            <v>10.344834915923272</v>
          </cell>
          <cell r="U6">
            <v>14.280241466310445</v>
          </cell>
          <cell r="V6">
            <v>10.45295730873735</v>
          </cell>
          <cell r="W6">
            <v>13.438872006708927</v>
          </cell>
          <cell r="X6">
            <v>13.810095370451343</v>
          </cell>
          <cell r="Y6">
            <v>13.217921458158759</v>
          </cell>
          <cell r="AB6">
            <v>500</v>
          </cell>
          <cell r="AC6">
            <v>298.1289339119316</v>
          </cell>
          <cell r="AD6">
            <v>261.52718667607417</v>
          </cell>
          <cell r="AE6">
            <v>259.13804484190007</v>
          </cell>
          <cell r="AG6">
            <v>291.35789219028942</v>
          </cell>
          <cell r="AH6">
            <v>268.9071497018972</v>
          </cell>
          <cell r="AI6">
            <v>285.60266987633372</v>
          </cell>
          <cell r="AJ6">
            <v>275.03928783925545</v>
          </cell>
          <cell r="AK6">
            <v>272.65385607704292</v>
          </cell>
          <cell r="AL6">
            <v>285.48601319290452</v>
          </cell>
        </row>
        <row r="7">
          <cell r="B7" t="str">
            <v>Yes</v>
          </cell>
          <cell r="C7" t="str">
            <v>Yes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  <cell r="O7">
            <v>10</v>
          </cell>
          <cell r="P7">
            <v>10.181086793176144</v>
          </cell>
          <cell r="Q7">
            <v>13.888390988109499</v>
          </cell>
          <cell r="R7">
            <v>12.02910559500739</v>
          </cell>
          <cell r="S7">
            <v>11.40630527402109</v>
          </cell>
          <cell r="U7">
            <v>13.666851187110048</v>
          </cell>
          <cell r="V7">
            <v>10.639879203293759</v>
          </cell>
          <cell r="W7">
            <v>14.474229398795787</v>
          </cell>
          <cell r="X7">
            <v>14.461607970532267</v>
          </cell>
          <cell r="Y7">
            <v>13.399075301439499</v>
          </cell>
          <cell r="AB7">
            <v>500</v>
          </cell>
          <cell r="AC7">
            <v>287.57168646496257</v>
          </cell>
          <cell r="AD7">
            <v>257.93504526721699</v>
          </cell>
          <cell r="AE7">
            <v>285.02179025847164</v>
          </cell>
          <cell r="AF7">
            <v>290.91340161795745</v>
          </cell>
          <cell r="AH7">
            <v>267.74678146974719</v>
          </cell>
          <cell r="AI7">
            <v>270.88407474639473</v>
          </cell>
          <cell r="AJ7">
            <v>262.23513485048113</v>
          </cell>
          <cell r="AK7">
            <v>253.20479547130088</v>
          </cell>
          <cell r="AL7">
            <v>260.40499018545108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Yes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  <cell r="O8">
            <v>10</v>
          </cell>
          <cell r="P8">
            <v>13.445571298550661</v>
          </cell>
          <cell r="Q8">
            <v>13.072797606346082</v>
          </cell>
          <cell r="R8">
            <v>11.958326324579865</v>
          </cell>
          <cell r="S8">
            <v>14.370235550789365</v>
          </cell>
          <cell r="T8">
            <v>12.805576606157658</v>
          </cell>
          <cell r="V8">
            <v>11.601935581345003</v>
          </cell>
          <cell r="W8">
            <v>14.697954372571434</v>
          </cell>
          <cell r="X8">
            <v>14.223034498873499</v>
          </cell>
          <cell r="Y8">
            <v>13.393690927433662</v>
          </cell>
          <cell r="AB8">
            <v>500</v>
          </cell>
          <cell r="AC8">
            <v>260.05645780229725</v>
          </cell>
          <cell r="AD8">
            <v>259.80508858831035</v>
          </cell>
          <cell r="AE8">
            <v>291.85379405106829</v>
          </cell>
          <cell r="AF8">
            <v>284.95486761818995</v>
          </cell>
          <cell r="AG8">
            <v>266.40579699262111</v>
          </cell>
          <cell r="AI8">
            <v>256.63448570985668</v>
          </cell>
          <cell r="AJ8">
            <v>296.31264210683048</v>
          </cell>
          <cell r="AK8">
            <v>262.42032215859717</v>
          </cell>
          <cell r="AL8">
            <v>289.970405643211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Yes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  <cell r="O9">
            <v>10</v>
          </cell>
          <cell r="P9">
            <v>10.982294906926759</v>
          </cell>
          <cell r="Q9">
            <v>14.47475573441859</v>
          </cell>
          <cell r="R9">
            <v>13.564848363015827</v>
          </cell>
          <cell r="S9">
            <v>11.76608821233874</v>
          </cell>
          <cell r="T9">
            <v>13.31593675081044</v>
          </cell>
          <cell r="U9">
            <v>11.124675492347583</v>
          </cell>
          <cell r="W9">
            <v>11.388150782442244</v>
          </cell>
          <cell r="X9">
            <v>13.520639286722151</v>
          </cell>
          <cell r="Y9">
            <v>14.072076287638216</v>
          </cell>
          <cell r="AB9">
            <v>500</v>
          </cell>
          <cell r="AC9">
            <v>253.67892956691384</v>
          </cell>
          <cell r="AD9">
            <v>263.582126297782</v>
          </cell>
          <cell r="AE9">
            <v>277.52328212118931</v>
          </cell>
          <cell r="AF9">
            <v>296.21989389331196</v>
          </cell>
          <cell r="AG9">
            <v>282.92250277292555</v>
          </cell>
          <cell r="AH9">
            <v>268.15984163157367</v>
          </cell>
          <cell r="AJ9">
            <v>295.76969177941334</v>
          </cell>
          <cell r="AK9">
            <v>250.50408072688435</v>
          </cell>
          <cell r="AL9">
            <v>265.88176317896267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Yes</v>
          </cell>
          <cell r="L10" t="str">
            <v>No</v>
          </cell>
          <cell r="O10">
            <v>10</v>
          </cell>
          <cell r="P10">
            <v>10.331996853011439</v>
          </cell>
          <cell r="Q10">
            <v>11.806528925348529</v>
          </cell>
          <cell r="R10">
            <v>12.513564280669058</v>
          </cell>
          <cell r="S10">
            <v>11.310030118994117</v>
          </cell>
          <cell r="T10">
            <v>12.75722194912696</v>
          </cell>
          <cell r="U10">
            <v>11.551550028748901</v>
          </cell>
          <cell r="V10">
            <v>10.386284616571121</v>
          </cell>
          <cell r="X10">
            <v>10.662149202852069</v>
          </cell>
          <cell r="Y10">
            <v>13.942593323493533</v>
          </cell>
          <cell r="AB10">
            <v>500</v>
          </cell>
          <cell r="AC10">
            <v>287.8447502287915</v>
          </cell>
          <cell r="AD10">
            <v>294.59594020663411</v>
          </cell>
          <cell r="AE10">
            <v>259.24466850013107</v>
          </cell>
          <cell r="AF10">
            <v>259.03822262712032</v>
          </cell>
          <cell r="AG10">
            <v>255.74906992278002</v>
          </cell>
          <cell r="AH10">
            <v>264.28589504492015</v>
          </cell>
          <cell r="AI10">
            <v>296.30565499919049</v>
          </cell>
          <cell r="AK10">
            <v>263.26569974897745</v>
          </cell>
          <cell r="AL10">
            <v>266.97254894290177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Yes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  <cell r="O11">
            <v>10</v>
          </cell>
          <cell r="P11">
            <v>13.468422980536616</v>
          </cell>
          <cell r="Q11">
            <v>12.196003420657913</v>
          </cell>
          <cell r="R11">
            <v>13.462861191036234</v>
          </cell>
          <cell r="S11">
            <v>12.281802193471748</v>
          </cell>
          <cell r="T11">
            <v>11.578264644194107</v>
          </cell>
          <cell r="U11">
            <v>14.4223175305951</v>
          </cell>
          <cell r="V11">
            <v>11.667444773060669</v>
          </cell>
          <cell r="W11">
            <v>10.685345731031113</v>
          </cell>
          <cell r="Y11">
            <v>11.652589795154952</v>
          </cell>
          <cell r="AB11">
            <v>500</v>
          </cell>
          <cell r="AC11">
            <v>266.414816949282</v>
          </cell>
          <cell r="AD11">
            <v>252.97122254305998</v>
          </cell>
          <cell r="AE11">
            <v>277.65968465478102</v>
          </cell>
          <cell r="AF11">
            <v>286.20746466243628</v>
          </cell>
          <cell r="AG11">
            <v>253.19539708225568</v>
          </cell>
          <cell r="AH11">
            <v>288.76380435505132</v>
          </cell>
          <cell r="AI11">
            <v>263.49554362264973</v>
          </cell>
          <cell r="AJ11">
            <v>287.06561582468021</v>
          </cell>
          <cell r="AL11">
            <v>285.18833890435434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Yes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  <cell r="O12">
            <v>10</v>
          </cell>
          <cell r="P12">
            <v>14.294442472637591</v>
          </cell>
          <cell r="Q12">
            <v>12.704069226591596</v>
          </cell>
          <cell r="R12">
            <v>12.254354842074068</v>
          </cell>
          <cell r="S12">
            <v>11.270802069320201</v>
          </cell>
          <cell r="T12">
            <v>10.84597587258917</v>
          </cell>
          <cell r="U12">
            <v>13.48942743278451</v>
          </cell>
          <cell r="V12">
            <v>14.449034667696317</v>
          </cell>
          <cell r="W12">
            <v>12.223369588587415</v>
          </cell>
          <cell r="X12">
            <v>11.940102228563463</v>
          </cell>
          <cell r="AB12">
            <v>500</v>
          </cell>
          <cell r="AC12">
            <v>271.08130743642437</v>
          </cell>
          <cell r="AD12">
            <v>296.2507574014316</v>
          </cell>
          <cell r="AE12">
            <v>287.29571922331581</v>
          </cell>
          <cell r="AF12">
            <v>299.01471899753756</v>
          </cell>
          <cell r="AG12">
            <v>273.07285764657047</v>
          </cell>
          <cell r="AH12">
            <v>268.35970459281845</v>
          </cell>
          <cell r="AI12">
            <v>257.85708707608967</v>
          </cell>
          <cell r="AJ12">
            <v>257.64368413316936</v>
          </cell>
          <cell r="AK12">
            <v>263.80268545175619</v>
          </cell>
        </row>
      </sheetData>
      <sheetData sheetId="4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No</v>
          </cell>
        </row>
        <row r="5">
          <cell r="B5" t="str">
            <v>Yes</v>
          </cell>
          <cell r="C5" t="str">
            <v>Yes</v>
          </cell>
          <cell r="D5" t="str">
            <v>No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</row>
        <row r="7">
          <cell r="B7" t="str">
            <v>Yes</v>
          </cell>
          <cell r="C7" t="str">
            <v>No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No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No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No</v>
          </cell>
          <cell r="L10" t="str">
            <v>No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No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No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</row>
      </sheetData>
      <sheetData sheetId="5">
        <row r="1">
          <cell r="B1">
            <v>1</v>
          </cell>
        </row>
      </sheetData>
      <sheetData sheetId="6">
        <row r="1">
          <cell r="C1">
            <v>2015</v>
          </cell>
          <cell r="D1">
            <v>2015</v>
          </cell>
        </row>
        <row r="2">
          <cell r="C2" t="str">
            <v>Belg</v>
          </cell>
          <cell r="D2" t="str">
            <v>Kremt</v>
          </cell>
        </row>
        <row r="3">
          <cell r="A3" t="str">
            <v>Teff</v>
          </cell>
          <cell r="B3" t="str">
            <v>AddisAbaba</v>
          </cell>
          <cell r="C3">
            <v>1</v>
          </cell>
          <cell r="D3">
            <v>1</v>
          </cell>
        </row>
        <row r="4">
          <cell r="A4" t="str">
            <v>Teff</v>
          </cell>
          <cell r="B4" t="str">
            <v>Afar</v>
          </cell>
          <cell r="C4">
            <v>1</v>
          </cell>
          <cell r="D4">
            <v>1</v>
          </cell>
        </row>
        <row r="5">
          <cell r="A5" t="str">
            <v>Teff</v>
          </cell>
          <cell r="B5" t="str">
            <v>Amhara</v>
          </cell>
          <cell r="C5">
            <v>1</v>
          </cell>
          <cell r="D5">
            <v>1</v>
          </cell>
        </row>
        <row r="6">
          <cell r="A6" t="str">
            <v>Teff</v>
          </cell>
          <cell r="B6" t="str">
            <v>Gumuz</v>
          </cell>
          <cell r="C6">
            <v>1</v>
          </cell>
          <cell r="D6">
            <v>1</v>
          </cell>
        </row>
        <row r="7">
          <cell r="A7" t="str">
            <v>Teff</v>
          </cell>
          <cell r="B7" t="str">
            <v>DireDawa</v>
          </cell>
          <cell r="C7">
            <v>1</v>
          </cell>
          <cell r="D7">
            <v>1</v>
          </cell>
        </row>
        <row r="8">
          <cell r="A8" t="str">
            <v>Teff</v>
          </cell>
          <cell r="B8" t="str">
            <v>Gambela</v>
          </cell>
          <cell r="C8">
            <v>1</v>
          </cell>
          <cell r="D8">
            <v>1</v>
          </cell>
        </row>
        <row r="9">
          <cell r="A9" t="str">
            <v>Teff</v>
          </cell>
          <cell r="B9" t="str">
            <v>Harari</v>
          </cell>
          <cell r="C9">
            <v>1</v>
          </cell>
          <cell r="D9">
            <v>1</v>
          </cell>
        </row>
        <row r="10">
          <cell r="A10" t="str">
            <v>Teff</v>
          </cell>
          <cell r="B10" t="str">
            <v>Oromia</v>
          </cell>
          <cell r="C10">
            <v>1</v>
          </cell>
          <cell r="D10">
            <v>1</v>
          </cell>
        </row>
        <row r="11">
          <cell r="A11" t="str">
            <v>Teff</v>
          </cell>
          <cell r="B11" t="str">
            <v>Somali</v>
          </cell>
          <cell r="C11">
            <v>1</v>
          </cell>
          <cell r="D11">
            <v>1</v>
          </cell>
        </row>
        <row r="12">
          <cell r="A12" t="str">
            <v>Teff</v>
          </cell>
          <cell r="B12" t="str">
            <v>SNNPR</v>
          </cell>
          <cell r="C12">
            <v>1</v>
          </cell>
          <cell r="D12">
            <v>1</v>
          </cell>
        </row>
        <row r="13">
          <cell r="A13" t="str">
            <v>Teff</v>
          </cell>
          <cell r="B13" t="str">
            <v>Tigray</v>
          </cell>
          <cell r="C13">
            <v>1</v>
          </cell>
          <cell r="D13">
            <v>1</v>
          </cell>
        </row>
        <row r="14">
          <cell r="A14" t="str">
            <v>Sorghum</v>
          </cell>
          <cell r="B14" t="str">
            <v>AddisAbaba</v>
          </cell>
          <cell r="C14">
            <v>1</v>
          </cell>
          <cell r="D14">
            <v>1</v>
          </cell>
        </row>
        <row r="15">
          <cell r="A15" t="str">
            <v>Sorghum</v>
          </cell>
          <cell r="B15" t="str">
            <v>Afar</v>
          </cell>
          <cell r="C15">
            <v>1</v>
          </cell>
          <cell r="D15">
            <v>1</v>
          </cell>
        </row>
        <row r="16">
          <cell r="A16" t="str">
            <v>Sorghum</v>
          </cell>
          <cell r="B16" t="str">
            <v>Amhara</v>
          </cell>
          <cell r="C16">
            <v>1</v>
          </cell>
          <cell r="D16">
            <v>1</v>
          </cell>
        </row>
        <row r="17">
          <cell r="A17" t="str">
            <v>Sorghum</v>
          </cell>
          <cell r="B17" t="str">
            <v>Gumuz</v>
          </cell>
          <cell r="C17">
            <v>1</v>
          </cell>
          <cell r="D17">
            <v>1</v>
          </cell>
        </row>
        <row r="18">
          <cell r="A18" t="str">
            <v>Sorghum</v>
          </cell>
          <cell r="B18" t="str">
            <v>DireDawa</v>
          </cell>
          <cell r="C18">
            <v>1</v>
          </cell>
          <cell r="D18">
            <v>1</v>
          </cell>
        </row>
        <row r="19">
          <cell r="A19" t="str">
            <v>Sorghum</v>
          </cell>
          <cell r="B19" t="str">
            <v>Gambela</v>
          </cell>
          <cell r="C19">
            <v>1</v>
          </cell>
          <cell r="D19">
            <v>1</v>
          </cell>
        </row>
        <row r="20">
          <cell r="A20" t="str">
            <v>Sorghum</v>
          </cell>
          <cell r="B20" t="str">
            <v>Harari</v>
          </cell>
          <cell r="C20">
            <v>1</v>
          </cell>
          <cell r="D20">
            <v>1</v>
          </cell>
        </row>
        <row r="21">
          <cell r="A21" t="str">
            <v>Sorghum</v>
          </cell>
          <cell r="B21" t="str">
            <v>Oromia</v>
          </cell>
          <cell r="C21">
            <v>1</v>
          </cell>
          <cell r="D21">
            <v>1</v>
          </cell>
        </row>
        <row r="22">
          <cell r="A22" t="str">
            <v>Sorghum</v>
          </cell>
          <cell r="B22" t="str">
            <v>Somali</v>
          </cell>
          <cell r="C22">
            <v>1</v>
          </cell>
          <cell r="D22">
            <v>1</v>
          </cell>
        </row>
        <row r="23">
          <cell r="A23" t="str">
            <v>Sorghum</v>
          </cell>
          <cell r="B23" t="str">
            <v>SNNPR</v>
          </cell>
          <cell r="C23">
            <v>1</v>
          </cell>
          <cell r="D23">
            <v>1</v>
          </cell>
        </row>
        <row r="24">
          <cell r="A24" t="str">
            <v>Sorghum</v>
          </cell>
          <cell r="B24" t="str">
            <v>Tigray</v>
          </cell>
          <cell r="C24">
            <v>1</v>
          </cell>
          <cell r="D24">
            <v>1</v>
          </cell>
        </row>
        <row r="25">
          <cell r="A25" t="str">
            <v>Maize</v>
          </cell>
          <cell r="B25" t="str">
            <v>AddisAbaba</v>
          </cell>
          <cell r="C25">
            <v>1</v>
          </cell>
          <cell r="D25">
            <v>1</v>
          </cell>
        </row>
        <row r="26">
          <cell r="A26" t="str">
            <v>Maize</v>
          </cell>
          <cell r="B26" t="str">
            <v>Afar</v>
          </cell>
          <cell r="C26">
            <v>1</v>
          </cell>
          <cell r="D26">
            <v>1</v>
          </cell>
        </row>
        <row r="27">
          <cell r="A27" t="str">
            <v>Maize</v>
          </cell>
          <cell r="B27" t="str">
            <v>Amhara</v>
          </cell>
          <cell r="C27">
            <v>1</v>
          </cell>
          <cell r="D27">
            <v>1</v>
          </cell>
        </row>
        <row r="28">
          <cell r="A28" t="str">
            <v>Maize</v>
          </cell>
          <cell r="B28" t="str">
            <v>Gumuz</v>
          </cell>
          <cell r="C28">
            <v>1</v>
          </cell>
          <cell r="D28">
            <v>1</v>
          </cell>
        </row>
        <row r="29">
          <cell r="A29" t="str">
            <v>Maize</v>
          </cell>
          <cell r="B29" t="str">
            <v>DireDawa</v>
          </cell>
          <cell r="C29">
            <v>1</v>
          </cell>
          <cell r="D29">
            <v>1</v>
          </cell>
        </row>
        <row r="30">
          <cell r="A30" t="str">
            <v>Maize</v>
          </cell>
          <cell r="B30" t="str">
            <v>Gambela</v>
          </cell>
          <cell r="C30">
            <v>1</v>
          </cell>
          <cell r="D30">
            <v>1</v>
          </cell>
        </row>
        <row r="31">
          <cell r="A31" t="str">
            <v>Maize</v>
          </cell>
          <cell r="B31" t="str">
            <v>Harari</v>
          </cell>
          <cell r="C31">
            <v>1</v>
          </cell>
          <cell r="D31">
            <v>1</v>
          </cell>
        </row>
        <row r="32">
          <cell r="A32" t="str">
            <v>Maize</v>
          </cell>
          <cell r="B32" t="str">
            <v>Oromia</v>
          </cell>
          <cell r="C32">
            <v>1</v>
          </cell>
          <cell r="D32">
            <v>1</v>
          </cell>
        </row>
        <row r="33">
          <cell r="A33" t="str">
            <v>Maize</v>
          </cell>
          <cell r="B33" t="str">
            <v>Somali</v>
          </cell>
          <cell r="C33">
            <v>1</v>
          </cell>
          <cell r="D33">
            <v>1</v>
          </cell>
        </row>
        <row r="34">
          <cell r="A34" t="str">
            <v>Maize</v>
          </cell>
          <cell r="B34" t="str">
            <v>SNNPR</v>
          </cell>
          <cell r="C34">
            <v>1</v>
          </cell>
          <cell r="D34">
            <v>1</v>
          </cell>
        </row>
        <row r="35">
          <cell r="A35" t="str">
            <v>Maize</v>
          </cell>
          <cell r="B35" t="str">
            <v>Tigray</v>
          </cell>
          <cell r="C35">
            <v>1</v>
          </cell>
          <cell r="D35">
            <v>1</v>
          </cell>
        </row>
        <row r="36">
          <cell r="A36" t="str">
            <v>Lentils</v>
          </cell>
          <cell r="B36" t="str">
            <v>AddisAbaba</v>
          </cell>
          <cell r="C36">
            <v>1</v>
          </cell>
          <cell r="D36">
            <v>1</v>
          </cell>
        </row>
        <row r="37">
          <cell r="A37" t="str">
            <v>Lentils</v>
          </cell>
          <cell r="B37" t="str">
            <v>Afar</v>
          </cell>
          <cell r="C37">
            <v>1</v>
          </cell>
          <cell r="D37">
            <v>1</v>
          </cell>
        </row>
        <row r="38">
          <cell r="A38" t="str">
            <v>Lentils</v>
          </cell>
          <cell r="B38" t="str">
            <v>Amhara</v>
          </cell>
          <cell r="C38">
            <v>1</v>
          </cell>
          <cell r="D38">
            <v>1</v>
          </cell>
        </row>
        <row r="39">
          <cell r="A39" t="str">
            <v>Lentils</v>
          </cell>
          <cell r="B39" t="str">
            <v>Gumuz</v>
          </cell>
          <cell r="C39">
            <v>1</v>
          </cell>
          <cell r="D39">
            <v>1</v>
          </cell>
        </row>
        <row r="40">
          <cell r="A40" t="str">
            <v>Lentils</v>
          </cell>
          <cell r="B40" t="str">
            <v>DireDawa</v>
          </cell>
          <cell r="C40">
            <v>1</v>
          </cell>
          <cell r="D40">
            <v>1</v>
          </cell>
        </row>
        <row r="41">
          <cell r="A41" t="str">
            <v>Lentils</v>
          </cell>
          <cell r="B41" t="str">
            <v>Gambela</v>
          </cell>
          <cell r="C41">
            <v>1</v>
          </cell>
          <cell r="D41">
            <v>1</v>
          </cell>
        </row>
        <row r="42">
          <cell r="A42" t="str">
            <v>Lentils</v>
          </cell>
          <cell r="B42" t="str">
            <v>Harari</v>
          </cell>
          <cell r="C42">
            <v>1</v>
          </cell>
          <cell r="D42">
            <v>1</v>
          </cell>
        </row>
        <row r="43">
          <cell r="A43" t="str">
            <v>Lentils</v>
          </cell>
          <cell r="B43" t="str">
            <v>Oromia</v>
          </cell>
          <cell r="C43">
            <v>1</v>
          </cell>
          <cell r="D43">
            <v>1</v>
          </cell>
        </row>
        <row r="44">
          <cell r="A44" t="str">
            <v>Lentils</v>
          </cell>
          <cell r="B44" t="str">
            <v>Somali</v>
          </cell>
          <cell r="C44">
            <v>1</v>
          </cell>
          <cell r="D44">
            <v>1</v>
          </cell>
        </row>
        <row r="45">
          <cell r="A45" t="str">
            <v>Lentils</v>
          </cell>
          <cell r="B45" t="str">
            <v>SNNPR</v>
          </cell>
          <cell r="C45">
            <v>1</v>
          </cell>
          <cell r="D45">
            <v>1</v>
          </cell>
        </row>
        <row r="46">
          <cell r="A46" t="str">
            <v>Lentils</v>
          </cell>
          <cell r="B46" t="str">
            <v>Tigray</v>
          </cell>
          <cell r="C46">
            <v>1</v>
          </cell>
          <cell r="D46">
            <v>1</v>
          </cell>
        </row>
        <row r="47">
          <cell r="A47" t="str">
            <v>Vegetables</v>
          </cell>
          <cell r="B47" t="str">
            <v>AddisAbaba</v>
          </cell>
          <cell r="C47">
            <v>1</v>
          </cell>
          <cell r="D47">
            <v>1</v>
          </cell>
        </row>
        <row r="48">
          <cell r="A48" t="str">
            <v>Vegetables</v>
          </cell>
          <cell r="B48" t="str">
            <v>Afar</v>
          </cell>
          <cell r="C48">
            <v>1</v>
          </cell>
          <cell r="D48">
            <v>1</v>
          </cell>
        </row>
        <row r="49">
          <cell r="A49" t="str">
            <v>Vegetables</v>
          </cell>
          <cell r="B49" t="str">
            <v>Amhara</v>
          </cell>
          <cell r="C49">
            <v>1</v>
          </cell>
          <cell r="D49">
            <v>1</v>
          </cell>
        </row>
        <row r="50">
          <cell r="A50" t="str">
            <v>Vegetables</v>
          </cell>
          <cell r="B50" t="str">
            <v>Gumuz</v>
          </cell>
          <cell r="C50">
            <v>1</v>
          </cell>
          <cell r="D50">
            <v>1</v>
          </cell>
        </row>
        <row r="51">
          <cell r="A51" t="str">
            <v>Vegetables</v>
          </cell>
          <cell r="B51" t="str">
            <v>DireDawa</v>
          </cell>
          <cell r="C51">
            <v>1</v>
          </cell>
          <cell r="D51">
            <v>1</v>
          </cell>
        </row>
        <row r="52">
          <cell r="A52" t="str">
            <v>Vegetables</v>
          </cell>
          <cell r="B52" t="str">
            <v>Gambela</v>
          </cell>
          <cell r="C52">
            <v>1</v>
          </cell>
          <cell r="D52">
            <v>1</v>
          </cell>
        </row>
        <row r="53">
          <cell r="A53" t="str">
            <v>Vegetables</v>
          </cell>
          <cell r="B53" t="str">
            <v>Harari</v>
          </cell>
          <cell r="C53">
            <v>1</v>
          </cell>
          <cell r="D53">
            <v>1</v>
          </cell>
        </row>
        <row r="54">
          <cell r="A54" t="str">
            <v>Vegetables</v>
          </cell>
          <cell r="B54" t="str">
            <v>Oromia</v>
          </cell>
          <cell r="C54">
            <v>1</v>
          </cell>
          <cell r="D54">
            <v>1</v>
          </cell>
        </row>
        <row r="55">
          <cell r="A55" t="str">
            <v>Vegetables</v>
          </cell>
          <cell r="B55" t="str">
            <v>Somali</v>
          </cell>
          <cell r="C55">
            <v>1</v>
          </cell>
          <cell r="D55">
            <v>1</v>
          </cell>
        </row>
        <row r="56">
          <cell r="A56" t="str">
            <v>Vegetables</v>
          </cell>
          <cell r="B56" t="str">
            <v>SNNPR</v>
          </cell>
          <cell r="C56">
            <v>1</v>
          </cell>
          <cell r="D56">
            <v>1</v>
          </cell>
        </row>
        <row r="57">
          <cell r="A57" t="str">
            <v>Vegetables</v>
          </cell>
          <cell r="B57" t="str">
            <v>Tigray</v>
          </cell>
          <cell r="C57">
            <v>1</v>
          </cell>
          <cell r="D57">
            <v>1</v>
          </cell>
        </row>
        <row r="58">
          <cell r="A58" t="str">
            <v>Coffee</v>
          </cell>
          <cell r="B58" t="str">
            <v>AddisAbaba</v>
          </cell>
          <cell r="C58">
            <v>1</v>
          </cell>
          <cell r="D58">
            <v>1</v>
          </cell>
        </row>
        <row r="59">
          <cell r="A59" t="str">
            <v>Coffee</v>
          </cell>
          <cell r="B59" t="str">
            <v>Afar</v>
          </cell>
          <cell r="C59">
            <v>1</v>
          </cell>
          <cell r="D59">
            <v>1</v>
          </cell>
        </row>
        <row r="60">
          <cell r="A60" t="str">
            <v>Coffee</v>
          </cell>
          <cell r="B60" t="str">
            <v>Amhara</v>
          </cell>
          <cell r="C60">
            <v>1</v>
          </cell>
          <cell r="D60">
            <v>1</v>
          </cell>
        </row>
        <row r="61">
          <cell r="A61" t="str">
            <v>Coffee</v>
          </cell>
          <cell r="B61" t="str">
            <v>Gumuz</v>
          </cell>
          <cell r="C61">
            <v>1</v>
          </cell>
          <cell r="D61">
            <v>1</v>
          </cell>
        </row>
        <row r="62">
          <cell r="A62" t="str">
            <v>Coffee</v>
          </cell>
          <cell r="B62" t="str">
            <v>DireDawa</v>
          </cell>
          <cell r="C62">
            <v>1</v>
          </cell>
          <cell r="D62">
            <v>1</v>
          </cell>
        </row>
        <row r="63">
          <cell r="A63" t="str">
            <v>Coffee</v>
          </cell>
          <cell r="B63" t="str">
            <v>Gambela</v>
          </cell>
          <cell r="C63">
            <v>1</v>
          </cell>
          <cell r="D63">
            <v>1</v>
          </cell>
        </row>
        <row r="64">
          <cell r="A64" t="str">
            <v>Coffee</v>
          </cell>
          <cell r="B64" t="str">
            <v>Harari</v>
          </cell>
          <cell r="C64">
            <v>1</v>
          </cell>
          <cell r="D64">
            <v>1</v>
          </cell>
        </row>
        <row r="65">
          <cell r="A65" t="str">
            <v>Coffee</v>
          </cell>
          <cell r="B65" t="str">
            <v>Oromia</v>
          </cell>
          <cell r="C65">
            <v>1</v>
          </cell>
          <cell r="D65">
            <v>1</v>
          </cell>
        </row>
        <row r="66">
          <cell r="A66" t="str">
            <v>Coffee</v>
          </cell>
          <cell r="B66" t="str">
            <v>Somali</v>
          </cell>
          <cell r="C66">
            <v>1</v>
          </cell>
          <cell r="D66">
            <v>1</v>
          </cell>
        </row>
        <row r="67">
          <cell r="A67" t="str">
            <v>Coffee</v>
          </cell>
          <cell r="B67" t="str">
            <v>SNNPR</v>
          </cell>
          <cell r="C67">
            <v>1</v>
          </cell>
          <cell r="D67">
            <v>1</v>
          </cell>
        </row>
        <row r="68">
          <cell r="A68" t="str">
            <v>Coffee</v>
          </cell>
          <cell r="B68" t="str">
            <v>Tigray</v>
          </cell>
          <cell r="C68">
            <v>1</v>
          </cell>
          <cell r="D68">
            <v>1</v>
          </cell>
        </row>
        <row r="101">
          <cell r="B101">
            <v>2015</v>
          </cell>
        </row>
        <row r="102">
          <cell r="A102" t="str">
            <v>AddisAbaba</v>
          </cell>
          <cell r="B102">
            <v>1</v>
          </cell>
        </row>
        <row r="103">
          <cell r="A103" t="str">
            <v>Afar</v>
          </cell>
          <cell r="B103">
            <v>1</v>
          </cell>
        </row>
        <row r="104">
          <cell r="A104" t="str">
            <v>Amhara</v>
          </cell>
          <cell r="B104">
            <v>1</v>
          </cell>
        </row>
        <row r="105">
          <cell r="A105" t="str">
            <v>Gumuz</v>
          </cell>
          <cell r="B105">
            <v>1</v>
          </cell>
        </row>
        <row r="106">
          <cell r="A106" t="str">
            <v>DireDawa</v>
          </cell>
          <cell r="B106">
            <v>1</v>
          </cell>
        </row>
        <row r="107">
          <cell r="A107" t="str">
            <v>Gambela</v>
          </cell>
          <cell r="B107">
            <v>1</v>
          </cell>
        </row>
        <row r="108">
          <cell r="A108" t="str">
            <v>Harari</v>
          </cell>
          <cell r="B108">
            <v>1</v>
          </cell>
        </row>
        <row r="109">
          <cell r="A109" t="str">
            <v>Oromia</v>
          </cell>
          <cell r="B109">
            <v>1</v>
          </cell>
        </row>
        <row r="110">
          <cell r="A110" t="str">
            <v>Somali</v>
          </cell>
          <cell r="B110">
            <v>1</v>
          </cell>
        </row>
        <row r="111">
          <cell r="A111" t="str">
            <v>SNNPR</v>
          </cell>
          <cell r="B111">
            <v>1</v>
          </cell>
        </row>
        <row r="112">
          <cell r="A112" t="str">
            <v>Tigray</v>
          </cell>
          <cell r="B112">
            <v>1</v>
          </cell>
        </row>
        <row r="121">
          <cell r="B121">
            <v>2015</v>
          </cell>
        </row>
        <row r="122">
          <cell r="A122" t="str">
            <v>AddisAbaba</v>
          </cell>
          <cell r="B122">
            <v>1</v>
          </cell>
        </row>
        <row r="123">
          <cell r="A123" t="str">
            <v>Afar</v>
          </cell>
          <cell r="B123">
            <v>1</v>
          </cell>
        </row>
        <row r="124">
          <cell r="A124" t="str">
            <v>Amhara</v>
          </cell>
          <cell r="B124">
            <v>1</v>
          </cell>
        </row>
        <row r="125">
          <cell r="A125" t="str">
            <v>Gumuz</v>
          </cell>
          <cell r="B125">
            <v>1</v>
          </cell>
        </row>
        <row r="126">
          <cell r="A126" t="str">
            <v>DireDawa</v>
          </cell>
          <cell r="B126">
            <v>1</v>
          </cell>
        </row>
        <row r="127">
          <cell r="A127" t="str">
            <v>Gambela</v>
          </cell>
          <cell r="B127">
            <v>1</v>
          </cell>
        </row>
        <row r="128">
          <cell r="A128" t="str">
            <v>Harari</v>
          </cell>
          <cell r="B128">
            <v>1</v>
          </cell>
        </row>
        <row r="129">
          <cell r="A129" t="str">
            <v>Oromia</v>
          </cell>
          <cell r="B129">
            <v>1</v>
          </cell>
        </row>
        <row r="130">
          <cell r="A130" t="str">
            <v>Somali</v>
          </cell>
          <cell r="B130">
            <v>1</v>
          </cell>
        </row>
        <row r="131">
          <cell r="A131" t="str">
            <v>SNNPR</v>
          </cell>
          <cell r="B131">
            <v>1</v>
          </cell>
        </row>
        <row r="132">
          <cell r="A132" t="str">
            <v>Tigray</v>
          </cell>
          <cell r="B132">
            <v>1</v>
          </cell>
        </row>
        <row r="141">
          <cell r="A141" t="str">
            <v>AddisAbaba</v>
          </cell>
          <cell r="B141">
            <v>15000</v>
          </cell>
        </row>
        <row r="142">
          <cell r="A142" t="str">
            <v>Afar</v>
          </cell>
          <cell r="B142">
            <v>15000</v>
          </cell>
        </row>
        <row r="143">
          <cell r="A143" t="str">
            <v>Amhara</v>
          </cell>
          <cell r="B143">
            <v>15000</v>
          </cell>
        </row>
        <row r="144">
          <cell r="A144" t="str">
            <v>Gumuz</v>
          </cell>
          <cell r="B144">
            <v>15000</v>
          </cell>
        </row>
        <row r="145">
          <cell r="A145" t="str">
            <v>DireDawa</v>
          </cell>
          <cell r="B145">
            <v>15000</v>
          </cell>
        </row>
        <row r="146">
          <cell r="A146" t="str">
            <v>Gambela</v>
          </cell>
          <cell r="B146">
            <v>15000</v>
          </cell>
        </row>
        <row r="147">
          <cell r="A147" t="str">
            <v>Harari</v>
          </cell>
          <cell r="B147">
            <v>15000</v>
          </cell>
        </row>
        <row r="148">
          <cell r="A148" t="str">
            <v>Oromia</v>
          </cell>
          <cell r="B148">
            <v>15000</v>
          </cell>
        </row>
        <row r="149">
          <cell r="A149" t="str">
            <v>Somali</v>
          </cell>
          <cell r="B149">
            <v>15000</v>
          </cell>
        </row>
        <row r="150">
          <cell r="A150" t="str">
            <v>SNNPR</v>
          </cell>
          <cell r="B150">
            <v>15000</v>
          </cell>
        </row>
        <row r="151">
          <cell r="A151" t="str">
            <v>Tigray</v>
          </cell>
          <cell r="B151">
            <v>15000</v>
          </cell>
        </row>
        <row r="161">
          <cell r="B161" t="str">
            <v>Teff</v>
          </cell>
          <cell r="C161" t="str">
            <v>Sorghum</v>
          </cell>
          <cell r="D161" t="str">
            <v>Maize</v>
          </cell>
          <cell r="E161" t="str">
            <v>Lentils</v>
          </cell>
          <cell r="F161" t="str">
            <v>Vegetables</v>
          </cell>
          <cell r="G161" t="str">
            <v>Coffee</v>
          </cell>
        </row>
        <row r="162">
          <cell r="A162" t="str">
            <v>AddisAbaba</v>
          </cell>
          <cell r="B162">
            <v>9000</v>
          </cell>
          <cell r="C162">
            <v>8000</v>
          </cell>
          <cell r="D162">
            <v>7000</v>
          </cell>
          <cell r="E162">
            <v>6000</v>
          </cell>
          <cell r="F162">
            <v>5000</v>
          </cell>
          <cell r="G162">
            <v>4000</v>
          </cell>
        </row>
        <row r="163">
          <cell r="A163" t="str">
            <v>Afar</v>
          </cell>
          <cell r="B163">
            <v>9000</v>
          </cell>
          <cell r="C163">
            <v>8000</v>
          </cell>
          <cell r="D163">
            <v>7000</v>
          </cell>
          <cell r="E163">
            <v>6000</v>
          </cell>
          <cell r="F163">
            <v>5000</v>
          </cell>
          <cell r="G163">
            <v>4000</v>
          </cell>
        </row>
        <row r="164">
          <cell r="A164" t="str">
            <v>Amhara</v>
          </cell>
          <cell r="B164">
            <v>9000</v>
          </cell>
          <cell r="C164">
            <v>8000</v>
          </cell>
          <cell r="D164">
            <v>7000</v>
          </cell>
          <cell r="E164">
            <v>6000</v>
          </cell>
          <cell r="F164">
            <v>5000</v>
          </cell>
          <cell r="G164">
            <v>4000</v>
          </cell>
        </row>
        <row r="165">
          <cell r="A165" t="str">
            <v>Gumuz</v>
          </cell>
          <cell r="B165">
            <v>9000</v>
          </cell>
          <cell r="C165">
            <v>8000</v>
          </cell>
          <cell r="D165">
            <v>7000</v>
          </cell>
          <cell r="E165">
            <v>6000</v>
          </cell>
          <cell r="F165">
            <v>5000</v>
          </cell>
          <cell r="G165">
            <v>4000</v>
          </cell>
        </row>
        <row r="166">
          <cell r="A166" t="str">
            <v>DireDawa</v>
          </cell>
          <cell r="B166">
            <v>9000</v>
          </cell>
          <cell r="C166">
            <v>8000</v>
          </cell>
          <cell r="D166">
            <v>7000</v>
          </cell>
          <cell r="E166">
            <v>6000</v>
          </cell>
          <cell r="F166">
            <v>5000</v>
          </cell>
          <cell r="G166">
            <v>4000</v>
          </cell>
        </row>
        <row r="167">
          <cell r="A167" t="str">
            <v>Gambela</v>
          </cell>
          <cell r="B167">
            <v>9000</v>
          </cell>
          <cell r="C167">
            <v>8000</v>
          </cell>
          <cell r="D167">
            <v>7000</v>
          </cell>
          <cell r="E167">
            <v>6000</v>
          </cell>
          <cell r="F167">
            <v>5000</v>
          </cell>
          <cell r="G167">
            <v>4000</v>
          </cell>
        </row>
        <row r="168">
          <cell r="A168" t="str">
            <v>Harari</v>
          </cell>
          <cell r="B168">
            <v>9000</v>
          </cell>
          <cell r="C168">
            <v>8000</v>
          </cell>
          <cell r="D168">
            <v>7000</v>
          </cell>
          <cell r="E168">
            <v>6000</v>
          </cell>
          <cell r="F168">
            <v>5000</v>
          </cell>
          <cell r="G168">
            <v>4000</v>
          </cell>
        </row>
        <row r="169">
          <cell r="A169" t="str">
            <v>Oromia</v>
          </cell>
          <cell r="B169">
            <v>9000</v>
          </cell>
          <cell r="C169">
            <v>8000</v>
          </cell>
          <cell r="D169">
            <v>7000</v>
          </cell>
          <cell r="E169">
            <v>6000</v>
          </cell>
          <cell r="F169">
            <v>5000</v>
          </cell>
          <cell r="G169">
            <v>4000</v>
          </cell>
        </row>
        <row r="170">
          <cell r="A170" t="str">
            <v>Somali</v>
          </cell>
          <cell r="B170">
            <v>9000</v>
          </cell>
          <cell r="C170">
            <v>8000</v>
          </cell>
          <cell r="D170">
            <v>7000</v>
          </cell>
          <cell r="E170">
            <v>6000</v>
          </cell>
          <cell r="F170">
            <v>5000</v>
          </cell>
          <cell r="G170">
            <v>4000</v>
          </cell>
        </row>
        <row r="171">
          <cell r="A171" t="str">
            <v>SNNPR</v>
          </cell>
          <cell r="B171">
            <v>9000</v>
          </cell>
          <cell r="C171">
            <v>8000</v>
          </cell>
          <cell r="D171">
            <v>7000</v>
          </cell>
          <cell r="E171">
            <v>6000</v>
          </cell>
          <cell r="F171">
            <v>5000</v>
          </cell>
          <cell r="G171">
            <v>4000</v>
          </cell>
        </row>
        <row r="172">
          <cell r="A172" t="str">
            <v>Tigray</v>
          </cell>
          <cell r="B172">
            <v>9000</v>
          </cell>
          <cell r="C172">
            <v>8000</v>
          </cell>
          <cell r="D172">
            <v>7000</v>
          </cell>
          <cell r="E172">
            <v>6000</v>
          </cell>
          <cell r="F172">
            <v>5000</v>
          </cell>
          <cell r="G172">
            <v>4000</v>
          </cell>
        </row>
      </sheetData>
      <sheetData sheetId="7">
        <row r="1">
          <cell r="C1">
            <v>2015</v>
          </cell>
          <cell r="D1">
            <v>2015</v>
          </cell>
        </row>
        <row r="2">
          <cell r="C2" t="str">
            <v>Belg</v>
          </cell>
          <cell r="D2" t="str">
            <v>Kremt</v>
          </cell>
        </row>
        <row r="3">
          <cell r="A3" t="str">
            <v>Teff</v>
          </cell>
          <cell r="B3" t="str">
            <v>AddisAbaba</v>
          </cell>
          <cell r="C3">
            <v>0.27983921023035374</v>
          </cell>
          <cell r="D3">
            <v>0.21088715006680592</v>
          </cell>
        </row>
        <row r="4">
          <cell r="A4" t="str">
            <v>Teff</v>
          </cell>
          <cell r="B4" t="str">
            <v>Afar</v>
          </cell>
          <cell r="C4">
            <v>0.29547990122935464</v>
          </cell>
          <cell r="D4">
            <v>0.28267887739770992</v>
          </cell>
        </row>
        <row r="5">
          <cell r="A5" t="str">
            <v>Teff</v>
          </cell>
          <cell r="B5" t="str">
            <v>Amhara</v>
          </cell>
          <cell r="C5">
            <v>0.26595833839374533</v>
          </cell>
          <cell r="D5">
            <v>0.20792618018961809</v>
          </cell>
        </row>
        <row r="6">
          <cell r="A6" t="str">
            <v>Teff</v>
          </cell>
          <cell r="B6" t="str">
            <v>Gumuz</v>
          </cell>
          <cell r="C6">
            <v>0.28876889881715734</v>
          </cell>
          <cell r="D6">
            <v>0.22803076135071865</v>
          </cell>
        </row>
        <row r="7">
          <cell r="A7" t="str">
            <v>Teff</v>
          </cell>
          <cell r="B7" t="str">
            <v>DireDawa</v>
          </cell>
          <cell r="C7">
            <v>0.29666102552045781</v>
          </cell>
          <cell r="D7">
            <v>0.21363420996247665</v>
          </cell>
        </row>
        <row r="8">
          <cell r="A8" t="str">
            <v>Teff</v>
          </cell>
          <cell r="B8" t="str">
            <v>Gambela</v>
          </cell>
          <cell r="C8">
            <v>0.29518133480188341</v>
          </cell>
          <cell r="D8">
            <v>0.23341357425564585</v>
          </cell>
        </row>
        <row r="9">
          <cell r="A9" t="str">
            <v>Teff</v>
          </cell>
          <cell r="B9" t="str">
            <v>Harari</v>
          </cell>
          <cell r="C9">
            <v>0.24410595355637357</v>
          </cell>
          <cell r="D9">
            <v>0.27397996449597783</v>
          </cell>
        </row>
        <row r="10">
          <cell r="A10" t="str">
            <v>Teff</v>
          </cell>
          <cell r="B10" t="str">
            <v>Oromia</v>
          </cell>
          <cell r="C10">
            <v>0.28525870023767624</v>
          </cell>
          <cell r="D10">
            <v>0.23478281378968652</v>
          </cell>
        </row>
        <row r="11">
          <cell r="A11" t="str">
            <v>Teff</v>
          </cell>
          <cell r="B11" t="str">
            <v>Somali</v>
          </cell>
          <cell r="C11">
            <v>0.2730818450595891</v>
          </cell>
          <cell r="D11">
            <v>0.28248236454394582</v>
          </cell>
        </row>
        <row r="12">
          <cell r="A12" t="str">
            <v>Teff</v>
          </cell>
          <cell r="B12" t="str">
            <v>SNNPR</v>
          </cell>
          <cell r="C12">
            <v>0.23669843790760126</v>
          </cell>
          <cell r="D12">
            <v>0.2374274267231086</v>
          </cell>
        </row>
        <row r="13">
          <cell r="A13" t="str">
            <v>Teff</v>
          </cell>
          <cell r="B13" t="str">
            <v>Tigray</v>
          </cell>
          <cell r="C13">
            <v>0.2218813766350603</v>
          </cell>
          <cell r="D13">
            <v>0.20738153436481546</v>
          </cell>
        </row>
        <row r="14">
          <cell r="A14" t="str">
            <v>Sorghum</v>
          </cell>
          <cell r="B14" t="str">
            <v>AddisAbaba</v>
          </cell>
          <cell r="C14">
            <v>0.24682010529767659</v>
          </cell>
          <cell r="D14">
            <v>0.25324752376355564</v>
          </cell>
        </row>
        <row r="15">
          <cell r="A15" t="str">
            <v>Sorghum</v>
          </cell>
          <cell r="B15" t="str">
            <v>Afar</v>
          </cell>
          <cell r="C15">
            <v>0.21291329865054384</v>
          </cell>
          <cell r="D15">
            <v>0.24879343445186233</v>
          </cell>
        </row>
        <row r="16">
          <cell r="A16" t="str">
            <v>Sorghum</v>
          </cell>
          <cell r="B16" t="str">
            <v>Amhara</v>
          </cell>
          <cell r="C16">
            <v>0.20810131925750625</v>
          </cell>
          <cell r="D16">
            <v>0.20214271588697247</v>
          </cell>
        </row>
        <row r="17">
          <cell r="A17" t="str">
            <v>Sorghum</v>
          </cell>
          <cell r="B17" t="str">
            <v>Gumuz</v>
          </cell>
          <cell r="C17">
            <v>0.29987601849409551</v>
          </cell>
          <cell r="D17">
            <v>0.22992016189005315</v>
          </cell>
        </row>
        <row r="18">
          <cell r="A18" t="str">
            <v>Sorghum</v>
          </cell>
          <cell r="B18" t="str">
            <v>DireDawa</v>
          </cell>
          <cell r="C18">
            <v>0.29797574163892365</v>
          </cell>
          <cell r="D18">
            <v>0.25348699005420045</v>
          </cell>
        </row>
        <row r="19">
          <cell r="A19" t="str">
            <v>Sorghum</v>
          </cell>
          <cell r="B19" t="str">
            <v>Gambela</v>
          </cell>
          <cell r="C19">
            <v>0.22030802055711968</v>
          </cell>
          <cell r="D19">
            <v>0.2178298708138387</v>
          </cell>
        </row>
        <row r="20">
          <cell r="A20" t="str">
            <v>Sorghum</v>
          </cell>
          <cell r="B20" t="str">
            <v>Harari</v>
          </cell>
          <cell r="C20">
            <v>0.20627064206563103</v>
          </cell>
          <cell r="D20">
            <v>0.2585430264026819</v>
          </cell>
        </row>
        <row r="21">
          <cell r="A21" t="str">
            <v>Sorghum</v>
          </cell>
          <cell r="B21" t="str">
            <v>Oromia</v>
          </cell>
          <cell r="C21">
            <v>0.27833039644717938</v>
          </cell>
          <cell r="D21">
            <v>0.2736091966333572</v>
          </cell>
        </row>
        <row r="22">
          <cell r="A22" t="str">
            <v>Sorghum</v>
          </cell>
          <cell r="B22" t="str">
            <v>Somali</v>
          </cell>
          <cell r="C22">
            <v>0.22478312522791594</v>
          </cell>
          <cell r="D22">
            <v>0.22640617493134163</v>
          </cell>
        </row>
        <row r="23">
          <cell r="A23" t="str">
            <v>Sorghum</v>
          </cell>
          <cell r="B23" t="str">
            <v>SNNPR</v>
          </cell>
          <cell r="C23">
            <v>0.20449442890721348</v>
          </cell>
          <cell r="D23">
            <v>0.27457459445904969</v>
          </cell>
        </row>
        <row r="24">
          <cell r="A24" t="str">
            <v>Sorghum</v>
          </cell>
          <cell r="B24" t="str">
            <v>Tigray</v>
          </cell>
          <cell r="C24">
            <v>0.25360089019790738</v>
          </cell>
          <cell r="D24">
            <v>0.20730275052644095</v>
          </cell>
        </row>
        <row r="25">
          <cell r="A25" t="str">
            <v>Maize</v>
          </cell>
          <cell r="B25" t="str">
            <v>AddisAbaba</v>
          </cell>
          <cell r="C25">
            <v>0.24034526581018076</v>
          </cell>
          <cell r="D25">
            <v>0.27145291579675895</v>
          </cell>
        </row>
        <row r="26">
          <cell r="A26" t="str">
            <v>Maize</v>
          </cell>
          <cell r="B26" t="str">
            <v>Afar</v>
          </cell>
          <cell r="C26">
            <v>0.2588875009387665</v>
          </cell>
          <cell r="D26">
            <v>0.29430063647492261</v>
          </cell>
        </row>
        <row r="27">
          <cell r="A27" t="str">
            <v>Maize</v>
          </cell>
          <cell r="B27" t="str">
            <v>Amhara</v>
          </cell>
          <cell r="C27">
            <v>0.27626860072196963</v>
          </cell>
          <cell r="D27">
            <v>0.25732346923928506</v>
          </cell>
        </row>
        <row r="28">
          <cell r="A28" t="str">
            <v>Maize</v>
          </cell>
          <cell r="B28" t="str">
            <v>Gumuz</v>
          </cell>
          <cell r="C28">
            <v>0.29670120518033294</v>
          </cell>
          <cell r="D28">
            <v>0.26083833748380647</v>
          </cell>
        </row>
        <row r="29">
          <cell r="A29" t="str">
            <v>Maize</v>
          </cell>
          <cell r="B29" t="str">
            <v>DireDawa</v>
          </cell>
          <cell r="C29">
            <v>0.21293238474339685</v>
          </cell>
          <cell r="D29">
            <v>0.29625942550553841</v>
          </cell>
        </row>
        <row r="30">
          <cell r="A30" t="str">
            <v>Maize</v>
          </cell>
          <cell r="B30" t="str">
            <v>Gambela</v>
          </cell>
          <cell r="C30">
            <v>0.25821034552441435</v>
          </cell>
          <cell r="D30">
            <v>0.27725173884145166</v>
          </cell>
        </row>
        <row r="31">
          <cell r="A31" t="str">
            <v>Maize</v>
          </cell>
          <cell r="B31" t="str">
            <v>Harari</v>
          </cell>
          <cell r="C31">
            <v>0.24042720370940965</v>
          </cell>
          <cell r="D31">
            <v>0.22381909561348456</v>
          </cell>
        </row>
        <row r="32">
          <cell r="A32" t="str">
            <v>Maize</v>
          </cell>
          <cell r="B32" t="str">
            <v>Oromia</v>
          </cell>
          <cell r="C32">
            <v>0.26327092669541252</v>
          </cell>
          <cell r="D32">
            <v>0.20336095135389148</v>
          </cell>
        </row>
        <row r="33">
          <cell r="A33" t="str">
            <v>Maize</v>
          </cell>
          <cell r="B33" t="str">
            <v>Somali</v>
          </cell>
          <cell r="C33">
            <v>0.2338112714792534</v>
          </cell>
          <cell r="D33">
            <v>0.20083285414069368</v>
          </cell>
        </row>
        <row r="34">
          <cell r="A34" t="str">
            <v>Maize</v>
          </cell>
          <cell r="B34" t="str">
            <v>SNNPR</v>
          </cell>
          <cell r="C34">
            <v>0.23555782956892221</v>
          </cell>
          <cell r="D34">
            <v>0.28069380078599887</v>
          </cell>
        </row>
        <row r="35">
          <cell r="A35" t="str">
            <v>Maize</v>
          </cell>
          <cell r="B35" t="str">
            <v>Tigray</v>
          </cell>
          <cell r="C35">
            <v>0.28580543156936206</v>
          </cell>
          <cell r="D35">
            <v>0.23340731686975452</v>
          </cell>
        </row>
        <row r="36">
          <cell r="A36" t="str">
            <v>Lentils</v>
          </cell>
          <cell r="B36" t="str">
            <v>AddisAbaba</v>
          </cell>
          <cell r="C36">
            <v>0.26879742509177801</v>
          </cell>
          <cell r="D36">
            <v>0.26927196466842318</v>
          </cell>
        </row>
        <row r="37">
          <cell r="A37" t="str">
            <v>Lentils</v>
          </cell>
          <cell r="B37" t="str">
            <v>Afar</v>
          </cell>
          <cell r="C37">
            <v>0.20853494662907804</v>
          </cell>
          <cell r="D37">
            <v>0.27199161285638768</v>
          </cell>
        </row>
        <row r="38">
          <cell r="A38" t="str">
            <v>Lentils</v>
          </cell>
          <cell r="B38" t="str">
            <v>Amhara</v>
          </cell>
          <cell r="C38">
            <v>0.23970018599700174</v>
          </cell>
          <cell r="D38">
            <v>0.22912687204412965</v>
          </cell>
        </row>
        <row r="39">
          <cell r="A39" t="str">
            <v>Lentils</v>
          </cell>
          <cell r="B39" t="str">
            <v>Gumuz</v>
          </cell>
          <cell r="C39">
            <v>0.22598480750949523</v>
          </cell>
          <cell r="D39">
            <v>0.26246831007848898</v>
          </cell>
        </row>
        <row r="40">
          <cell r="A40" t="str">
            <v>Lentils</v>
          </cell>
          <cell r="B40" t="str">
            <v>DireDawa</v>
          </cell>
          <cell r="C40">
            <v>0.28185797944869434</v>
          </cell>
          <cell r="D40">
            <v>0.27309798905120941</v>
          </cell>
        </row>
        <row r="41">
          <cell r="A41" t="str">
            <v>Lentils</v>
          </cell>
          <cell r="B41" t="str">
            <v>Gambela</v>
          </cell>
          <cell r="C41">
            <v>0.24115087968393684</v>
          </cell>
          <cell r="D41">
            <v>0.23762413893574966</v>
          </cell>
        </row>
        <row r="42">
          <cell r="A42" t="str">
            <v>Lentils</v>
          </cell>
          <cell r="B42" t="str">
            <v>Harari</v>
          </cell>
          <cell r="C42">
            <v>0.20782866519725748</v>
          </cell>
          <cell r="D42">
            <v>0.24677077900988395</v>
          </cell>
        </row>
        <row r="43">
          <cell r="A43" t="str">
            <v>Lentils</v>
          </cell>
          <cell r="B43" t="str">
            <v>Oromia</v>
          </cell>
          <cell r="C43">
            <v>0.28611865147235549</v>
          </cell>
          <cell r="D43">
            <v>0.23919035174761016</v>
          </cell>
        </row>
        <row r="44">
          <cell r="A44" t="str">
            <v>Lentils</v>
          </cell>
          <cell r="B44" t="str">
            <v>Somali</v>
          </cell>
          <cell r="C44">
            <v>0.26010796110726753</v>
          </cell>
          <cell r="D44">
            <v>0.28140391184211705</v>
          </cell>
        </row>
        <row r="45">
          <cell r="A45" t="str">
            <v>Lentils</v>
          </cell>
          <cell r="B45" t="str">
            <v>SNNPR</v>
          </cell>
          <cell r="C45">
            <v>0.23860382258224699</v>
          </cell>
          <cell r="D45">
            <v>0.20317841827094277</v>
          </cell>
        </row>
        <row r="46">
          <cell r="A46" t="str">
            <v>Lentils</v>
          </cell>
          <cell r="B46" t="str">
            <v>Tigray</v>
          </cell>
          <cell r="C46">
            <v>0.24885342135479915</v>
          </cell>
          <cell r="D46">
            <v>0.26345724870350773</v>
          </cell>
        </row>
        <row r="47">
          <cell r="A47" t="str">
            <v>Vegetables</v>
          </cell>
          <cell r="B47" t="str">
            <v>AddisAbaba</v>
          </cell>
          <cell r="C47">
            <v>0.23407606476282675</v>
          </cell>
          <cell r="D47">
            <v>0.22970819687332966</v>
          </cell>
        </row>
        <row r="48">
          <cell r="A48" t="str">
            <v>Vegetables</v>
          </cell>
          <cell r="B48" t="str">
            <v>Afar</v>
          </cell>
          <cell r="C48">
            <v>0.20407868074341595</v>
          </cell>
          <cell r="D48">
            <v>0.24832104338135721</v>
          </cell>
        </row>
        <row r="49">
          <cell r="A49" t="str">
            <v>Vegetables</v>
          </cell>
          <cell r="B49" t="str">
            <v>Amhara</v>
          </cell>
          <cell r="C49">
            <v>0.29181060952024951</v>
          </cell>
          <cell r="D49">
            <v>0.2148216191162782</v>
          </cell>
        </row>
        <row r="50">
          <cell r="A50" t="str">
            <v>Vegetables</v>
          </cell>
          <cell r="B50" t="str">
            <v>Gumuz</v>
          </cell>
          <cell r="C50">
            <v>0.20240081538668286</v>
          </cell>
          <cell r="D50">
            <v>0.2632237171278114</v>
          </cell>
        </row>
        <row r="51">
          <cell r="A51" t="str">
            <v>Vegetables</v>
          </cell>
          <cell r="B51" t="str">
            <v>DireDawa</v>
          </cell>
          <cell r="C51">
            <v>0.24563953998486376</v>
          </cell>
          <cell r="D51">
            <v>0.21371434316282514</v>
          </cell>
        </row>
        <row r="52">
          <cell r="A52" t="str">
            <v>Vegetables</v>
          </cell>
          <cell r="B52" t="str">
            <v>Gambela</v>
          </cell>
          <cell r="C52">
            <v>0.27217510396370537</v>
          </cell>
          <cell r="D52">
            <v>0.25654138785695929</v>
          </cell>
        </row>
        <row r="53">
          <cell r="A53" t="str">
            <v>Vegetables</v>
          </cell>
          <cell r="B53" t="str">
            <v>Harari</v>
          </cell>
          <cell r="C53">
            <v>0.24754358924936967</v>
          </cell>
          <cell r="D53">
            <v>0.28351435281424686</v>
          </cell>
        </row>
        <row r="54">
          <cell r="A54" t="str">
            <v>Vegetables</v>
          </cell>
          <cell r="B54" t="str">
            <v>Oromia</v>
          </cell>
          <cell r="C54">
            <v>0.2967377763320912</v>
          </cell>
          <cell r="D54">
            <v>0.25895728084295616</v>
          </cell>
        </row>
        <row r="55">
          <cell r="A55" t="str">
            <v>Vegetables</v>
          </cell>
          <cell r="B55" t="str">
            <v>Somali</v>
          </cell>
          <cell r="C55">
            <v>0.29557535441705185</v>
          </cell>
          <cell r="D55">
            <v>0.23156388415743784</v>
          </cell>
        </row>
        <row r="56">
          <cell r="A56" t="str">
            <v>Vegetables</v>
          </cell>
          <cell r="B56" t="str">
            <v>SNNPR</v>
          </cell>
          <cell r="C56">
            <v>0.28814472164469013</v>
          </cell>
          <cell r="D56">
            <v>0.24237278742531451</v>
          </cell>
        </row>
        <row r="57">
          <cell r="A57" t="str">
            <v>Vegetables</v>
          </cell>
          <cell r="B57" t="str">
            <v>Tigray</v>
          </cell>
          <cell r="C57">
            <v>0.22893168583844384</v>
          </cell>
          <cell r="D57">
            <v>0.21131422522191592</v>
          </cell>
        </row>
        <row r="58">
          <cell r="A58" t="str">
            <v>Coffee</v>
          </cell>
          <cell r="B58" t="str">
            <v>AddisAbaba</v>
          </cell>
          <cell r="C58">
            <v>0.29243481444902469</v>
          </cell>
          <cell r="D58">
            <v>0.27125008625091251</v>
          </cell>
        </row>
        <row r="59">
          <cell r="A59" t="str">
            <v>Coffee</v>
          </cell>
          <cell r="B59" t="str">
            <v>Afar</v>
          </cell>
          <cell r="C59">
            <v>0.25126318352827592</v>
          </cell>
          <cell r="D59">
            <v>0.2657668868460627</v>
          </cell>
        </row>
        <row r="60">
          <cell r="A60" t="str">
            <v>Coffee</v>
          </cell>
          <cell r="B60" t="str">
            <v>Amhara</v>
          </cell>
          <cell r="C60">
            <v>0.28244497373935068</v>
          </cell>
          <cell r="D60">
            <v>0.23026086773984841</v>
          </cell>
        </row>
        <row r="61">
          <cell r="A61" t="str">
            <v>Coffee</v>
          </cell>
          <cell r="B61" t="str">
            <v>Gumuz</v>
          </cell>
          <cell r="C61">
            <v>0.22917669653305564</v>
          </cell>
          <cell r="D61">
            <v>0.21674872618421026</v>
          </cell>
        </row>
        <row r="62">
          <cell r="A62" t="str">
            <v>Coffee</v>
          </cell>
          <cell r="B62" t="str">
            <v>DireDawa</v>
          </cell>
          <cell r="C62">
            <v>0.22990461255178227</v>
          </cell>
          <cell r="D62">
            <v>0.27600530902438764</v>
          </cell>
        </row>
        <row r="63">
          <cell r="A63" t="str">
            <v>Coffee</v>
          </cell>
          <cell r="B63" t="str">
            <v>Gambela</v>
          </cell>
          <cell r="C63">
            <v>0.25754106080619082</v>
          </cell>
          <cell r="D63">
            <v>0.20006396327003773</v>
          </cell>
        </row>
        <row r="64">
          <cell r="A64" t="str">
            <v>Coffee</v>
          </cell>
          <cell r="B64" t="str">
            <v>Harari</v>
          </cell>
          <cell r="C64">
            <v>0.27794575978434882</v>
          </cell>
          <cell r="D64">
            <v>0.24684742192983539</v>
          </cell>
        </row>
        <row r="65">
          <cell r="A65" t="str">
            <v>Coffee</v>
          </cell>
          <cell r="B65" t="str">
            <v>Oromia</v>
          </cell>
          <cell r="C65">
            <v>0.22145957095525751</v>
          </cell>
          <cell r="D65">
            <v>0.27039461429785894</v>
          </cell>
        </row>
        <row r="66">
          <cell r="A66" t="str">
            <v>Coffee</v>
          </cell>
          <cell r="B66" t="str">
            <v>Somali</v>
          </cell>
          <cell r="C66">
            <v>0.2799779563828762</v>
          </cell>
          <cell r="D66">
            <v>0.25742217504058862</v>
          </cell>
        </row>
        <row r="67">
          <cell r="A67" t="str">
            <v>Coffee</v>
          </cell>
          <cell r="B67" t="str">
            <v>SNNPR</v>
          </cell>
          <cell r="C67">
            <v>0.21499638154388978</v>
          </cell>
          <cell r="D67">
            <v>0.21144962587536154</v>
          </cell>
        </row>
        <row r="68">
          <cell r="A68" t="str">
            <v>Coffee</v>
          </cell>
          <cell r="B68" t="str">
            <v>Tigray</v>
          </cell>
          <cell r="C68">
            <v>0.25731851864264804</v>
          </cell>
          <cell r="D68">
            <v>0.28310414010810236</v>
          </cell>
        </row>
      </sheetData>
      <sheetData sheetId="8">
        <row r="1">
          <cell r="C1">
            <v>2015</v>
          </cell>
          <cell r="D1">
            <v>2015</v>
          </cell>
        </row>
        <row r="2">
          <cell r="C2" t="str">
            <v>Belg</v>
          </cell>
          <cell r="D2" t="str">
            <v>Kremt</v>
          </cell>
        </row>
        <row r="3">
          <cell r="A3" t="str">
            <v>Teff</v>
          </cell>
          <cell r="B3" t="str">
            <v>AddisAbaba</v>
          </cell>
          <cell r="C3">
            <v>21.518528896395832</v>
          </cell>
          <cell r="D3">
            <v>23.481445392096873</v>
          </cell>
        </row>
        <row r="4">
          <cell r="A4" t="str">
            <v>Teff</v>
          </cell>
          <cell r="B4" t="str">
            <v>Afar</v>
          </cell>
          <cell r="C4">
            <v>23.486871286207574</v>
          </cell>
          <cell r="D4">
            <v>21.182362661142058</v>
          </cell>
        </row>
        <row r="5">
          <cell r="A5" t="str">
            <v>Teff</v>
          </cell>
          <cell r="B5" t="str">
            <v>Amhara</v>
          </cell>
          <cell r="C5">
            <v>26.755687207793084</v>
          </cell>
          <cell r="D5">
            <v>29.429732017461653</v>
          </cell>
        </row>
        <row r="6">
          <cell r="A6" t="str">
            <v>Teff</v>
          </cell>
          <cell r="B6" t="str">
            <v>Gumuz</v>
          </cell>
          <cell r="C6">
            <v>24.566736314857422</v>
          </cell>
          <cell r="D6">
            <v>20.523738969055216</v>
          </cell>
        </row>
        <row r="7">
          <cell r="A7" t="str">
            <v>Teff</v>
          </cell>
          <cell r="B7" t="str">
            <v>DireDawa</v>
          </cell>
          <cell r="C7">
            <v>25.976399486260515</v>
          </cell>
          <cell r="D7">
            <v>20.946494833872052</v>
          </cell>
        </row>
        <row r="8">
          <cell r="A8" t="str">
            <v>Teff</v>
          </cell>
          <cell r="B8" t="str">
            <v>Gambela</v>
          </cell>
          <cell r="C8">
            <v>24.374851502023738</v>
          </cell>
          <cell r="D8">
            <v>24.681252045981982</v>
          </cell>
        </row>
        <row r="9">
          <cell r="A9" t="str">
            <v>Teff</v>
          </cell>
          <cell r="B9" t="str">
            <v>Harari</v>
          </cell>
          <cell r="C9">
            <v>26.297092903840014</v>
          </cell>
          <cell r="D9">
            <v>26.211679696841784</v>
          </cell>
        </row>
        <row r="10">
          <cell r="A10" t="str">
            <v>Teff</v>
          </cell>
          <cell r="B10" t="str">
            <v>Oromia</v>
          </cell>
          <cell r="C10">
            <v>28.771105845108796</v>
          </cell>
          <cell r="D10">
            <v>25.866751527893339</v>
          </cell>
        </row>
        <row r="11">
          <cell r="A11" t="str">
            <v>Teff</v>
          </cell>
          <cell r="B11" t="str">
            <v>Somali</v>
          </cell>
          <cell r="C11">
            <v>23.844305850768663</v>
          </cell>
          <cell r="D11">
            <v>20.225595994767474</v>
          </cell>
        </row>
        <row r="12">
          <cell r="A12" t="str">
            <v>Teff</v>
          </cell>
          <cell r="B12" t="str">
            <v>SNNPR</v>
          </cell>
          <cell r="C12">
            <v>20.553634445529738</v>
          </cell>
          <cell r="D12">
            <v>21.504896505177225</v>
          </cell>
        </row>
        <row r="13">
          <cell r="A13" t="str">
            <v>Teff</v>
          </cell>
          <cell r="B13" t="str">
            <v>Tigray</v>
          </cell>
          <cell r="C13">
            <v>28.112926717547808</v>
          </cell>
          <cell r="D13">
            <v>26.05171893166262</v>
          </cell>
        </row>
        <row r="14">
          <cell r="A14" t="str">
            <v>Sorghum</v>
          </cell>
          <cell r="B14" t="str">
            <v>AddisAbaba</v>
          </cell>
          <cell r="C14">
            <v>24.786631883330358</v>
          </cell>
          <cell r="D14">
            <v>21.732962727594654</v>
          </cell>
        </row>
        <row r="15">
          <cell r="A15" t="str">
            <v>Sorghum</v>
          </cell>
          <cell r="B15" t="str">
            <v>Afar</v>
          </cell>
          <cell r="C15">
            <v>21.067210956766274</v>
          </cell>
          <cell r="D15">
            <v>21.266779328974522</v>
          </cell>
        </row>
        <row r="16">
          <cell r="A16" t="str">
            <v>Sorghum</v>
          </cell>
          <cell r="B16" t="str">
            <v>Amhara</v>
          </cell>
          <cell r="C16">
            <v>26.094498087515341</v>
          </cell>
          <cell r="D16">
            <v>22.316291083196798</v>
          </cell>
        </row>
        <row r="17">
          <cell r="A17" t="str">
            <v>Sorghum</v>
          </cell>
          <cell r="B17" t="str">
            <v>Gumuz</v>
          </cell>
          <cell r="C17">
            <v>22.532181535020783</v>
          </cell>
          <cell r="D17">
            <v>29.423565958537406</v>
          </cell>
        </row>
        <row r="18">
          <cell r="A18" t="str">
            <v>Sorghum</v>
          </cell>
          <cell r="B18" t="str">
            <v>DireDawa</v>
          </cell>
          <cell r="C18">
            <v>29.537838487916378</v>
          </cell>
          <cell r="D18">
            <v>29.087834536212657</v>
          </cell>
        </row>
        <row r="19">
          <cell r="A19" t="str">
            <v>Sorghum</v>
          </cell>
          <cell r="B19" t="str">
            <v>Gambela</v>
          </cell>
          <cell r="C19">
            <v>27.302703551805934</v>
          </cell>
          <cell r="D19">
            <v>22.005970025874159</v>
          </cell>
        </row>
        <row r="20">
          <cell r="A20" t="str">
            <v>Sorghum</v>
          </cell>
          <cell r="B20" t="str">
            <v>Harari</v>
          </cell>
          <cell r="C20">
            <v>24.09052480740171</v>
          </cell>
          <cell r="D20">
            <v>27.080982850550416</v>
          </cell>
        </row>
        <row r="21">
          <cell r="A21" t="str">
            <v>Sorghum</v>
          </cell>
          <cell r="B21" t="str">
            <v>Oromia</v>
          </cell>
          <cell r="C21">
            <v>25.670834447344426</v>
          </cell>
          <cell r="D21">
            <v>22.604887009550133</v>
          </cell>
        </row>
        <row r="22">
          <cell r="A22" t="str">
            <v>Sorghum</v>
          </cell>
          <cell r="B22" t="str">
            <v>Somali</v>
          </cell>
          <cell r="C22">
            <v>27.902494148671813</v>
          </cell>
          <cell r="D22">
            <v>27.083770370626965</v>
          </cell>
        </row>
        <row r="23">
          <cell r="A23" t="str">
            <v>Sorghum</v>
          </cell>
          <cell r="B23" t="str">
            <v>SNNPR</v>
          </cell>
          <cell r="C23">
            <v>29.665886870503588</v>
          </cell>
          <cell r="D23">
            <v>23.388785738402078</v>
          </cell>
        </row>
        <row r="24">
          <cell r="A24" t="str">
            <v>Sorghum</v>
          </cell>
          <cell r="B24" t="str">
            <v>Tigray</v>
          </cell>
          <cell r="C24">
            <v>29.646679909470386</v>
          </cell>
          <cell r="D24">
            <v>26.933642872662478</v>
          </cell>
        </row>
        <row r="25">
          <cell r="A25" t="str">
            <v>Maize</v>
          </cell>
          <cell r="B25" t="str">
            <v>AddisAbaba</v>
          </cell>
          <cell r="C25">
            <v>28.710677431917432</v>
          </cell>
          <cell r="D25">
            <v>21.774767228774518</v>
          </cell>
        </row>
        <row r="26">
          <cell r="A26" t="str">
            <v>Maize</v>
          </cell>
          <cell r="B26" t="str">
            <v>Afar</v>
          </cell>
          <cell r="C26">
            <v>23.855995067609697</v>
          </cell>
          <cell r="D26">
            <v>27.255699878190775</v>
          </cell>
        </row>
        <row r="27">
          <cell r="A27" t="str">
            <v>Maize</v>
          </cell>
          <cell r="B27" t="str">
            <v>Amhara</v>
          </cell>
          <cell r="C27">
            <v>23.402312609489783</v>
          </cell>
          <cell r="D27">
            <v>23.639168165875624</v>
          </cell>
        </row>
        <row r="28">
          <cell r="A28" t="str">
            <v>Maize</v>
          </cell>
          <cell r="B28" t="str">
            <v>Gumuz</v>
          </cell>
          <cell r="C28">
            <v>22.891301522969375</v>
          </cell>
          <cell r="D28">
            <v>21.819797767415032</v>
          </cell>
        </row>
        <row r="29">
          <cell r="A29" t="str">
            <v>Maize</v>
          </cell>
          <cell r="B29" t="str">
            <v>DireDawa</v>
          </cell>
          <cell r="C29">
            <v>27.729859528303891</v>
          </cell>
          <cell r="D29">
            <v>24.72801585885729</v>
          </cell>
        </row>
        <row r="30">
          <cell r="A30" t="str">
            <v>Maize</v>
          </cell>
          <cell r="B30" t="str">
            <v>Gambela</v>
          </cell>
          <cell r="C30">
            <v>24.063242125705798</v>
          </cell>
          <cell r="D30">
            <v>26.357112541985284</v>
          </cell>
        </row>
        <row r="31">
          <cell r="A31" t="str">
            <v>Maize</v>
          </cell>
          <cell r="B31" t="str">
            <v>Harari</v>
          </cell>
          <cell r="C31">
            <v>24.480250356391338</v>
          </cell>
          <cell r="D31">
            <v>24.792106060201004</v>
          </cell>
        </row>
        <row r="32">
          <cell r="A32" t="str">
            <v>Maize</v>
          </cell>
          <cell r="B32" t="str">
            <v>Oromia</v>
          </cell>
          <cell r="C32">
            <v>23.227683839215668</v>
          </cell>
          <cell r="D32">
            <v>28.74109229185947</v>
          </cell>
        </row>
        <row r="33">
          <cell r="A33" t="str">
            <v>Maize</v>
          </cell>
          <cell r="B33" t="str">
            <v>Somali</v>
          </cell>
          <cell r="C33">
            <v>25.744841479962481</v>
          </cell>
          <cell r="D33">
            <v>23.547918668462643</v>
          </cell>
        </row>
        <row r="34">
          <cell r="A34" t="str">
            <v>Maize</v>
          </cell>
          <cell r="B34" t="str">
            <v>SNNPR</v>
          </cell>
          <cell r="C34">
            <v>27.387567510815359</v>
          </cell>
          <cell r="D34">
            <v>22.72058265959167</v>
          </cell>
        </row>
        <row r="35">
          <cell r="A35" t="str">
            <v>Maize</v>
          </cell>
          <cell r="B35" t="str">
            <v>Tigray</v>
          </cell>
          <cell r="C35">
            <v>26.29816146119412</v>
          </cell>
          <cell r="D35">
            <v>21.778503739797209</v>
          </cell>
        </row>
        <row r="36">
          <cell r="A36" t="str">
            <v>Lentils</v>
          </cell>
          <cell r="B36" t="str">
            <v>AddisAbaba</v>
          </cell>
          <cell r="C36">
            <v>29.824085480957685</v>
          </cell>
          <cell r="D36">
            <v>27.791368529862524</v>
          </cell>
        </row>
        <row r="37">
          <cell r="A37" t="str">
            <v>Lentils</v>
          </cell>
          <cell r="B37" t="str">
            <v>Afar</v>
          </cell>
          <cell r="C37">
            <v>21.08783122507602</v>
          </cell>
          <cell r="D37">
            <v>29.677271247813387</v>
          </cell>
        </row>
        <row r="38">
          <cell r="A38" t="str">
            <v>Lentils</v>
          </cell>
          <cell r="B38" t="str">
            <v>Amhara</v>
          </cell>
          <cell r="C38">
            <v>28.898714294931455</v>
          </cell>
          <cell r="D38">
            <v>23.47569286632714</v>
          </cell>
        </row>
        <row r="39">
          <cell r="A39" t="str">
            <v>Lentils</v>
          </cell>
          <cell r="B39" t="str">
            <v>Gumuz</v>
          </cell>
          <cell r="C39">
            <v>23.354687877025771</v>
          </cell>
          <cell r="D39">
            <v>23.507742705429802</v>
          </cell>
        </row>
        <row r="40">
          <cell r="A40" t="str">
            <v>Lentils</v>
          </cell>
          <cell r="B40" t="str">
            <v>DireDawa</v>
          </cell>
          <cell r="C40">
            <v>24.72726211576008</v>
          </cell>
          <cell r="D40">
            <v>23.900084707549183</v>
          </cell>
        </row>
        <row r="41">
          <cell r="A41" t="str">
            <v>Lentils</v>
          </cell>
          <cell r="B41" t="str">
            <v>Gambela</v>
          </cell>
          <cell r="C41">
            <v>27.730770155216018</v>
          </cell>
          <cell r="D41">
            <v>24.488441154469704</v>
          </cell>
        </row>
        <row r="42">
          <cell r="A42" t="str">
            <v>Lentils</v>
          </cell>
          <cell r="B42" t="str">
            <v>Harari</v>
          </cell>
          <cell r="C42">
            <v>22.972361938067674</v>
          </cell>
          <cell r="D42">
            <v>22.551820881154246</v>
          </cell>
        </row>
        <row r="43">
          <cell r="A43" t="str">
            <v>Lentils</v>
          </cell>
          <cell r="B43" t="str">
            <v>Oromia</v>
          </cell>
          <cell r="C43">
            <v>22.854834615077042</v>
          </cell>
          <cell r="D43">
            <v>20.247996910355877</v>
          </cell>
        </row>
        <row r="44">
          <cell r="A44" t="str">
            <v>Lentils</v>
          </cell>
          <cell r="B44" t="str">
            <v>Somali</v>
          </cell>
          <cell r="C44">
            <v>23.195472585589162</v>
          </cell>
          <cell r="D44">
            <v>20.727258506887853</v>
          </cell>
        </row>
        <row r="45">
          <cell r="A45" t="str">
            <v>Lentils</v>
          </cell>
          <cell r="B45" t="str">
            <v>SNNPR</v>
          </cell>
          <cell r="C45">
            <v>29.713378102387221</v>
          </cell>
          <cell r="D45">
            <v>27.639529994498101</v>
          </cell>
        </row>
        <row r="46">
          <cell r="A46" t="str">
            <v>Lentils</v>
          </cell>
          <cell r="B46" t="str">
            <v>Tigray</v>
          </cell>
          <cell r="C46">
            <v>27.818707687323773</v>
          </cell>
          <cell r="D46">
            <v>23.29764474464341</v>
          </cell>
        </row>
        <row r="47">
          <cell r="A47" t="str">
            <v>Vegetables</v>
          </cell>
          <cell r="B47" t="str">
            <v>AddisAbaba</v>
          </cell>
          <cell r="C47">
            <v>29.475268678838518</v>
          </cell>
          <cell r="D47">
            <v>24.780566274669845</v>
          </cell>
        </row>
        <row r="48">
          <cell r="A48" t="str">
            <v>Vegetables</v>
          </cell>
          <cell r="B48" t="str">
            <v>Afar</v>
          </cell>
          <cell r="C48">
            <v>21.612639329413536</v>
          </cell>
          <cell r="D48">
            <v>26.178717864462524</v>
          </cell>
        </row>
        <row r="49">
          <cell r="A49" t="str">
            <v>Vegetables</v>
          </cell>
          <cell r="B49" t="str">
            <v>Amhara</v>
          </cell>
          <cell r="C49">
            <v>29.647896319884705</v>
          </cell>
          <cell r="D49">
            <v>23.634230601132696</v>
          </cell>
        </row>
        <row r="50">
          <cell r="A50" t="str">
            <v>Vegetables</v>
          </cell>
          <cell r="B50" t="str">
            <v>Gumuz</v>
          </cell>
          <cell r="C50">
            <v>21.178985117898716</v>
          </cell>
          <cell r="D50">
            <v>24.729514915769947</v>
          </cell>
        </row>
        <row r="51">
          <cell r="A51" t="str">
            <v>Vegetables</v>
          </cell>
          <cell r="B51" t="str">
            <v>DireDawa</v>
          </cell>
          <cell r="C51">
            <v>23.432336624688642</v>
          </cell>
          <cell r="D51">
            <v>28.94582497457251</v>
          </cell>
        </row>
        <row r="52">
          <cell r="A52" t="str">
            <v>Vegetables</v>
          </cell>
          <cell r="B52" t="str">
            <v>Gambela</v>
          </cell>
          <cell r="C52">
            <v>25.450790406828698</v>
          </cell>
          <cell r="D52">
            <v>29.31992675735453</v>
          </cell>
        </row>
        <row r="53">
          <cell r="A53" t="str">
            <v>Vegetables</v>
          </cell>
          <cell r="B53" t="str">
            <v>Harari</v>
          </cell>
          <cell r="C53">
            <v>23.010509366365081</v>
          </cell>
          <cell r="D53">
            <v>28.338323722304914</v>
          </cell>
        </row>
        <row r="54">
          <cell r="A54" t="str">
            <v>Vegetables</v>
          </cell>
          <cell r="B54" t="str">
            <v>Oromia</v>
          </cell>
          <cell r="C54">
            <v>25.484584530234937</v>
          </cell>
          <cell r="D54">
            <v>27.010116229628256</v>
          </cell>
        </row>
        <row r="55">
          <cell r="A55" t="str">
            <v>Vegetables</v>
          </cell>
          <cell r="B55" t="str">
            <v>Somali</v>
          </cell>
          <cell r="C55">
            <v>21.985121399859242</v>
          </cell>
          <cell r="D55">
            <v>20.258393651515455</v>
          </cell>
        </row>
        <row r="56">
          <cell r="A56" t="str">
            <v>Vegetables</v>
          </cell>
          <cell r="B56" t="str">
            <v>SNNPR</v>
          </cell>
          <cell r="C56">
            <v>28.497040661890765</v>
          </cell>
          <cell r="D56">
            <v>25.83480206134746</v>
          </cell>
        </row>
        <row r="57">
          <cell r="A57" t="str">
            <v>Vegetables</v>
          </cell>
          <cell r="B57" t="str">
            <v>Tigray</v>
          </cell>
          <cell r="C57">
            <v>27.629750813716715</v>
          </cell>
          <cell r="D57">
            <v>20.465061161251874</v>
          </cell>
        </row>
        <row r="58">
          <cell r="A58" t="str">
            <v>Coffee</v>
          </cell>
          <cell r="B58" t="str">
            <v>AddisAbaba</v>
          </cell>
          <cell r="C58">
            <v>26.509815253324319</v>
          </cell>
          <cell r="D58">
            <v>22.026430815099907</v>
          </cell>
        </row>
        <row r="59">
          <cell r="A59" t="str">
            <v>Coffee</v>
          </cell>
          <cell r="B59" t="str">
            <v>Afar</v>
          </cell>
          <cell r="C59">
            <v>29.931326236255838</v>
          </cell>
          <cell r="D59">
            <v>28.792890600001229</v>
          </cell>
        </row>
        <row r="60">
          <cell r="A60" t="str">
            <v>Coffee</v>
          </cell>
          <cell r="B60" t="str">
            <v>Amhara</v>
          </cell>
          <cell r="C60">
            <v>29.651925044201977</v>
          </cell>
          <cell r="D60">
            <v>25.691762893810516</v>
          </cell>
        </row>
        <row r="61">
          <cell r="A61" t="str">
            <v>Coffee</v>
          </cell>
          <cell r="B61" t="str">
            <v>Gumuz</v>
          </cell>
          <cell r="C61">
            <v>23.667421902545698</v>
          </cell>
          <cell r="D61">
            <v>28.43011867509772</v>
          </cell>
        </row>
        <row r="62">
          <cell r="A62" t="str">
            <v>Coffee</v>
          </cell>
          <cell r="B62" t="str">
            <v>DireDawa</v>
          </cell>
          <cell r="C62">
            <v>21.627863015316535</v>
          </cell>
          <cell r="D62">
            <v>25.779352975944132</v>
          </cell>
        </row>
        <row r="63">
          <cell r="A63" t="str">
            <v>Coffee</v>
          </cell>
          <cell r="B63" t="str">
            <v>Gambela</v>
          </cell>
          <cell r="C63">
            <v>20.870702034132645</v>
          </cell>
          <cell r="D63">
            <v>23.976060222536933</v>
          </cell>
        </row>
        <row r="64">
          <cell r="A64" t="str">
            <v>Coffee</v>
          </cell>
          <cell r="B64" t="str">
            <v>Harari</v>
          </cell>
          <cell r="C64">
            <v>22.304670334022138</v>
          </cell>
          <cell r="D64">
            <v>29.248930806449124</v>
          </cell>
        </row>
        <row r="65">
          <cell r="A65" t="str">
            <v>Coffee</v>
          </cell>
          <cell r="B65" t="str">
            <v>Oromia</v>
          </cell>
          <cell r="C65">
            <v>25.46977094475028</v>
          </cell>
          <cell r="D65">
            <v>21.04474717515043</v>
          </cell>
        </row>
        <row r="66">
          <cell r="A66" t="str">
            <v>Coffee</v>
          </cell>
          <cell r="B66" t="str">
            <v>Somali</v>
          </cell>
          <cell r="C66">
            <v>23.012849356498361</v>
          </cell>
          <cell r="D66">
            <v>21.770016075020092</v>
          </cell>
        </row>
        <row r="67">
          <cell r="A67" t="str">
            <v>Coffee</v>
          </cell>
          <cell r="B67" t="str">
            <v>SNNPR</v>
          </cell>
          <cell r="C67">
            <v>26.861775134698224</v>
          </cell>
          <cell r="D67">
            <v>23.024564356264118</v>
          </cell>
        </row>
        <row r="68">
          <cell r="A68" t="str">
            <v>Coffee</v>
          </cell>
          <cell r="B68" t="str">
            <v>Tigray</v>
          </cell>
          <cell r="C68">
            <v>25.6551311447339</v>
          </cell>
          <cell r="D68">
            <v>26.475225058827412</v>
          </cell>
        </row>
      </sheetData>
      <sheetData sheetId="9">
        <row r="1">
          <cell r="C1">
            <v>2015</v>
          </cell>
          <cell r="D1">
            <v>2015</v>
          </cell>
        </row>
        <row r="2">
          <cell r="C2" t="str">
            <v>Belg</v>
          </cell>
          <cell r="D2" t="str">
            <v>Kremt</v>
          </cell>
        </row>
        <row r="3">
          <cell r="A3" t="str">
            <v>Teff</v>
          </cell>
          <cell r="B3" t="str">
            <v>AddisAbaba</v>
          </cell>
          <cell r="C3">
            <v>2556.3873994205383</v>
          </cell>
          <cell r="D3">
            <v>2617.5129969848067</v>
          </cell>
        </row>
        <row r="4">
          <cell r="A4" t="str">
            <v>Teff</v>
          </cell>
          <cell r="B4" t="str">
            <v>Afar</v>
          </cell>
          <cell r="C4">
            <v>2375.9053085783198</v>
          </cell>
          <cell r="D4">
            <v>2145.6138076782354</v>
          </cell>
        </row>
        <row r="5">
          <cell r="A5" t="str">
            <v>Teff</v>
          </cell>
          <cell r="B5" t="str">
            <v>Amhara</v>
          </cell>
          <cell r="C5">
            <v>2037.2826963939685</v>
          </cell>
          <cell r="D5">
            <v>2074.154368338463</v>
          </cell>
        </row>
        <row r="6">
          <cell r="A6" t="str">
            <v>Teff</v>
          </cell>
          <cell r="B6" t="str">
            <v>Gumuz</v>
          </cell>
          <cell r="C6">
            <v>2302.2109060238031</v>
          </cell>
          <cell r="D6">
            <v>2786.3075831170836</v>
          </cell>
        </row>
        <row r="7">
          <cell r="A7" t="str">
            <v>Teff</v>
          </cell>
          <cell r="B7" t="str">
            <v>DireDawa</v>
          </cell>
          <cell r="C7">
            <v>2846.6257051773046</v>
          </cell>
          <cell r="D7">
            <v>2507.8247549137604</v>
          </cell>
        </row>
        <row r="8">
          <cell r="A8" t="str">
            <v>Teff</v>
          </cell>
          <cell r="B8" t="str">
            <v>Gambela</v>
          </cell>
          <cell r="C8">
            <v>2475.8644229145857</v>
          </cell>
          <cell r="D8">
            <v>2162.2251949834631</v>
          </cell>
        </row>
        <row r="9">
          <cell r="A9" t="str">
            <v>Teff</v>
          </cell>
          <cell r="B9" t="str">
            <v>Harari</v>
          </cell>
          <cell r="C9">
            <v>2681.7629028688179</v>
          </cell>
          <cell r="D9">
            <v>2417.5764721893588</v>
          </cell>
        </row>
        <row r="10">
          <cell r="A10" t="str">
            <v>Teff</v>
          </cell>
          <cell r="B10" t="str">
            <v>Oromia</v>
          </cell>
          <cell r="C10">
            <v>2426.9729042550371</v>
          </cell>
          <cell r="D10">
            <v>2648.0342297272628</v>
          </cell>
        </row>
        <row r="11">
          <cell r="A11" t="str">
            <v>Teff</v>
          </cell>
          <cell r="B11" t="str">
            <v>Somali</v>
          </cell>
          <cell r="C11">
            <v>2633.2946772255614</v>
          </cell>
          <cell r="D11">
            <v>2597.885915034818</v>
          </cell>
        </row>
        <row r="12">
          <cell r="A12" t="str">
            <v>Teff</v>
          </cell>
          <cell r="B12" t="str">
            <v>SNNPR</v>
          </cell>
          <cell r="C12">
            <v>2691.907057432657</v>
          </cell>
          <cell r="D12">
            <v>2275.5776763346112</v>
          </cell>
        </row>
        <row r="13">
          <cell r="A13" t="str">
            <v>Teff</v>
          </cell>
          <cell r="B13" t="str">
            <v>Tigray</v>
          </cell>
          <cell r="C13">
            <v>2000.1984140236893</v>
          </cell>
          <cell r="D13">
            <v>2340.1233668507534</v>
          </cell>
        </row>
        <row r="14">
          <cell r="A14" t="str">
            <v>Sorghum</v>
          </cell>
          <cell r="B14" t="str">
            <v>AddisAbaba</v>
          </cell>
          <cell r="C14">
            <v>2118.9603125300437</v>
          </cell>
          <cell r="D14">
            <v>2143.5697908317802</v>
          </cell>
        </row>
        <row r="15">
          <cell r="A15" t="str">
            <v>Sorghum</v>
          </cell>
          <cell r="B15" t="str">
            <v>Afar</v>
          </cell>
          <cell r="C15">
            <v>2279.2195228834307</v>
          </cell>
          <cell r="D15">
            <v>2959.6211359180452</v>
          </cell>
        </row>
        <row r="16">
          <cell r="A16" t="str">
            <v>Sorghum</v>
          </cell>
          <cell r="B16" t="str">
            <v>Amhara</v>
          </cell>
          <cell r="C16">
            <v>2469.1079411865448</v>
          </cell>
          <cell r="D16">
            <v>2591.1712085956374</v>
          </cell>
        </row>
        <row r="17">
          <cell r="A17" t="str">
            <v>Sorghum</v>
          </cell>
          <cell r="B17" t="str">
            <v>Gumuz</v>
          </cell>
          <cell r="C17">
            <v>2799.6417992656011</v>
          </cell>
          <cell r="D17">
            <v>2967.5136290068995</v>
          </cell>
        </row>
        <row r="18">
          <cell r="A18" t="str">
            <v>Sorghum</v>
          </cell>
          <cell r="B18" t="str">
            <v>DireDawa</v>
          </cell>
          <cell r="C18">
            <v>2534.9711822958002</v>
          </cell>
          <cell r="D18">
            <v>2411.2248113254882</v>
          </cell>
        </row>
        <row r="19">
          <cell r="A19" t="str">
            <v>Sorghum</v>
          </cell>
          <cell r="B19" t="str">
            <v>Gambela</v>
          </cell>
          <cell r="C19">
            <v>2851.1899514746374</v>
          </cell>
          <cell r="D19">
            <v>2572.32003674405</v>
          </cell>
        </row>
        <row r="20">
          <cell r="A20" t="str">
            <v>Sorghum</v>
          </cell>
          <cell r="B20" t="str">
            <v>Harari</v>
          </cell>
          <cell r="C20">
            <v>2832.2635079825432</v>
          </cell>
          <cell r="D20">
            <v>2341.7878817200026</v>
          </cell>
        </row>
        <row r="21">
          <cell r="A21" t="str">
            <v>Sorghum</v>
          </cell>
          <cell r="B21" t="str">
            <v>Oromia</v>
          </cell>
          <cell r="C21">
            <v>2377.9112561476663</v>
          </cell>
          <cell r="D21">
            <v>2914.4446183367149</v>
          </cell>
        </row>
        <row r="22">
          <cell r="A22" t="str">
            <v>Sorghum</v>
          </cell>
          <cell r="B22" t="str">
            <v>Somali</v>
          </cell>
          <cell r="C22">
            <v>2538.2517086978942</v>
          </cell>
          <cell r="D22">
            <v>2797.2263947627489</v>
          </cell>
        </row>
        <row r="23">
          <cell r="A23" t="str">
            <v>Sorghum</v>
          </cell>
          <cell r="B23" t="str">
            <v>SNNPR</v>
          </cell>
          <cell r="C23">
            <v>2705.0125833554785</v>
          </cell>
          <cell r="D23">
            <v>2539.954002071278</v>
          </cell>
        </row>
        <row r="24">
          <cell r="A24" t="str">
            <v>Sorghum</v>
          </cell>
          <cell r="B24" t="str">
            <v>Tigray</v>
          </cell>
          <cell r="C24">
            <v>2823.5149131995136</v>
          </cell>
          <cell r="D24">
            <v>2084.5955464569802</v>
          </cell>
        </row>
        <row r="25">
          <cell r="A25" t="str">
            <v>Maize</v>
          </cell>
          <cell r="B25" t="str">
            <v>AddisAbaba</v>
          </cell>
          <cell r="C25">
            <v>2879.3174554357192</v>
          </cell>
          <cell r="D25">
            <v>2693.2203304297477</v>
          </cell>
        </row>
        <row r="26">
          <cell r="A26" t="str">
            <v>Maize</v>
          </cell>
          <cell r="B26" t="str">
            <v>Afar</v>
          </cell>
          <cell r="C26">
            <v>2778.1334401044378</v>
          </cell>
          <cell r="D26">
            <v>2468.675544377782</v>
          </cell>
        </row>
        <row r="27">
          <cell r="A27" t="str">
            <v>Maize</v>
          </cell>
          <cell r="B27" t="str">
            <v>Amhara</v>
          </cell>
          <cell r="C27">
            <v>2375.5215820022208</v>
          </cell>
          <cell r="D27">
            <v>2021.8921262369224</v>
          </cell>
        </row>
        <row r="28">
          <cell r="A28" t="str">
            <v>Maize</v>
          </cell>
          <cell r="B28" t="str">
            <v>Gumuz</v>
          </cell>
          <cell r="C28">
            <v>2245.6995647956796</v>
          </cell>
          <cell r="D28">
            <v>2774.259489054863</v>
          </cell>
        </row>
        <row r="29">
          <cell r="A29" t="str">
            <v>Maize</v>
          </cell>
          <cell r="B29" t="str">
            <v>DireDawa</v>
          </cell>
          <cell r="C29">
            <v>2840.7301868126683</v>
          </cell>
          <cell r="D29">
            <v>2263.5414939496086</v>
          </cell>
        </row>
        <row r="30">
          <cell r="A30" t="str">
            <v>Maize</v>
          </cell>
          <cell r="B30" t="str">
            <v>Gambela</v>
          </cell>
          <cell r="C30">
            <v>2184.9305106908178</v>
          </cell>
          <cell r="D30">
            <v>2528.0153579229004</v>
          </cell>
        </row>
        <row r="31">
          <cell r="A31" t="str">
            <v>Maize</v>
          </cell>
          <cell r="B31" t="str">
            <v>Harari</v>
          </cell>
          <cell r="C31">
            <v>2822.0309633400439</v>
          </cell>
          <cell r="D31">
            <v>2770.904458147601</v>
          </cell>
        </row>
        <row r="32">
          <cell r="A32" t="str">
            <v>Maize</v>
          </cell>
          <cell r="B32" t="str">
            <v>Oromia</v>
          </cell>
          <cell r="C32">
            <v>2284.1544496415045</v>
          </cell>
          <cell r="D32">
            <v>2645.5610427016795</v>
          </cell>
        </row>
        <row r="33">
          <cell r="A33" t="str">
            <v>Maize</v>
          </cell>
          <cell r="B33" t="str">
            <v>Somali</v>
          </cell>
          <cell r="C33">
            <v>2616.3104253822348</v>
          </cell>
          <cell r="D33">
            <v>2644.0258165734581</v>
          </cell>
        </row>
        <row r="34">
          <cell r="A34" t="str">
            <v>Maize</v>
          </cell>
          <cell r="B34" t="str">
            <v>SNNPR</v>
          </cell>
          <cell r="C34">
            <v>2096.3436023644085</v>
          </cell>
          <cell r="D34">
            <v>2117.1140974179493</v>
          </cell>
        </row>
        <row r="35">
          <cell r="A35" t="str">
            <v>Maize</v>
          </cell>
          <cell r="B35" t="str">
            <v>Tigray</v>
          </cell>
          <cell r="C35">
            <v>2372.9789663723764</v>
          </cell>
          <cell r="D35">
            <v>2873.2811205893181</v>
          </cell>
        </row>
        <row r="36">
          <cell r="A36" t="str">
            <v>Lentils</v>
          </cell>
          <cell r="B36" t="str">
            <v>AddisAbaba</v>
          </cell>
          <cell r="C36">
            <v>2196.6890930954014</v>
          </cell>
          <cell r="D36">
            <v>2005.06931280702</v>
          </cell>
        </row>
        <row r="37">
          <cell r="A37" t="str">
            <v>Lentils</v>
          </cell>
          <cell r="B37" t="str">
            <v>Afar</v>
          </cell>
          <cell r="C37">
            <v>2032.4178830181268</v>
          </cell>
          <cell r="D37">
            <v>2694.8619531014087</v>
          </cell>
        </row>
        <row r="38">
          <cell r="A38" t="str">
            <v>Lentils</v>
          </cell>
          <cell r="B38" t="str">
            <v>Amhara</v>
          </cell>
          <cell r="C38">
            <v>2529.0399805906691</v>
          </cell>
          <cell r="D38">
            <v>2132.5653360982005</v>
          </cell>
        </row>
        <row r="39">
          <cell r="A39" t="str">
            <v>Lentils</v>
          </cell>
          <cell r="B39" t="str">
            <v>Gumuz</v>
          </cell>
          <cell r="C39">
            <v>2574.4551424392953</v>
          </cell>
          <cell r="D39">
            <v>2150.3566434564273</v>
          </cell>
        </row>
        <row r="40">
          <cell r="A40" t="str">
            <v>Lentils</v>
          </cell>
          <cell r="B40" t="str">
            <v>DireDawa</v>
          </cell>
          <cell r="C40">
            <v>2091.402486603376</v>
          </cell>
          <cell r="D40">
            <v>2927.3618760015752</v>
          </cell>
        </row>
        <row r="41">
          <cell r="A41" t="str">
            <v>Lentils</v>
          </cell>
          <cell r="B41" t="str">
            <v>Gambela</v>
          </cell>
          <cell r="C41">
            <v>2317.1305234525303</v>
          </cell>
          <cell r="D41">
            <v>2288.3704155758655</v>
          </cell>
        </row>
        <row r="42">
          <cell r="A42" t="str">
            <v>Lentils</v>
          </cell>
          <cell r="B42" t="str">
            <v>Harari</v>
          </cell>
          <cell r="C42">
            <v>2937.0410173714295</v>
          </cell>
          <cell r="D42">
            <v>2318.4543501781891</v>
          </cell>
        </row>
        <row r="43">
          <cell r="A43" t="str">
            <v>Lentils</v>
          </cell>
          <cell r="B43" t="str">
            <v>Oromia</v>
          </cell>
          <cell r="C43">
            <v>2464.878381359661</v>
          </cell>
          <cell r="D43">
            <v>2518.1480738445944</v>
          </cell>
        </row>
        <row r="44">
          <cell r="A44" t="str">
            <v>Lentils</v>
          </cell>
          <cell r="B44" t="str">
            <v>Somali</v>
          </cell>
          <cell r="C44">
            <v>2664.2225910293573</v>
          </cell>
          <cell r="D44">
            <v>2351.1588597390059</v>
          </cell>
        </row>
        <row r="45">
          <cell r="A45" t="str">
            <v>Lentils</v>
          </cell>
          <cell r="B45" t="str">
            <v>SNNPR</v>
          </cell>
          <cell r="C45">
            <v>2005.0035784595948</v>
          </cell>
          <cell r="D45">
            <v>2495.9968613134429</v>
          </cell>
        </row>
        <row r="46">
          <cell r="A46" t="str">
            <v>Lentils</v>
          </cell>
          <cell r="B46" t="str">
            <v>Tigray</v>
          </cell>
          <cell r="C46">
            <v>2222.8735993533769</v>
          </cell>
          <cell r="D46">
            <v>2684.5800583851242</v>
          </cell>
        </row>
        <row r="47">
          <cell r="A47" t="str">
            <v>Vegetables</v>
          </cell>
          <cell r="B47" t="str">
            <v>AddisAbaba</v>
          </cell>
          <cell r="C47">
            <v>2465.5065635365809</v>
          </cell>
          <cell r="D47">
            <v>2643.5934720975079</v>
          </cell>
        </row>
        <row r="48">
          <cell r="A48" t="str">
            <v>Vegetables</v>
          </cell>
          <cell r="B48" t="str">
            <v>Afar</v>
          </cell>
          <cell r="C48">
            <v>2612.1081263754254</v>
          </cell>
          <cell r="D48">
            <v>2178.3710771078086</v>
          </cell>
        </row>
        <row r="49">
          <cell r="A49" t="str">
            <v>Vegetables</v>
          </cell>
          <cell r="B49" t="str">
            <v>Amhara</v>
          </cell>
          <cell r="C49">
            <v>2683.3522905249197</v>
          </cell>
          <cell r="D49">
            <v>2950.1477965621634</v>
          </cell>
        </row>
        <row r="50">
          <cell r="A50" t="str">
            <v>Vegetables</v>
          </cell>
          <cell r="B50" t="str">
            <v>Gumuz</v>
          </cell>
          <cell r="C50">
            <v>2087.5698520577666</v>
          </cell>
          <cell r="D50">
            <v>2951.9180578317669</v>
          </cell>
        </row>
        <row r="51">
          <cell r="A51" t="str">
            <v>Vegetables</v>
          </cell>
          <cell r="B51" t="str">
            <v>DireDawa</v>
          </cell>
          <cell r="C51">
            <v>2686.8546755801326</v>
          </cell>
          <cell r="D51">
            <v>2993.1459267354694</v>
          </cell>
        </row>
        <row r="52">
          <cell r="A52" t="str">
            <v>Vegetables</v>
          </cell>
          <cell r="B52" t="str">
            <v>Gambela</v>
          </cell>
          <cell r="C52">
            <v>2943.2735442399535</v>
          </cell>
          <cell r="D52">
            <v>2650.9206283590452</v>
          </cell>
        </row>
        <row r="53">
          <cell r="A53" t="str">
            <v>Vegetables</v>
          </cell>
          <cell r="B53" t="str">
            <v>Harari</v>
          </cell>
          <cell r="C53">
            <v>2465.5383833621386</v>
          </cell>
          <cell r="D53">
            <v>2568.4521169261038</v>
          </cell>
        </row>
        <row r="54">
          <cell r="A54" t="str">
            <v>Vegetables</v>
          </cell>
          <cell r="B54" t="str">
            <v>Oromia</v>
          </cell>
          <cell r="C54">
            <v>2529.9463426342927</v>
          </cell>
          <cell r="D54">
            <v>2778.9924614568827</v>
          </cell>
        </row>
        <row r="55">
          <cell r="A55" t="str">
            <v>Vegetables</v>
          </cell>
          <cell r="B55" t="str">
            <v>Somali</v>
          </cell>
          <cell r="C55">
            <v>2799.5743965479405</v>
          </cell>
          <cell r="D55">
            <v>2204.2814763109627</v>
          </cell>
        </row>
        <row r="56">
          <cell r="A56" t="str">
            <v>Vegetables</v>
          </cell>
          <cell r="B56" t="str">
            <v>SNNPR</v>
          </cell>
          <cell r="C56">
            <v>2152.8835782646306</v>
          </cell>
          <cell r="D56">
            <v>2448.6800095176609</v>
          </cell>
        </row>
        <row r="57">
          <cell r="A57" t="str">
            <v>Vegetables</v>
          </cell>
          <cell r="B57" t="str">
            <v>Tigray</v>
          </cell>
          <cell r="C57">
            <v>2810.3114097414477</v>
          </cell>
          <cell r="D57">
            <v>2026.0031762341098</v>
          </cell>
        </row>
        <row r="58">
          <cell r="A58" t="str">
            <v>Coffee</v>
          </cell>
          <cell r="B58" t="str">
            <v>AddisAbaba</v>
          </cell>
          <cell r="C58">
            <v>2622.9296866162554</v>
          </cell>
          <cell r="D58">
            <v>2062.4505069096695</v>
          </cell>
        </row>
        <row r="59">
          <cell r="A59" t="str">
            <v>Coffee</v>
          </cell>
          <cell r="B59" t="str">
            <v>Afar</v>
          </cell>
          <cell r="C59">
            <v>2690.699912128779</v>
          </cell>
          <cell r="D59">
            <v>2758.8446909243762</v>
          </cell>
        </row>
        <row r="60">
          <cell r="A60" t="str">
            <v>Coffee</v>
          </cell>
          <cell r="B60" t="str">
            <v>Amhara</v>
          </cell>
          <cell r="C60">
            <v>2623.3559091390234</v>
          </cell>
          <cell r="D60">
            <v>2355.8769414915373</v>
          </cell>
        </row>
        <row r="61">
          <cell r="A61" t="str">
            <v>Coffee</v>
          </cell>
          <cell r="B61" t="str">
            <v>Gumuz</v>
          </cell>
          <cell r="C61">
            <v>2160.8700120665644</v>
          </cell>
          <cell r="D61">
            <v>2577.1125645792063</v>
          </cell>
        </row>
        <row r="62">
          <cell r="A62" t="str">
            <v>Coffee</v>
          </cell>
          <cell r="B62" t="str">
            <v>DireDawa</v>
          </cell>
          <cell r="C62">
            <v>2413.6004534748849</v>
          </cell>
          <cell r="D62">
            <v>2020.2912223994472</v>
          </cell>
        </row>
        <row r="63">
          <cell r="A63" t="str">
            <v>Coffee</v>
          </cell>
          <cell r="B63" t="str">
            <v>Gambela</v>
          </cell>
          <cell r="C63">
            <v>2641.2116128824655</v>
          </cell>
          <cell r="D63">
            <v>2826.0579559053231</v>
          </cell>
        </row>
        <row r="64">
          <cell r="A64" t="str">
            <v>Coffee</v>
          </cell>
          <cell r="B64" t="str">
            <v>Harari</v>
          </cell>
          <cell r="C64">
            <v>2699.4709409865263</v>
          </cell>
          <cell r="D64">
            <v>2397.5490360034737</v>
          </cell>
        </row>
        <row r="65">
          <cell r="A65" t="str">
            <v>Coffee</v>
          </cell>
          <cell r="B65" t="str">
            <v>Oromia</v>
          </cell>
          <cell r="C65">
            <v>2083.5250824679647</v>
          </cell>
          <cell r="D65">
            <v>2704.1981250781346</v>
          </cell>
        </row>
        <row r="66">
          <cell r="A66" t="str">
            <v>Coffee</v>
          </cell>
          <cell r="B66" t="str">
            <v>Somali</v>
          </cell>
          <cell r="C66">
            <v>2389.2760182831589</v>
          </cell>
          <cell r="D66">
            <v>2080.8300541296776</v>
          </cell>
        </row>
        <row r="67">
          <cell r="A67" t="str">
            <v>Coffee</v>
          </cell>
          <cell r="B67" t="str">
            <v>SNNPR</v>
          </cell>
          <cell r="C67">
            <v>2304.4225778061837</v>
          </cell>
          <cell r="D67">
            <v>2741.0318453544214</v>
          </cell>
        </row>
        <row r="68">
          <cell r="A68" t="str">
            <v>Coffee</v>
          </cell>
          <cell r="B68" t="str">
            <v>Tigray</v>
          </cell>
          <cell r="C68">
            <v>2079.0291379100458</v>
          </cell>
          <cell r="D68">
            <v>2764.9466967373655</v>
          </cell>
        </row>
      </sheetData>
      <sheetData sheetId="10">
        <row r="1">
          <cell r="C1">
            <v>2015</v>
          </cell>
          <cell r="D1">
            <v>2015</v>
          </cell>
        </row>
        <row r="2">
          <cell r="C2" t="str">
            <v>Belg</v>
          </cell>
          <cell r="D2" t="str">
            <v>Kremt</v>
          </cell>
        </row>
        <row r="3">
          <cell r="A3" t="str">
            <v>Teff</v>
          </cell>
          <cell r="B3" t="str">
            <v>AddisAbaba</v>
          </cell>
          <cell r="C3">
            <v>22.483410750441774</v>
          </cell>
          <cell r="D3">
            <v>22.084761129354767</v>
          </cell>
        </row>
        <row r="4">
          <cell r="A4" t="str">
            <v>Teff</v>
          </cell>
          <cell r="B4" t="str">
            <v>Afar</v>
          </cell>
          <cell r="C4">
            <v>21.388026707105769</v>
          </cell>
          <cell r="D4">
            <v>28.012489374644986</v>
          </cell>
        </row>
        <row r="5">
          <cell r="A5" t="str">
            <v>Teff</v>
          </cell>
          <cell r="B5" t="str">
            <v>Amhara</v>
          </cell>
          <cell r="C5">
            <v>22.085903958197996</v>
          </cell>
          <cell r="D5">
            <v>27.576524298721473</v>
          </cell>
        </row>
        <row r="6">
          <cell r="A6" t="str">
            <v>Teff</v>
          </cell>
          <cell r="B6" t="str">
            <v>Gumuz</v>
          </cell>
          <cell r="C6">
            <v>25.667500060203121</v>
          </cell>
          <cell r="D6">
            <v>28.790817340101427</v>
          </cell>
        </row>
        <row r="7">
          <cell r="A7" t="str">
            <v>Teff</v>
          </cell>
          <cell r="B7" t="str">
            <v>DireDawa</v>
          </cell>
          <cell r="C7">
            <v>22.757661810895549</v>
          </cell>
          <cell r="D7">
            <v>20.961902853315951</v>
          </cell>
        </row>
        <row r="8">
          <cell r="A8" t="str">
            <v>Teff</v>
          </cell>
          <cell r="B8" t="str">
            <v>Gambela</v>
          </cell>
          <cell r="C8">
            <v>26.358194429228231</v>
          </cell>
          <cell r="D8">
            <v>20.601169929138749</v>
          </cell>
        </row>
        <row r="9">
          <cell r="A9" t="str">
            <v>Teff</v>
          </cell>
          <cell r="B9" t="str">
            <v>Harari</v>
          </cell>
          <cell r="C9">
            <v>26.500365772468733</v>
          </cell>
          <cell r="D9">
            <v>26.312720449002825</v>
          </cell>
        </row>
        <row r="10">
          <cell r="A10" t="str">
            <v>Teff</v>
          </cell>
          <cell r="B10" t="str">
            <v>Oromia</v>
          </cell>
          <cell r="C10">
            <v>29.492037484919983</v>
          </cell>
          <cell r="D10">
            <v>20.093848151660318</v>
          </cell>
        </row>
        <row r="11">
          <cell r="A11" t="str">
            <v>Teff</v>
          </cell>
          <cell r="B11" t="str">
            <v>Somali</v>
          </cell>
          <cell r="C11">
            <v>28.752032098432679</v>
          </cell>
          <cell r="D11">
            <v>20.777707142370545</v>
          </cell>
        </row>
        <row r="12">
          <cell r="A12" t="str">
            <v>Teff</v>
          </cell>
          <cell r="B12" t="str">
            <v>SNNPR</v>
          </cell>
          <cell r="C12">
            <v>29.908586063577136</v>
          </cell>
          <cell r="D12">
            <v>28.576109978207551</v>
          </cell>
        </row>
        <row r="13">
          <cell r="A13" t="str">
            <v>Teff</v>
          </cell>
          <cell r="B13" t="str">
            <v>Tigray</v>
          </cell>
          <cell r="C13">
            <v>24.58977214124193</v>
          </cell>
          <cell r="D13">
            <v>24.041421594114997</v>
          </cell>
        </row>
        <row r="14">
          <cell r="A14" t="str">
            <v>Sorghum</v>
          </cell>
          <cell r="B14" t="str">
            <v>AddisAbaba</v>
          </cell>
          <cell r="C14">
            <v>20.589682120224673</v>
          </cell>
          <cell r="D14">
            <v>23.361641923513254</v>
          </cell>
        </row>
        <row r="15">
          <cell r="A15" t="str">
            <v>Sorghum</v>
          </cell>
          <cell r="B15" t="str">
            <v>Afar</v>
          </cell>
          <cell r="C15">
            <v>20.769244039927358</v>
          </cell>
          <cell r="D15">
            <v>24.073315686280495</v>
          </cell>
        </row>
        <row r="16">
          <cell r="A16" t="str">
            <v>Sorghum</v>
          </cell>
          <cell r="B16" t="str">
            <v>Amhara</v>
          </cell>
          <cell r="C16">
            <v>27.048813727059159</v>
          </cell>
          <cell r="D16">
            <v>28.028975219290505</v>
          </cell>
        </row>
        <row r="17">
          <cell r="A17" t="str">
            <v>Sorghum</v>
          </cell>
          <cell r="B17" t="str">
            <v>Gumuz</v>
          </cell>
          <cell r="C17">
            <v>20.737950168614184</v>
          </cell>
          <cell r="D17">
            <v>20.569535524833373</v>
          </cell>
        </row>
        <row r="18">
          <cell r="A18" t="str">
            <v>Sorghum</v>
          </cell>
          <cell r="B18" t="str">
            <v>DireDawa</v>
          </cell>
          <cell r="C18">
            <v>28.051779697551851</v>
          </cell>
          <cell r="D18">
            <v>28.939437448895859</v>
          </cell>
        </row>
        <row r="19">
          <cell r="A19" t="str">
            <v>Sorghum</v>
          </cell>
          <cell r="B19" t="str">
            <v>Gambela</v>
          </cell>
          <cell r="C19">
            <v>21.934532892950624</v>
          </cell>
          <cell r="D19">
            <v>20.212235144952835</v>
          </cell>
        </row>
        <row r="20">
          <cell r="A20" t="str">
            <v>Sorghum</v>
          </cell>
          <cell r="B20" t="str">
            <v>Harari</v>
          </cell>
          <cell r="C20">
            <v>22.711101282632342</v>
          </cell>
          <cell r="D20">
            <v>27.745556501205144</v>
          </cell>
        </row>
        <row r="21">
          <cell r="A21" t="str">
            <v>Sorghum</v>
          </cell>
          <cell r="B21" t="str">
            <v>Oromia</v>
          </cell>
          <cell r="C21">
            <v>29.039778295573896</v>
          </cell>
          <cell r="D21">
            <v>29.780427863017188</v>
          </cell>
        </row>
        <row r="22">
          <cell r="A22" t="str">
            <v>Sorghum</v>
          </cell>
          <cell r="B22" t="str">
            <v>Somali</v>
          </cell>
          <cell r="C22">
            <v>23.652379802247051</v>
          </cell>
          <cell r="D22">
            <v>23.120955701142705</v>
          </cell>
        </row>
        <row r="23">
          <cell r="A23" t="str">
            <v>Sorghum</v>
          </cell>
          <cell r="B23" t="str">
            <v>SNNPR</v>
          </cell>
          <cell r="C23">
            <v>20.913321192417076</v>
          </cell>
          <cell r="D23">
            <v>22.819610379301992</v>
          </cell>
        </row>
        <row r="24">
          <cell r="A24" t="str">
            <v>Sorghum</v>
          </cell>
          <cell r="B24" t="str">
            <v>Tigray</v>
          </cell>
          <cell r="C24">
            <v>24.513295203358823</v>
          </cell>
          <cell r="D24">
            <v>24.42416557607671</v>
          </cell>
        </row>
        <row r="25">
          <cell r="A25" t="str">
            <v>Maize</v>
          </cell>
          <cell r="B25" t="str">
            <v>AddisAbaba</v>
          </cell>
          <cell r="C25">
            <v>26.562972681002815</v>
          </cell>
          <cell r="D25">
            <v>22.269566888341231</v>
          </cell>
        </row>
        <row r="26">
          <cell r="A26" t="str">
            <v>Maize</v>
          </cell>
          <cell r="B26" t="str">
            <v>Afar</v>
          </cell>
          <cell r="C26">
            <v>29.969777311014699</v>
          </cell>
          <cell r="D26">
            <v>29.748227252279449</v>
          </cell>
        </row>
        <row r="27">
          <cell r="A27" t="str">
            <v>Maize</v>
          </cell>
          <cell r="B27" t="str">
            <v>Amhara</v>
          </cell>
          <cell r="C27">
            <v>26.192360088457256</v>
          </cell>
          <cell r="D27">
            <v>28.320132778217626</v>
          </cell>
        </row>
        <row r="28">
          <cell r="A28" t="str">
            <v>Maize</v>
          </cell>
          <cell r="B28" t="str">
            <v>Gumuz</v>
          </cell>
          <cell r="C28">
            <v>21.403038003467813</v>
          </cell>
          <cell r="D28">
            <v>27.18369663890034</v>
          </cell>
        </row>
        <row r="29">
          <cell r="A29" t="str">
            <v>Maize</v>
          </cell>
          <cell r="B29" t="str">
            <v>DireDawa</v>
          </cell>
          <cell r="C29">
            <v>28.735205580754275</v>
          </cell>
          <cell r="D29">
            <v>24.807515825344911</v>
          </cell>
        </row>
        <row r="30">
          <cell r="A30" t="str">
            <v>Maize</v>
          </cell>
          <cell r="B30" t="str">
            <v>Gambela</v>
          </cell>
          <cell r="C30">
            <v>21.097638198840212</v>
          </cell>
          <cell r="D30">
            <v>22.155282185686023</v>
          </cell>
        </row>
        <row r="31">
          <cell r="A31" t="str">
            <v>Maize</v>
          </cell>
          <cell r="B31" t="str">
            <v>Harari</v>
          </cell>
          <cell r="C31">
            <v>26.192145309771838</v>
          </cell>
          <cell r="D31">
            <v>23.178185880520168</v>
          </cell>
        </row>
        <row r="32">
          <cell r="A32" t="str">
            <v>Maize</v>
          </cell>
          <cell r="B32" t="str">
            <v>Oromia</v>
          </cell>
          <cell r="C32">
            <v>20.201446518529149</v>
          </cell>
          <cell r="D32">
            <v>22.070557075555975</v>
          </cell>
        </row>
        <row r="33">
          <cell r="A33" t="str">
            <v>Maize</v>
          </cell>
          <cell r="B33" t="str">
            <v>Somali</v>
          </cell>
          <cell r="C33">
            <v>20.460964051443732</v>
          </cell>
          <cell r="D33">
            <v>21.563108054357624</v>
          </cell>
        </row>
        <row r="34">
          <cell r="A34" t="str">
            <v>Maize</v>
          </cell>
          <cell r="B34" t="str">
            <v>SNNPR</v>
          </cell>
          <cell r="C34">
            <v>23.159442972468909</v>
          </cell>
          <cell r="D34">
            <v>27.949133170394109</v>
          </cell>
        </row>
        <row r="35">
          <cell r="A35" t="str">
            <v>Maize</v>
          </cell>
          <cell r="B35" t="str">
            <v>Tigray</v>
          </cell>
          <cell r="C35">
            <v>22.706546084430812</v>
          </cell>
          <cell r="D35">
            <v>26.329067376314448</v>
          </cell>
        </row>
        <row r="36">
          <cell r="A36" t="str">
            <v>Lentils</v>
          </cell>
          <cell r="B36" t="str">
            <v>AddisAbaba</v>
          </cell>
          <cell r="C36">
            <v>26.299437399506825</v>
          </cell>
          <cell r="D36">
            <v>25.96857860368808</v>
          </cell>
        </row>
        <row r="37">
          <cell r="A37" t="str">
            <v>Lentils</v>
          </cell>
          <cell r="B37" t="str">
            <v>Afar</v>
          </cell>
          <cell r="C37">
            <v>20.635647398354251</v>
          </cell>
          <cell r="D37">
            <v>27.653335465629596</v>
          </cell>
        </row>
        <row r="38">
          <cell r="A38" t="str">
            <v>Lentils</v>
          </cell>
          <cell r="B38" t="str">
            <v>Amhara</v>
          </cell>
          <cell r="C38">
            <v>27.246223326293673</v>
          </cell>
          <cell r="D38">
            <v>22.689627862599089</v>
          </cell>
        </row>
        <row r="39">
          <cell r="A39" t="str">
            <v>Lentils</v>
          </cell>
          <cell r="B39" t="str">
            <v>Gumuz</v>
          </cell>
          <cell r="C39">
            <v>28.97343204789594</v>
          </cell>
          <cell r="D39">
            <v>21.675517109990764</v>
          </cell>
        </row>
        <row r="40">
          <cell r="A40" t="str">
            <v>Lentils</v>
          </cell>
          <cell r="B40" t="str">
            <v>DireDawa</v>
          </cell>
          <cell r="C40">
            <v>22.084256419556198</v>
          </cell>
          <cell r="D40">
            <v>26.902038459344801</v>
          </cell>
        </row>
        <row r="41">
          <cell r="A41" t="str">
            <v>Lentils</v>
          </cell>
          <cell r="B41" t="str">
            <v>Gambela</v>
          </cell>
          <cell r="C41">
            <v>25.536934085779556</v>
          </cell>
          <cell r="D41">
            <v>22.904595622801672</v>
          </cell>
        </row>
        <row r="42">
          <cell r="A42" t="str">
            <v>Lentils</v>
          </cell>
          <cell r="B42" t="str">
            <v>Harari</v>
          </cell>
          <cell r="C42">
            <v>22.789054779644196</v>
          </cell>
          <cell r="D42">
            <v>28.19547676514145</v>
          </cell>
        </row>
        <row r="43">
          <cell r="A43" t="str">
            <v>Lentils</v>
          </cell>
          <cell r="B43" t="str">
            <v>Oromia</v>
          </cell>
          <cell r="C43">
            <v>26.472351430541778</v>
          </cell>
          <cell r="D43">
            <v>29.119000526445447</v>
          </cell>
        </row>
        <row r="44">
          <cell r="A44" t="str">
            <v>Lentils</v>
          </cell>
          <cell r="B44" t="str">
            <v>Somali</v>
          </cell>
          <cell r="C44">
            <v>29.198462754971175</v>
          </cell>
          <cell r="D44">
            <v>26.434545522547246</v>
          </cell>
        </row>
        <row r="45">
          <cell r="A45" t="str">
            <v>Lentils</v>
          </cell>
          <cell r="B45" t="str">
            <v>SNNPR</v>
          </cell>
          <cell r="C45">
            <v>23.694510813799798</v>
          </cell>
          <cell r="D45">
            <v>22.610397412880641</v>
          </cell>
        </row>
        <row r="46">
          <cell r="A46" t="str">
            <v>Lentils</v>
          </cell>
          <cell r="B46" t="str">
            <v>Tigray</v>
          </cell>
          <cell r="C46">
            <v>28.15352525817331</v>
          </cell>
          <cell r="D46">
            <v>22.0108720393889</v>
          </cell>
        </row>
        <row r="47">
          <cell r="A47" t="str">
            <v>Vegetables</v>
          </cell>
          <cell r="B47" t="str">
            <v>AddisAbaba</v>
          </cell>
          <cell r="C47">
            <v>27.121925381430625</v>
          </cell>
          <cell r="D47">
            <v>23.533482094609752</v>
          </cell>
        </row>
        <row r="48">
          <cell r="A48" t="str">
            <v>Vegetables</v>
          </cell>
          <cell r="B48" t="str">
            <v>Afar</v>
          </cell>
          <cell r="C48">
            <v>25.040743772361953</v>
          </cell>
          <cell r="D48">
            <v>28.223628725382405</v>
          </cell>
        </row>
        <row r="49">
          <cell r="A49" t="str">
            <v>Vegetables</v>
          </cell>
          <cell r="B49" t="str">
            <v>Amhara</v>
          </cell>
          <cell r="C49">
            <v>28.226063055953627</v>
          </cell>
          <cell r="D49">
            <v>25.088734979789816</v>
          </cell>
        </row>
        <row r="50">
          <cell r="A50" t="str">
            <v>Vegetables</v>
          </cell>
          <cell r="B50" t="str">
            <v>Gumuz</v>
          </cell>
          <cell r="C50">
            <v>24.88376245322144</v>
          </cell>
          <cell r="D50">
            <v>26.533643618277516</v>
          </cell>
        </row>
        <row r="51">
          <cell r="A51" t="str">
            <v>Vegetables</v>
          </cell>
          <cell r="B51" t="str">
            <v>DireDawa</v>
          </cell>
          <cell r="C51">
            <v>23.199138774779545</v>
          </cell>
          <cell r="D51">
            <v>23.856128417205277</v>
          </cell>
        </row>
        <row r="52">
          <cell r="A52" t="str">
            <v>Vegetables</v>
          </cell>
          <cell r="B52" t="str">
            <v>Gambela</v>
          </cell>
          <cell r="C52">
            <v>20.170454772620758</v>
          </cell>
          <cell r="D52">
            <v>27.918401618987502</v>
          </cell>
        </row>
        <row r="53">
          <cell r="A53" t="str">
            <v>Vegetables</v>
          </cell>
          <cell r="B53" t="str">
            <v>Harari</v>
          </cell>
          <cell r="C53">
            <v>22.968904395241552</v>
          </cell>
          <cell r="D53">
            <v>21.761329927223926</v>
          </cell>
        </row>
        <row r="54">
          <cell r="A54" t="str">
            <v>Vegetables</v>
          </cell>
          <cell r="B54" t="str">
            <v>Oromia</v>
          </cell>
          <cell r="C54">
            <v>27.730660916366389</v>
          </cell>
          <cell r="D54">
            <v>26.684770512540474</v>
          </cell>
        </row>
        <row r="55">
          <cell r="A55" t="str">
            <v>Vegetables</v>
          </cell>
          <cell r="B55" t="str">
            <v>Somali</v>
          </cell>
          <cell r="C55">
            <v>25.40857039585887</v>
          </cell>
          <cell r="D55">
            <v>29.051313972276908</v>
          </cell>
        </row>
        <row r="56">
          <cell r="A56" t="str">
            <v>Vegetables</v>
          </cell>
          <cell r="B56" t="str">
            <v>SNNPR</v>
          </cell>
          <cell r="C56">
            <v>23.545859552074688</v>
          </cell>
          <cell r="D56">
            <v>26.868806925660714</v>
          </cell>
        </row>
        <row r="57">
          <cell r="A57" t="str">
            <v>Vegetables</v>
          </cell>
          <cell r="B57" t="str">
            <v>Tigray</v>
          </cell>
          <cell r="C57">
            <v>22.02839178101113</v>
          </cell>
          <cell r="D57">
            <v>23.215226241332665</v>
          </cell>
        </row>
        <row r="58">
          <cell r="A58" t="str">
            <v>Coffee</v>
          </cell>
          <cell r="B58" t="str">
            <v>AddisAbaba</v>
          </cell>
          <cell r="C58">
            <v>27.101080666277539</v>
          </cell>
          <cell r="D58">
            <v>26.819860854045075</v>
          </cell>
        </row>
        <row r="59">
          <cell r="A59" t="str">
            <v>Coffee</v>
          </cell>
          <cell r="B59" t="str">
            <v>Afar</v>
          </cell>
          <cell r="C59">
            <v>22.44329939179265</v>
          </cell>
          <cell r="D59">
            <v>24.154936671100735</v>
          </cell>
        </row>
        <row r="60">
          <cell r="A60" t="str">
            <v>Coffee</v>
          </cell>
          <cell r="B60" t="str">
            <v>Amhara</v>
          </cell>
          <cell r="C60">
            <v>26.822029668412416</v>
          </cell>
          <cell r="D60">
            <v>21.653679645482121</v>
          </cell>
        </row>
        <row r="61">
          <cell r="A61" t="str">
            <v>Coffee</v>
          </cell>
          <cell r="B61" t="str">
            <v>Gumuz</v>
          </cell>
          <cell r="C61">
            <v>21.081919349855998</v>
          </cell>
          <cell r="D61">
            <v>29.825908879986489</v>
          </cell>
        </row>
        <row r="62">
          <cell r="A62" t="str">
            <v>Coffee</v>
          </cell>
          <cell r="B62" t="str">
            <v>DireDawa</v>
          </cell>
          <cell r="C62">
            <v>24.804327654445231</v>
          </cell>
          <cell r="D62">
            <v>22.567384082504507</v>
          </cell>
        </row>
        <row r="63">
          <cell r="A63" t="str">
            <v>Coffee</v>
          </cell>
          <cell r="B63" t="str">
            <v>Gambela</v>
          </cell>
          <cell r="C63">
            <v>24.291222726417466</v>
          </cell>
          <cell r="D63">
            <v>28.875433449755164</v>
          </cell>
        </row>
        <row r="64">
          <cell r="A64" t="str">
            <v>Coffee</v>
          </cell>
          <cell r="B64" t="str">
            <v>Harari</v>
          </cell>
          <cell r="C64">
            <v>21.227050639462131</v>
          </cell>
          <cell r="D64">
            <v>21.99868356696971</v>
          </cell>
        </row>
        <row r="65">
          <cell r="A65" t="str">
            <v>Coffee</v>
          </cell>
          <cell r="B65" t="str">
            <v>Oromia</v>
          </cell>
          <cell r="C65">
            <v>21.705008452975456</v>
          </cell>
          <cell r="D65">
            <v>21.845548525128983</v>
          </cell>
        </row>
        <row r="66">
          <cell r="A66" t="str">
            <v>Coffee</v>
          </cell>
          <cell r="B66" t="str">
            <v>Somali</v>
          </cell>
          <cell r="C66">
            <v>25.362613416507731</v>
          </cell>
          <cell r="D66">
            <v>22.331823089918991</v>
          </cell>
        </row>
        <row r="67">
          <cell r="A67" t="str">
            <v>Coffee</v>
          </cell>
          <cell r="B67" t="str">
            <v>SNNPR</v>
          </cell>
          <cell r="C67">
            <v>22.01201492122739</v>
          </cell>
          <cell r="D67">
            <v>24.988794274203482</v>
          </cell>
        </row>
        <row r="68">
          <cell r="A68" t="str">
            <v>Coffee</v>
          </cell>
          <cell r="B68" t="str">
            <v>Tigray</v>
          </cell>
          <cell r="C68">
            <v>27.705775696135774</v>
          </cell>
          <cell r="D68">
            <v>23.382537594457673</v>
          </cell>
        </row>
      </sheetData>
      <sheetData sheetId="11">
        <row r="1">
          <cell r="B1">
            <v>2015</v>
          </cell>
          <cell r="C1">
            <v>2015</v>
          </cell>
        </row>
        <row r="2">
          <cell r="B2" t="str">
            <v>Belg</v>
          </cell>
          <cell r="C2" t="str">
            <v>Kremt</v>
          </cell>
        </row>
        <row r="3">
          <cell r="A3" t="str">
            <v>AddisAbaba</v>
          </cell>
          <cell r="B3">
            <v>508.2038236397413</v>
          </cell>
          <cell r="C3">
            <v>409.57597275893897</v>
          </cell>
        </row>
        <row r="4">
          <cell r="A4" t="str">
            <v>Afar</v>
          </cell>
          <cell r="B4">
            <v>50.731332902712339</v>
          </cell>
          <cell r="C4">
            <v>43.291805916344217</v>
          </cell>
        </row>
        <row r="5">
          <cell r="A5" t="str">
            <v>Amhara</v>
          </cell>
          <cell r="B5">
            <v>52.137132066628098</v>
          </cell>
          <cell r="C5">
            <v>43.705366923288636</v>
          </cell>
        </row>
        <row r="6">
          <cell r="A6" t="str">
            <v>Gumuz</v>
          </cell>
          <cell r="B6">
            <v>50.00592289840565</v>
          </cell>
          <cell r="C6">
            <v>40.581723983324331</v>
          </cell>
        </row>
        <row r="7">
          <cell r="A7" t="str">
            <v>DireDawa</v>
          </cell>
          <cell r="B7">
            <v>52.617578099452615</v>
          </cell>
          <cell r="C7">
            <v>42.158042919358572</v>
          </cell>
        </row>
        <row r="8">
          <cell r="A8" t="str">
            <v>Gambela</v>
          </cell>
          <cell r="B8">
            <v>50.604585315029333</v>
          </cell>
          <cell r="C8">
            <v>44.764083525630816</v>
          </cell>
        </row>
        <row r="9">
          <cell r="A9" t="str">
            <v>Harari</v>
          </cell>
          <cell r="B9">
            <v>50.737597951578593</v>
          </cell>
          <cell r="C9">
            <v>41.222248201877214</v>
          </cell>
        </row>
        <row r="10">
          <cell r="A10" t="str">
            <v>Oromia</v>
          </cell>
          <cell r="B10">
            <v>56.715428079146008</v>
          </cell>
          <cell r="C10">
            <v>44.876873409385936</v>
          </cell>
        </row>
        <row r="11">
          <cell r="A11" t="str">
            <v>Somali</v>
          </cell>
          <cell r="B11">
            <v>53.749060324158478</v>
          </cell>
          <cell r="C11">
            <v>42.630170146101818</v>
          </cell>
        </row>
        <row r="12">
          <cell r="A12" t="str">
            <v>SNNPR</v>
          </cell>
          <cell r="B12">
            <v>55.384061466998517</v>
          </cell>
          <cell r="C12">
            <v>42.560568045670763</v>
          </cell>
        </row>
        <row r="13">
          <cell r="A13" t="str">
            <v>Tigray</v>
          </cell>
          <cell r="B13">
            <v>55.066074669613712</v>
          </cell>
          <cell r="C13">
            <v>44.107781667800452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C11" sqref="C11"/>
    </sheetView>
  </sheetViews>
  <sheetFormatPr defaultColWidth="11" defaultRowHeight="15.75" x14ac:dyDescent="0.25"/>
  <cols>
    <col min="2" max="2" width="14.5" bestFit="1" customWidth="1"/>
    <col min="3" max="3" width="12.375" bestFit="1" customWidth="1"/>
  </cols>
  <sheetData>
    <row r="1" spans="1:5" x14ac:dyDescent="0.25">
      <c r="D1" t="s">
        <v>21</v>
      </c>
      <c r="E1" t="s">
        <v>22</v>
      </c>
    </row>
    <row r="2" spans="1:5" x14ac:dyDescent="0.25">
      <c r="A2" t="s">
        <v>23</v>
      </c>
      <c r="B2" s="4" t="s">
        <v>68</v>
      </c>
      <c r="C2" t="s">
        <v>69</v>
      </c>
      <c r="D2">
        <v>2</v>
      </c>
      <c r="E2">
        <v>2</v>
      </c>
    </row>
    <row r="3" spans="1:5" x14ac:dyDescent="0.25">
      <c r="A3" t="s">
        <v>23</v>
      </c>
      <c r="B3" t="s">
        <v>35</v>
      </c>
      <c r="C3" t="s">
        <v>36</v>
      </c>
      <c r="D3">
        <v>1</v>
      </c>
      <c r="E3">
        <v>1</v>
      </c>
    </row>
    <row r="4" spans="1:5" x14ac:dyDescent="0.25">
      <c r="A4" t="s">
        <v>23</v>
      </c>
      <c r="B4" t="s">
        <v>37</v>
      </c>
      <c r="C4" t="s">
        <v>38</v>
      </c>
      <c r="D4">
        <v>1</v>
      </c>
      <c r="E4">
        <v>1</v>
      </c>
    </row>
    <row r="5" spans="1:5" x14ac:dyDescent="0.25">
      <c r="A5" t="s">
        <v>23</v>
      </c>
      <c r="B5" t="s">
        <v>39</v>
      </c>
      <c r="C5" t="s">
        <v>41</v>
      </c>
      <c r="D5">
        <v>1</v>
      </c>
      <c r="E5">
        <v>1</v>
      </c>
    </row>
    <row r="6" spans="1:5" x14ac:dyDescent="0.25">
      <c r="A6" t="s">
        <v>23</v>
      </c>
      <c r="B6" t="s">
        <v>40</v>
      </c>
      <c r="C6" t="s">
        <v>42</v>
      </c>
      <c r="D6">
        <v>1</v>
      </c>
      <c r="E6">
        <v>1</v>
      </c>
    </row>
    <row r="7" spans="1:5" x14ac:dyDescent="0.25">
      <c r="A7" t="s">
        <v>23</v>
      </c>
      <c r="B7" t="s">
        <v>43</v>
      </c>
      <c r="C7" t="s">
        <v>44</v>
      </c>
      <c r="D7">
        <v>1</v>
      </c>
      <c r="E7">
        <v>1</v>
      </c>
    </row>
    <row r="8" spans="1:5" x14ac:dyDescent="0.25">
      <c r="A8" t="s">
        <v>23</v>
      </c>
      <c r="B8" t="s">
        <v>45</v>
      </c>
      <c r="C8" t="s">
        <v>46</v>
      </c>
      <c r="D8">
        <v>1</v>
      </c>
      <c r="E8">
        <v>1</v>
      </c>
    </row>
    <row r="9" spans="1:5" x14ac:dyDescent="0.25">
      <c r="A9" t="s">
        <v>23</v>
      </c>
      <c r="B9" t="s">
        <v>48</v>
      </c>
      <c r="C9" t="s">
        <v>47</v>
      </c>
      <c r="D9">
        <v>1</v>
      </c>
      <c r="E9">
        <v>0</v>
      </c>
    </row>
    <row r="10" spans="1:5" x14ac:dyDescent="0.25">
      <c r="A10" t="s">
        <v>23</v>
      </c>
      <c r="B10" t="s">
        <v>49</v>
      </c>
      <c r="C10" t="s">
        <v>53</v>
      </c>
      <c r="D10">
        <v>1</v>
      </c>
      <c r="E10">
        <v>0</v>
      </c>
    </row>
    <row r="11" spans="1:5" x14ac:dyDescent="0.25">
      <c r="A11" t="s">
        <v>23</v>
      </c>
      <c r="B11" t="s">
        <v>50</v>
      </c>
      <c r="C11" t="s">
        <v>54</v>
      </c>
      <c r="D11">
        <v>1</v>
      </c>
      <c r="E11">
        <v>0</v>
      </c>
    </row>
    <row r="12" spans="1:5" x14ac:dyDescent="0.25">
      <c r="A12" t="s">
        <v>23</v>
      </c>
      <c r="B12" s="4" t="s">
        <v>79</v>
      </c>
      <c r="C12" t="s">
        <v>80</v>
      </c>
      <c r="D12">
        <v>1</v>
      </c>
      <c r="E12">
        <v>1</v>
      </c>
    </row>
    <row r="13" spans="1:5" x14ac:dyDescent="0.25">
      <c r="A13" t="s">
        <v>23</v>
      </c>
      <c r="B13" s="4" t="s">
        <v>78</v>
      </c>
      <c r="C13" t="s">
        <v>81</v>
      </c>
      <c r="D13">
        <v>1</v>
      </c>
      <c r="E13">
        <v>1</v>
      </c>
    </row>
    <row r="14" spans="1:5" x14ac:dyDescent="0.25">
      <c r="A14" t="s">
        <v>23</v>
      </c>
      <c r="B14" t="s">
        <v>70</v>
      </c>
      <c r="C14" t="s">
        <v>71</v>
      </c>
      <c r="D14">
        <v>2</v>
      </c>
      <c r="E14">
        <v>2</v>
      </c>
    </row>
    <row r="15" spans="1:5" x14ac:dyDescent="0.25">
      <c r="A15" t="s">
        <v>23</v>
      </c>
      <c r="B15" t="s">
        <v>29</v>
      </c>
      <c r="C15" t="s">
        <v>31</v>
      </c>
      <c r="D15">
        <v>1</v>
      </c>
      <c r="E15">
        <v>1</v>
      </c>
    </row>
    <row r="16" spans="1:5" x14ac:dyDescent="0.25">
      <c r="A16" t="s">
        <v>23</v>
      </c>
      <c r="B16" t="s">
        <v>30</v>
      </c>
      <c r="C16" t="s">
        <v>32</v>
      </c>
      <c r="D16">
        <v>1</v>
      </c>
      <c r="E16">
        <v>1</v>
      </c>
    </row>
    <row r="17" spans="1:5" x14ac:dyDescent="0.25">
      <c r="A17" t="s">
        <v>23</v>
      </c>
      <c r="B17" s="4" t="s">
        <v>51</v>
      </c>
      <c r="C17" t="s">
        <v>33</v>
      </c>
      <c r="D17">
        <v>1</v>
      </c>
      <c r="E17">
        <v>0</v>
      </c>
    </row>
    <row r="18" spans="1:5" x14ac:dyDescent="0.25">
      <c r="A18" t="s">
        <v>23</v>
      </c>
      <c r="B18" s="4" t="s">
        <v>52</v>
      </c>
      <c r="C18" t="s">
        <v>34</v>
      </c>
      <c r="D18">
        <v>1</v>
      </c>
      <c r="E18">
        <v>1</v>
      </c>
    </row>
    <row r="19" spans="1:5" x14ac:dyDescent="0.25">
      <c r="A19" t="s">
        <v>23</v>
      </c>
      <c r="B19" s="4" t="s">
        <v>24</v>
      </c>
      <c r="C19" t="s">
        <v>25</v>
      </c>
      <c r="D19">
        <v>2</v>
      </c>
      <c r="E19">
        <v>2</v>
      </c>
    </row>
    <row r="20" spans="1:5" x14ac:dyDescent="0.25">
      <c r="A20" t="s">
        <v>23</v>
      </c>
      <c r="B20" s="4" t="s">
        <v>27</v>
      </c>
      <c r="C20" t="s">
        <v>28</v>
      </c>
      <c r="D20">
        <v>1</v>
      </c>
      <c r="E20">
        <v>0</v>
      </c>
    </row>
    <row r="21" spans="1:5" x14ac:dyDescent="0.25">
      <c r="A21" t="s">
        <v>15</v>
      </c>
      <c r="B21" s="4" t="s">
        <v>55</v>
      </c>
      <c r="C21" t="s">
        <v>56</v>
      </c>
      <c r="D21">
        <v>1</v>
      </c>
      <c r="E21">
        <v>1</v>
      </c>
    </row>
    <row r="22" spans="1:5" x14ac:dyDescent="0.25">
      <c r="A22" t="s">
        <v>15</v>
      </c>
      <c r="B22" s="4" t="s">
        <v>67</v>
      </c>
      <c r="C22" t="s">
        <v>26</v>
      </c>
      <c r="D22">
        <v>1</v>
      </c>
      <c r="E22">
        <v>1</v>
      </c>
    </row>
    <row r="23" spans="1:5" x14ac:dyDescent="0.25">
      <c r="A23" t="s">
        <v>23</v>
      </c>
      <c r="B23" t="s">
        <v>59</v>
      </c>
      <c r="C23" t="s">
        <v>60</v>
      </c>
      <c r="D23">
        <v>1</v>
      </c>
      <c r="E23">
        <v>1</v>
      </c>
    </row>
    <row r="24" spans="1:5" x14ac:dyDescent="0.25">
      <c r="A24" t="s">
        <v>23</v>
      </c>
      <c r="B24" t="s">
        <v>57</v>
      </c>
      <c r="C24" t="s">
        <v>58</v>
      </c>
      <c r="D24">
        <v>1</v>
      </c>
      <c r="E24">
        <v>1</v>
      </c>
    </row>
    <row r="25" spans="1:5" x14ac:dyDescent="0.25">
      <c r="A25" t="s">
        <v>15</v>
      </c>
      <c r="B25" s="4" t="s">
        <v>61</v>
      </c>
      <c r="C25" t="s">
        <v>16</v>
      </c>
      <c r="D25">
        <v>1</v>
      </c>
      <c r="E25">
        <v>0</v>
      </c>
    </row>
    <row r="26" spans="1:5" x14ac:dyDescent="0.25">
      <c r="A26" t="s">
        <v>15</v>
      </c>
      <c r="B26" s="4" t="s">
        <v>62</v>
      </c>
      <c r="C26" t="s">
        <v>17</v>
      </c>
      <c r="D26">
        <v>1</v>
      </c>
      <c r="E26">
        <v>0</v>
      </c>
    </row>
    <row r="27" spans="1:5" x14ac:dyDescent="0.25">
      <c r="A27" t="s">
        <v>15</v>
      </c>
      <c r="B27" s="4" t="s">
        <v>63</v>
      </c>
      <c r="C27" t="s">
        <v>18</v>
      </c>
      <c r="D27">
        <v>1</v>
      </c>
      <c r="E27">
        <v>0</v>
      </c>
    </row>
    <row r="28" spans="1:5" x14ac:dyDescent="0.25">
      <c r="A28" t="s">
        <v>15</v>
      </c>
      <c r="B28" s="4" t="s">
        <v>64</v>
      </c>
      <c r="C28" t="s">
        <v>19</v>
      </c>
      <c r="D28">
        <v>1</v>
      </c>
      <c r="E28">
        <v>0</v>
      </c>
    </row>
    <row r="29" spans="1:5" x14ac:dyDescent="0.25">
      <c r="A29" t="s">
        <v>15</v>
      </c>
      <c r="B29" s="4" t="s">
        <v>65</v>
      </c>
      <c r="C29" t="s">
        <v>66</v>
      </c>
      <c r="D29">
        <v>1</v>
      </c>
      <c r="E29">
        <v>0</v>
      </c>
    </row>
    <row r="30" spans="1:5" x14ac:dyDescent="0.25">
      <c r="A30" t="s">
        <v>23</v>
      </c>
      <c r="B30" s="4" t="s">
        <v>72</v>
      </c>
      <c r="C30" t="s">
        <v>74</v>
      </c>
      <c r="D30">
        <v>2</v>
      </c>
      <c r="E30">
        <v>2</v>
      </c>
    </row>
    <row r="31" spans="1:5" x14ac:dyDescent="0.25">
      <c r="A31" t="s">
        <v>23</v>
      </c>
      <c r="B31" s="4" t="s">
        <v>73</v>
      </c>
      <c r="C31" t="s">
        <v>75</v>
      </c>
      <c r="D31">
        <v>2</v>
      </c>
      <c r="E31">
        <v>2</v>
      </c>
    </row>
    <row r="32" spans="1:5" x14ac:dyDescent="0.25">
      <c r="A32" t="s">
        <v>23</v>
      </c>
      <c r="B32" s="4" t="s">
        <v>76</v>
      </c>
      <c r="C32" t="s">
        <v>77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3"/>
  <sheetViews>
    <sheetView zoomScale="85" zoomScaleNormal="85" workbookViewId="0">
      <selection activeCell="J3" sqref="J3:J8"/>
    </sheetView>
  </sheetViews>
  <sheetFormatPr defaultColWidth="11" defaultRowHeight="15.75" x14ac:dyDescent="0.25"/>
  <sheetData>
    <row r="2" spans="2:10" s="1" customFormat="1" x14ac:dyDescent="0.25">
      <c r="B2" s="1" t="s">
        <v>0</v>
      </c>
      <c r="D2" s="1" t="s">
        <v>1</v>
      </c>
      <c r="F2" s="1" t="s">
        <v>2</v>
      </c>
      <c r="H2" s="1" t="s">
        <v>20</v>
      </c>
      <c r="J2" s="1" t="s">
        <v>13</v>
      </c>
    </row>
    <row r="3" spans="2:10" x14ac:dyDescent="0.25">
      <c r="B3">
        <f>[1]sets!B3</f>
        <v>2015</v>
      </c>
      <c r="D3" t="str">
        <f>[1]sets!D3</f>
        <v>Belg</v>
      </c>
      <c r="F3" t="str">
        <f>[1]sets!F3</f>
        <v>AddisAbaba</v>
      </c>
      <c r="H3" t="str">
        <f>[1]sets!H3</f>
        <v>Teff</v>
      </c>
      <c r="J3" t="str">
        <f>[1]sets!J3</f>
        <v>Teff</v>
      </c>
    </row>
    <row r="4" spans="2:10" x14ac:dyDescent="0.25">
      <c r="D4" t="str">
        <f>[1]sets!D4</f>
        <v>Kremt</v>
      </c>
      <c r="F4" t="str">
        <f>[1]sets!F4</f>
        <v>Afar</v>
      </c>
      <c r="H4" t="str">
        <f>[1]sets!H4</f>
        <v>Sorghum</v>
      </c>
      <c r="J4" t="str">
        <f>[1]sets!J4</f>
        <v>Sorghum</v>
      </c>
    </row>
    <row r="5" spans="2:10" x14ac:dyDescent="0.25">
      <c r="F5" t="str">
        <f>[1]sets!F5</f>
        <v>Amhara</v>
      </c>
      <c r="H5" t="str">
        <f>[1]sets!H5</f>
        <v>Maize</v>
      </c>
      <c r="J5" t="str">
        <f>[1]sets!J5</f>
        <v>Maize</v>
      </c>
    </row>
    <row r="6" spans="2:10" x14ac:dyDescent="0.25">
      <c r="F6" t="str">
        <f>[1]sets!F6</f>
        <v>Gumuz</v>
      </c>
      <c r="H6" t="str">
        <f>[1]sets!H6</f>
        <v>Lentils</v>
      </c>
      <c r="J6" t="str">
        <f>[1]sets!J6</f>
        <v>Lentils</v>
      </c>
    </row>
    <row r="7" spans="2:10" x14ac:dyDescent="0.25">
      <c r="F7" t="str">
        <f>[1]sets!F7</f>
        <v>DireDawa</v>
      </c>
      <c r="H7" t="str">
        <f>[1]sets!H7</f>
        <v>Vegetables</v>
      </c>
      <c r="J7" t="str">
        <f>[1]sets!J7</f>
        <v>Vegetables</v>
      </c>
    </row>
    <row r="8" spans="2:10" x14ac:dyDescent="0.25">
      <c r="F8" t="str">
        <f>[1]sets!F8</f>
        <v>Gambela</v>
      </c>
      <c r="H8" t="str">
        <f>[1]sets!H8</f>
        <v>Coffee</v>
      </c>
      <c r="J8" t="str">
        <f>[1]sets!J8</f>
        <v>Coffee</v>
      </c>
    </row>
    <row r="9" spans="2:10" x14ac:dyDescent="0.25">
      <c r="F9" t="str">
        <f>[1]sets!F9</f>
        <v>Harari</v>
      </c>
      <c r="H9" t="str">
        <f>[1]sets!H9</f>
        <v>Beef</v>
      </c>
    </row>
    <row r="10" spans="2:10" x14ac:dyDescent="0.25">
      <c r="F10" t="str">
        <f>[1]sets!F10</f>
        <v>Oromia</v>
      </c>
      <c r="H10" t="str">
        <f>[1]sets!H10</f>
        <v>Milk</v>
      </c>
    </row>
    <row r="11" spans="2:10" x14ac:dyDescent="0.25">
      <c r="F11" t="str">
        <f>[1]sets!F11</f>
        <v>Somali</v>
      </c>
    </row>
    <row r="12" spans="2:10" x14ac:dyDescent="0.25">
      <c r="F12" t="str">
        <f>[1]sets!F12</f>
        <v>SNNPR</v>
      </c>
    </row>
    <row r="13" spans="2:10" x14ac:dyDescent="0.25">
      <c r="F13" t="str">
        <f>[1]sets!F13</f>
        <v>Tigray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tabSelected="1" topLeftCell="A84" zoomScale="85" zoomScaleNormal="85" workbookViewId="0">
      <selection activeCell="B102" sqref="B102"/>
    </sheetView>
  </sheetViews>
  <sheetFormatPr defaultColWidth="8.875" defaultRowHeight="15.75" x14ac:dyDescent="0.25"/>
  <cols>
    <col min="1" max="2" width="10.625" bestFit="1" customWidth="1"/>
    <col min="6" max="6" width="10.625" bestFit="1" customWidth="1"/>
    <col min="11" max="11" width="10.625" bestFit="1" customWidth="1"/>
  </cols>
  <sheetData>
    <row r="1" spans="1:2" x14ac:dyDescent="0.25">
      <c r="B1">
        <f t="array" ref="B1">TRANSPOSE(Years)</f>
        <v>2015</v>
      </c>
    </row>
    <row r="2" spans="1:2" x14ac:dyDescent="0.25">
      <c r="A2" t="str">
        <f>[1]Cattle!A2</f>
        <v>AddisAbaba</v>
      </c>
      <c r="B2">
        <f>[1]Cattle!B2</f>
        <v>1</v>
      </c>
    </row>
    <row r="3" spans="1:2" x14ac:dyDescent="0.25">
      <c r="A3" t="str">
        <f>[1]Cattle!A3</f>
        <v>Afar</v>
      </c>
      <c r="B3">
        <f>[1]Cattle!B3</f>
        <v>1</v>
      </c>
    </row>
    <row r="4" spans="1:2" x14ac:dyDescent="0.25">
      <c r="A4" t="str">
        <f>[1]Cattle!A4</f>
        <v>Amhara</v>
      </c>
      <c r="B4">
        <f>[1]Cattle!B4</f>
        <v>1</v>
      </c>
    </row>
    <row r="5" spans="1:2" x14ac:dyDescent="0.25">
      <c r="A5" t="str">
        <f>[1]Cattle!A5</f>
        <v>Gumuz</v>
      </c>
      <c r="B5">
        <f>[1]Cattle!B5</f>
        <v>1</v>
      </c>
    </row>
    <row r="6" spans="1:2" x14ac:dyDescent="0.25">
      <c r="A6" t="str">
        <f>[1]Cattle!A6</f>
        <v>DireDawa</v>
      </c>
      <c r="B6">
        <f>[1]Cattle!B6</f>
        <v>1</v>
      </c>
    </row>
    <row r="7" spans="1:2" x14ac:dyDescent="0.25">
      <c r="A7" t="str">
        <f>[1]Cattle!A7</f>
        <v>Gambela</v>
      </c>
      <c r="B7">
        <f>[1]Cattle!B7</f>
        <v>1</v>
      </c>
    </row>
    <row r="8" spans="1:2" x14ac:dyDescent="0.25">
      <c r="A8" t="str">
        <f>[1]Cattle!A8</f>
        <v>Harari</v>
      </c>
      <c r="B8">
        <f>[1]Cattle!B8</f>
        <v>1</v>
      </c>
    </row>
    <row r="9" spans="1:2" x14ac:dyDescent="0.25">
      <c r="A9" t="str">
        <f>[1]Cattle!A9</f>
        <v>Oromia</v>
      </c>
      <c r="B9">
        <f>[1]Cattle!B9</f>
        <v>1</v>
      </c>
    </row>
    <row r="10" spans="1:2" x14ac:dyDescent="0.25">
      <c r="A10" t="str">
        <f>[1]Cattle!A10</f>
        <v>Somali</v>
      </c>
      <c r="B10">
        <f>[1]Cattle!B10</f>
        <v>1</v>
      </c>
    </row>
    <row r="11" spans="1:2" x14ac:dyDescent="0.25">
      <c r="A11" t="str">
        <f>[1]Cattle!A11</f>
        <v>SNNPR</v>
      </c>
      <c r="B11">
        <f>[1]Cattle!B11</f>
        <v>1</v>
      </c>
    </row>
    <row r="12" spans="1:2" x14ac:dyDescent="0.25">
      <c r="A12" t="str">
        <f>[1]Cattle!A12</f>
        <v>Tigray</v>
      </c>
      <c r="B12">
        <f>[1]Cattle!B12</f>
        <v>1</v>
      </c>
    </row>
    <row r="21" spans="1:2" x14ac:dyDescent="0.25">
      <c r="B21">
        <f t="array" ref="B21">TRANSPOSE(Years)</f>
        <v>2015</v>
      </c>
    </row>
    <row r="22" spans="1:2" x14ac:dyDescent="0.25">
      <c r="A22" t="str">
        <f t="array" ref="A22:A32">Nodes</f>
        <v>AddisAbaba</v>
      </c>
      <c r="B22">
        <f>[1]Cattle!B22</f>
        <v>1</v>
      </c>
    </row>
    <row r="23" spans="1:2" x14ac:dyDescent="0.25">
      <c r="A23" t="str">
        <v>Afar</v>
      </c>
      <c r="B23">
        <f>[1]Cattle!B23</f>
        <v>1</v>
      </c>
    </row>
    <row r="24" spans="1:2" x14ac:dyDescent="0.25">
      <c r="A24" t="str">
        <v>Amhara</v>
      </c>
      <c r="B24">
        <f>[1]Cattle!B24</f>
        <v>1</v>
      </c>
    </row>
    <row r="25" spans="1:2" x14ac:dyDescent="0.25">
      <c r="A25" t="str">
        <v>Gumuz</v>
      </c>
      <c r="B25">
        <f>[1]Cattle!B25</f>
        <v>1</v>
      </c>
    </row>
    <row r="26" spans="1:2" x14ac:dyDescent="0.25">
      <c r="A26" t="str">
        <v>DireDawa</v>
      </c>
      <c r="B26">
        <f>[1]Cattle!B26</f>
        <v>1</v>
      </c>
    </row>
    <row r="27" spans="1:2" x14ac:dyDescent="0.25">
      <c r="A27" t="str">
        <v>Gambela</v>
      </c>
      <c r="B27">
        <f>[1]Cattle!B27</f>
        <v>1</v>
      </c>
    </row>
    <row r="28" spans="1:2" x14ac:dyDescent="0.25">
      <c r="A28" t="str">
        <v>Harari</v>
      </c>
      <c r="B28">
        <f>[1]Cattle!B28</f>
        <v>1</v>
      </c>
    </row>
    <row r="29" spans="1:2" x14ac:dyDescent="0.25">
      <c r="A29" t="str">
        <v>Oromia</v>
      </c>
      <c r="B29">
        <f>[1]Cattle!B29</f>
        <v>1</v>
      </c>
    </row>
    <row r="30" spans="1:2" x14ac:dyDescent="0.25">
      <c r="A30" t="str">
        <v>Somali</v>
      </c>
      <c r="B30">
        <f>[1]Cattle!B30</f>
        <v>1</v>
      </c>
    </row>
    <row r="31" spans="1:2" x14ac:dyDescent="0.25">
      <c r="A31" t="str">
        <v>SNNPR</v>
      </c>
      <c r="B31">
        <f>[1]Cattle!B31</f>
        <v>1</v>
      </c>
    </row>
    <row r="32" spans="1:2" x14ac:dyDescent="0.25">
      <c r="A32" t="str">
        <v>Tigray</v>
      </c>
      <c r="B32">
        <f>[1]Cattle!B32</f>
        <v>1</v>
      </c>
    </row>
    <row r="41" spans="1:2" x14ac:dyDescent="0.25">
      <c r="B41">
        <f t="array" ref="B41">TRANSPOSE(Years)</f>
        <v>2015</v>
      </c>
    </row>
    <row r="42" spans="1:2" x14ac:dyDescent="0.25">
      <c r="A42" t="str">
        <f>[1]Cattle!A42</f>
        <v>AddisAbaba</v>
      </c>
      <c r="B42">
        <f>[1]Cattle!B42</f>
        <v>1</v>
      </c>
    </row>
    <row r="43" spans="1:2" x14ac:dyDescent="0.25">
      <c r="A43" t="str">
        <f>[1]Cattle!A43</f>
        <v>Afar</v>
      </c>
      <c r="B43">
        <f>[1]Cattle!B43</f>
        <v>1</v>
      </c>
    </row>
    <row r="44" spans="1:2" x14ac:dyDescent="0.25">
      <c r="A44" t="str">
        <f>[1]Cattle!A44</f>
        <v>Amhara</v>
      </c>
      <c r="B44">
        <f>[1]Cattle!B44</f>
        <v>1</v>
      </c>
    </row>
    <row r="45" spans="1:2" x14ac:dyDescent="0.25">
      <c r="A45" t="str">
        <f>[1]Cattle!A45</f>
        <v>Gumuz</v>
      </c>
      <c r="B45">
        <f>[1]Cattle!B45</f>
        <v>1</v>
      </c>
    </row>
    <row r="46" spans="1:2" x14ac:dyDescent="0.25">
      <c r="A46" t="str">
        <f>[1]Cattle!A46</f>
        <v>DireDawa</v>
      </c>
      <c r="B46">
        <f>[1]Cattle!B46</f>
        <v>1</v>
      </c>
    </row>
    <row r="47" spans="1:2" x14ac:dyDescent="0.25">
      <c r="A47" t="str">
        <f>[1]Cattle!A47</f>
        <v>Gambela</v>
      </c>
      <c r="B47">
        <f>[1]Cattle!B47</f>
        <v>1</v>
      </c>
    </row>
    <row r="48" spans="1:2" x14ac:dyDescent="0.25">
      <c r="A48" t="str">
        <f>[1]Cattle!A48</f>
        <v>Harari</v>
      </c>
      <c r="B48">
        <f>[1]Cattle!B48</f>
        <v>1</v>
      </c>
    </row>
    <row r="49" spans="1:2" x14ac:dyDescent="0.25">
      <c r="A49" t="str">
        <f>[1]Cattle!A49</f>
        <v>Oromia</v>
      </c>
      <c r="B49">
        <f>[1]Cattle!B49</f>
        <v>1</v>
      </c>
    </row>
    <row r="50" spans="1:2" x14ac:dyDescent="0.25">
      <c r="A50" t="str">
        <f>[1]Cattle!A50</f>
        <v>Somali</v>
      </c>
      <c r="B50">
        <f>[1]Cattle!B50</f>
        <v>1</v>
      </c>
    </row>
    <row r="51" spans="1:2" x14ac:dyDescent="0.25">
      <c r="A51" t="str">
        <f>[1]Cattle!A51</f>
        <v>SNNPR</v>
      </c>
      <c r="B51">
        <f>[1]Cattle!B51</f>
        <v>1</v>
      </c>
    </row>
    <row r="52" spans="1:2" x14ac:dyDescent="0.25">
      <c r="A52" t="str">
        <f>[1]Cattle!A52</f>
        <v>Tigray</v>
      </c>
      <c r="B52">
        <f>[1]Cattle!B52</f>
        <v>1</v>
      </c>
    </row>
    <row r="61" spans="1:2" x14ac:dyDescent="0.25">
      <c r="B61">
        <v>2015</v>
      </c>
    </row>
    <row r="62" spans="1:2" x14ac:dyDescent="0.25">
      <c r="A62" t="str">
        <f>[1]Cattle!A62</f>
        <v>AddisAbaba</v>
      </c>
      <c r="B62">
        <f>[1]Cattle!B62</f>
        <v>0.7</v>
      </c>
    </row>
    <row r="63" spans="1:2" x14ac:dyDescent="0.25">
      <c r="A63" t="str">
        <f>[1]Cattle!A63</f>
        <v>Afar</v>
      </c>
      <c r="B63">
        <f>[1]Cattle!B63</f>
        <v>0.7</v>
      </c>
    </row>
    <row r="64" spans="1:2" x14ac:dyDescent="0.25">
      <c r="A64" t="str">
        <f>[1]Cattle!A64</f>
        <v>Amhara</v>
      </c>
      <c r="B64">
        <f>[1]Cattle!B64</f>
        <v>0.7</v>
      </c>
    </row>
    <row r="65" spans="1:2" x14ac:dyDescent="0.25">
      <c r="A65" t="str">
        <f>[1]Cattle!A65</f>
        <v>Gumuz</v>
      </c>
      <c r="B65">
        <f>[1]Cattle!B65</f>
        <v>0.7</v>
      </c>
    </row>
    <row r="66" spans="1:2" x14ac:dyDescent="0.25">
      <c r="A66" t="str">
        <f>[1]Cattle!A66</f>
        <v>DireDawa</v>
      </c>
      <c r="B66">
        <f>[1]Cattle!B66</f>
        <v>0.7</v>
      </c>
    </row>
    <row r="67" spans="1:2" x14ac:dyDescent="0.25">
      <c r="A67" t="str">
        <f>[1]Cattle!A67</f>
        <v>Gambela</v>
      </c>
      <c r="B67">
        <f>[1]Cattle!B67</f>
        <v>0.7</v>
      </c>
    </row>
    <row r="68" spans="1:2" x14ac:dyDescent="0.25">
      <c r="A68" t="str">
        <f>[1]Cattle!A68</f>
        <v>Harari</v>
      </c>
      <c r="B68">
        <f>[1]Cattle!B68</f>
        <v>0.7</v>
      </c>
    </row>
    <row r="69" spans="1:2" x14ac:dyDescent="0.25">
      <c r="A69" t="str">
        <f>[1]Cattle!A69</f>
        <v>Oromia</v>
      </c>
      <c r="B69">
        <f>[1]Cattle!B69</f>
        <v>0.7</v>
      </c>
    </row>
    <row r="70" spans="1:2" x14ac:dyDescent="0.25">
      <c r="A70" t="str">
        <f>[1]Cattle!A70</f>
        <v>Somali</v>
      </c>
      <c r="B70">
        <f>[1]Cattle!B70</f>
        <v>0.7</v>
      </c>
    </row>
    <row r="71" spans="1:2" x14ac:dyDescent="0.25">
      <c r="A71" t="str">
        <f>[1]Cattle!A71</f>
        <v>SNNPR</v>
      </c>
      <c r="B71">
        <f>[1]Cattle!B71</f>
        <v>0.7</v>
      </c>
    </row>
    <row r="72" spans="1:2" x14ac:dyDescent="0.25">
      <c r="A72" t="str">
        <f>[1]Cattle!A72</f>
        <v>Tigray</v>
      </c>
      <c r="B72">
        <f>[1]Cattle!B72</f>
        <v>0.7</v>
      </c>
    </row>
    <row r="81" spans="1:2" x14ac:dyDescent="0.25">
      <c r="B81">
        <v>2015</v>
      </c>
    </row>
    <row r="82" spans="1:2" x14ac:dyDescent="0.25">
      <c r="A82" t="str">
        <f>[1]Cattle!A82</f>
        <v>AddisAbaba</v>
      </c>
      <c r="B82">
        <f>[1]Cattle!B82</f>
        <v>1</v>
      </c>
    </row>
    <row r="83" spans="1:2" x14ac:dyDescent="0.25">
      <c r="A83" t="str">
        <f>[1]Cattle!A83</f>
        <v>Afar</v>
      </c>
      <c r="B83">
        <f>[1]Cattle!B83</f>
        <v>1</v>
      </c>
    </row>
    <row r="84" spans="1:2" x14ac:dyDescent="0.25">
      <c r="A84" t="str">
        <f>[1]Cattle!A84</f>
        <v>Amhara</v>
      </c>
      <c r="B84">
        <f>[1]Cattle!B84</f>
        <v>1</v>
      </c>
    </row>
    <row r="85" spans="1:2" x14ac:dyDescent="0.25">
      <c r="A85" t="str">
        <f>[1]Cattle!A85</f>
        <v>Gumuz</v>
      </c>
      <c r="B85">
        <f>[1]Cattle!B85</f>
        <v>1</v>
      </c>
    </row>
    <row r="86" spans="1:2" x14ac:dyDescent="0.25">
      <c r="A86" t="str">
        <f>[1]Cattle!A86</f>
        <v>DireDawa</v>
      </c>
      <c r="B86">
        <f>[1]Cattle!B86</f>
        <v>1</v>
      </c>
    </row>
    <row r="87" spans="1:2" x14ac:dyDescent="0.25">
      <c r="A87" t="str">
        <f>[1]Cattle!A87</f>
        <v>Gambela</v>
      </c>
      <c r="B87">
        <f>[1]Cattle!B87</f>
        <v>1</v>
      </c>
    </row>
    <row r="88" spans="1:2" x14ac:dyDescent="0.25">
      <c r="A88" t="str">
        <f>[1]Cattle!A88</f>
        <v>Harari</v>
      </c>
      <c r="B88">
        <f>[1]Cattle!B88</f>
        <v>1</v>
      </c>
    </row>
    <row r="89" spans="1:2" x14ac:dyDescent="0.25">
      <c r="A89" t="str">
        <f>[1]Cattle!A89</f>
        <v>Oromia</v>
      </c>
      <c r="B89">
        <f>[1]Cattle!B89</f>
        <v>1</v>
      </c>
    </row>
    <row r="90" spans="1:2" x14ac:dyDescent="0.25">
      <c r="A90" t="str">
        <f>[1]Cattle!A90</f>
        <v>Somali</v>
      </c>
      <c r="B90">
        <f>[1]Cattle!B90</f>
        <v>1</v>
      </c>
    </row>
    <row r="91" spans="1:2" x14ac:dyDescent="0.25">
      <c r="A91" t="str">
        <f>[1]Cattle!A91</f>
        <v>SNNPR</v>
      </c>
      <c r="B91">
        <f>[1]Cattle!B91</f>
        <v>1</v>
      </c>
    </row>
    <row r="92" spans="1:2" x14ac:dyDescent="0.25">
      <c r="A92" t="str">
        <f>[1]Cattle!A92</f>
        <v>Tigray</v>
      </c>
      <c r="B92">
        <f>[1]Cattle!B92</f>
        <v>1</v>
      </c>
    </row>
    <row r="101" spans="1:12" x14ac:dyDescent="0.25">
      <c r="B101" t="str">
        <f>[1]Cattle!B101</f>
        <v>AddisAbaba</v>
      </c>
      <c r="C101" t="str">
        <f>[1]Cattle!C101</f>
        <v>Afar</v>
      </c>
      <c r="D101" t="str">
        <f>[1]Cattle!D101</f>
        <v>Amhara</v>
      </c>
      <c r="E101" t="str">
        <f>[1]Cattle!E101</f>
        <v>Gumuz</v>
      </c>
      <c r="F101" t="str">
        <f>[1]Cattle!F101</f>
        <v>DireDawa</v>
      </c>
      <c r="G101" t="str">
        <f>[1]Cattle!G101</f>
        <v>Gambela</v>
      </c>
      <c r="H101" t="str">
        <f>[1]Cattle!H101</f>
        <v>Harari</v>
      </c>
      <c r="I101" t="str">
        <f>[1]Cattle!I101</f>
        <v>Oromia</v>
      </c>
      <c r="J101" t="str">
        <f>[1]Cattle!J101</f>
        <v>Somali</v>
      </c>
      <c r="K101" t="str">
        <f>[1]Cattle!K101</f>
        <v>SNNPR</v>
      </c>
      <c r="L101" t="str">
        <f>[1]Cattle!L101</f>
        <v>Tigray</v>
      </c>
    </row>
    <row r="102" spans="1:12" x14ac:dyDescent="0.25">
      <c r="A102" t="str">
        <f>[1]Cattle!A102</f>
        <v>AddisAbaba</v>
      </c>
      <c r="B102">
        <f>[1]Cattle!B102</f>
        <v>0.1</v>
      </c>
      <c r="C102">
        <f>[1]Cattle!C102</f>
        <v>0.1</v>
      </c>
      <c r="D102">
        <f>[1]Cattle!D102</f>
        <v>0.1</v>
      </c>
      <c r="E102">
        <f>[1]Cattle!E102</f>
        <v>0.1</v>
      </c>
      <c r="F102">
        <f>[1]Cattle!F102</f>
        <v>0.1</v>
      </c>
      <c r="G102">
        <f>[1]Cattle!G102</f>
        <v>0.1</v>
      </c>
      <c r="H102">
        <f>[1]Cattle!H102</f>
        <v>0.1</v>
      </c>
      <c r="I102">
        <f>[1]Cattle!I102</f>
        <v>0.1</v>
      </c>
      <c r="J102">
        <f>[1]Cattle!J102</f>
        <v>0.1</v>
      </c>
      <c r="K102">
        <f>[1]Cattle!K102</f>
        <v>0.1</v>
      </c>
      <c r="L102">
        <f>[1]Cattle!L102</f>
        <v>0.1</v>
      </c>
    </row>
    <row r="103" spans="1:12" x14ac:dyDescent="0.25">
      <c r="A103" t="str">
        <f>[1]Cattle!A103</f>
        <v>Afar</v>
      </c>
      <c r="B103">
        <f>[1]Cattle!B103</f>
        <v>0.1</v>
      </c>
      <c r="C103">
        <f>[1]Cattle!C103</f>
        <v>0.1</v>
      </c>
      <c r="D103">
        <f>[1]Cattle!D103</f>
        <v>0.1</v>
      </c>
      <c r="E103">
        <f>[1]Cattle!E103</f>
        <v>0.1</v>
      </c>
      <c r="F103">
        <f>[1]Cattle!F103</f>
        <v>0.1</v>
      </c>
      <c r="G103">
        <f>[1]Cattle!G103</f>
        <v>0.1</v>
      </c>
      <c r="H103">
        <f>[1]Cattle!H103</f>
        <v>0.1</v>
      </c>
      <c r="I103">
        <f>[1]Cattle!I103</f>
        <v>0.1</v>
      </c>
      <c r="J103">
        <f>[1]Cattle!J103</f>
        <v>0.1</v>
      </c>
      <c r="K103">
        <f>[1]Cattle!K103</f>
        <v>0.1</v>
      </c>
      <c r="L103">
        <f>[1]Cattle!L103</f>
        <v>0.1</v>
      </c>
    </row>
    <row r="104" spans="1:12" x14ac:dyDescent="0.25">
      <c r="A104" t="str">
        <f>[1]Cattle!A104</f>
        <v>Amhara</v>
      </c>
      <c r="B104">
        <f>[1]Cattle!B104</f>
        <v>0.1</v>
      </c>
      <c r="C104">
        <f>[1]Cattle!C104</f>
        <v>0.1</v>
      </c>
      <c r="D104">
        <f>[1]Cattle!D104</f>
        <v>0.1</v>
      </c>
      <c r="E104">
        <f>[1]Cattle!E104</f>
        <v>0.1</v>
      </c>
      <c r="F104">
        <f>[1]Cattle!F104</f>
        <v>0.1</v>
      </c>
      <c r="G104">
        <f>[1]Cattle!G104</f>
        <v>0.1</v>
      </c>
      <c r="H104">
        <f>[1]Cattle!H104</f>
        <v>0.1</v>
      </c>
      <c r="I104">
        <f>[1]Cattle!I104</f>
        <v>0.1</v>
      </c>
      <c r="J104">
        <f>[1]Cattle!J104</f>
        <v>0.1</v>
      </c>
      <c r="K104">
        <f>[1]Cattle!K104</f>
        <v>0.1</v>
      </c>
      <c r="L104">
        <f>[1]Cattle!L104</f>
        <v>0.1</v>
      </c>
    </row>
    <row r="105" spans="1:12" x14ac:dyDescent="0.25">
      <c r="A105" t="str">
        <f>[1]Cattle!A105</f>
        <v>Gumuz</v>
      </c>
      <c r="B105">
        <f>[1]Cattle!B105</f>
        <v>0.1</v>
      </c>
      <c r="C105">
        <f>[1]Cattle!C105</f>
        <v>0.1</v>
      </c>
      <c r="D105">
        <f>[1]Cattle!D105</f>
        <v>0.1</v>
      </c>
      <c r="E105">
        <f>[1]Cattle!E105</f>
        <v>0.1</v>
      </c>
      <c r="F105">
        <f>[1]Cattle!F105</f>
        <v>0.1</v>
      </c>
      <c r="G105">
        <f>[1]Cattle!G105</f>
        <v>0.1</v>
      </c>
      <c r="H105">
        <f>[1]Cattle!H105</f>
        <v>0.1</v>
      </c>
      <c r="I105">
        <f>[1]Cattle!I105</f>
        <v>0.1</v>
      </c>
      <c r="J105">
        <f>[1]Cattle!J105</f>
        <v>0.1</v>
      </c>
      <c r="K105">
        <f>[1]Cattle!K105</f>
        <v>0.1</v>
      </c>
      <c r="L105">
        <f>[1]Cattle!L105</f>
        <v>0.1</v>
      </c>
    </row>
    <row r="106" spans="1:12" x14ac:dyDescent="0.25">
      <c r="A106" t="str">
        <f>[1]Cattle!A106</f>
        <v>DireDawa</v>
      </c>
      <c r="B106">
        <f>[1]Cattle!B106</f>
        <v>0.1</v>
      </c>
      <c r="C106">
        <f>[1]Cattle!C106</f>
        <v>0.1</v>
      </c>
      <c r="D106">
        <f>[1]Cattle!D106</f>
        <v>0.1</v>
      </c>
      <c r="E106">
        <f>[1]Cattle!E106</f>
        <v>0.1</v>
      </c>
      <c r="F106">
        <f>[1]Cattle!F106</f>
        <v>0.1</v>
      </c>
      <c r="G106">
        <f>[1]Cattle!G106</f>
        <v>0.1</v>
      </c>
      <c r="H106">
        <f>[1]Cattle!H106</f>
        <v>0.1</v>
      </c>
      <c r="I106">
        <f>[1]Cattle!I106</f>
        <v>0.1</v>
      </c>
      <c r="J106">
        <f>[1]Cattle!J106</f>
        <v>0.1</v>
      </c>
      <c r="K106">
        <f>[1]Cattle!K106</f>
        <v>0.1</v>
      </c>
      <c r="L106">
        <f>[1]Cattle!L106</f>
        <v>0.1</v>
      </c>
    </row>
    <row r="107" spans="1:12" x14ac:dyDescent="0.25">
      <c r="A107" t="str">
        <f>[1]Cattle!A107</f>
        <v>Gambela</v>
      </c>
      <c r="B107">
        <f>[1]Cattle!B107</f>
        <v>0.1</v>
      </c>
      <c r="C107">
        <f>[1]Cattle!C107</f>
        <v>0.1</v>
      </c>
      <c r="D107">
        <f>[1]Cattle!D107</f>
        <v>0.1</v>
      </c>
      <c r="E107">
        <f>[1]Cattle!E107</f>
        <v>0.1</v>
      </c>
      <c r="F107">
        <f>[1]Cattle!F107</f>
        <v>0.1</v>
      </c>
      <c r="G107">
        <f>[1]Cattle!G107</f>
        <v>0.1</v>
      </c>
      <c r="H107">
        <f>[1]Cattle!H107</f>
        <v>0.1</v>
      </c>
      <c r="I107">
        <f>[1]Cattle!I107</f>
        <v>0.1</v>
      </c>
      <c r="J107">
        <f>[1]Cattle!J107</f>
        <v>0.1</v>
      </c>
      <c r="K107">
        <f>[1]Cattle!K107</f>
        <v>0.1</v>
      </c>
      <c r="L107">
        <f>[1]Cattle!L107</f>
        <v>0.1</v>
      </c>
    </row>
    <row r="108" spans="1:12" x14ac:dyDescent="0.25">
      <c r="A108" t="str">
        <f>[1]Cattle!A108</f>
        <v>Harari</v>
      </c>
      <c r="B108">
        <f>[1]Cattle!B108</f>
        <v>0.1</v>
      </c>
      <c r="C108">
        <f>[1]Cattle!C108</f>
        <v>0.1</v>
      </c>
      <c r="D108">
        <f>[1]Cattle!D108</f>
        <v>0.1</v>
      </c>
      <c r="E108">
        <f>[1]Cattle!E108</f>
        <v>0.1</v>
      </c>
      <c r="F108">
        <f>[1]Cattle!F108</f>
        <v>0.1</v>
      </c>
      <c r="G108">
        <f>[1]Cattle!G108</f>
        <v>0.1</v>
      </c>
      <c r="H108">
        <f>[1]Cattle!H108</f>
        <v>0.1</v>
      </c>
      <c r="I108">
        <f>[1]Cattle!I108</f>
        <v>0.1</v>
      </c>
      <c r="J108">
        <f>[1]Cattle!J108</f>
        <v>0.1</v>
      </c>
      <c r="K108">
        <f>[1]Cattle!K108</f>
        <v>0.1</v>
      </c>
      <c r="L108">
        <f>[1]Cattle!L108</f>
        <v>0.1</v>
      </c>
    </row>
    <row r="109" spans="1:12" x14ac:dyDescent="0.25">
      <c r="A109" t="str">
        <f>[1]Cattle!A109</f>
        <v>Oromia</v>
      </c>
      <c r="B109">
        <f>[1]Cattle!B109</f>
        <v>0.1</v>
      </c>
      <c r="C109">
        <f>[1]Cattle!C109</f>
        <v>0.1</v>
      </c>
      <c r="D109">
        <f>[1]Cattle!D109</f>
        <v>0.1</v>
      </c>
      <c r="E109">
        <f>[1]Cattle!E109</f>
        <v>0.1</v>
      </c>
      <c r="F109">
        <f>[1]Cattle!F109</f>
        <v>0.1</v>
      </c>
      <c r="G109">
        <f>[1]Cattle!G109</f>
        <v>0.1</v>
      </c>
      <c r="H109">
        <f>[1]Cattle!H109</f>
        <v>0.1</v>
      </c>
      <c r="I109">
        <f>[1]Cattle!I109</f>
        <v>0.1</v>
      </c>
      <c r="J109">
        <f>[1]Cattle!J109</f>
        <v>0.1</v>
      </c>
      <c r="K109">
        <f>[1]Cattle!K109</f>
        <v>0.1</v>
      </c>
      <c r="L109">
        <f>[1]Cattle!L109</f>
        <v>0.1</v>
      </c>
    </row>
    <row r="110" spans="1:12" x14ac:dyDescent="0.25">
      <c r="A110" t="str">
        <f>[1]Cattle!A110</f>
        <v>Somali</v>
      </c>
      <c r="B110">
        <f>[1]Cattle!B110</f>
        <v>0.1</v>
      </c>
      <c r="C110">
        <f>[1]Cattle!C110</f>
        <v>0.1</v>
      </c>
      <c r="D110">
        <f>[1]Cattle!D110</f>
        <v>0.1</v>
      </c>
      <c r="E110">
        <f>[1]Cattle!E110</f>
        <v>0.1</v>
      </c>
      <c r="F110">
        <f>[1]Cattle!F110</f>
        <v>0.1</v>
      </c>
      <c r="G110">
        <f>[1]Cattle!G110</f>
        <v>0.1</v>
      </c>
      <c r="H110">
        <f>[1]Cattle!H110</f>
        <v>0.1</v>
      </c>
      <c r="I110">
        <f>[1]Cattle!I110</f>
        <v>0.1</v>
      </c>
      <c r="J110">
        <f>[1]Cattle!J110</f>
        <v>0.1</v>
      </c>
      <c r="K110">
        <f>[1]Cattle!K110</f>
        <v>0.1</v>
      </c>
      <c r="L110">
        <f>[1]Cattle!L110</f>
        <v>0.1</v>
      </c>
    </row>
    <row r="111" spans="1:12" x14ac:dyDescent="0.25">
      <c r="A111" t="str">
        <f>[1]Cattle!A111</f>
        <v>SNNPR</v>
      </c>
      <c r="B111">
        <f>[1]Cattle!B111</f>
        <v>0.1</v>
      </c>
      <c r="C111">
        <f>[1]Cattle!C111</f>
        <v>0.1</v>
      </c>
      <c r="D111">
        <f>[1]Cattle!D111</f>
        <v>0.1</v>
      </c>
      <c r="E111">
        <f>[1]Cattle!E111</f>
        <v>0.1</v>
      </c>
      <c r="F111">
        <f>[1]Cattle!F111</f>
        <v>0.1</v>
      </c>
      <c r="G111">
        <f>[1]Cattle!G111</f>
        <v>0.1</v>
      </c>
      <c r="H111">
        <f>[1]Cattle!H111</f>
        <v>0.1</v>
      </c>
      <c r="I111">
        <f>[1]Cattle!I111</f>
        <v>0.1</v>
      </c>
      <c r="J111">
        <f>[1]Cattle!J111</f>
        <v>0.1</v>
      </c>
      <c r="K111">
        <f>[1]Cattle!K111</f>
        <v>0.1</v>
      </c>
      <c r="L111">
        <f>[1]Cattle!L111</f>
        <v>0.1</v>
      </c>
    </row>
    <row r="112" spans="1:12" x14ac:dyDescent="0.25">
      <c r="A112" t="str">
        <f>[1]Cattle!A112</f>
        <v>Tigray</v>
      </c>
      <c r="B112">
        <f>[1]Cattle!B112</f>
        <v>0.1</v>
      </c>
      <c r="C112">
        <f>[1]Cattle!C112</f>
        <v>0.1</v>
      </c>
      <c r="D112">
        <f>[1]Cattle!D112</f>
        <v>0.1</v>
      </c>
      <c r="E112">
        <f>[1]Cattle!E112</f>
        <v>0.1</v>
      </c>
      <c r="F112">
        <f>[1]Cattle!F112</f>
        <v>0.1</v>
      </c>
      <c r="G112">
        <f>[1]Cattle!G112</f>
        <v>0.1</v>
      </c>
      <c r="H112">
        <f>[1]Cattle!H112</f>
        <v>0.1</v>
      </c>
      <c r="I112">
        <f>[1]Cattle!I112</f>
        <v>0.1</v>
      </c>
      <c r="J112">
        <f>[1]Cattle!J112</f>
        <v>0.1</v>
      </c>
      <c r="K112">
        <f>[1]Cattle!K112</f>
        <v>0.1</v>
      </c>
      <c r="L112">
        <f>[1]Cattle!L112</f>
        <v>0.1</v>
      </c>
    </row>
    <row r="121" spans="1:12" x14ac:dyDescent="0.25">
      <c r="A121" t="str">
        <f>[1]Cattle!A121</f>
        <v>AddisAbaba</v>
      </c>
      <c r="B121">
        <f>[1]Cattle!B121</f>
        <v>41</v>
      </c>
      <c r="F121" t="str">
        <f>[1]Cattle!F121</f>
        <v>AddisAbaba</v>
      </c>
      <c r="G121">
        <f>[1]Cattle!G121</f>
        <v>13.666666666666666</v>
      </c>
      <c r="K121" t="str">
        <f>[1]Cattle!K121</f>
        <v>AddisAbaba</v>
      </c>
      <c r="L121">
        <f>[1]Cattle!L121</f>
        <v>0.3</v>
      </c>
    </row>
    <row r="122" spans="1:12" x14ac:dyDescent="0.25">
      <c r="A122" t="str">
        <f>[1]Cattle!A122</f>
        <v>Afar</v>
      </c>
      <c r="B122">
        <f>[1]Cattle!B122</f>
        <v>42</v>
      </c>
      <c r="F122" t="str">
        <f>[1]Cattle!F122</f>
        <v>Afar</v>
      </c>
      <c r="G122">
        <f>[1]Cattle!G122</f>
        <v>14</v>
      </c>
      <c r="K122" t="str">
        <f>[1]Cattle!K122</f>
        <v>Afar</v>
      </c>
      <c r="L122">
        <f>[1]Cattle!L122</f>
        <v>0.3</v>
      </c>
    </row>
    <row r="123" spans="1:12" x14ac:dyDescent="0.25">
      <c r="A123" t="str">
        <f>[1]Cattle!A123</f>
        <v>Amhara</v>
      </c>
      <c r="B123">
        <f>[1]Cattle!B123</f>
        <v>43</v>
      </c>
      <c r="F123" t="str">
        <f>[1]Cattle!F123</f>
        <v>Amhara</v>
      </c>
      <c r="G123">
        <f>[1]Cattle!G123</f>
        <v>14.333333333333334</v>
      </c>
      <c r="K123" t="str">
        <f>[1]Cattle!K123</f>
        <v>Amhara</v>
      </c>
      <c r="L123">
        <f>[1]Cattle!L123</f>
        <v>0.3</v>
      </c>
    </row>
    <row r="124" spans="1:12" x14ac:dyDescent="0.25">
      <c r="A124" t="str">
        <f>[1]Cattle!A124</f>
        <v>Gumuz</v>
      </c>
      <c r="B124">
        <f>[1]Cattle!B124</f>
        <v>44</v>
      </c>
      <c r="F124" t="str">
        <f>[1]Cattle!F124</f>
        <v>Gumuz</v>
      </c>
      <c r="G124">
        <f>[1]Cattle!G124</f>
        <v>14.666666666666666</v>
      </c>
      <c r="K124" t="str">
        <f>[1]Cattle!K124</f>
        <v>Gumuz</v>
      </c>
      <c r="L124">
        <f>[1]Cattle!L124</f>
        <v>0.3</v>
      </c>
    </row>
    <row r="125" spans="1:12" x14ac:dyDescent="0.25">
      <c r="A125" t="str">
        <f>[1]Cattle!A125</f>
        <v>DireDawa</v>
      </c>
      <c r="B125">
        <f>[1]Cattle!B125</f>
        <v>45</v>
      </c>
      <c r="F125" t="str">
        <f>[1]Cattle!F125</f>
        <v>DireDawa</v>
      </c>
      <c r="G125">
        <f>[1]Cattle!G125</f>
        <v>15</v>
      </c>
      <c r="K125" t="str">
        <f>[1]Cattle!K125</f>
        <v>DireDawa</v>
      </c>
      <c r="L125">
        <f>[1]Cattle!L125</f>
        <v>0.3</v>
      </c>
    </row>
    <row r="126" spans="1:12" x14ac:dyDescent="0.25">
      <c r="A126" t="str">
        <f>[1]Cattle!A126</f>
        <v>Gambela</v>
      </c>
      <c r="B126">
        <f>[1]Cattle!B126</f>
        <v>46</v>
      </c>
      <c r="F126" t="str">
        <f>[1]Cattle!F126</f>
        <v>Gambela</v>
      </c>
      <c r="G126">
        <f>[1]Cattle!G126</f>
        <v>15.333333333333334</v>
      </c>
      <c r="K126" t="str">
        <f>[1]Cattle!K126</f>
        <v>Gambela</v>
      </c>
      <c r="L126">
        <f>[1]Cattle!L126</f>
        <v>0.3</v>
      </c>
    </row>
    <row r="127" spans="1:12" x14ac:dyDescent="0.25">
      <c r="A127" t="str">
        <f>[1]Cattle!A127</f>
        <v>Harari</v>
      </c>
      <c r="B127">
        <f>[1]Cattle!B127</f>
        <v>47</v>
      </c>
      <c r="F127" t="str">
        <f>[1]Cattle!F127</f>
        <v>Harari</v>
      </c>
      <c r="G127">
        <f>[1]Cattle!G127</f>
        <v>15.666666666666666</v>
      </c>
      <c r="K127" t="str">
        <f>[1]Cattle!K127</f>
        <v>Harari</v>
      </c>
      <c r="L127">
        <f>[1]Cattle!L127</f>
        <v>0.3</v>
      </c>
    </row>
    <row r="128" spans="1:12" x14ac:dyDescent="0.25">
      <c r="A128" t="str">
        <f>[1]Cattle!A128</f>
        <v>Oromia</v>
      </c>
      <c r="B128">
        <f>[1]Cattle!B128</f>
        <v>48</v>
      </c>
      <c r="F128" t="str">
        <f>[1]Cattle!F128</f>
        <v>Oromia</v>
      </c>
      <c r="G128">
        <f>[1]Cattle!G128</f>
        <v>16</v>
      </c>
      <c r="K128" t="str">
        <f>[1]Cattle!K128</f>
        <v>Oromia</v>
      </c>
      <c r="L128">
        <f>[1]Cattle!L128</f>
        <v>0.3</v>
      </c>
    </row>
    <row r="129" spans="1:17" x14ac:dyDescent="0.25">
      <c r="A129" t="str">
        <f>[1]Cattle!A129</f>
        <v>Somali</v>
      </c>
      <c r="B129">
        <f>[1]Cattle!B129</f>
        <v>49</v>
      </c>
      <c r="F129" t="str">
        <f>[1]Cattle!F129</f>
        <v>Somali</v>
      </c>
      <c r="G129">
        <f>[1]Cattle!G129</f>
        <v>16.333333333333332</v>
      </c>
      <c r="K129" t="str">
        <f>[1]Cattle!K129</f>
        <v>Somali</v>
      </c>
      <c r="L129">
        <f>[1]Cattle!L129</f>
        <v>0.3</v>
      </c>
    </row>
    <row r="130" spans="1:17" x14ac:dyDescent="0.25">
      <c r="A130" t="str">
        <f>[1]Cattle!A130</f>
        <v>SNNPR</v>
      </c>
      <c r="B130">
        <f>[1]Cattle!B130</f>
        <v>50</v>
      </c>
      <c r="F130" t="str">
        <f>[1]Cattle!F130</f>
        <v>SNNPR</v>
      </c>
      <c r="G130">
        <f>[1]Cattle!G130</f>
        <v>16.666666666666668</v>
      </c>
      <c r="K130" t="str">
        <f>[1]Cattle!K130</f>
        <v>SNNPR</v>
      </c>
      <c r="L130">
        <f>[1]Cattle!L130</f>
        <v>0.3</v>
      </c>
    </row>
    <row r="131" spans="1:17" x14ac:dyDescent="0.25">
      <c r="A131" t="str">
        <f>[1]Cattle!A131</f>
        <v>Tigray</v>
      </c>
      <c r="B131">
        <f>[1]Cattle!B131</f>
        <v>51</v>
      </c>
      <c r="F131" t="str">
        <f>[1]Cattle!F131</f>
        <v>Tigray</v>
      </c>
      <c r="G131">
        <f>[1]Cattle!G131</f>
        <v>17</v>
      </c>
      <c r="K131" t="str">
        <f>[1]Cattle!K131</f>
        <v>Tigray</v>
      </c>
      <c r="L131">
        <f>[1]Cattle!L131</f>
        <v>0.3</v>
      </c>
    </row>
    <row r="141" spans="1:17" x14ac:dyDescent="0.25">
      <c r="B141">
        <v>2015</v>
      </c>
    </row>
    <row r="142" spans="1:17" x14ac:dyDescent="0.25">
      <c r="A142" t="str">
        <f t="array" ref="A142:A152">Nodes</f>
        <v>AddisAbaba</v>
      </c>
      <c r="B142" s="2">
        <f ca="1">5+RAND()*3</f>
        <v>5.2918695421058795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x14ac:dyDescent="0.25">
      <c r="A143" t="str">
        <v>Afar</v>
      </c>
      <c r="B143" s="2">
        <f t="shared" ref="B143:B152" ca="1" si="0">5+RAND()*3</f>
        <v>7.9517572245745285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x14ac:dyDescent="0.25">
      <c r="A144" t="str">
        <v>Amhara</v>
      </c>
      <c r="B144" s="2">
        <f t="shared" ca="1" si="0"/>
        <v>5.9346594611592502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x14ac:dyDescent="0.25">
      <c r="A145" t="str">
        <v>Gumuz</v>
      </c>
      <c r="B145" s="2">
        <f t="shared" ca="1" si="0"/>
        <v>7.7694390764712677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x14ac:dyDescent="0.25">
      <c r="A146" t="str">
        <v>DireDawa</v>
      </c>
      <c r="B146" s="2">
        <f t="shared" ca="1" si="0"/>
        <v>7.9088968119000036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x14ac:dyDescent="0.25">
      <c r="A147" t="str">
        <v>Gambela</v>
      </c>
      <c r="B147" s="2">
        <f t="shared" ca="1" si="0"/>
        <v>6.5012563791117701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1:17" x14ac:dyDescent="0.25">
      <c r="A148" t="str">
        <v>Harari</v>
      </c>
      <c r="B148" s="2">
        <f t="shared" ca="1" si="0"/>
        <v>7.8759543698241146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x14ac:dyDescent="0.25">
      <c r="A149" t="str">
        <v>Oromia</v>
      </c>
      <c r="B149" s="2">
        <f t="shared" ca="1" si="0"/>
        <v>7.4813058667062942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1:17" x14ac:dyDescent="0.25">
      <c r="A150" t="str">
        <v>Somali</v>
      </c>
      <c r="B150" s="2">
        <f t="shared" ca="1" si="0"/>
        <v>5.4453816924647693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1:17" x14ac:dyDescent="0.25">
      <c r="A151" t="str">
        <v>SNNPR</v>
      </c>
      <c r="B151" s="2">
        <f t="shared" ca="1" si="0"/>
        <v>7.5538821857500515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1:17" x14ac:dyDescent="0.25">
      <c r="A152" t="str">
        <v>Tigray</v>
      </c>
      <c r="B152" s="2">
        <f t="shared" ca="1" si="0"/>
        <v>6.1101979923642942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61" spans="1:17" x14ac:dyDescent="0.25">
      <c r="B161">
        <v>2015</v>
      </c>
    </row>
    <row r="162" spans="1:17" x14ac:dyDescent="0.25">
      <c r="A162" t="str">
        <f t="array" ref="A162:A172">Nodes</f>
        <v>AddisAbaba</v>
      </c>
      <c r="B162" s="2">
        <f ca="1">2+COLUMN()*2 + ROW()/4-40 +RAND()*2</f>
        <v>7.6149074293808434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5">
      <c r="A163" t="str">
        <v>Afar</v>
      </c>
      <c r="B163" s="2">
        <f t="shared" ref="B163:B172" ca="1" si="1">2+COLUMN()*2 + ROW()/4-40 +RAND()*2</f>
        <v>8.1139437118671474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5">
      <c r="A164" t="str">
        <v>Amhara</v>
      </c>
      <c r="B164" s="2">
        <f t="shared" ca="1" si="1"/>
        <v>7.0127022813700197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5">
      <c r="A165" t="str">
        <v>Gumuz</v>
      </c>
      <c r="B165" s="2">
        <f t="shared" ca="1" si="1"/>
        <v>8.8660352102131377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5">
      <c r="A166" t="str">
        <v>DireDawa</v>
      </c>
      <c r="B166" s="2">
        <f t="shared" ca="1" si="1"/>
        <v>7.5969355200157898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x14ac:dyDescent="0.25">
      <c r="A167" t="str">
        <v>Gambela</v>
      </c>
      <c r="B167" s="2">
        <f t="shared" ca="1" si="1"/>
        <v>8.2974471148121935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1:17" x14ac:dyDescent="0.25">
      <c r="A168" t="str">
        <v>Harari</v>
      </c>
      <c r="B168" s="2">
        <f t="shared" ca="1" si="1"/>
        <v>9.3862239415510285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x14ac:dyDescent="0.25">
      <c r="A169" t="str">
        <v>Oromia</v>
      </c>
      <c r="B169" s="2">
        <f t="shared" ca="1" si="1"/>
        <v>9.3965925954757594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1:17" x14ac:dyDescent="0.25">
      <c r="A170" t="str">
        <v>Somali</v>
      </c>
      <c r="B170" s="2">
        <f t="shared" ca="1" si="1"/>
        <v>8.7752303353839434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17" x14ac:dyDescent="0.25">
      <c r="A171" t="str">
        <v>SNNPR</v>
      </c>
      <c r="B171" s="2">
        <f t="shared" ca="1" si="1"/>
        <v>10.649124911798156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1:17" x14ac:dyDescent="0.25">
      <c r="A172" t="str">
        <v>Tigray</v>
      </c>
      <c r="B172" s="2">
        <f t="shared" ca="1" si="1"/>
        <v>9.2501177696794645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</sheetData>
  <pageMargins left="0.75" right="0.75" top="1" bottom="1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"/>
  <sheetViews>
    <sheetView zoomScale="85" zoomScaleNormal="85" workbookViewId="0"/>
  </sheetViews>
  <sheetFormatPr defaultColWidth="8.875" defaultRowHeight="15.75" x14ac:dyDescent="0.25"/>
  <cols>
    <col min="1" max="2" width="11.5" bestFit="1" customWidth="1"/>
  </cols>
  <sheetData>
    <row r="1" spans="1:38" s="1" customFormat="1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[1]Roads!B2</f>
        <v>No</v>
      </c>
      <c r="C2" s="3" t="str">
        <f>[1]Roads!C2</f>
        <v>Yes</v>
      </c>
      <c r="D2" s="3" t="str">
        <f>[1]Roads!D2</f>
        <v>Yes</v>
      </c>
      <c r="E2" s="3" t="str">
        <f>[1]Roads!E2</f>
        <v>Yes</v>
      </c>
      <c r="F2" s="3" t="str">
        <f>[1]Roads!F2</f>
        <v>Yes</v>
      </c>
      <c r="G2" s="3" t="str">
        <f>[1]Roads!G2</f>
        <v>Yes</v>
      </c>
      <c r="H2" s="3" t="str">
        <f>[1]Roads!H2</f>
        <v>Yes</v>
      </c>
      <c r="I2" s="3" t="str">
        <f>[1]Roads!I2</f>
        <v>Yes</v>
      </c>
      <c r="J2" s="3" t="str">
        <f>[1]Roads!J2</f>
        <v>Yes</v>
      </c>
      <c r="K2" s="3" t="str">
        <f>[1]Roads!K2</f>
        <v>Yes</v>
      </c>
      <c r="L2" s="3" t="str">
        <f>[1]Roads!L2</f>
        <v>Yes</v>
      </c>
      <c r="N2" s="1" t="s">
        <v>3</v>
      </c>
      <c r="O2">
        <f>[1]Roads!O2</f>
        <v>0</v>
      </c>
      <c r="P2">
        <f>[1]Roads!P2</f>
        <v>10</v>
      </c>
      <c r="Q2">
        <f>[1]Roads!Q2</f>
        <v>10</v>
      </c>
      <c r="R2">
        <f>[1]Roads!R2</f>
        <v>10</v>
      </c>
      <c r="S2">
        <f>[1]Roads!S2</f>
        <v>10</v>
      </c>
      <c r="T2">
        <f>[1]Roads!T2</f>
        <v>10</v>
      </c>
      <c r="U2">
        <f>[1]Roads!U2</f>
        <v>10</v>
      </c>
      <c r="V2">
        <f>[1]Roads!V2</f>
        <v>10</v>
      </c>
      <c r="W2">
        <f>[1]Roads!W2</f>
        <v>10</v>
      </c>
      <c r="X2">
        <f>[1]Roads!X2</f>
        <v>10</v>
      </c>
      <c r="Y2">
        <f>[1]Roads!Y2</f>
        <v>10</v>
      </c>
      <c r="AA2" s="1" t="s">
        <v>3</v>
      </c>
      <c r="AB2">
        <f>[1]Roads!AB2</f>
        <v>0</v>
      </c>
      <c r="AC2">
        <f>[1]Roads!AC2</f>
        <v>500</v>
      </c>
      <c r="AD2">
        <f>[1]Roads!AD2</f>
        <v>500</v>
      </c>
      <c r="AE2">
        <f>[1]Roads!AE2</f>
        <v>500</v>
      </c>
      <c r="AF2">
        <f>[1]Roads!AF2</f>
        <v>500</v>
      </c>
      <c r="AG2">
        <f>[1]Roads!AG2</f>
        <v>500</v>
      </c>
      <c r="AH2">
        <f>[1]Roads!AH2</f>
        <v>500</v>
      </c>
      <c r="AI2">
        <f>[1]Roads!AI2</f>
        <v>500</v>
      </c>
      <c r="AJ2">
        <f>[1]Roads!AJ2</f>
        <v>500</v>
      </c>
      <c r="AK2">
        <f>[1]Roads!AK2</f>
        <v>500</v>
      </c>
      <c r="AL2">
        <f>[1]Roads!AL2</f>
        <v>500</v>
      </c>
    </row>
    <row r="3" spans="1:38" x14ac:dyDescent="0.25">
      <c r="A3" s="1" t="s">
        <v>4</v>
      </c>
      <c r="B3" s="3" t="str">
        <f>[1]Roads!B3</f>
        <v>Yes</v>
      </c>
      <c r="C3" s="3" t="str">
        <f>[1]Roads!C3</f>
        <v>No</v>
      </c>
      <c r="D3" s="3" t="str">
        <f>[1]Roads!D3</f>
        <v>No</v>
      </c>
      <c r="E3" s="3" t="str">
        <f>[1]Roads!E3</f>
        <v>Yes</v>
      </c>
      <c r="F3" s="3" t="str">
        <f>[1]Roads!F3</f>
        <v>No</v>
      </c>
      <c r="G3" s="3" t="str">
        <f>[1]Roads!G3</f>
        <v>Yes</v>
      </c>
      <c r="H3" s="3" t="str">
        <f>[1]Roads!H3</f>
        <v>Yes</v>
      </c>
      <c r="I3" s="3" t="str">
        <f>[1]Roads!I3</f>
        <v>Yes</v>
      </c>
      <c r="J3" s="3" t="str">
        <f>[1]Roads!J3</f>
        <v>No</v>
      </c>
      <c r="K3" s="3" t="str">
        <f>[1]Roads!K3</f>
        <v>Yes</v>
      </c>
      <c r="L3" s="3" t="str">
        <f>[1]Roads!L3</f>
        <v>No</v>
      </c>
      <c r="N3" s="1" t="s">
        <v>4</v>
      </c>
      <c r="O3">
        <f>[1]Roads!O3</f>
        <v>10</v>
      </c>
      <c r="P3">
        <f>[1]Roads!P3</f>
        <v>0</v>
      </c>
      <c r="Q3">
        <f ca="1">[1]Roads!Q3</f>
        <v>10.323611812166954</v>
      </c>
      <c r="R3">
        <f ca="1">[1]Roads!R3</f>
        <v>13.176353943854021</v>
      </c>
      <c r="S3">
        <f ca="1">[1]Roads!S3</f>
        <v>10.299275456925066</v>
      </c>
      <c r="T3">
        <f ca="1">[1]Roads!T3</f>
        <v>11.530156164572134</v>
      </c>
      <c r="U3">
        <f ca="1">[1]Roads!U3</f>
        <v>11.816886308055759</v>
      </c>
      <c r="V3">
        <f ca="1">[1]Roads!V3</f>
        <v>11.243091796449605</v>
      </c>
      <c r="W3">
        <f ca="1">[1]Roads!W3</f>
        <v>11.736013183932178</v>
      </c>
      <c r="X3">
        <f ca="1">[1]Roads!X3</f>
        <v>13.808448024872362</v>
      </c>
      <c r="Y3">
        <f ca="1">[1]Roads!Y3</f>
        <v>10.440476734844173</v>
      </c>
      <c r="AA3" s="1" t="s">
        <v>4</v>
      </c>
      <c r="AB3">
        <f>[1]Roads!AB3</f>
        <v>500</v>
      </c>
      <c r="AC3">
        <f>[1]Roads!AC3</f>
        <v>0</v>
      </c>
      <c r="AD3">
        <f ca="1">[1]Roads!AD3</f>
        <v>293.52605582148283</v>
      </c>
      <c r="AE3">
        <f ca="1">[1]Roads!AE3</f>
        <v>277.01567281593145</v>
      </c>
      <c r="AF3">
        <f ca="1">[1]Roads!AF3</f>
        <v>262.92392479290868</v>
      </c>
      <c r="AG3">
        <f ca="1">[1]Roads!AG3</f>
        <v>252.9161991060711</v>
      </c>
      <c r="AH3">
        <f ca="1">[1]Roads!AH3</f>
        <v>284.18312156942858</v>
      </c>
      <c r="AI3">
        <f ca="1">[1]Roads!AI3</f>
        <v>262.81870319785395</v>
      </c>
      <c r="AJ3">
        <f ca="1">[1]Roads!AJ3</f>
        <v>251.84609554158547</v>
      </c>
      <c r="AK3">
        <f ca="1">[1]Roads!AK3</f>
        <v>255.45078878361278</v>
      </c>
      <c r="AL3">
        <f ca="1">[1]Roads!AL3</f>
        <v>255.25596196534218</v>
      </c>
    </row>
    <row r="4" spans="1:38" x14ac:dyDescent="0.25">
      <c r="A4" s="1" t="s">
        <v>5</v>
      </c>
      <c r="B4" s="3" t="str">
        <f>[1]Roads!B4</f>
        <v>Yes</v>
      </c>
      <c r="C4" s="3" t="str">
        <f>[1]Roads!C4</f>
        <v>No</v>
      </c>
      <c r="D4" s="3" t="str">
        <f>[1]Roads!D4</f>
        <v>No</v>
      </c>
      <c r="E4" s="3" t="str">
        <f>[1]Roads!E4</f>
        <v>Yes</v>
      </c>
      <c r="F4" s="3" t="str">
        <f>[1]Roads!F4</f>
        <v>No</v>
      </c>
      <c r="G4" s="3" t="str">
        <f>[1]Roads!G4</f>
        <v>No</v>
      </c>
      <c r="H4" s="3" t="str">
        <f>[1]Roads!H4</f>
        <v>Yes</v>
      </c>
      <c r="I4" s="3" t="str">
        <f>[1]Roads!I4</f>
        <v>No</v>
      </c>
      <c r="J4" s="3" t="str">
        <f>[1]Roads!J4</f>
        <v>Yes</v>
      </c>
      <c r="K4" s="3" t="str">
        <f>[1]Roads!K4</f>
        <v>Yes</v>
      </c>
      <c r="L4" s="3" t="str">
        <f>[1]Roads!L4</f>
        <v>Yes</v>
      </c>
      <c r="N4" s="1" t="s">
        <v>5</v>
      </c>
      <c r="O4">
        <f>[1]Roads!O4</f>
        <v>10</v>
      </c>
      <c r="P4">
        <f ca="1">[1]Roads!P4</f>
        <v>13.948802811825782</v>
      </c>
      <c r="Q4">
        <f>[1]Roads!Q4</f>
        <v>0</v>
      </c>
      <c r="R4">
        <f ca="1">[1]Roads!R4</f>
        <v>14.691017731480105</v>
      </c>
      <c r="S4">
        <f ca="1">[1]Roads!S4</f>
        <v>11.250923007899706</v>
      </c>
      <c r="T4">
        <f ca="1">[1]Roads!T4</f>
        <v>12.259416486112016</v>
      </c>
      <c r="U4">
        <f ca="1">[1]Roads!U4</f>
        <v>14.200479725479742</v>
      </c>
      <c r="V4">
        <f ca="1">[1]Roads!V4</f>
        <v>13.723988281449115</v>
      </c>
      <c r="W4">
        <f ca="1">[1]Roads!W4</f>
        <v>14.850284739595116</v>
      </c>
      <c r="X4">
        <f ca="1">[1]Roads!X4</f>
        <v>12.114534415543673</v>
      </c>
      <c r="Y4">
        <f ca="1">[1]Roads!Y4</f>
        <v>12.186039134912335</v>
      </c>
      <c r="AA4" s="1" t="s">
        <v>5</v>
      </c>
      <c r="AB4">
        <f>[1]Roads!AB4</f>
        <v>500</v>
      </c>
      <c r="AC4">
        <f ca="1">[1]Roads!AC4</f>
        <v>250.82919129352453</v>
      </c>
      <c r="AD4">
        <f>[1]Roads!AD4</f>
        <v>0</v>
      </c>
      <c r="AE4">
        <f ca="1">[1]Roads!AE4</f>
        <v>265.67857174223218</v>
      </c>
      <c r="AF4">
        <f ca="1">[1]Roads!AF4</f>
        <v>259.91588888256268</v>
      </c>
      <c r="AG4">
        <f ca="1">[1]Roads!AG4</f>
        <v>298.1609927785525</v>
      </c>
      <c r="AH4">
        <f ca="1">[1]Roads!AH4</f>
        <v>296.00701552672746</v>
      </c>
      <c r="AI4">
        <f ca="1">[1]Roads!AI4</f>
        <v>266.58974678061156</v>
      </c>
      <c r="AJ4">
        <f ca="1">[1]Roads!AJ4</f>
        <v>289.2859227122039</v>
      </c>
      <c r="AK4">
        <f ca="1">[1]Roads!AK4</f>
        <v>291.74684618508059</v>
      </c>
      <c r="AL4">
        <f ca="1">[1]Roads!AL4</f>
        <v>268.0699072963377</v>
      </c>
    </row>
    <row r="5" spans="1:38" x14ac:dyDescent="0.25">
      <c r="A5" s="1" t="s">
        <v>6</v>
      </c>
      <c r="B5" s="3" t="str">
        <f>[1]Roads!B5</f>
        <v>Yes</v>
      </c>
      <c r="C5" s="3" t="str">
        <f>[1]Roads!C5</f>
        <v>Yes</v>
      </c>
      <c r="D5" s="3" t="str">
        <f>[1]Roads!D5</f>
        <v>Yes</v>
      </c>
      <c r="E5" s="3" t="str">
        <f>[1]Roads!E5</f>
        <v>No</v>
      </c>
      <c r="F5" s="3" t="str">
        <f>[1]Roads!F5</f>
        <v>Yes</v>
      </c>
      <c r="G5" s="3" t="str">
        <f>[1]Roads!G5</f>
        <v>No</v>
      </c>
      <c r="H5" s="3" t="str">
        <f>[1]Roads!H5</f>
        <v>No</v>
      </c>
      <c r="I5" s="3" t="str">
        <f>[1]Roads!I5</f>
        <v>Yes</v>
      </c>
      <c r="J5" s="3" t="str">
        <f>[1]Roads!J5</f>
        <v>No</v>
      </c>
      <c r="K5" s="3" t="str">
        <f>[1]Roads!K5</f>
        <v>No</v>
      </c>
      <c r="L5" s="3" t="str">
        <f>[1]Roads!L5</f>
        <v>Yes</v>
      </c>
      <c r="N5" s="1" t="s">
        <v>6</v>
      </c>
      <c r="O5">
        <f>[1]Roads!O5</f>
        <v>10</v>
      </c>
      <c r="P5">
        <f ca="1">[1]Roads!P5</f>
        <v>12.680549153936768</v>
      </c>
      <c r="Q5">
        <f ca="1">[1]Roads!Q5</f>
        <v>12.833323086483098</v>
      </c>
      <c r="R5">
        <f>[1]Roads!R5</f>
        <v>0</v>
      </c>
      <c r="S5">
        <f ca="1">[1]Roads!S5</f>
        <v>13.745774933334385</v>
      </c>
      <c r="T5">
        <f ca="1">[1]Roads!T5</f>
        <v>14.17225807624339</v>
      </c>
      <c r="U5">
        <f ca="1">[1]Roads!U5</f>
        <v>10.616194961740803</v>
      </c>
      <c r="V5">
        <f ca="1">[1]Roads!V5</f>
        <v>10.484702863947229</v>
      </c>
      <c r="W5">
        <f ca="1">[1]Roads!W5</f>
        <v>14.175205292192002</v>
      </c>
      <c r="X5">
        <f ca="1">[1]Roads!X5</f>
        <v>11.15243551602258</v>
      </c>
      <c r="Y5">
        <f ca="1">[1]Roads!Y5</f>
        <v>10.558334395319969</v>
      </c>
      <c r="AA5" s="1" t="s">
        <v>6</v>
      </c>
      <c r="AB5">
        <f>[1]Roads!AB5</f>
        <v>500</v>
      </c>
      <c r="AC5">
        <f ca="1">[1]Roads!AC5</f>
        <v>254.40418572261052</v>
      </c>
      <c r="AD5">
        <f ca="1">[1]Roads!AD5</f>
        <v>290.98220740746098</v>
      </c>
      <c r="AE5">
        <f>[1]Roads!AE5</f>
        <v>0</v>
      </c>
      <c r="AF5">
        <f ca="1">[1]Roads!AF5</f>
        <v>282.71982750470414</v>
      </c>
      <c r="AG5">
        <f ca="1">[1]Roads!AG5</f>
        <v>294.61027807139834</v>
      </c>
      <c r="AH5">
        <f ca="1">[1]Roads!AH5</f>
        <v>259.68316987438038</v>
      </c>
      <c r="AI5">
        <f ca="1">[1]Roads!AI5</f>
        <v>273.13079753918623</v>
      </c>
      <c r="AJ5">
        <f ca="1">[1]Roads!AJ5</f>
        <v>254.29040359217419</v>
      </c>
      <c r="AK5">
        <f ca="1">[1]Roads!AK5</f>
        <v>260.10076292161148</v>
      </c>
      <c r="AL5">
        <f ca="1">[1]Roads!AL5</f>
        <v>265.47174767725534</v>
      </c>
    </row>
    <row r="6" spans="1:38" x14ac:dyDescent="0.25">
      <c r="A6" s="1" t="s">
        <v>7</v>
      </c>
      <c r="B6" s="3" t="str">
        <f>[1]Roads!B6</f>
        <v>Yes</v>
      </c>
      <c r="C6" s="3" t="str">
        <f>[1]Roads!C6</f>
        <v>No</v>
      </c>
      <c r="D6" s="3" t="str">
        <f>[1]Roads!D6</f>
        <v>No</v>
      </c>
      <c r="E6" s="3" t="str">
        <f>[1]Roads!E6</f>
        <v>Yes</v>
      </c>
      <c r="F6" s="3" t="str">
        <f>[1]Roads!F6</f>
        <v>No</v>
      </c>
      <c r="G6" s="3" t="str">
        <f>[1]Roads!G6</f>
        <v>Yes</v>
      </c>
      <c r="H6" s="3" t="str">
        <f>[1]Roads!H6</f>
        <v>Yes</v>
      </c>
      <c r="I6" s="3" t="str">
        <f>[1]Roads!I6</f>
        <v>Yes</v>
      </c>
      <c r="J6" s="3" t="str">
        <f>[1]Roads!J6</f>
        <v>No</v>
      </c>
      <c r="K6" s="3" t="str">
        <f>[1]Roads!K6</f>
        <v>No</v>
      </c>
      <c r="L6" s="3" t="str">
        <f>[1]Roads!L6</f>
        <v>Yes</v>
      </c>
      <c r="N6" s="1" t="s">
        <v>7</v>
      </c>
      <c r="O6">
        <f>[1]Roads!O6</f>
        <v>10</v>
      </c>
      <c r="P6">
        <f ca="1">[1]Roads!P6</f>
        <v>10.458715218703979</v>
      </c>
      <c r="Q6">
        <f ca="1">[1]Roads!Q6</f>
        <v>13.079295520914371</v>
      </c>
      <c r="R6">
        <f ca="1">[1]Roads!R6</f>
        <v>10.056634280103228</v>
      </c>
      <c r="S6">
        <f>[1]Roads!S6</f>
        <v>0</v>
      </c>
      <c r="T6">
        <f ca="1">[1]Roads!T6</f>
        <v>10.344834915923272</v>
      </c>
      <c r="U6">
        <f ca="1">[1]Roads!U6</f>
        <v>14.280241466310445</v>
      </c>
      <c r="V6">
        <f ca="1">[1]Roads!V6</f>
        <v>10.45295730873735</v>
      </c>
      <c r="W6">
        <f ca="1">[1]Roads!W6</f>
        <v>13.438872006708927</v>
      </c>
      <c r="X6">
        <f ca="1">[1]Roads!X6</f>
        <v>13.810095370451343</v>
      </c>
      <c r="Y6">
        <f ca="1">[1]Roads!Y6</f>
        <v>13.217921458158759</v>
      </c>
      <c r="AA6" s="1" t="s">
        <v>7</v>
      </c>
      <c r="AB6">
        <f>[1]Roads!AB6</f>
        <v>500</v>
      </c>
      <c r="AC6">
        <f ca="1">[1]Roads!AC6</f>
        <v>298.1289339119316</v>
      </c>
      <c r="AD6">
        <f ca="1">[1]Roads!AD6</f>
        <v>261.52718667607417</v>
      </c>
      <c r="AE6">
        <f ca="1">[1]Roads!AE6</f>
        <v>259.13804484190007</v>
      </c>
      <c r="AF6">
        <f>[1]Roads!AF6</f>
        <v>0</v>
      </c>
      <c r="AG6">
        <f ca="1">[1]Roads!AG6</f>
        <v>291.35789219028942</v>
      </c>
      <c r="AH6">
        <f ca="1">[1]Roads!AH6</f>
        <v>268.9071497018972</v>
      </c>
      <c r="AI6">
        <f ca="1">[1]Roads!AI6</f>
        <v>285.60266987633372</v>
      </c>
      <c r="AJ6">
        <f ca="1">[1]Roads!AJ6</f>
        <v>275.03928783925545</v>
      </c>
      <c r="AK6">
        <f ca="1">[1]Roads!AK6</f>
        <v>272.65385607704292</v>
      </c>
      <c r="AL6">
        <f ca="1">[1]Roads!AL6</f>
        <v>285.48601319290452</v>
      </c>
    </row>
    <row r="7" spans="1:38" x14ac:dyDescent="0.25">
      <c r="A7" s="1" t="s">
        <v>8</v>
      </c>
      <c r="B7" s="3" t="str">
        <f>[1]Roads!B7</f>
        <v>Yes</v>
      </c>
      <c r="C7" s="3" t="str">
        <f>[1]Roads!C7</f>
        <v>Yes</v>
      </c>
      <c r="D7" s="3" t="str">
        <f>[1]Roads!D7</f>
        <v>No</v>
      </c>
      <c r="E7" s="3" t="str">
        <f>[1]Roads!E7</f>
        <v>No</v>
      </c>
      <c r="F7" s="3" t="str">
        <f>[1]Roads!F7</f>
        <v>Yes</v>
      </c>
      <c r="G7" s="3" t="str">
        <f>[1]Roads!G7</f>
        <v>No</v>
      </c>
      <c r="H7" s="3" t="str">
        <f>[1]Roads!H7</f>
        <v>No</v>
      </c>
      <c r="I7" s="3" t="str">
        <f>[1]Roads!I7</f>
        <v>Yes</v>
      </c>
      <c r="J7" s="3" t="str">
        <f>[1]Roads!J7</f>
        <v>Yes</v>
      </c>
      <c r="K7" s="3" t="str">
        <f>[1]Roads!K7</f>
        <v>Yes</v>
      </c>
      <c r="L7" s="3" t="str">
        <f>[1]Roads!L7</f>
        <v>Yes</v>
      </c>
      <c r="N7" s="1" t="s">
        <v>8</v>
      </c>
      <c r="O7">
        <f>[1]Roads!O7</f>
        <v>10</v>
      </c>
      <c r="P7">
        <f ca="1">[1]Roads!P7</f>
        <v>10.181086793176144</v>
      </c>
      <c r="Q7">
        <f ca="1">[1]Roads!Q7</f>
        <v>13.888390988109499</v>
      </c>
      <c r="R7">
        <f ca="1">[1]Roads!R7</f>
        <v>12.02910559500739</v>
      </c>
      <c r="S7">
        <f ca="1">[1]Roads!S7</f>
        <v>11.40630527402109</v>
      </c>
      <c r="T7">
        <f>[1]Roads!T7</f>
        <v>0</v>
      </c>
      <c r="U7">
        <f ca="1">[1]Roads!U7</f>
        <v>13.666851187110048</v>
      </c>
      <c r="V7">
        <f ca="1">[1]Roads!V7</f>
        <v>10.639879203293759</v>
      </c>
      <c r="W7">
        <f ca="1">[1]Roads!W7</f>
        <v>14.474229398795787</v>
      </c>
      <c r="X7">
        <f ca="1">[1]Roads!X7</f>
        <v>14.461607970532267</v>
      </c>
      <c r="Y7">
        <f ca="1">[1]Roads!Y7</f>
        <v>13.399075301439499</v>
      </c>
      <c r="AA7" s="1" t="s">
        <v>8</v>
      </c>
      <c r="AB7">
        <f>[1]Roads!AB7</f>
        <v>500</v>
      </c>
      <c r="AC7">
        <f ca="1">[1]Roads!AC7</f>
        <v>287.57168646496257</v>
      </c>
      <c r="AD7">
        <f ca="1">[1]Roads!AD7</f>
        <v>257.93504526721699</v>
      </c>
      <c r="AE7">
        <f ca="1">[1]Roads!AE7</f>
        <v>285.02179025847164</v>
      </c>
      <c r="AF7">
        <f ca="1">[1]Roads!AF7</f>
        <v>290.91340161795745</v>
      </c>
      <c r="AG7">
        <f>[1]Roads!AG7</f>
        <v>0</v>
      </c>
      <c r="AH7">
        <f ca="1">[1]Roads!AH7</f>
        <v>267.74678146974719</v>
      </c>
      <c r="AI7">
        <f ca="1">[1]Roads!AI7</f>
        <v>270.88407474639473</v>
      </c>
      <c r="AJ7">
        <f ca="1">[1]Roads!AJ7</f>
        <v>262.23513485048113</v>
      </c>
      <c r="AK7">
        <f ca="1">[1]Roads!AK7</f>
        <v>253.20479547130088</v>
      </c>
      <c r="AL7">
        <f ca="1">[1]Roads!AL7</f>
        <v>260.40499018545108</v>
      </c>
    </row>
    <row r="8" spans="1:38" x14ac:dyDescent="0.25">
      <c r="A8" s="1" t="s">
        <v>9</v>
      </c>
      <c r="B8" s="3" t="str">
        <f>[1]Roads!B8</f>
        <v>Yes</v>
      </c>
      <c r="C8" s="3" t="str">
        <f>[1]Roads!C8</f>
        <v>Yes</v>
      </c>
      <c r="D8" s="3" t="str">
        <f>[1]Roads!D8</f>
        <v>Yes</v>
      </c>
      <c r="E8" s="3" t="str">
        <f>[1]Roads!E8</f>
        <v>No</v>
      </c>
      <c r="F8" s="3" t="str">
        <f>[1]Roads!F8</f>
        <v>Yes</v>
      </c>
      <c r="G8" s="3" t="str">
        <f>[1]Roads!G8</f>
        <v>No</v>
      </c>
      <c r="H8" s="3" t="str">
        <f>[1]Roads!H8</f>
        <v>No</v>
      </c>
      <c r="I8" s="3" t="str">
        <f>[1]Roads!I8</f>
        <v>No</v>
      </c>
      <c r="J8" s="3" t="str">
        <f>[1]Roads!J8</f>
        <v>Yes</v>
      </c>
      <c r="K8" s="3" t="str">
        <f>[1]Roads!K8</f>
        <v>Yes</v>
      </c>
      <c r="L8" s="3" t="str">
        <f>[1]Roads!L8</f>
        <v>Yes</v>
      </c>
      <c r="N8" s="1" t="s">
        <v>9</v>
      </c>
      <c r="O8">
        <f>[1]Roads!O8</f>
        <v>10</v>
      </c>
      <c r="P8">
        <f ca="1">[1]Roads!P8</f>
        <v>13.445571298550661</v>
      </c>
      <c r="Q8">
        <f ca="1">[1]Roads!Q8</f>
        <v>13.072797606346082</v>
      </c>
      <c r="R8">
        <f ca="1">[1]Roads!R8</f>
        <v>11.958326324579865</v>
      </c>
      <c r="S8">
        <f ca="1">[1]Roads!S8</f>
        <v>14.370235550789365</v>
      </c>
      <c r="T8">
        <f ca="1">[1]Roads!T8</f>
        <v>12.805576606157658</v>
      </c>
      <c r="U8">
        <f>[1]Roads!U8</f>
        <v>0</v>
      </c>
      <c r="V8">
        <f ca="1">[1]Roads!V8</f>
        <v>11.601935581345003</v>
      </c>
      <c r="W8">
        <f ca="1">[1]Roads!W8</f>
        <v>14.697954372571434</v>
      </c>
      <c r="X8">
        <f ca="1">[1]Roads!X8</f>
        <v>14.223034498873499</v>
      </c>
      <c r="Y8">
        <f ca="1">[1]Roads!Y8</f>
        <v>13.393690927433662</v>
      </c>
      <c r="AA8" s="1" t="s">
        <v>9</v>
      </c>
      <c r="AB8">
        <f>[1]Roads!AB8</f>
        <v>500</v>
      </c>
      <c r="AC8">
        <f ca="1">[1]Roads!AC8</f>
        <v>260.05645780229725</v>
      </c>
      <c r="AD8">
        <f ca="1">[1]Roads!AD8</f>
        <v>259.80508858831035</v>
      </c>
      <c r="AE8">
        <f ca="1">[1]Roads!AE8</f>
        <v>291.85379405106829</v>
      </c>
      <c r="AF8">
        <f ca="1">[1]Roads!AF8</f>
        <v>284.95486761818995</v>
      </c>
      <c r="AG8">
        <f ca="1">[1]Roads!AG8</f>
        <v>266.40579699262111</v>
      </c>
      <c r="AH8">
        <f>[1]Roads!AH8</f>
        <v>0</v>
      </c>
      <c r="AI8">
        <f ca="1">[1]Roads!AI8</f>
        <v>256.63448570985668</v>
      </c>
      <c r="AJ8">
        <f ca="1">[1]Roads!AJ8</f>
        <v>296.31264210683048</v>
      </c>
      <c r="AK8">
        <f ca="1">[1]Roads!AK8</f>
        <v>262.42032215859717</v>
      </c>
      <c r="AL8">
        <f ca="1">[1]Roads!AL8</f>
        <v>289.970405643211</v>
      </c>
    </row>
    <row r="9" spans="1:38" x14ac:dyDescent="0.25">
      <c r="A9" s="1" t="s">
        <v>10</v>
      </c>
      <c r="B9" s="3" t="str">
        <f>[1]Roads!B9</f>
        <v>Yes</v>
      </c>
      <c r="C9" s="3" t="str">
        <f>[1]Roads!C9</f>
        <v>Yes</v>
      </c>
      <c r="D9" s="3" t="str">
        <f>[1]Roads!D9</f>
        <v>No</v>
      </c>
      <c r="E9" s="3" t="str">
        <f>[1]Roads!E9</f>
        <v>Yes</v>
      </c>
      <c r="F9" s="3" t="str">
        <f>[1]Roads!F9</f>
        <v>Yes</v>
      </c>
      <c r="G9" s="3" t="str">
        <f>[1]Roads!G9</f>
        <v>Yes</v>
      </c>
      <c r="H9" s="3" t="str">
        <f>[1]Roads!H9</f>
        <v>No</v>
      </c>
      <c r="I9" s="3" t="str">
        <f>[1]Roads!I9</f>
        <v>No</v>
      </c>
      <c r="J9" s="3" t="str">
        <f>[1]Roads!J9</f>
        <v>Yes</v>
      </c>
      <c r="K9" s="3" t="str">
        <f>[1]Roads!K9</f>
        <v>No</v>
      </c>
      <c r="L9" s="3" t="str">
        <f>[1]Roads!L9</f>
        <v>No</v>
      </c>
      <c r="N9" s="1" t="s">
        <v>10</v>
      </c>
      <c r="O9">
        <f>[1]Roads!O9</f>
        <v>10</v>
      </c>
      <c r="P9">
        <f ca="1">[1]Roads!P9</f>
        <v>10.982294906926759</v>
      </c>
      <c r="Q9">
        <f ca="1">[1]Roads!Q9</f>
        <v>14.47475573441859</v>
      </c>
      <c r="R9">
        <f ca="1">[1]Roads!R9</f>
        <v>13.564848363015827</v>
      </c>
      <c r="S9">
        <f ca="1">[1]Roads!S9</f>
        <v>11.76608821233874</v>
      </c>
      <c r="T9">
        <f ca="1">[1]Roads!T9</f>
        <v>13.31593675081044</v>
      </c>
      <c r="U9">
        <f ca="1">[1]Roads!U9</f>
        <v>11.124675492347583</v>
      </c>
      <c r="V9">
        <f>[1]Roads!V9</f>
        <v>0</v>
      </c>
      <c r="W9">
        <f ca="1">[1]Roads!W9</f>
        <v>11.388150782442244</v>
      </c>
      <c r="X9">
        <f ca="1">[1]Roads!X9</f>
        <v>13.520639286722151</v>
      </c>
      <c r="Y9">
        <f ca="1">[1]Roads!Y9</f>
        <v>14.072076287638216</v>
      </c>
      <c r="AA9" s="1" t="s">
        <v>10</v>
      </c>
      <c r="AB9">
        <f>[1]Roads!AB9</f>
        <v>500</v>
      </c>
      <c r="AC9">
        <f ca="1">[1]Roads!AC9</f>
        <v>253.67892956691384</v>
      </c>
      <c r="AD9">
        <f ca="1">[1]Roads!AD9</f>
        <v>263.582126297782</v>
      </c>
      <c r="AE9">
        <f ca="1">[1]Roads!AE9</f>
        <v>277.52328212118931</v>
      </c>
      <c r="AF9">
        <f ca="1">[1]Roads!AF9</f>
        <v>296.21989389331196</v>
      </c>
      <c r="AG9">
        <f ca="1">[1]Roads!AG9</f>
        <v>282.92250277292555</v>
      </c>
      <c r="AH9">
        <f ca="1">[1]Roads!AH9</f>
        <v>268.15984163157367</v>
      </c>
      <c r="AI9">
        <f>[1]Roads!AI9</f>
        <v>0</v>
      </c>
      <c r="AJ9">
        <f ca="1">[1]Roads!AJ9</f>
        <v>295.76969177941334</v>
      </c>
      <c r="AK9">
        <f ca="1">[1]Roads!AK9</f>
        <v>250.50408072688435</v>
      </c>
      <c r="AL9">
        <f ca="1">[1]Roads!AL9</f>
        <v>265.88176317896267</v>
      </c>
    </row>
    <row r="10" spans="1:38" x14ac:dyDescent="0.25">
      <c r="A10" s="1" t="s">
        <v>11</v>
      </c>
      <c r="B10" s="3" t="str">
        <f>[1]Roads!B10</f>
        <v>Yes</v>
      </c>
      <c r="C10" s="3" t="str">
        <f>[1]Roads!C10</f>
        <v>No</v>
      </c>
      <c r="D10" s="3" t="str">
        <f>[1]Roads!D10</f>
        <v>Yes</v>
      </c>
      <c r="E10" s="3" t="str">
        <f>[1]Roads!E10</f>
        <v>No</v>
      </c>
      <c r="F10" s="3" t="str">
        <f>[1]Roads!F10</f>
        <v>No</v>
      </c>
      <c r="G10" s="3" t="str">
        <f>[1]Roads!G10</f>
        <v>Yes</v>
      </c>
      <c r="H10" s="3" t="str">
        <f>[1]Roads!H10</f>
        <v>Yes</v>
      </c>
      <c r="I10" s="3" t="str">
        <f>[1]Roads!I10</f>
        <v>Yes</v>
      </c>
      <c r="J10" s="3" t="str">
        <f>[1]Roads!J10</f>
        <v>No</v>
      </c>
      <c r="K10" s="3" t="str">
        <f>[1]Roads!K10</f>
        <v>Yes</v>
      </c>
      <c r="L10" s="3" t="str">
        <f>[1]Roads!L10</f>
        <v>No</v>
      </c>
      <c r="N10" s="1" t="s">
        <v>11</v>
      </c>
      <c r="O10">
        <f>[1]Roads!O10</f>
        <v>10</v>
      </c>
      <c r="P10">
        <f ca="1">[1]Roads!P10</f>
        <v>10.331996853011439</v>
      </c>
      <c r="Q10">
        <f ca="1">[1]Roads!Q10</f>
        <v>11.806528925348529</v>
      </c>
      <c r="R10">
        <f ca="1">[1]Roads!R10</f>
        <v>12.513564280669058</v>
      </c>
      <c r="S10">
        <f ca="1">[1]Roads!S10</f>
        <v>11.310030118994117</v>
      </c>
      <c r="T10">
        <f ca="1">[1]Roads!T10</f>
        <v>12.75722194912696</v>
      </c>
      <c r="U10">
        <f ca="1">[1]Roads!U10</f>
        <v>11.551550028748901</v>
      </c>
      <c r="V10">
        <f ca="1">[1]Roads!V10</f>
        <v>10.386284616571121</v>
      </c>
      <c r="W10">
        <f>[1]Roads!W10</f>
        <v>0</v>
      </c>
      <c r="X10">
        <f ca="1">[1]Roads!X10</f>
        <v>10.662149202852069</v>
      </c>
      <c r="Y10">
        <f ca="1">[1]Roads!Y10</f>
        <v>13.942593323493533</v>
      </c>
      <c r="AA10" s="1" t="s">
        <v>11</v>
      </c>
      <c r="AB10">
        <f>[1]Roads!AB10</f>
        <v>500</v>
      </c>
      <c r="AC10">
        <f ca="1">[1]Roads!AC10</f>
        <v>287.8447502287915</v>
      </c>
      <c r="AD10">
        <f ca="1">[1]Roads!AD10</f>
        <v>294.59594020663411</v>
      </c>
      <c r="AE10">
        <f ca="1">[1]Roads!AE10</f>
        <v>259.24466850013107</v>
      </c>
      <c r="AF10">
        <f ca="1">[1]Roads!AF10</f>
        <v>259.03822262712032</v>
      </c>
      <c r="AG10">
        <f ca="1">[1]Roads!AG10</f>
        <v>255.74906992278002</v>
      </c>
      <c r="AH10">
        <f ca="1">[1]Roads!AH10</f>
        <v>264.28589504492015</v>
      </c>
      <c r="AI10">
        <f ca="1">[1]Roads!AI10</f>
        <v>296.30565499919049</v>
      </c>
      <c r="AJ10">
        <f>[1]Roads!AJ10</f>
        <v>0</v>
      </c>
      <c r="AK10">
        <f ca="1">[1]Roads!AK10</f>
        <v>263.26569974897745</v>
      </c>
      <c r="AL10">
        <f ca="1">[1]Roads!AL10</f>
        <v>266.97254894290177</v>
      </c>
    </row>
    <row r="11" spans="1:38" x14ac:dyDescent="0.25">
      <c r="A11" s="1" t="s">
        <v>14</v>
      </c>
      <c r="B11" s="3" t="str">
        <f>[1]Roads!B11</f>
        <v>Yes</v>
      </c>
      <c r="C11" s="3" t="str">
        <f>[1]Roads!C11</f>
        <v>Yes</v>
      </c>
      <c r="D11" s="3" t="str">
        <f>[1]Roads!D11</f>
        <v>Yes</v>
      </c>
      <c r="E11" s="3" t="str">
        <f>[1]Roads!E11</f>
        <v>No</v>
      </c>
      <c r="F11" s="3" t="str">
        <f>[1]Roads!F11</f>
        <v>No</v>
      </c>
      <c r="G11" s="3" t="str">
        <f>[1]Roads!G11</f>
        <v>Yes</v>
      </c>
      <c r="H11" s="3" t="str">
        <f>[1]Roads!H11</f>
        <v>Yes</v>
      </c>
      <c r="I11" s="3" t="str">
        <f>[1]Roads!I11</f>
        <v>No</v>
      </c>
      <c r="J11" s="3" t="str">
        <f>[1]Roads!J11</f>
        <v>Yes</v>
      </c>
      <c r="K11" s="3" t="str">
        <f>[1]Roads!K11</f>
        <v>No</v>
      </c>
      <c r="L11" s="3" t="str">
        <f>[1]Roads!L11</f>
        <v>Yes</v>
      </c>
      <c r="N11" s="1" t="s">
        <v>14</v>
      </c>
      <c r="O11">
        <f>[1]Roads!O11</f>
        <v>10</v>
      </c>
      <c r="P11">
        <f ca="1">[1]Roads!P11</f>
        <v>13.468422980536616</v>
      </c>
      <c r="Q11">
        <f ca="1">[1]Roads!Q11</f>
        <v>12.196003420657913</v>
      </c>
      <c r="R11">
        <f ca="1">[1]Roads!R11</f>
        <v>13.462861191036234</v>
      </c>
      <c r="S11">
        <f ca="1">[1]Roads!S11</f>
        <v>12.281802193471748</v>
      </c>
      <c r="T11">
        <f ca="1">[1]Roads!T11</f>
        <v>11.578264644194107</v>
      </c>
      <c r="U11">
        <f ca="1">[1]Roads!U11</f>
        <v>14.4223175305951</v>
      </c>
      <c r="V11">
        <f ca="1">[1]Roads!V11</f>
        <v>11.667444773060669</v>
      </c>
      <c r="W11">
        <f ca="1">[1]Roads!W11</f>
        <v>10.685345731031113</v>
      </c>
      <c r="X11">
        <f>[1]Roads!X11</f>
        <v>0</v>
      </c>
      <c r="Y11">
        <f ca="1">[1]Roads!Y11</f>
        <v>11.652589795154952</v>
      </c>
      <c r="AA11" s="1" t="s">
        <v>14</v>
      </c>
      <c r="AB11">
        <f>[1]Roads!AB11</f>
        <v>500</v>
      </c>
      <c r="AC11">
        <f ca="1">[1]Roads!AC11</f>
        <v>266.414816949282</v>
      </c>
      <c r="AD11">
        <f ca="1">[1]Roads!AD11</f>
        <v>252.97122254305998</v>
      </c>
      <c r="AE11">
        <f ca="1">[1]Roads!AE11</f>
        <v>277.65968465478102</v>
      </c>
      <c r="AF11">
        <f ca="1">[1]Roads!AF11</f>
        <v>286.20746466243628</v>
      </c>
      <c r="AG11">
        <f ca="1">[1]Roads!AG11</f>
        <v>253.19539708225568</v>
      </c>
      <c r="AH11">
        <f ca="1">[1]Roads!AH11</f>
        <v>288.76380435505132</v>
      </c>
      <c r="AI11">
        <f ca="1">[1]Roads!AI11</f>
        <v>263.49554362264973</v>
      </c>
      <c r="AJ11">
        <f ca="1">[1]Roads!AJ11</f>
        <v>287.06561582468021</v>
      </c>
      <c r="AK11">
        <f>[1]Roads!AK11</f>
        <v>0</v>
      </c>
      <c r="AL11">
        <f ca="1">[1]Roads!AL11</f>
        <v>285.18833890435434</v>
      </c>
    </row>
    <row r="12" spans="1:38" x14ac:dyDescent="0.25">
      <c r="A12" s="1" t="s">
        <v>12</v>
      </c>
      <c r="B12" s="3" t="str">
        <f>[1]Roads!B12</f>
        <v>Yes</v>
      </c>
      <c r="C12" s="3" t="str">
        <f>[1]Roads!C12</f>
        <v>No</v>
      </c>
      <c r="D12" s="3" t="str">
        <f>[1]Roads!D12</f>
        <v>Yes</v>
      </c>
      <c r="E12" s="3" t="str">
        <f>[1]Roads!E12</f>
        <v>Yes</v>
      </c>
      <c r="F12" s="3" t="str">
        <f>[1]Roads!F12</f>
        <v>Yes</v>
      </c>
      <c r="G12" s="3" t="str">
        <f>[1]Roads!G12</f>
        <v>Yes</v>
      </c>
      <c r="H12" s="3" t="str">
        <f>[1]Roads!H12</f>
        <v>No</v>
      </c>
      <c r="I12" s="3" t="str">
        <f>[1]Roads!I12</f>
        <v>No</v>
      </c>
      <c r="J12" s="3" t="str">
        <f>[1]Roads!J12</f>
        <v>No</v>
      </c>
      <c r="K12" s="3" t="str">
        <f>[1]Roads!K12</f>
        <v>Yes</v>
      </c>
      <c r="L12" s="3" t="str">
        <f>[1]Roads!L12</f>
        <v>No</v>
      </c>
      <c r="N12" s="1" t="s">
        <v>12</v>
      </c>
      <c r="O12">
        <f>[1]Roads!O12</f>
        <v>10</v>
      </c>
      <c r="P12">
        <f ca="1">[1]Roads!P12</f>
        <v>14.294442472637591</v>
      </c>
      <c r="Q12">
        <f ca="1">[1]Roads!Q12</f>
        <v>12.704069226591596</v>
      </c>
      <c r="R12">
        <f ca="1">[1]Roads!R12</f>
        <v>12.254354842074068</v>
      </c>
      <c r="S12">
        <f ca="1">[1]Roads!S12</f>
        <v>11.270802069320201</v>
      </c>
      <c r="T12">
        <f ca="1">[1]Roads!T12</f>
        <v>10.84597587258917</v>
      </c>
      <c r="U12">
        <f ca="1">[1]Roads!U12</f>
        <v>13.48942743278451</v>
      </c>
      <c r="V12">
        <f ca="1">[1]Roads!V12</f>
        <v>14.449034667696317</v>
      </c>
      <c r="W12">
        <f ca="1">[1]Roads!W12</f>
        <v>12.223369588587415</v>
      </c>
      <c r="X12">
        <f ca="1">[1]Roads!X12</f>
        <v>11.940102228563463</v>
      </c>
      <c r="Y12">
        <f>[1]Roads!Y12</f>
        <v>0</v>
      </c>
      <c r="AA12" s="1" t="s">
        <v>12</v>
      </c>
      <c r="AB12">
        <f>[1]Roads!AB12</f>
        <v>500</v>
      </c>
      <c r="AC12">
        <f ca="1">[1]Roads!AC12</f>
        <v>271.08130743642437</v>
      </c>
      <c r="AD12">
        <f ca="1">[1]Roads!AD12</f>
        <v>296.2507574014316</v>
      </c>
      <c r="AE12">
        <f ca="1">[1]Roads!AE12</f>
        <v>287.29571922331581</v>
      </c>
      <c r="AF12">
        <f ca="1">[1]Roads!AF12</f>
        <v>299.01471899753756</v>
      </c>
      <c r="AG12">
        <f ca="1">[1]Roads!AG12</f>
        <v>273.07285764657047</v>
      </c>
      <c r="AH12">
        <f ca="1">[1]Roads!AH12</f>
        <v>268.35970459281845</v>
      </c>
      <c r="AI12">
        <f ca="1">[1]Roads!AI12</f>
        <v>257.85708707608967</v>
      </c>
      <c r="AJ12">
        <f ca="1">[1]Roads!AJ12</f>
        <v>257.64368413316936</v>
      </c>
      <c r="AK12">
        <f ca="1">[1]Roads!AK12</f>
        <v>263.80268545175619</v>
      </c>
      <c r="AL12">
        <f>[1]Roads!AL12</f>
        <v>0</v>
      </c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2"/>
  <sheetViews>
    <sheetView zoomScale="85" zoomScaleNormal="85" workbookViewId="0">
      <selection activeCell="AB2" sqref="AB2"/>
    </sheetView>
  </sheetViews>
  <sheetFormatPr defaultColWidth="8.875" defaultRowHeight="15.75" x14ac:dyDescent="0.25"/>
  <cols>
    <col min="1" max="2" width="11.5" bestFit="1" customWidth="1"/>
  </cols>
  <sheetData>
    <row r="1" spans="1:38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N1" s="1"/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Z1" s="1"/>
      <c r="AA1" s="1"/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[1]ElecLine!B2</f>
        <v>No</v>
      </c>
      <c r="C2" s="3" t="str">
        <f>[1]ElecLine!C2</f>
        <v>Yes</v>
      </c>
      <c r="D2" s="3" t="str">
        <f>[1]ElecLine!D2</f>
        <v>Yes</v>
      </c>
      <c r="E2" s="3" t="str">
        <f>[1]ElecLine!E2</f>
        <v>Yes</v>
      </c>
      <c r="F2" s="3" t="str">
        <f>[1]ElecLine!F2</f>
        <v>Yes</v>
      </c>
      <c r="G2" s="3" t="str">
        <f>[1]ElecLine!G2</f>
        <v>Yes</v>
      </c>
      <c r="H2" s="3" t="str">
        <f>[1]ElecLine!H2</f>
        <v>Yes</v>
      </c>
      <c r="I2" s="3" t="str">
        <f>[1]ElecLine!I2</f>
        <v>Yes</v>
      </c>
      <c r="J2" s="3" t="str">
        <f>[1]ElecLine!J2</f>
        <v>Yes</v>
      </c>
      <c r="K2" s="3" t="str">
        <f>[1]ElecLine!K2</f>
        <v>Yes</v>
      </c>
      <c r="L2" s="3" t="str">
        <f>[1]ElecLine!L2</f>
        <v>Yes</v>
      </c>
      <c r="N2" s="1" t="s">
        <v>3</v>
      </c>
      <c r="O2">
        <f>[1]ElecLine!O2</f>
        <v>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3</v>
      </c>
      <c r="AB2">
        <f>[1]ElecLine!AB2</f>
        <v>0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 x14ac:dyDescent="0.25">
      <c r="A3" s="1" t="s">
        <v>4</v>
      </c>
      <c r="B3" s="3" t="str">
        <f>[1]ElecLine!B3</f>
        <v>Yes</v>
      </c>
      <c r="C3" s="3" t="str">
        <f>[1]ElecLine!C3</f>
        <v>No</v>
      </c>
      <c r="D3" s="3" t="str">
        <f>[1]ElecLine!D3</f>
        <v>No</v>
      </c>
      <c r="E3" s="3" t="str">
        <f>[1]ElecLine!E3</f>
        <v>Yes</v>
      </c>
      <c r="F3" s="3" t="str">
        <f>[1]ElecLine!F3</f>
        <v>No</v>
      </c>
      <c r="G3" s="3" t="str">
        <f>[1]ElecLine!G3</f>
        <v>Yes</v>
      </c>
      <c r="H3" s="3" t="str">
        <f>[1]ElecLine!H3</f>
        <v>Yes</v>
      </c>
      <c r="I3" s="3" t="str">
        <f>[1]ElecLine!I3</f>
        <v>Yes</v>
      </c>
      <c r="J3" s="3" t="str">
        <f>[1]ElecLine!J3</f>
        <v>No</v>
      </c>
      <c r="K3" s="3" t="str">
        <f>[1]ElecLine!K3</f>
        <v>Yes</v>
      </c>
      <c r="L3" s="3" t="str">
        <f>[1]ElecLine!L3</f>
        <v>No</v>
      </c>
      <c r="N3" s="1" t="s">
        <v>4</v>
      </c>
      <c r="O3">
        <v>10</v>
      </c>
      <c r="Q3">
        <f t="shared" ref="P3:Y12" ca="1" si="0">10+5*RAND()</f>
        <v>13.682770689222059</v>
      </c>
      <c r="R3">
        <f t="shared" ca="1" si="0"/>
        <v>13.27903755366075</v>
      </c>
      <c r="S3">
        <f t="shared" ca="1" si="0"/>
        <v>10.151256649275519</v>
      </c>
      <c r="T3">
        <f t="shared" ca="1" si="0"/>
        <v>12.029372593377136</v>
      </c>
      <c r="U3">
        <f t="shared" ca="1" si="0"/>
        <v>11.055000908716128</v>
      </c>
      <c r="V3">
        <f t="shared" ca="1" si="0"/>
        <v>14.664953712034553</v>
      </c>
      <c r="W3">
        <f t="shared" ca="1" si="0"/>
        <v>13.182832399978523</v>
      </c>
      <c r="X3">
        <f t="shared" ca="1" si="0"/>
        <v>10.765228805192262</v>
      </c>
      <c r="Y3">
        <f t="shared" ca="1" si="0"/>
        <v>14.392825936965892</v>
      </c>
      <c r="AA3" s="1" t="s">
        <v>4</v>
      </c>
      <c r="AB3">
        <v>500</v>
      </c>
      <c r="AD3">
        <f t="shared" ref="AC3:AL12" ca="1" si="1">300-50*RAND()</f>
        <v>279.41866126169003</v>
      </c>
      <c r="AE3">
        <f t="shared" ca="1" si="1"/>
        <v>254.75232085399162</v>
      </c>
      <c r="AF3">
        <f t="shared" ca="1" si="1"/>
        <v>258.20636664904458</v>
      </c>
      <c r="AG3">
        <f t="shared" ca="1" si="1"/>
        <v>250.06717330171315</v>
      </c>
      <c r="AH3">
        <f t="shared" ca="1" si="1"/>
        <v>274.29741984043397</v>
      </c>
      <c r="AI3">
        <f t="shared" ca="1" si="1"/>
        <v>277.4751752316555</v>
      </c>
      <c r="AJ3">
        <f t="shared" ca="1" si="1"/>
        <v>283.92785948297421</v>
      </c>
      <c r="AK3">
        <f t="shared" ca="1" si="1"/>
        <v>284.40021677515591</v>
      </c>
      <c r="AL3">
        <f t="shared" ca="1" si="1"/>
        <v>269.3248968030195</v>
      </c>
    </row>
    <row r="4" spans="1:38" x14ac:dyDescent="0.25">
      <c r="A4" s="1" t="s">
        <v>5</v>
      </c>
      <c r="B4" s="3" t="str">
        <f>[1]ElecLine!B4</f>
        <v>Yes</v>
      </c>
      <c r="C4" s="3" t="str">
        <f>[1]ElecLine!C4</f>
        <v>No</v>
      </c>
      <c r="D4" s="3" t="str">
        <f>[1]ElecLine!D4</f>
        <v>No</v>
      </c>
      <c r="E4" s="3" t="str">
        <f>[1]ElecLine!E4</f>
        <v>Yes</v>
      </c>
      <c r="F4" s="3" t="str">
        <f>[1]ElecLine!F4</f>
        <v>No</v>
      </c>
      <c r="G4" s="3" t="str">
        <f>[1]ElecLine!G4</f>
        <v>No</v>
      </c>
      <c r="H4" s="3" t="str">
        <f>[1]ElecLine!H4</f>
        <v>Yes</v>
      </c>
      <c r="I4" s="3" t="str">
        <f>[1]ElecLine!I4</f>
        <v>No</v>
      </c>
      <c r="J4" s="3" t="str">
        <f>[1]ElecLine!J4</f>
        <v>Yes</v>
      </c>
      <c r="K4" s="3" t="str">
        <f>[1]ElecLine!K4</f>
        <v>Yes</v>
      </c>
      <c r="L4" s="3" t="str">
        <f>[1]ElecLine!L4</f>
        <v>No</v>
      </c>
      <c r="N4" s="1" t="s">
        <v>5</v>
      </c>
      <c r="O4">
        <v>10</v>
      </c>
      <c r="P4">
        <f t="shared" ca="1" si="0"/>
        <v>14.632023786132635</v>
      </c>
      <c r="R4">
        <f t="shared" ca="1" si="0"/>
        <v>13.059186300741541</v>
      </c>
      <c r="S4">
        <f t="shared" ca="1" si="0"/>
        <v>13.952205702071078</v>
      </c>
      <c r="T4">
        <f t="shared" ca="1" si="0"/>
        <v>12.842965307859377</v>
      </c>
      <c r="U4">
        <f t="shared" ca="1" si="0"/>
        <v>11.701972878091219</v>
      </c>
      <c r="V4">
        <f t="shared" ca="1" si="0"/>
        <v>13.960182933751506</v>
      </c>
      <c r="W4">
        <f t="shared" ca="1" si="0"/>
        <v>14.209980489527785</v>
      </c>
      <c r="X4">
        <f t="shared" ca="1" si="0"/>
        <v>14.062514536030072</v>
      </c>
      <c r="Y4">
        <f t="shared" ca="1" si="0"/>
        <v>10.11367895554018</v>
      </c>
      <c r="AA4" s="1" t="s">
        <v>5</v>
      </c>
      <c r="AB4">
        <v>500</v>
      </c>
      <c r="AC4">
        <f t="shared" ca="1" si="1"/>
        <v>294.2697825252551</v>
      </c>
      <c r="AE4">
        <f t="shared" ca="1" si="1"/>
        <v>289.82921538662833</v>
      </c>
      <c r="AF4">
        <f t="shared" ca="1" si="1"/>
        <v>257.00274609543339</v>
      </c>
      <c r="AG4">
        <f t="shared" ca="1" si="1"/>
        <v>291.01002843163508</v>
      </c>
      <c r="AH4">
        <f t="shared" ca="1" si="1"/>
        <v>294.37684531277966</v>
      </c>
      <c r="AI4">
        <f t="shared" ca="1" si="1"/>
        <v>269.0538327270981</v>
      </c>
      <c r="AJ4">
        <f t="shared" ca="1" si="1"/>
        <v>266.83460007360651</v>
      </c>
      <c r="AK4">
        <f t="shared" ca="1" si="1"/>
        <v>288.15234074692012</v>
      </c>
      <c r="AL4">
        <f t="shared" ca="1" si="1"/>
        <v>290.5055283528182</v>
      </c>
    </row>
    <row r="5" spans="1:38" x14ac:dyDescent="0.25">
      <c r="A5" s="1" t="s">
        <v>6</v>
      </c>
      <c r="B5" s="3" t="str">
        <f>[1]ElecLine!B5</f>
        <v>Yes</v>
      </c>
      <c r="C5" s="3" t="str">
        <f>[1]ElecLine!C5</f>
        <v>Yes</v>
      </c>
      <c r="D5" s="3" t="str">
        <f>[1]ElecLine!D5</f>
        <v>No</v>
      </c>
      <c r="E5" s="3" t="str">
        <f>[1]ElecLine!E5</f>
        <v>No</v>
      </c>
      <c r="F5" s="3" t="str">
        <f>[1]ElecLine!F5</f>
        <v>Yes</v>
      </c>
      <c r="G5" s="3" t="str">
        <f>[1]ElecLine!G5</f>
        <v>No</v>
      </c>
      <c r="H5" s="3" t="str">
        <f>[1]ElecLine!H5</f>
        <v>No</v>
      </c>
      <c r="I5" s="3" t="str">
        <f>[1]ElecLine!I5</f>
        <v>Yes</v>
      </c>
      <c r="J5" s="3" t="str">
        <f>[1]ElecLine!J5</f>
        <v>No</v>
      </c>
      <c r="K5" s="3" t="str">
        <f>[1]ElecLine!K5</f>
        <v>No</v>
      </c>
      <c r="L5" s="3" t="str">
        <f>[1]ElecLine!L5</f>
        <v>Yes</v>
      </c>
      <c r="N5" s="1" t="s">
        <v>6</v>
      </c>
      <c r="O5">
        <v>10</v>
      </c>
      <c r="P5">
        <f t="shared" ca="1" si="0"/>
        <v>10.437017273243116</v>
      </c>
      <c r="Q5">
        <f t="shared" ca="1" si="0"/>
        <v>11.996530316639745</v>
      </c>
      <c r="S5">
        <f t="shared" ca="1" si="0"/>
        <v>11.381280883753243</v>
      </c>
      <c r="T5">
        <f t="shared" ca="1" si="0"/>
        <v>10.077349712689148</v>
      </c>
      <c r="U5">
        <f t="shared" ca="1" si="0"/>
        <v>14.323146899960101</v>
      </c>
      <c r="V5">
        <f t="shared" ca="1" si="0"/>
        <v>10.141050213730033</v>
      </c>
      <c r="W5">
        <f t="shared" ca="1" si="0"/>
        <v>11.487654965275418</v>
      </c>
      <c r="X5">
        <f t="shared" ca="1" si="0"/>
        <v>11.858623996168387</v>
      </c>
      <c r="Y5">
        <f t="shared" ca="1" si="0"/>
        <v>13.810195156177508</v>
      </c>
      <c r="AA5" s="1" t="s">
        <v>6</v>
      </c>
      <c r="AB5">
        <v>500</v>
      </c>
      <c r="AC5">
        <f t="shared" ca="1" si="1"/>
        <v>274.94923690668583</v>
      </c>
      <c r="AD5">
        <f t="shared" ca="1" si="1"/>
        <v>250.19089029135856</v>
      </c>
      <c r="AF5">
        <f t="shared" ca="1" si="1"/>
        <v>250.2001688564923</v>
      </c>
      <c r="AG5">
        <f t="shared" ca="1" si="1"/>
        <v>271.43161130302911</v>
      </c>
      <c r="AH5">
        <f t="shared" ca="1" si="1"/>
        <v>273.50583405367865</v>
      </c>
      <c r="AI5">
        <f t="shared" ca="1" si="1"/>
        <v>263.79591836060865</v>
      </c>
      <c r="AJ5">
        <f t="shared" ca="1" si="1"/>
        <v>270.53241434176533</v>
      </c>
      <c r="AK5">
        <f t="shared" ca="1" si="1"/>
        <v>274.82998362946381</v>
      </c>
      <c r="AL5">
        <f t="shared" ca="1" si="1"/>
        <v>285.85318922711173</v>
      </c>
    </row>
    <row r="6" spans="1:38" x14ac:dyDescent="0.25">
      <c r="A6" s="1" t="s">
        <v>7</v>
      </c>
      <c r="B6" s="3" t="str">
        <f>[1]ElecLine!B6</f>
        <v>Yes</v>
      </c>
      <c r="C6" s="3" t="str">
        <f>[1]ElecLine!C6</f>
        <v>No</v>
      </c>
      <c r="D6" s="3" t="str">
        <f>[1]ElecLine!D6</f>
        <v>No</v>
      </c>
      <c r="E6" s="3" t="str">
        <f>[1]ElecLine!E6</f>
        <v>Yes</v>
      </c>
      <c r="F6" s="3" t="str">
        <f>[1]ElecLine!F6</f>
        <v>No</v>
      </c>
      <c r="G6" s="3" t="str">
        <f>[1]ElecLine!G6</f>
        <v>Yes</v>
      </c>
      <c r="H6" s="3" t="str">
        <f>[1]ElecLine!H6</f>
        <v>Yes</v>
      </c>
      <c r="I6" s="3" t="str">
        <f>[1]ElecLine!I6</f>
        <v>Yes</v>
      </c>
      <c r="J6" s="3" t="str">
        <f>[1]ElecLine!J6</f>
        <v>No</v>
      </c>
      <c r="K6" s="3" t="str">
        <f>[1]ElecLine!K6</f>
        <v>No</v>
      </c>
      <c r="L6" s="3" t="str">
        <f>[1]ElecLine!L6</f>
        <v>Yes</v>
      </c>
      <c r="N6" s="1" t="s">
        <v>7</v>
      </c>
      <c r="O6">
        <v>10</v>
      </c>
      <c r="P6">
        <f t="shared" ca="1" si="0"/>
        <v>11.405889391068403</v>
      </c>
      <c r="Q6">
        <f t="shared" ca="1" si="0"/>
        <v>13.673201116436857</v>
      </c>
      <c r="R6">
        <f t="shared" ca="1" si="0"/>
        <v>13.504456829427724</v>
      </c>
      <c r="T6">
        <f t="shared" ca="1" si="0"/>
        <v>11.406100870576163</v>
      </c>
      <c r="U6">
        <f t="shared" ca="1" si="0"/>
        <v>10.854549198741271</v>
      </c>
      <c r="V6">
        <f t="shared" ca="1" si="0"/>
        <v>12.417967804036545</v>
      </c>
      <c r="W6">
        <f t="shared" ca="1" si="0"/>
        <v>11.021170796395918</v>
      </c>
      <c r="X6">
        <f t="shared" ca="1" si="0"/>
        <v>13.042218523479072</v>
      </c>
      <c r="Y6">
        <f t="shared" ca="1" si="0"/>
        <v>13.620512652561411</v>
      </c>
      <c r="AA6" s="1" t="s">
        <v>7</v>
      </c>
      <c r="AB6">
        <v>500</v>
      </c>
      <c r="AC6">
        <f t="shared" ca="1" si="1"/>
        <v>283.39450328689009</v>
      </c>
      <c r="AD6">
        <f t="shared" ca="1" si="1"/>
        <v>294.82063453170514</v>
      </c>
      <c r="AE6">
        <f t="shared" ca="1" si="1"/>
        <v>258.68171917718479</v>
      </c>
      <c r="AG6">
        <f t="shared" ca="1" si="1"/>
        <v>259.59334137114013</v>
      </c>
      <c r="AH6">
        <f t="shared" ca="1" si="1"/>
        <v>259.86010230707569</v>
      </c>
      <c r="AI6">
        <f t="shared" ca="1" si="1"/>
        <v>272.76305557865226</v>
      </c>
      <c r="AJ6">
        <f t="shared" ca="1" si="1"/>
        <v>269.53875118894973</v>
      </c>
      <c r="AK6">
        <f t="shared" ca="1" si="1"/>
        <v>288.63494758292069</v>
      </c>
      <c r="AL6">
        <f t="shared" ca="1" si="1"/>
        <v>257.89032662058696</v>
      </c>
    </row>
    <row r="7" spans="1:38" x14ac:dyDescent="0.25">
      <c r="A7" s="1" t="s">
        <v>8</v>
      </c>
      <c r="B7" s="3" t="str">
        <f>[1]ElecLine!B7</f>
        <v>Yes</v>
      </c>
      <c r="C7" s="3" t="str">
        <f>[1]ElecLine!C7</f>
        <v>No</v>
      </c>
      <c r="D7" s="3" t="str">
        <f>[1]ElecLine!D7</f>
        <v>No</v>
      </c>
      <c r="E7" s="3" t="str">
        <f>[1]ElecLine!E7</f>
        <v>No</v>
      </c>
      <c r="F7" s="3" t="str">
        <f>[1]ElecLine!F7</f>
        <v>Yes</v>
      </c>
      <c r="G7" s="3" t="str">
        <f>[1]ElecLine!G7</f>
        <v>No</v>
      </c>
      <c r="H7" s="3" t="str">
        <f>[1]ElecLine!H7</f>
        <v>No</v>
      </c>
      <c r="I7" s="3" t="str">
        <f>[1]ElecLine!I7</f>
        <v>Yes</v>
      </c>
      <c r="J7" s="3" t="str">
        <f>[1]ElecLine!J7</f>
        <v>Yes</v>
      </c>
      <c r="K7" s="3" t="str">
        <f>[1]ElecLine!K7</f>
        <v>Yes</v>
      </c>
      <c r="L7" s="3" t="str">
        <f>[1]ElecLine!L7</f>
        <v>Yes</v>
      </c>
      <c r="N7" s="1" t="s">
        <v>8</v>
      </c>
      <c r="O7">
        <v>10</v>
      </c>
      <c r="P7">
        <f t="shared" ca="1" si="0"/>
        <v>13.178235423413192</v>
      </c>
      <c r="Q7">
        <f t="shared" ca="1" si="0"/>
        <v>10.143971479647606</v>
      </c>
      <c r="R7">
        <f t="shared" ca="1" si="0"/>
        <v>12.777959860511029</v>
      </c>
      <c r="S7">
        <f t="shared" ca="1" si="0"/>
        <v>14.128189665308588</v>
      </c>
      <c r="U7">
        <f t="shared" ca="1" si="0"/>
        <v>12.447662343790221</v>
      </c>
      <c r="V7">
        <f t="shared" ca="1" si="0"/>
        <v>11.833784486511401</v>
      </c>
      <c r="W7">
        <f t="shared" ca="1" si="0"/>
        <v>14.478286750388952</v>
      </c>
      <c r="X7">
        <f t="shared" ca="1" si="0"/>
        <v>13.035664260921324</v>
      </c>
      <c r="Y7">
        <f t="shared" ca="1" si="0"/>
        <v>10.202408545996281</v>
      </c>
      <c r="AA7" s="1" t="s">
        <v>8</v>
      </c>
      <c r="AB7">
        <v>500</v>
      </c>
      <c r="AC7">
        <f t="shared" ca="1" si="1"/>
        <v>260.08147862892122</v>
      </c>
      <c r="AD7">
        <f t="shared" ca="1" si="1"/>
        <v>277.47202880720835</v>
      </c>
      <c r="AE7">
        <f t="shared" ca="1" si="1"/>
        <v>286.50476056026355</v>
      </c>
      <c r="AF7">
        <f t="shared" ca="1" si="1"/>
        <v>271.15169472940971</v>
      </c>
      <c r="AH7">
        <f t="shared" ca="1" si="1"/>
        <v>273.52594544509861</v>
      </c>
      <c r="AI7">
        <f t="shared" ca="1" si="1"/>
        <v>250.60182193477485</v>
      </c>
      <c r="AJ7">
        <f t="shared" ca="1" si="1"/>
        <v>250.62322557288698</v>
      </c>
      <c r="AK7">
        <f t="shared" ca="1" si="1"/>
        <v>290.84191734971108</v>
      </c>
      <c r="AL7">
        <f t="shared" ca="1" si="1"/>
        <v>264.86448942627283</v>
      </c>
    </row>
    <row r="8" spans="1:38" x14ac:dyDescent="0.25">
      <c r="A8" s="1" t="s">
        <v>9</v>
      </c>
      <c r="B8" s="3" t="str">
        <f>[1]ElecLine!B8</f>
        <v>Yes</v>
      </c>
      <c r="C8" s="3" t="str">
        <f>[1]ElecLine!C8</f>
        <v>Yes</v>
      </c>
      <c r="D8" s="3" t="str">
        <f>[1]ElecLine!D8</f>
        <v>Yes</v>
      </c>
      <c r="E8" s="3" t="str">
        <f>[1]ElecLine!E8</f>
        <v>No</v>
      </c>
      <c r="F8" s="3" t="str">
        <f>[1]ElecLine!F8</f>
        <v>No</v>
      </c>
      <c r="G8" s="3" t="str">
        <f>[1]ElecLine!G8</f>
        <v>No</v>
      </c>
      <c r="H8" s="3" t="str">
        <f>[1]ElecLine!H8</f>
        <v>No</v>
      </c>
      <c r="I8" s="3" t="str">
        <f>[1]ElecLine!I8</f>
        <v>No</v>
      </c>
      <c r="J8" s="3" t="str">
        <f>[1]ElecLine!J8</f>
        <v>Yes</v>
      </c>
      <c r="K8" s="3" t="str">
        <f>[1]ElecLine!K8</f>
        <v>Yes</v>
      </c>
      <c r="L8" s="3" t="str">
        <f>[1]ElecLine!L8</f>
        <v>Yes</v>
      </c>
      <c r="N8" s="1" t="s">
        <v>9</v>
      </c>
      <c r="O8">
        <v>10</v>
      </c>
      <c r="P8">
        <f t="shared" ca="1" si="0"/>
        <v>12.984073258662981</v>
      </c>
      <c r="Q8">
        <f t="shared" ca="1" si="0"/>
        <v>13.900105029805992</v>
      </c>
      <c r="R8">
        <f t="shared" ca="1" si="0"/>
        <v>11.098445940848167</v>
      </c>
      <c r="S8">
        <f t="shared" ca="1" si="0"/>
        <v>14.177590975888226</v>
      </c>
      <c r="T8">
        <f t="shared" ca="1" si="0"/>
        <v>13.695708988504652</v>
      </c>
      <c r="V8">
        <f t="shared" ca="1" si="0"/>
        <v>13.608460181141993</v>
      </c>
      <c r="W8">
        <f t="shared" ca="1" si="0"/>
        <v>11.888691666623172</v>
      </c>
      <c r="X8">
        <f t="shared" ca="1" si="0"/>
        <v>10.001659007563552</v>
      </c>
      <c r="Y8">
        <f t="shared" ca="1" si="0"/>
        <v>14.769726467060366</v>
      </c>
      <c r="AA8" s="1" t="s">
        <v>9</v>
      </c>
      <c r="AB8">
        <v>500</v>
      </c>
      <c r="AC8">
        <f t="shared" ca="1" si="1"/>
        <v>297.17264181746179</v>
      </c>
      <c r="AD8">
        <f t="shared" ca="1" si="1"/>
        <v>293.00229790617146</v>
      </c>
      <c r="AE8">
        <f t="shared" ca="1" si="1"/>
        <v>253.66508311920649</v>
      </c>
      <c r="AF8">
        <f t="shared" ca="1" si="1"/>
        <v>298.43136466755044</v>
      </c>
      <c r="AG8">
        <f t="shared" ca="1" si="1"/>
        <v>277.16922548808566</v>
      </c>
      <c r="AI8">
        <f t="shared" ca="1" si="1"/>
        <v>257.54906774504354</v>
      </c>
      <c r="AJ8">
        <f t="shared" ca="1" si="1"/>
        <v>282.18815828363518</v>
      </c>
      <c r="AK8">
        <f t="shared" ca="1" si="1"/>
        <v>267.5598644670751</v>
      </c>
      <c r="AL8">
        <f t="shared" ca="1" si="1"/>
        <v>282.97678040215419</v>
      </c>
    </row>
    <row r="9" spans="1:38" x14ac:dyDescent="0.25">
      <c r="A9" s="1" t="s">
        <v>10</v>
      </c>
      <c r="B9" s="3" t="str">
        <f>[1]ElecLine!B9</f>
        <v>Yes</v>
      </c>
      <c r="C9" s="3" t="str">
        <f>[1]ElecLine!C9</f>
        <v>Yes</v>
      </c>
      <c r="D9" s="3" t="str">
        <f>[1]ElecLine!D9</f>
        <v>No</v>
      </c>
      <c r="E9" s="3" t="str">
        <f>[1]ElecLine!E9</f>
        <v>Yes</v>
      </c>
      <c r="F9" s="3" t="str">
        <f>[1]ElecLine!F9</f>
        <v>Yes</v>
      </c>
      <c r="G9" s="3" t="str">
        <f>[1]ElecLine!G9</f>
        <v>No</v>
      </c>
      <c r="H9" s="3" t="str">
        <f>[1]ElecLine!H9</f>
        <v>No</v>
      </c>
      <c r="I9" s="3" t="str">
        <f>[1]ElecLine!I9</f>
        <v>No</v>
      </c>
      <c r="J9" s="3" t="str">
        <f>[1]ElecLine!J9</f>
        <v>Yes</v>
      </c>
      <c r="K9" s="3" t="str">
        <f>[1]ElecLine!K9</f>
        <v>No</v>
      </c>
      <c r="L9" s="3" t="str">
        <f>[1]ElecLine!L9</f>
        <v>No</v>
      </c>
      <c r="N9" s="1" t="s">
        <v>10</v>
      </c>
      <c r="O9">
        <v>10</v>
      </c>
      <c r="P9">
        <f t="shared" ca="1" si="0"/>
        <v>12.89866826759055</v>
      </c>
      <c r="Q9">
        <f t="shared" ca="1" si="0"/>
        <v>12.603035876432459</v>
      </c>
      <c r="R9">
        <f t="shared" ca="1" si="0"/>
        <v>12.269708379667211</v>
      </c>
      <c r="S9">
        <f t="shared" ca="1" si="0"/>
        <v>10.908606112377019</v>
      </c>
      <c r="T9">
        <f t="shared" ca="1" si="0"/>
        <v>14.04182977590588</v>
      </c>
      <c r="U9">
        <f t="shared" ca="1" si="0"/>
        <v>14.322994407887194</v>
      </c>
      <c r="W9">
        <f t="shared" ca="1" si="0"/>
        <v>14.952998653806366</v>
      </c>
      <c r="X9">
        <f t="shared" ca="1" si="0"/>
        <v>13.885501109609608</v>
      </c>
      <c r="Y9">
        <f t="shared" ca="1" si="0"/>
        <v>12.244626075279946</v>
      </c>
      <c r="AA9" s="1" t="s">
        <v>10</v>
      </c>
      <c r="AB9">
        <v>500</v>
      </c>
      <c r="AC9">
        <f t="shared" ca="1" si="1"/>
        <v>269.36876274859003</v>
      </c>
      <c r="AD9">
        <f t="shared" ca="1" si="1"/>
        <v>268.66469455337904</v>
      </c>
      <c r="AE9">
        <f t="shared" ca="1" si="1"/>
        <v>281.61578525522685</v>
      </c>
      <c r="AF9">
        <f t="shared" ca="1" si="1"/>
        <v>259.03341760310389</v>
      </c>
      <c r="AG9">
        <f t="shared" ca="1" si="1"/>
        <v>265.82507781546821</v>
      </c>
      <c r="AH9">
        <f t="shared" ca="1" si="1"/>
        <v>252.29896936275955</v>
      </c>
      <c r="AJ9">
        <f t="shared" ca="1" si="1"/>
        <v>295.99434304883857</v>
      </c>
      <c r="AK9">
        <f t="shared" ca="1" si="1"/>
        <v>295.25582530557534</v>
      </c>
      <c r="AL9">
        <f t="shared" ca="1" si="1"/>
        <v>291.14187211564689</v>
      </c>
    </row>
    <row r="10" spans="1:38" x14ac:dyDescent="0.25">
      <c r="A10" s="1" t="s">
        <v>11</v>
      </c>
      <c r="B10" s="3" t="str">
        <f>[1]ElecLine!B10</f>
        <v>Yes</v>
      </c>
      <c r="C10" s="3" t="str">
        <f>[1]ElecLine!C10</f>
        <v>No</v>
      </c>
      <c r="D10" s="3" t="str">
        <f>[1]ElecLine!D10</f>
        <v>Yes</v>
      </c>
      <c r="E10" s="3" t="str">
        <f>[1]ElecLine!E10</f>
        <v>No</v>
      </c>
      <c r="F10" s="3" t="str">
        <f>[1]ElecLine!F10</f>
        <v>No</v>
      </c>
      <c r="G10" s="3" t="str">
        <f>[1]ElecLine!G10</f>
        <v>Yes</v>
      </c>
      <c r="H10" s="3" t="str">
        <f>[1]ElecLine!H10</f>
        <v>Yes</v>
      </c>
      <c r="I10" s="3" t="str">
        <f>[1]ElecLine!I10</f>
        <v>Yes</v>
      </c>
      <c r="J10" s="3" t="str">
        <f>[1]ElecLine!J10</f>
        <v>No</v>
      </c>
      <c r="K10" s="3" t="str">
        <f>[1]ElecLine!K10</f>
        <v>No</v>
      </c>
      <c r="L10" s="3" t="str">
        <f>[1]ElecLine!L10</f>
        <v>No</v>
      </c>
      <c r="N10" s="1" t="s">
        <v>11</v>
      </c>
      <c r="O10">
        <v>10</v>
      </c>
      <c r="P10">
        <f t="shared" ca="1" si="0"/>
        <v>11.110084226117475</v>
      </c>
      <c r="Q10">
        <f t="shared" ca="1" si="0"/>
        <v>10.533046691249467</v>
      </c>
      <c r="R10">
        <f t="shared" ca="1" si="0"/>
        <v>14.182920683424779</v>
      </c>
      <c r="S10">
        <f t="shared" ca="1" si="0"/>
        <v>11.121594840021865</v>
      </c>
      <c r="T10">
        <f t="shared" ca="1" si="0"/>
        <v>14.997197515611234</v>
      </c>
      <c r="U10">
        <f t="shared" ca="1" si="0"/>
        <v>10.325632972498198</v>
      </c>
      <c r="V10">
        <f t="shared" ca="1" si="0"/>
        <v>13.974420081701812</v>
      </c>
      <c r="X10">
        <f t="shared" ca="1" si="0"/>
        <v>10.002795988225502</v>
      </c>
      <c r="Y10">
        <f t="shared" ca="1" si="0"/>
        <v>11.290690334434505</v>
      </c>
      <c r="AA10" s="1" t="s">
        <v>11</v>
      </c>
      <c r="AB10">
        <v>500</v>
      </c>
      <c r="AC10">
        <f t="shared" ca="1" si="1"/>
        <v>296.54547888846162</v>
      </c>
      <c r="AD10">
        <f t="shared" ca="1" si="1"/>
        <v>260.90322563017793</v>
      </c>
      <c r="AE10">
        <f t="shared" ca="1" si="1"/>
        <v>254.26161763444941</v>
      </c>
      <c r="AF10">
        <f t="shared" ca="1" si="1"/>
        <v>255.42267044150887</v>
      </c>
      <c r="AG10">
        <f t="shared" ca="1" si="1"/>
        <v>285.33796698827678</v>
      </c>
      <c r="AH10">
        <f t="shared" ca="1" si="1"/>
        <v>268.36003509969873</v>
      </c>
      <c r="AI10">
        <f t="shared" ca="1" si="1"/>
        <v>253.07552621646988</v>
      </c>
      <c r="AK10">
        <f t="shared" ca="1" si="1"/>
        <v>292.50180923378184</v>
      </c>
      <c r="AL10">
        <f t="shared" ca="1" si="1"/>
        <v>278.42085019473797</v>
      </c>
    </row>
    <row r="11" spans="1:38" x14ac:dyDescent="0.25">
      <c r="A11" s="1" t="s">
        <v>14</v>
      </c>
      <c r="B11" s="3" t="str">
        <f>[1]ElecLine!B11</f>
        <v>Yes</v>
      </c>
      <c r="C11" s="3" t="str">
        <f>[1]ElecLine!C11</f>
        <v>Yes</v>
      </c>
      <c r="D11" s="3" t="str">
        <f>[1]ElecLine!D11</f>
        <v>Yes</v>
      </c>
      <c r="E11" s="3" t="str">
        <f>[1]ElecLine!E11</f>
        <v>No</v>
      </c>
      <c r="F11" s="3" t="str">
        <f>[1]ElecLine!F11</f>
        <v>No</v>
      </c>
      <c r="G11" s="3" t="str">
        <f>[1]ElecLine!G11</f>
        <v>Yes</v>
      </c>
      <c r="H11" s="3" t="str">
        <f>[1]ElecLine!H11</f>
        <v>No</v>
      </c>
      <c r="I11" s="3" t="str">
        <f>[1]ElecLine!I11</f>
        <v>No</v>
      </c>
      <c r="J11" s="3" t="str">
        <f>[1]ElecLine!J11</f>
        <v>Yes</v>
      </c>
      <c r="K11" s="3" t="str">
        <f>[1]ElecLine!K11</f>
        <v>No</v>
      </c>
      <c r="L11" s="3" t="str">
        <f>[1]ElecLine!L11</f>
        <v>Yes</v>
      </c>
      <c r="N11" s="1" t="s">
        <v>14</v>
      </c>
      <c r="O11">
        <v>10</v>
      </c>
      <c r="P11">
        <f t="shared" ca="1" si="0"/>
        <v>13.037174639823153</v>
      </c>
      <c r="Q11">
        <f t="shared" ca="1" si="0"/>
        <v>14.873985622005542</v>
      </c>
      <c r="R11">
        <f t="shared" ca="1" si="0"/>
        <v>13.328733021890521</v>
      </c>
      <c r="S11">
        <f t="shared" ca="1" si="0"/>
        <v>12.061869122362312</v>
      </c>
      <c r="T11">
        <f t="shared" ca="1" si="0"/>
        <v>13.495295895338284</v>
      </c>
      <c r="U11">
        <f t="shared" ca="1" si="0"/>
        <v>10.095398227256</v>
      </c>
      <c r="V11">
        <f t="shared" ca="1" si="0"/>
        <v>10.488796648133466</v>
      </c>
      <c r="W11">
        <f t="shared" ca="1" si="0"/>
        <v>11.069794407376584</v>
      </c>
      <c r="Y11">
        <f t="shared" ca="1" si="0"/>
        <v>10.627464186419395</v>
      </c>
      <c r="AA11" s="1" t="s">
        <v>14</v>
      </c>
      <c r="AB11">
        <v>500</v>
      </c>
      <c r="AC11">
        <f t="shared" ca="1" si="1"/>
        <v>278.42380880115064</v>
      </c>
      <c r="AD11">
        <f t="shared" ca="1" si="1"/>
        <v>276.24858045780525</v>
      </c>
      <c r="AE11">
        <f t="shared" ca="1" si="1"/>
        <v>272.986068109705</v>
      </c>
      <c r="AF11">
        <f t="shared" ca="1" si="1"/>
        <v>266.31471311545397</v>
      </c>
      <c r="AG11">
        <f t="shared" ca="1" si="1"/>
        <v>266.84963153284485</v>
      </c>
      <c r="AH11">
        <f t="shared" ca="1" si="1"/>
        <v>261.15350490563236</v>
      </c>
      <c r="AI11">
        <f t="shared" ca="1" si="1"/>
        <v>271.48926871759068</v>
      </c>
      <c r="AJ11">
        <f t="shared" ca="1" si="1"/>
        <v>268.96657187937228</v>
      </c>
      <c r="AL11">
        <f t="shared" ca="1" si="1"/>
        <v>271.295323570893</v>
      </c>
    </row>
    <row r="12" spans="1:38" x14ac:dyDescent="0.25">
      <c r="A12" s="1" t="s">
        <v>12</v>
      </c>
      <c r="B12" s="3" t="str">
        <f>[1]ElecLine!B12</f>
        <v>Yes</v>
      </c>
      <c r="C12" s="3" t="str">
        <f>[1]ElecLine!C12</f>
        <v>No</v>
      </c>
      <c r="D12" s="3" t="str">
        <f>[1]ElecLine!D12</f>
        <v>Yes</v>
      </c>
      <c r="E12" s="3" t="str">
        <f>[1]ElecLine!E12</f>
        <v>No</v>
      </c>
      <c r="F12" s="3" t="str">
        <f>[1]ElecLine!F12</f>
        <v>Yes</v>
      </c>
      <c r="G12" s="3" t="str">
        <f>[1]ElecLine!G12</f>
        <v>Yes</v>
      </c>
      <c r="H12" s="3" t="str">
        <f>[1]ElecLine!H12</f>
        <v>No</v>
      </c>
      <c r="I12" s="3" t="str">
        <f>[1]ElecLine!I12</f>
        <v>No</v>
      </c>
      <c r="J12" s="3" t="str">
        <f>[1]ElecLine!J12</f>
        <v>No</v>
      </c>
      <c r="K12" s="3" t="str">
        <f>[1]ElecLine!K12</f>
        <v>Yes</v>
      </c>
      <c r="L12" s="3" t="str">
        <f>[1]ElecLine!L12</f>
        <v>No</v>
      </c>
      <c r="N12" s="1" t="s">
        <v>12</v>
      </c>
      <c r="O12">
        <v>10</v>
      </c>
      <c r="P12">
        <f t="shared" ca="1" si="0"/>
        <v>12.930391606857484</v>
      </c>
      <c r="Q12">
        <f t="shared" ca="1" si="0"/>
        <v>10.146415209963962</v>
      </c>
      <c r="R12">
        <f t="shared" ca="1" si="0"/>
        <v>12.106506117823345</v>
      </c>
      <c r="S12">
        <f t="shared" ca="1" si="0"/>
        <v>10.841833475660899</v>
      </c>
      <c r="T12">
        <f t="shared" ca="1" si="0"/>
        <v>13.599708551933864</v>
      </c>
      <c r="U12">
        <f t="shared" ca="1" si="0"/>
        <v>14.054915878385579</v>
      </c>
      <c r="V12">
        <f t="shared" ca="1" si="0"/>
        <v>11.468055667752186</v>
      </c>
      <c r="W12">
        <f t="shared" ca="1" si="0"/>
        <v>14.370461258223679</v>
      </c>
      <c r="X12">
        <f t="shared" ca="1" si="0"/>
        <v>11.931772864028506</v>
      </c>
      <c r="AA12" s="1" t="s">
        <v>12</v>
      </c>
      <c r="AB12">
        <v>500</v>
      </c>
      <c r="AC12">
        <f t="shared" ca="1" si="1"/>
        <v>299.52001510938766</v>
      </c>
      <c r="AD12">
        <f t="shared" ca="1" si="1"/>
        <v>299.36326823964743</v>
      </c>
      <c r="AE12">
        <f t="shared" ca="1" si="1"/>
        <v>270.23599472747293</v>
      </c>
      <c r="AF12">
        <f t="shared" ca="1" si="1"/>
        <v>285.29960823275837</v>
      </c>
      <c r="AG12">
        <f t="shared" ca="1" si="1"/>
        <v>278.81796428106475</v>
      </c>
      <c r="AH12">
        <f t="shared" ca="1" si="1"/>
        <v>258.78795492143303</v>
      </c>
      <c r="AI12">
        <f t="shared" ca="1" si="1"/>
        <v>285.49219672724263</v>
      </c>
      <c r="AJ12">
        <f t="shared" ca="1" si="1"/>
        <v>254.1837350625625</v>
      </c>
      <c r="AK12">
        <f t="shared" ca="1" si="1"/>
        <v>283.90097618618574</v>
      </c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>
        <v>2015</v>
      </c>
      <c r="B1">
        <f>[1]DiscFact!B1</f>
        <v>1</v>
      </c>
    </row>
    <row r="2" spans="1:2" x14ac:dyDescent="0.25">
      <c r="B2" s="2"/>
    </row>
    <row r="3" spans="1:2" x14ac:dyDescent="0.25">
      <c r="B3" s="2"/>
    </row>
    <row r="4" spans="1:2" x14ac:dyDescent="0.25">
      <c r="B4" s="2"/>
    </row>
    <row r="5" spans="1:2" x14ac:dyDescent="0.25">
      <c r="B5" s="2"/>
    </row>
    <row r="6" spans="1:2" x14ac:dyDescent="0.25">
      <c r="B6" s="2"/>
    </row>
    <row r="7" spans="1:2" x14ac:dyDescent="0.25">
      <c r="B7" s="2"/>
    </row>
    <row r="8" spans="1:2" x14ac:dyDescent="0.25">
      <c r="B8" s="2"/>
    </row>
    <row r="9" spans="1:2" x14ac:dyDescent="0.25">
      <c r="B9" s="2"/>
    </row>
    <row r="10" spans="1:2" x14ac:dyDescent="0.25">
      <c r="B10" s="2"/>
    </row>
    <row r="11" spans="1:2" x14ac:dyDescent="0.25">
      <c r="B11" s="2"/>
    </row>
    <row r="12" spans="1:2" x14ac:dyDescent="0.25">
      <c r="B12" s="2"/>
    </row>
    <row r="13" spans="1:2" x14ac:dyDescent="0.25">
      <c r="B13" s="2"/>
    </row>
    <row r="14" spans="1:2" x14ac:dyDescent="0.25">
      <c r="B14" s="2"/>
    </row>
    <row r="15" spans="1:2" x14ac:dyDescent="0.25">
      <c r="B15" s="2"/>
    </row>
    <row r="16" spans="1:2" x14ac:dyDescent="0.25">
      <c r="B16" s="2"/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72"/>
  <sheetViews>
    <sheetView topLeftCell="A141" zoomScale="85" zoomScaleNormal="85" workbookViewId="0">
      <selection activeCell="K164" sqref="K164"/>
    </sheetView>
  </sheetViews>
  <sheetFormatPr defaultColWidth="8.875" defaultRowHeight="15.75" x14ac:dyDescent="0.25"/>
  <cols>
    <col min="1" max="1" width="10.625" bestFit="1" customWidth="1"/>
    <col min="2" max="2" width="10.5" bestFit="1" customWidth="1"/>
  </cols>
  <sheetData>
    <row r="1" spans="1:4" x14ac:dyDescent="0.25">
      <c r="C1">
        <f>[1]Crop!C1</f>
        <v>2015</v>
      </c>
      <c r="D1">
        <f>[1]Crop!D1</f>
        <v>2015</v>
      </c>
    </row>
    <row r="2" spans="1:4" x14ac:dyDescent="0.25">
      <c r="C2" t="str">
        <f>[1]Crop!C2</f>
        <v>Belg</v>
      </c>
      <c r="D2" t="str">
        <f>[1]Crop!D2</f>
        <v>Kremt</v>
      </c>
    </row>
    <row r="3" spans="1:4" x14ac:dyDescent="0.25">
      <c r="A3" t="str">
        <f>[1]Crop!A3</f>
        <v>Teff</v>
      </c>
      <c r="B3" t="str">
        <f>[1]Crop!B3</f>
        <v>AddisAbaba</v>
      </c>
      <c r="C3">
        <f>[1]Crop!C3</f>
        <v>1</v>
      </c>
      <c r="D3">
        <f>[1]Crop!D3</f>
        <v>1</v>
      </c>
    </row>
    <row r="4" spans="1:4" x14ac:dyDescent="0.25">
      <c r="A4" t="str">
        <f>[1]Crop!A4</f>
        <v>Teff</v>
      </c>
      <c r="B4" t="str">
        <f>[1]Crop!B4</f>
        <v>Afar</v>
      </c>
      <c r="C4">
        <f>[1]Crop!C4</f>
        <v>1</v>
      </c>
      <c r="D4">
        <f>[1]Crop!D4</f>
        <v>1</v>
      </c>
    </row>
    <row r="5" spans="1:4" x14ac:dyDescent="0.25">
      <c r="A5" t="str">
        <f>[1]Crop!A5</f>
        <v>Teff</v>
      </c>
      <c r="B5" t="str">
        <f>[1]Crop!B5</f>
        <v>Amhara</v>
      </c>
      <c r="C5">
        <f>[1]Crop!C5</f>
        <v>1</v>
      </c>
      <c r="D5">
        <f>[1]Crop!D5</f>
        <v>1</v>
      </c>
    </row>
    <row r="6" spans="1:4" x14ac:dyDescent="0.25">
      <c r="A6" t="str">
        <f>[1]Crop!A6</f>
        <v>Teff</v>
      </c>
      <c r="B6" t="str">
        <f>[1]Crop!B6</f>
        <v>Gumuz</v>
      </c>
      <c r="C6">
        <f>[1]Crop!C6</f>
        <v>1</v>
      </c>
      <c r="D6">
        <f>[1]Crop!D6</f>
        <v>1</v>
      </c>
    </row>
    <row r="7" spans="1:4" x14ac:dyDescent="0.25">
      <c r="A7" t="str">
        <f>[1]Crop!A7</f>
        <v>Teff</v>
      </c>
      <c r="B7" t="str">
        <f>[1]Crop!B7</f>
        <v>DireDawa</v>
      </c>
      <c r="C7">
        <f>[1]Crop!C7</f>
        <v>1</v>
      </c>
      <c r="D7">
        <f>[1]Crop!D7</f>
        <v>1</v>
      </c>
    </row>
    <row r="8" spans="1:4" x14ac:dyDescent="0.25">
      <c r="A8" t="str">
        <f>[1]Crop!A8</f>
        <v>Teff</v>
      </c>
      <c r="B8" t="str">
        <f>[1]Crop!B8</f>
        <v>Gambela</v>
      </c>
      <c r="C8">
        <f>[1]Crop!C8</f>
        <v>1</v>
      </c>
      <c r="D8">
        <f>[1]Crop!D8</f>
        <v>1</v>
      </c>
    </row>
    <row r="9" spans="1:4" x14ac:dyDescent="0.25">
      <c r="A9" t="str">
        <f>[1]Crop!A9</f>
        <v>Teff</v>
      </c>
      <c r="B9" t="str">
        <f>[1]Crop!B9</f>
        <v>Harari</v>
      </c>
      <c r="C9">
        <f>[1]Crop!C9</f>
        <v>1</v>
      </c>
      <c r="D9">
        <f>[1]Crop!D9</f>
        <v>1</v>
      </c>
    </row>
    <row r="10" spans="1:4" x14ac:dyDescent="0.25">
      <c r="A10" t="str">
        <f>[1]Crop!A10</f>
        <v>Teff</v>
      </c>
      <c r="B10" t="str">
        <f>[1]Crop!B10</f>
        <v>Oromia</v>
      </c>
      <c r="C10">
        <f>[1]Crop!C10</f>
        <v>1</v>
      </c>
      <c r="D10">
        <f>[1]Crop!D10</f>
        <v>1</v>
      </c>
    </row>
    <row r="11" spans="1:4" x14ac:dyDescent="0.25">
      <c r="A11" t="str">
        <f>[1]Crop!A11</f>
        <v>Teff</v>
      </c>
      <c r="B11" t="str">
        <f>[1]Crop!B11</f>
        <v>Somali</v>
      </c>
      <c r="C11">
        <f>[1]Crop!C11</f>
        <v>1</v>
      </c>
      <c r="D11">
        <f>[1]Crop!D11</f>
        <v>1</v>
      </c>
    </row>
    <row r="12" spans="1:4" x14ac:dyDescent="0.25">
      <c r="A12" t="str">
        <f>[1]Crop!A12</f>
        <v>Teff</v>
      </c>
      <c r="B12" t="str">
        <f>[1]Crop!B12</f>
        <v>SNNPR</v>
      </c>
      <c r="C12">
        <f>[1]Crop!C12</f>
        <v>1</v>
      </c>
      <c r="D12">
        <f>[1]Crop!D12</f>
        <v>1</v>
      </c>
    </row>
    <row r="13" spans="1:4" x14ac:dyDescent="0.25">
      <c r="A13" t="str">
        <f>[1]Crop!A13</f>
        <v>Teff</v>
      </c>
      <c r="B13" t="str">
        <f>[1]Crop!B13</f>
        <v>Tigray</v>
      </c>
      <c r="C13">
        <f>[1]Crop!C13</f>
        <v>1</v>
      </c>
      <c r="D13">
        <f>[1]Crop!D13</f>
        <v>1</v>
      </c>
    </row>
    <row r="14" spans="1:4" x14ac:dyDescent="0.25">
      <c r="A14" t="str">
        <f>[1]Crop!A14</f>
        <v>Sorghum</v>
      </c>
      <c r="B14" t="str">
        <f>[1]Crop!B14</f>
        <v>AddisAbaba</v>
      </c>
      <c r="C14">
        <f>[1]Crop!C14</f>
        <v>1</v>
      </c>
      <c r="D14">
        <f>[1]Crop!D14</f>
        <v>1</v>
      </c>
    </row>
    <row r="15" spans="1:4" x14ac:dyDescent="0.25">
      <c r="A15" t="str">
        <f>[1]Crop!A15</f>
        <v>Sorghum</v>
      </c>
      <c r="B15" t="str">
        <f>[1]Crop!B15</f>
        <v>Afar</v>
      </c>
      <c r="C15">
        <f>[1]Crop!C15</f>
        <v>1</v>
      </c>
      <c r="D15">
        <f>[1]Crop!D15</f>
        <v>1</v>
      </c>
    </row>
    <row r="16" spans="1:4" x14ac:dyDescent="0.25">
      <c r="A16" t="str">
        <f>[1]Crop!A16</f>
        <v>Sorghum</v>
      </c>
      <c r="B16" t="str">
        <f>[1]Crop!B16</f>
        <v>Amhara</v>
      </c>
      <c r="C16">
        <f>[1]Crop!C16</f>
        <v>1</v>
      </c>
      <c r="D16">
        <f>[1]Crop!D16</f>
        <v>1</v>
      </c>
    </row>
    <row r="17" spans="1:4" x14ac:dyDescent="0.25">
      <c r="A17" t="str">
        <f>[1]Crop!A17</f>
        <v>Sorghum</v>
      </c>
      <c r="B17" t="str">
        <f>[1]Crop!B17</f>
        <v>Gumuz</v>
      </c>
      <c r="C17">
        <f>[1]Crop!C17</f>
        <v>1</v>
      </c>
      <c r="D17">
        <f>[1]Crop!D17</f>
        <v>1</v>
      </c>
    </row>
    <row r="18" spans="1:4" x14ac:dyDescent="0.25">
      <c r="A18" t="str">
        <f>[1]Crop!A18</f>
        <v>Sorghum</v>
      </c>
      <c r="B18" t="str">
        <f>[1]Crop!B18</f>
        <v>DireDawa</v>
      </c>
      <c r="C18">
        <f>[1]Crop!C18</f>
        <v>1</v>
      </c>
      <c r="D18">
        <f>[1]Crop!D18</f>
        <v>1</v>
      </c>
    </row>
    <row r="19" spans="1:4" x14ac:dyDescent="0.25">
      <c r="A19" t="str">
        <f>[1]Crop!A19</f>
        <v>Sorghum</v>
      </c>
      <c r="B19" t="str">
        <f>[1]Crop!B19</f>
        <v>Gambela</v>
      </c>
      <c r="C19">
        <f>[1]Crop!C19</f>
        <v>1</v>
      </c>
      <c r="D19">
        <f>[1]Crop!D19</f>
        <v>1</v>
      </c>
    </row>
    <row r="20" spans="1:4" x14ac:dyDescent="0.25">
      <c r="A20" t="str">
        <f>[1]Crop!A20</f>
        <v>Sorghum</v>
      </c>
      <c r="B20" t="str">
        <f>[1]Crop!B20</f>
        <v>Harari</v>
      </c>
      <c r="C20">
        <f>[1]Crop!C20</f>
        <v>1</v>
      </c>
      <c r="D20">
        <f>[1]Crop!D20</f>
        <v>1</v>
      </c>
    </row>
    <row r="21" spans="1:4" x14ac:dyDescent="0.25">
      <c r="A21" t="str">
        <f>[1]Crop!A21</f>
        <v>Sorghum</v>
      </c>
      <c r="B21" t="str">
        <f>[1]Crop!B21</f>
        <v>Oromia</v>
      </c>
      <c r="C21">
        <f>[1]Crop!C21</f>
        <v>1</v>
      </c>
      <c r="D21">
        <f>[1]Crop!D21</f>
        <v>1</v>
      </c>
    </row>
    <row r="22" spans="1:4" x14ac:dyDescent="0.25">
      <c r="A22" t="str">
        <f>[1]Crop!A22</f>
        <v>Sorghum</v>
      </c>
      <c r="B22" t="str">
        <f>[1]Crop!B22</f>
        <v>Somali</v>
      </c>
      <c r="C22">
        <f>[1]Crop!C22</f>
        <v>1</v>
      </c>
      <c r="D22">
        <f>[1]Crop!D22</f>
        <v>1</v>
      </c>
    </row>
    <row r="23" spans="1:4" x14ac:dyDescent="0.25">
      <c r="A23" t="str">
        <f>[1]Crop!A23</f>
        <v>Sorghum</v>
      </c>
      <c r="B23" t="str">
        <f>[1]Crop!B23</f>
        <v>SNNPR</v>
      </c>
      <c r="C23">
        <f>[1]Crop!C23</f>
        <v>1</v>
      </c>
      <c r="D23">
        <f>[1]Crop!D23</f>
        <v>1</v>
      </c>
    </row>
    <row r="24" spans="1:4" x14ac:dyDescent="0.25">
      <c r="A24" t="str">
        <f>[1]Crop!A24</f>
        <v>Sorghum</v>
      </c>
      <c r="B24" t="str">
        <f>[1]Crop!B24</f>
        <v>Tigray</v>
      </c>
      <c r="C24">
        <f>[1]Crop!C24</f>
        <v>1</v>
      </c>
      <c r="D24">
        <f>[1]Crop!D24</f>
        <v>1</v>
      </c>
    </row>
    <row r="25" spans="1:4" x14ac:dyDescent="0.25">
      <c r="A25" t="str">
        <f>[1]Crop!A25</f>
        <v>Maize</v>
      </c>
      <c r="B25" t="str">
        <f>[1]Crop!B25</f>
        <v>AddisAbaba</v>
      </c>
      <c r="C25">
        <f>[1]Crop!C25</f>
        <v>1</v>
      </c>
      <c r="D25">
        <f>[1]Crop!D25</f>
        <v>1</v>
      </c>
    </row>
    <row r="26" spans="1:4" x14ac:dyDescent="0.25">
      <c r="A26" t="str">
        <f>[1]Crop!A26</f>
        <v>Maize</v>
      </c>
      <c r="B26" t="str">
        <f>[1]Crop!B26</f>
        <v>Afar</v>
      </c>
      <c r="C26">
        <f>[1]Crop!C26</f>
        <v>1</v>
      </c>
      <c r="D26">
        <f>[1]Crop!D26</f>
        <v>1</v>
      </c>
    </row>
    <row r="27" spans="1:4" x14ac:dyDescent="0.25">
      <c r="A27" t="str">
        <f>[1]Crop!A27</f>
        <v>Maize</v>
      </c>
      <c r="B27" t="str">
        <f>[1]Crop!B27</f>
        <v>Amhara</v>
      </c>
      <c r="C27">
        <f>[1]Crop!C27</f>
        <v>1</v>
      </c>
      <c r="D27">
        <f>[1]Crop!D27</f>
        <v>1</v>
      </c>
    </row>
    <row r="28" spans="1:4" x14ac:dyDescent="0.25">
      <c r="A28" t="str">
        <f>[1]Crop!A28</f>
        <v>Maize</v>
      </c>
      <c r="B28" t="str">
        <f>[1]Crop!B28</f>
        <v>Gumuz</v>
      </c>
      <c r="C28">
        <f>[1]Crop!C28</f>
        <v>1</v>
      </c>
      <c r="D28">
        <f>[1]Crop!D28</f>
        <v>1</v>
      </c>
    </row>
    <row r="29" spans="1:4" x14ac:dyDescent="0.25">
      <c r="A29" t="str">
        <f>[1]Crop!A29</f>
        <v>Maize</v>
      </c>
      <c r="B29" t="str">
        <f>[1]Crop!B29</f>
        <v>DireDawa</v>
      </c>
      <c r="C29">
        <f>[1]Crop!C29</f>
        <v>1</v>
      </c>
      <c r="D29">
        <f>[1]Crop!D29</f>
        <v>1</v>
      </c>
    </row>
    <row r="30" spans="1:4" x14ac:dyDescent="0.25">
      <c r="A30" t="str">
        <f>[1]Crop!A30</f>
        <v>Maize</v>
      </c>
      <c r="B30" t="str">
        <f>[1]Crop!B30</f>
        <v>Gambela</v>
      </c>
      <c r="C30">
        <f>[1]Crop!C30</f>
        <v>1</v>
      </c>
      <c r="D30">
        <f>[1]Crop!D30</f>
        <v>1</v>
      </c>
    </row>
    <row r="31" spans="1:4" x14ac:dyDescent="0.25">
      <c r="A31" t="str">
        <f>[1]Crop!A31</f>
        <v>Maize</v>
      </c>
      <c r="B31" t="str">
        <f>[1]Crop!B31</f>
        <v>Harari</v>
      </c>
      <c r="C31">
        <f>[1]Crop!C31</f>
        <v>1</v>
      </c>
      <c r="D31">
        <f>[1]Crop!D31</f>
        <v>1</v>
      </c>
    </row>
    <row r="32" spans="1:4" x14ac:dyDescent="0.25">
      <c r="A32" t="str">
        <f>[1]Crop!A32</f>
        <v>Maize</v>
      </c>
      <c r="B32" t="str">
        <f>[1]Crop!B32</f>
        <v>Oromia</v>
      </c>
      <c r="C32">
        <f>[1]Crop!C32</f>
        <v>1</v>
      </c>
      <c r="D32">
        <f>[1]Crop!D32</f>
        <v>1</v>
      </c>
    </row>
    <row r="33" spans="1:4" x14ac:dyDescent="0.25">
      <c r="A33" t="str">
        <f>[1]Crop!A33</f>
        <v>Maize</v>
      </c>
      <c r="B33" t="str">
        <f>[1]Crop!B33</f>
        <v>Somali</v>
      </c>
      <c r="C33">
        <f>[1]Crop!C33</f>
        <v>1</v>
      </c>
      <c r="D33">
        <f>[1]Crop!D33</f>
        <v>1</v>
      </c>
    </row>
    <row r="34" spans="1:4" x14ac:dyDescent="0.25">
      <c r="A34" t="str">
        <f>[1]Crop!A34</f>
        <v>Maize</v>
      </c>
      <c r="B34" t="str">
        <f>[1]Crop!B34</f>
        <v>SNNPR</v>
      </c>
      <c r="C34">
        <f>[1]Crop!C34</f>
        <v>1</v>
      </c>
      <c r="D34">
        <f>[1]Crop!D34</f>
        <v>1</v>
      </c>
    </row>
    <row r="35" spans="1:4" x14ac:dyDescent="0.25">
      <c r="A35" t="str">
        <f>[1]Crop!A35</f>
        <v>Maize</v>
      </c>
      <c r="B35" t="str">
        <f>[1]Crop!B35</f>
        <v>Tigray</v>
      </c>
      <c r="C35">
        <f>[1]Crop!C35</f>
        <v>1</v>
      </c>
      <c r="D35">
        <f>[1]Crop!D35</f>
        <v>1</v>
      </c>
    </row>
    <row r="36" spans="1:4" x14ac:dyDescent="0.25">
      <c r="A36" t="str">
        <f>[1]Crop!A36</f>
        <v>Lentils</v>
      </c>
      <c r="B36" t="str">
        <f>[1]Crop!B36</f>
        <v>AddisAbaba</v>
      </c>
      <c r="C36">
        <f>[1]Crop!C36</f>
        <v>1</v>
      </c>
      <c r="D36">
        <f>[1]Crop!D36</f>
        <v>1</v>
      </c>
    </row>
    <row r="37" spans="1:4" x14ac:dyDescent="0.25">
      <c r="A37" t="str">
        <f>[1]Crop!A37</f>
        <v>Lentils</v>
      </c>
      <c r="B37" t="str">
        <f>[1]Crop!B37</f>
        <v>Afar</v>
      </c>
      <c r="C37">
        <f>[1]Crop!C37</f>
        <v>1</v>
      </c>
      <c r="D37">
        <f>[1]Crop!D37</f>
        <v>1</v>
      </c>
    </row>
    <row r="38" spans="1:4" x14ac:dyDescent="0.25">
      <c r="A38" t="str">
        <f>[1]Crop!A38</f>
        <v>Lentils</v>
      </c>
      <c r="B38" t="str">
        <f>[1]Crop!B38</f>
        <v>Amhara</v>
      </c>
      <c r="C38">
        <f>[1]Crop!C38</f>
        <v>1</v>
      </c>
      <c r="D38">
        <f>[1]Crop!D38</f>
        <v>1</v>
      </c>
    </row>
    <row r="39" spans="1:4" x14ac:dyDescent="0.25">
      <c r="A39" t="str">
        <f>[1]Crop!A39</f>
        <v>Lentils</v>
      </c>
      <c r="B39" t="str">
        <f>[1]Crop!B39</f>
        <v>Gumuz</v>
      </c>
      <c r="C39">
        <f>[1]Crop!C39</f>
        <v>1</v>
      </c>
      <c r="D39">
        <f>[1]Crop!D39</f>
        <v>1</v>
      </c>
    </row>
    <row r="40" spans="1:4" x14ac:dyDescent="0.25">
      <c r="A40" t="str">
        <f>[1]Crop!A40</f>
        <v>Lentils</v>
      </c>
      <c r="B40" t="str">
        <f>[1]Crop!B40</f>
        <v>DireDawa</v>
      </c>
      <c r="C40">
        <f>[1]Crop!C40</f>
        <v>1</v>
      </c>
      <c r="D40">
        <f>[1]Crop!D40</f>
        <v>1</v>
      </c>
    </row>
    <row r="41" spans="1:4" x14ac:dyDescent="0.25">
      <c r="A41" t="str">
        <f>[1]Crop!A41</f>
        <v>Lentils</v>
      </c>
      <c r="B41" t="str">
        <f>[1]Crop!B41</f>
        <v>Gambela</v>
      </c>
      <c r="C41">
        <f>[1]Crop!C41</f>
        <v>1</v>
      </c>
      <c r="D41">
        <f>[1]Crop!D41</f>
        <v>1</v>
      </c>
    </row>
    <row r="42" spans="1:4" x14ac:dyDescent="0.25">
      <c r="A42" t="str">
        <f>[1]Crop!A42</f>
        <v>Lentils</v>
      </c>
      <c r="B42" t="str">
        <f>[1]Crop!B42</f>
        <v>Harari</v>
      </c>
      <c r="C42">
        <f>[1]Crop!C42</f>
        <v>1</v>
      </c>
      <c r="D42">
        <f>[1]Crop!D42</f>
        <v>1</v>
      </c>
    </row>
    <row r="43" spans="1:4" x14ac:dyDescent="0.25">
      <c r="A43" t="str">
        <f>[1]Crop!A43</f>
        <v>Lentils</v>
      </c>
      <c r="B43" t="str">
        <f>[1]Crop!B43</f>
        <v>Oromia</v>
      </c>
      <c r="C43">
        <f>[1]Crop!C43</f>
        <v>1</v>
      </c>
      <c r="D43">
        <f>[1]Crop!D43</f>
        <v>1</v>
      </c>
    </row>
    <row r="44" spans="1:4" x14ac:dyDescent="0.25">
      <c r="A44" t="str">
        <f>[1]Crop!A44</f>
        <v>Lentils</v>
      </c>
      <c r="B44" t="str">
        <f>[1]Crop!B44</f>
        <v>Somali</v>
      </c>
      <c r="C44">
        <f>[1]Crop!C44</f>
        <v>1</v>
      </c>
      <c r="D44">
        <f>[1]Crop!D44</f>
        <v>1</v>
      </c>
    </row>
    <row r="45" spans="1:4" x14ac:dyDescent="0.25">
      <c r="A45" t="str">
        <f>[1]Crop!A45</f>
        <v>Lentils</v>
      </c>
      <c r="B45" t="str">
        <f>[1]Crop!B45</f>
        <v>SNNPR</v>
      </c>
      <c r="C45">
        <f>[1]Crop!C45</f>
        <v>1</v>
      </c>
      <c r="D45">
        <f>[1]Crop!D45</f>
        <v>1</v>
      </c>
    </row>
    <row r="46" spans="1:4" x14ac:dyDescent="0.25">
      <c r="A46" t="str">
        <f>[1]Crop!A46</f>
        <v>Lentils</v>
      </c>
      <c r="B46" t="str">
        <f>[1]Crop!B46</f>
        <v>Tigray</v>
      </c>
      <c r="C46">
        <f>[1]Crop!C46</f>
        <v>1</v>
      </c>
      <c r="D46">
        <f>[1]Crop!D46</f>
        <v>1</v>
      </c>
    </row>
    <row r="47" spans="1:4" x14ac:dyDescent="0.25">
      <c r="A47" t="str">
        <f>[1]Crop!A47</f>
        <v>Vegetables</v>
      </c>
      <c r="B47" t="str">
        <f>[1]Crop!B47</f>
        <v>AddisAbaba</v>
      </c>
      <c r="C47">
        <f>[1]Crop!C47</f>
        <v>1</v>
      </c>
      <c r="D47">
        <f>[1]Crop!D47</f>
        <v>1</v>
      </c>
    </row>
    <row r="48" spans="1:4" x14ac:dyDescent="0.25">
      <c r="A48" t="str">
        <f>[1]Crop!A48</f>
        <v>Vegetables</v>
      </c>
      <c r="B48" t="str">
        <f>[1]Crop!B48</f>
        <v>Afar</v>
      </c>
      <c r="C48">
        <f>[1]Crop!C48</f>
        <v>1</v>
      </c>
      <c r="D48">
        <f>[1]Crop!D48</f>
        <v>1</v>
      </c>
    </row>
    <row r="49" spans="1:4" x14ac:dyDescent="0.25">
      <c r="A49" t="str">
        <f>[1]Crop!A49</f>
        <v>Vegetables</v>
      </c>
      <c r="B49" t="str">
        <f>[1]Crop!B49</f>
        <v>Amhara</v>
      </c>
      <c r="C49">
        <f>[1]Crop!C49</f>
        <v>1</v>
      </c>
      <c r="D49">
        <f>[1]Crop!D49</f>
        <v>1</v>
      </c>
    </row>
    <row r="50" spans="1:4" x14ac:dyDescent="0.25">
      <c r="A50" t="str">
        <f>[1]Crop!A50</f>
        <v>Vegetables</v>
      </c>
      <c r="B50" t="str">
        <f>[1]Crop!B50</f>
        <v>Gumuz</v>
      </c>
      <c r="C50">
        <f>[1]Crop!C50</f>
        <v>1</v>
      </c>
      <c r="D50">
        <f>[1]Crop!D50</f>
        <v>1</v>
      </c>
    </row>
    <row r="51" spans="1:4" x14ac:dyDescent="0.25">
      <c r="A51" t="str">
        <f>[1]Crop!A51</f>
        <v>Vegetables</v>
      </c>
      <c r="B51" t="str">
        <f>[1]Crop!B51</f>
        <v>DireDawa</v>
      </c>
      <c r="C51">
        <f>[1]Crop!C51</f>
        <v>1</v>
      </c>
      <c r="D51">
        <f>[1]Crop!D51</f>
        <v>1</v>
      </c>
    </row>
    <row r="52" spans="1:4" x14ac:dyDescent="0.25">
      <c r="A52" t="str">
        <f>[1]Crop!A52</f>
        <v>Vegetables</v>
      </c>
      <c r="B52" t="str">
        <f>[1]Crop!B52</f>
        <v>Gambela</v>
      </c>
      <c r="C52">
        <f>[1]Crop!C52</f>
        <v>1</v>
      </c>
      <c r="D52">
        <f>[1]Crop!D52</f>
        <v>1</v>
      </c>
    </row>
    <row r="53" spans="1:4" x14ac:dyDescent="0.25">
      <c r="A53" t="str">
        <f>[1]Crop!A53</f>
        <v>Vegetables</v>
      </c>
      <c r="B53" t="str">
        <f>[1]Crop!B53</f>
        <v>Harari</v>
      </c>
      <c r="C53">
        <f>[1]Crop!C53</f>
        <v>1</v>
      </c>
      <c r="D53">
        <f>[1]Crop!D53</f>
        <v>1</v>
      </c>
    </row>
    <row r="54" spans="1:4" x14ac:dyDescent="0.25">
      <c r="A54" t="str">
        <f>[1]Crop!A54</f>
        <v>Vegetables</v>
      </c>
      <c r="B54" t="str">
        <f>[1]Crop!B54</f>
        <v>Oromia</v>
      </c>
      <c r="C54">
        <f>[1]Crop!C54</f>
        <v>1</v>
      </c>
      <c r="D54">
        <f>[1]Crop!D54</f>
        <v>1</v>
      </c>
    </row>
    <row r="55" spans="1:4" x14ac:dyDescent="0.25">
      <c r="A55" t="str">
        <f>[1]Crop!A55</f>
        <v>Vegetables</v>
      </c>
      <c r="B55" t="str">
        <f>[1]Crop!B55</f>
        <v>Somali</v>
      </c>
      <c r="C55">
        <f>[1]Crop!C55</f>
        <v>1</v>
      </c>
      <c r="D55">
        <f>[1]Crop!D55</f>
        <v>1</v>
      </c>
    </row>
    <row r="56" spans="1:4" x14ac:dyDescent="0.25">
      <c r="A56" t="str">
        <f>[1]Crop!A56</f>
        <v>Vegetables</v>
      </c>
      <c r="B56" t="str">
        <f>[1]Crop!B56</f>
        <v>SNNPR</v>
      </c>
      <c r="C56">
        <f>[1]Crop!C56</f>
        <v>1</v>
      </c>
      <c r="D56">
        <f>[1]Crop!D56</f>
        <v>1</v>
      </c>
    </row>
    <row r="57" spans="1:4" x14ac:dyDescent="0.25">
      <c r="A57" t="str">
        <f>[1]Crop!A57</f>
        <v>Vegetables</v>
      </c>
      <c r="B57" t="str">
        <f>[1]Crop!B57</f>
        <v>Tigray</v>
      </c>
      <c r="C57">
        <f>[1]Crop!C57</f>
        <v>1</v>
      </c>
      <c r="D57">
        <f>[1]Crop!D57</f>
        <v>1</v>
      </c>
    </row>
    <row r="58" spans="1:4" x14ac:dyDescent="0.25">
      <c r="A58" t="str">
        <f>[1]Crop!A58</f>
        <v>Coffee</v>
      </c>
      <c r="B58" t="str">
        <f>[1]Crop!B58</f>
        <v>AddisAbaba</v>
      </c>
      <c r="C58">
        <f>[1]Crop!C58</f>
        <v>1</v>
      </c>
      <c r="D58">
        <f>[1]Crop!D58</f>
        <v>1</v>
      </c>
    </row>
    <row r="59" spans="1:4" x14ac:dyDescent="0.25">
      <c r="A59" t="str">
        <f>[1]Crop!A59</f>
        <v>Coffee</v>
      </c>
      <c r="B59" t="str">
        <f>[1]Crop!B59</f>
        <v>Afar</v>
      </c>
      <c r="C59">
        <f>[1]Crop!C59</f>
        <v>1</v>
      </c>
      <c r="D59">
        <f>[1]Crop!D59</f>
        <v>1</v>
      </c>
    </row>
    <row r="60" spans="1:4" x14ac:dyDescent="0.25">
      <c r="A60" t="str">
        <f>[1]Crop!A60</f>
        <v>Coffee</v>
      </c>
      <c r="B60" t="str">
        <f>[1]Crop!B60</f>
        <v>Amhara</v>
      </c>
      <c r="C60">
        <f>[1]Crop!C60</f>
        <v>1</v>
      </c>
      <c r="D60">
        <f>[1]Crop!D60</f>
        <v>1</v>
      </c>
    </row>
    <row r="61" spans="1:4" x14ac:dyDescent="0.25">
      <c r="A61" t="str">
        <f>[1]Crop!A61</f>
        <v>Coffee</v>
      </c>
      <c r="B61" t="str">
        <f>[1]Crop!B61</f>
        <v>Gumuz</v>
      </c>
      <c r="C61">
        <f>[1]Crop!C61</f>
        <v>1</v>
      </c>
      <c r="D61">
        <f>[1]Crop!D61</f>
        <v>1</v>
      </c>
    </row>
    <row r="62" spans="1:4" x14ac:dyDescent="0.25">
      <c r="A62" t="str">
        <f>[1]Crop!A62</f>
        <v>Coffee</v>
      </c>
      <c r="B62" t="str">
        <f>[1]Crop!B62</f>
        <v>DireDawa</v>
      </c>
      <c r="C62">
        <f>[1]Crop!C62</f>
        <v>1</v>
      </c>
      <c r="D62">
        <f>[1]Crop!D62</f>
        <v>1</v>
      </c>
    </row>
    <row r="63" spans="1:4" x14ac:dyDescent="0.25">
      <c r="A63" t="str">
        <f>[1]Crop!A63</f>
        <v>Coffee</v>
      </c>
      <c r="B63" t="str">
        <f>[1]Crop!B63</f>
        <v>Gambela</v>
      </c>
      <c r="C63">
        <f>[1]Crop!C63</f>
        <v>1</v>
      </c>
      <c r="D63">
        <f>[1]Crop!D63</f>
        <v>1</v>
      </c>
    </row>
    <row r="64" spans="1:4" x14ac:dyDescent="0.25">
      <c r="A64" t="str">
        <f>[1]Crop!A64</f>
        <v>Coffee</v>
      </c>
      <c r="B64" t="str">
        <f>[1]Crop!B64</f>
        <v>Harari</v>
      </c>
      <c r="C64">
        <f>[1]Crop!C64</f>
        <v>1</v>
      </c>
      <c r="D64">
        <f>[1]Crop!D64</f>
        <v>1</v>
      </c>
    </row>
    <row r="65" spans="1:4" x14ac:dyDescent="0.25">
      <c r="A65" t="str">
        <f>[1]Crop!A65</f>
        <v>Coffee</v>
      </c>
      <c r="B65" t="str">
        <f>[1]Crop!B65</f>
        <v>Oromia</v>
      </c>
      <c r="C65">
        <f>[1]Crop!C65</f>
        <v>1</v>
      </c>
      <c r="D65">
        <f>[1]Crop!D65</f>
        <v>1</v>
      </c>
    </row>
    <row r="66" spans="1:4" x14ac:dyDescent="0.25">
      <c r="A66" t="str">
        <f>[1]Crop!A66</f>
        <v>Coffee</v>
      </c>
      <c r="B66" t="str">
        <f>[1]Crop!B66</f>
        <v>Somali</v>
      </c>
      <c r="C66">
        <f>[1]Crop!C66</f>
        <v>1</v>
      </c>
      <c r="D66">
        <f>[1]Crop!D66</f>
        <v>1</v>
      </c>
    </row>
    <row r="67" spans="1:4" x14ac:dyDescent="0.25">
      <c r="A67" t="str">
        <f>[1]Crop!A67</f>
        <v>Coffee</v>
      </c>
      <c r="B67" t="str">
        <f>[1]Crop!B67</f>
        <v>SNNPR</v>
      </c>
      <c r="C67">
        <f>[1]Crop!C67</f>
        <v>1</v>
      </c>
      <c r="D67">
        <f>[1]Crop!D67</f>
        <v>1</v>
      </c>
    </row>
    <row r="68" spans="1:4" x14ac:dyDescent="0.25">
      <c r="A68" t="str">
        <f>[1]Crop!A68</f>
        <v>Coffee</v>
      </c>
      <c r="B68" t="str">
        <f>[1]Crop!B68</f>
        <v>Tigray</v>
      </c>
      <c r="C68">
        <f>[1]Crop!C68</f>
        <v>1</v>
      </c>
      <c r="D68">
        <f>[1]Crop!D68</f>
        <v>1</v>
      </c>
    </row>
    <row r="101" spans="1:2" x14ac:dyDescent="0.25">
      <c r="B101">
        <f>[1]Crop!B101</f>
        <v>2015</v>
      </c>
    </row>
    <row r="102" spans="1:2" x14ac:dyDescent="0.25">
      <c r="A102" t="str">
        <f>[1]Crop!A102</f>
        <v>AddisAbaba</v>
      </c>
      <c r="B102">
        <f>[1]Crop!B102</f>
        <v>1</v>
      </c>
    </row>
    <row r="103" spans="1:2" x14ac:dyDescent="0.25">
      <c r="A103" t="str">
        <f>[1]Crop!A103</f>
        <v>Afar</v>
      </c>
      <c r="B103">
        <f>[1]Crop!B103</f>
        <v>1</v>
      </c>
    </row>
    <row r="104" spans="1:2" x14ac:dyDescent="0.25">
      <c r="A104" t="str">
        <f>[1]Crop!A104</f>
        <v>Amhara</v>
      </c>
      <c r="B104">
        <f>[1]Crop!B104</f>
        <v>1</v>
      </c>
    </row>
    <row r="105" spans="1:2" x14ac:dyDescent="0.25">
      <c r="A105" t="str">
        <f>[1]Crop!A105</f>
        <v>Gumuz</v>
      </c>
      <c r="B105">
        <f>[1]Crop!B105</f>
        <v>1</v>
      </c>
    </row>
    <row r="106" spans="1:2" x14ac:dyDescent="0.25">
      <c r="A106" t="str">
        <f>[1]Crop!A106</f>
        <v>DireDawa</v>
      </c>
      <c r="B106">
        <f>[1]Crop!B106</f>
        <v>1</v>
      </c>
    </row>
    <row r="107" spans="1:2" x14ac:dyDescent="0.25">
      <c r="A107" t="str">
        <f>[1]Crop!A107</f>
        <v>Gambela</v>
      </c>
      <c r="B107">
        <f>[1]Crop!B107</f>
        <v>1</v>
      </c>
    </row>
    <row r="108" spans="1:2" x14ac:dyDescent="0.25">
      <c r="A108" t="str">
        <f>[1]Crop!A108</f>
        <v>Harari</v>
      </c>
      <c r="B108">
        <f>[1]Crop!B108</f>
        <v>1</v>
      </c>
    </row>
    <row r="109" spans="1:2" x14ac:dyDescent="0.25">
      <c r="A109" t="str">
        <f>[1]Crop!A109</f>
        <v>Oromia</v>
      </c>
      <c r="B109">
        <f>[1]Crop!B109</f>
        <v>1</v>
      </c>
    </row>
    <row r="110" spans="1:2" x14ac:dyDescent="0.25">
      <c r="A110" t="str">
        <f>[1]Crop!A110</f>
        <v>Somali</v>
      </c>
      <c r="B110">
        <f>[1]Crop!B110</f>
        <v>1</v>
      </c>
    </row>
    <row r="111" spans="1:2" x14ac:dyDescent="0.25">
      <c r="A111" t="str">
        <f>[1]Crop!A111</f>
        <v>SNNPR</v>
      </c>
      <c r="B111">
        <f>[1]Crop!B111</f>
        <v>1</v>
      </c>
    </row>
    <row r="112" spans="1:2" x14ac:dyDescent="0.25">
      <c r="A112" t="str">
        <f>[1]Crop!A112</f>
        <v>Tigray</v>
      </c>
      <c r="B112">
        <f>[1]Crop!B112</f>
        <v>1</v>
      </c>
    </row>
    <row r="121" spans="1:2" x14ac:dyDescent="0.25">
      <c r="B121">
        <f>[1]Crop!B121</f>
        <v>2015</v>
      </c>
    </row>
    <row r="122" spans="1:2" x14ac:dyDescent="0.25">
      <c r="A122" t="str">
        <f>[1]Crop!A122</f>
        <v>AddisAbaba</v>
      </c>
      <c r="B122">
        <f>[1]Crop!B122</f>
        <v>1</v>
      </c>
    </row>
    <row r="123" spans="1:2" x14ac:dyDescent="0.25">
      <c r="A123" t="str">
        <f>[1]Crop!A123</f>
        <v>Afar</v>
      </c>
      <c r="B123">
        <f>[1]Crop!B123</f>
        <v>1</v>
      </c>
    </row>
    <row r="124" spans="1:2" x14ac:dyDescent="0.25">
      <c r="A124" t="str">
        <f>[1]Crop!A124</f>
        <v>Amhara</v>
      </c>
      <c r="B124">
        <f>[1]Crop!B124</f>
        <v>1</v>
      </c>
    </row>
    <row r="125" spans="1:2" x14ac:dyDescent="0.25">
      <c r="A125" t="str">
        <f>[1]Crop!A125</f>
        <v>Gumuz</v>
      </c>
      <c r="B125">
        <f>[1]Crop!B125</f>
        <v>1</v>
      </c>
    </row>
    <row r="126" spans="1:2" x14ac:dyDescent="0.25">
      <c r="A126" t="str">
        <f>[1]Crop!A126</f>
        <v>DireDawa</v>
      </c>
      <c r="B126">
        <f>[1]Crop!B126</f>
        <v>1</v>
      </c>
    </row>
    <row r="127" spans="1:2" x14ac:dyDescent="0.25">
      <c r="A127" t="str">
        <f>[1]Crop!A127</f>
        <v>Gambela</v>
      </c>
      <c r="B127">
        <f>[1]Crop!B127</f>
        <v>1</v>
      </c>
    </row>
    <row r="128" spans="1:2" x14ac:dyDescent="0.25">
      <c r="A128" t="str">
        <f>[1]Crop!A128</f>
        <v>Harari</v>
      </c>
      <c r="B128">
        <f>[1]Crop!B128</f>
        <v>1</v>
      </c>
    </row>
    <row r="129" spans="1:2" x14ac:dyDescent="0.25">
      <c r="A129" t="str">
        <f>[1]Crop!A129</f>
        <v>Oromia</v>
      </c>
      <c r="B129">
        <f>[1]Crop!B129</f>
        <v>1</v>
      </c>
    </row>
    <row r="130" spans="1:2" x14ac:dyDescent="0.25">
      <c r="A130" t="str">
        <f>[1]Crop!A130</f>
        <v>Somali</v>
      </c>
      <c r="B130">
        <f>[1]Crop!B130</f>
        <v>1</v>
      </c>
    </row>
    <row r="131" spans="1:2" x14ac:dyDescent="0.25">
      <c r="A131" t="str">
        <f>[1]Crop!A131</f>
        <v>SNNPR</v>
      </c>
      <c r="B131">
        <f>[1]Crop!B131</f>
        <v>1</v>
      </c>
    </row>
    <row r="132" spans="1:2" x14ac:dyDescent="0.25">
      <c r="A132" t="str">
        <f>[1]Crop!A132</f>
        <v>Tigray</v>
      </c>
      <c r="B132">
        <f>[1]Crop!B132</f>
        <v>1</v>
      </c>
    </row>
    <row r="141" spans="1:2" x14ac:dyDescent="0.25">
      <c r="A141" t="str">
        <f>[1]Crop!A141</f>
        <v>AddisAbaba</v>
      </c>
      <c r="B141">
        <f>[1]Crop!B141</f>
        <v>15000</v>
      </c>
    </row>
    <row r="142" spans="1:2" x14ac:dyDescent="0.25">
      <c r="A142" t="str">
        <f>[1]Crop!A142</f>
        <v>Afar</v>
      </c>
      <c r="B142">
        <f>[1]Crop!B142</f>
        <v>15000</v>
      </c>
    </row>
    <row r="143" spans="1:2" x14ac:dyDescent="0.25">
      <c r="A143" t="str">
        <f>[1]Crop!A143</f>
        <v>Amhara</v>
      </c>
      <c r="B143">
        <f>[1]Crop!B143</f>
        <v>15000</v>
      </c>
    </row>
    <row r="144" spans="1:2" x14ac:dyDescent="0.25">
      <c r="A144" t="str">
        <f>[1]Crop!A144</f>
        <v>Gumuz</v>
      </c>
      <c r="B144">
        <f>[1]Crop!B144</f>
        <v>15000</v>
      </c>
    </row>
    <row r="145" spans="1:2" x14ac:dyDescent="0.25">
      <c r="A145" t="str">
        <f>[1]Crop!A145</f>
        <v>DireDawa</v>
      </c>
      <c r="B145">
        <f>[1]Crop!B145</f>
        <v>15000</v>
      </c>
    </row>
    <row r="146" spans="1:2" x14ac:dyDescent="0.25">
      <c r="A146" t="str">
        <f>[1]Crop!A146</f>
        <v>Gambela</v>
      </c>
      <c r="B146">
        <f>[1]Crop!B146</f>
        <v>15000</v>
      </c>
    </row>
    <row r="147" spans="1:2" x14ac:dyDescent="0.25">
      <c r="A147" t="str">
        <f>[1]Crop!A147</f>
        <v>Harari</v>
      </c>
      <c r="B147">
        <f>[1]Crop!B147</f>
        <v>15000</v>
      </c>
    </row>
    <row r="148" spans="1:2" x14ac:dyDescent="0.25">
      <c r="A148" t="str">
        <f>[1]Crop!A148</f>
        <v>Oromia</v>
      </c>
      <c r="B148">
        <f>[1]Crop!B148</f>
        <v>15000</v>
      </c>
    </row>
    <row r="149" spans="1:2" x14ac:dyDescent="0.25">
      <c r="A149" t="str">
        <f>[1]Crop!A149</f>
        <v>Somali</v>
      </c>
      <c r="B149">
        <f>[1]Crop!B149</f>
        <v>15000</v>
      </c>
    </row>
    <row r="150" spans="1:2" x14ac:dyDescent="0.25">
      <c r="A150" t="str">
        <f>[1]Crop!A150</f>
        <v>SNNPR</v>
      </c>
      <c r="B150">
        <f>[1]Crop!B150</f>
        <v>15000</v>
      </c>
    </row>
    <row r="151" spans="1:2" x14ac:dyDescent="0.25">
      <c r="A151" t="str">
        <f>[1]Crop!A151</f>
        <v>Tigray</v>
      </c>
      <c r="B151">
        <f>[1]Crop!B151</f>
        <v>15000</v>
      </c>
    </row>
    <row r="161" spans="1:7" x14ac:dyDescent="0.25">
      <c r="B161" t="str">
        <f>[1]Crop!B161</f>
        <v>Teff</v>
      </c>
      <c r="C161" t="str">
        <f>[1]Crop!C161</f>
        <v>Sorghum</v>
      </c>
      <c r="D161" t="str">
        <f>[1]Crop!D161</f>
        <v>Maize</v>
      </c>
      <c r="E161" t="str">
        <f>[1]Crop!E161</f>
        <v>Lentils</v>
      </c>
      <c r="F161" t="str">
        <f>[1]Crop!F161</f>
        <v>Vegetables</v>
      </c>
      <c r="G161" t="str">
        <f>[1]Crop!G161</f>
        <v>Coffee</v>
      </c>
    </row>
    <row r="162" spans="1:7" x14ac:dyDescent="0.25">
      <c r="A162" t="str">
        <f>[1]Crop!A162</f>
        <v>AddisAbaba</v>
      </c>
      <c r="B162">
        <f>[1]Crop!B162</f>
        <v>9000</v>
      </c>
      <c r="C162">
        <f>[1]Crop!C162</f>
        <v>8000</v>
      </c>
      <c r="D162">
        <f>[1]Crop!D162</f>
        <v>7000</v>
      </c>
      <c r="E162">
        <f>[1]Crop!E162</f>
        <v>6000</v>
      </c>
      <c r="F162">
        <f>[1]Crop!F162</f>
        <v>5000</v>
      </c>
      <c r="G162">
        <f>[1]Crop!G162</f>
        <v>4000</v>
      </c>
    </row>
    <row r="163" spans="1:7" x14ac:dyDescent="0.25">
      <c r="A163" t="str">
        <f>[1]Crop!A163</f>
        <v>Afar</v>
      </c>
      <c r="B163">
        <f>[1]Crop!B163</f>
        <v>9000</v>
      </c>
      <c r="C163">
        <f>[1]Crop!C163</f>
        <v>8000</v>
      </c>
      <c r="D163">
        <f>[1]Crop!D163</f>
        <v>7000</v>
      </c>
      <c r="E163">
        <f>[1]Crop!E163</f>
        <v>6000</v>
      </c>
      <c r="F163">
        <f>[1]Crop!F163</f>
        <v>5000</v>
      </c>
      <c r="G163">
        <f>[1]Crop!G163</f>
        <v>4000</v>
      </c>
    </row>
    <row r="164" spans="1:7" x14ac:dyDescent="0.25">
      <c r="A164" t="str">
        <f>[1]Crop!A164</f>
        <v>Amhara</v>
      </c>
      <c r="B164">
        <f>[1]Crop!B164</f>
        <v>9000</v>
      </c>
      <c r="C164">
        <f>[1]Crop!C164</f>
        <v>8000</v>
      </c>
      <c r="D164">
        <f>[1]Crop!D164</f>
        <v>7000</v>
      </c>
      <c r="E164">
        <f>[1]Crop!E164</f>
        <v>6000</v>
      </c>
      <c r="F164">
        <f>[1]Crop!F164</f>
        <v>5000</v>
      </c>
      <c r="G164">
        <f>[1]Crop!G164</f>
        <v>4000</v>
      </c>
    </row>
    <row r="165" spans="1:7" x14ac:dyDescent="0.25">
      <c r="A165" t="str">
        <f>[1]Crop!A165</f>
        <v>Gumuz</v>
      </c>
      <c r="B165">
        <f>[1]Crop!B165</f>
        <v>9000</v>
      </c>
      <c r="C165">
        <f>[1]Crop!C165</f>
        <v>8000</v>
      </c>
      <c r="D165">
        <f>[1]Crop!D165</f>
        <v>7000</v>
      </c>
      <c r="E165">
        <f>[1]Crop!E165</f>
        <v>6000</v>
      </c>
      <c r="F165">
        <f>[1]Crop!F165</f>
        <v>5000</v>
      </c>
      <c r="G165">
        <f>[1]Crop!G165</f>
        <v>4000</v>
      </c>
    </row>
    <row r="166" spans="1:7" x14ac:dyDescent="0.25">
      <c r="A166" t="str">
        <f>[1]Crop!A166</f>
        <v>DireDawa</v>
      </c>
      <c r="B166">
        <f>[1]Crop!B166</f>
        <v>9000</v>
      </c>
      <c r="C166">
        <f>[1]Crop!C166</f>
        <v>8000</v>
      </c>
      <c r="D166">
        <f>[1]Crop!D166</f>
        <v>7000</v>
      </c>
      <c r="E166">
        <f>[1]Crop!E166</f>
        <v>6000</v>
      </c>
      <c r="F166">
        <f>[1]Crop!F166</f>
        <v>5000</v>
      </c>
      <c r="G166">
        <f>[1]Crop!G166</f>
        <v>4000</v>
      </c>
    </row>
    <row r="167" spans="1:7" x14ac:dyDescent="0.25">
      <c r="A167" t="str">
        <f>[1]Crop!A167</f>
        <v>Gambela</v>
      </c>
      <c r="B167">
        <f>[1]Crop!B167</f>
        <v>9000</v>
      </c>
      <c r="C167">
        <f>[1]Crop!C167</f>
        <v>8000</v>
      </c>
      <c r="D167">
        <f>[1]Crop!D167</f>
        <v>7000</v>
      </c>
      <c r="E167">
        <f>[1]Crop!E167</f>
        <v>6000</v>
      </c>
      <c r="F167">
        <f>[1]Crop!F167</f>
        <v>5000</v>
      </c>
      <c r="G167">
        <f>[1]Crop!G167</f>
        <v>4000</v>
      </c>
    </row>
    <row r="168" spans="1:7" x14ac:dyDescent="0.25">
      <c r="A168" t="str">
        <f>[1]Crop!A168</f>
        <v>Harari</v>
      </c>
      <c r="B168">
        <f>[1]Crop!B168</f>
        <v>9000</v>
      </c>
      <c r="C168">
        <f>[1]Crop!C168</f>
        <v>8000</v>
      </c>
      <c r="D168">
        <f>[1]Crop!D168</f>
        <v>7000</v>
      </c>
      <c r="E168">
        <f>[1]Crop!E168</f>
        <v>6000</v>
      </c>
      <c r="F168">
        <f>[1]Crop!F168</f>
        <v>5000</v>
      </c>
      <c r="G168">
        <f>[1]Crop!G168</f>
        <v>4000</v>
      </c>
    </row>
    <row r="169" spans="1:7" x14ac:dyDescent="0.25">
      <c r="A169" t="str">
        <f>[1]Crop!A169</f>
        <v>Oromia</v>
      </c>
      <c r="B169">
        <f>[1]Crop!B169</f>
        <v>9000</v>
      </c>
      <c r="C169">
        <f>[1]Crop!C169</f>
        <v>8000</v>
      </c>
      <c r="D169">
        <f>[1]Crop!D169</f>
        <v>7000</v>
      </c>
      <c r="E169">
        <f>[1]Crop!E169</f>
        <v>6000</v>
      </c>
      <c r="F169">
        <f>[1]Crop!F169</f>
        <v>5000</v>
      </c>
      <c r="G169">
        <f>[1]Crop!G169</f>
        <v>4000</v>
      </c>
    </row>
    <row r="170" spans="1:7" x14ac:dyDescent="0.25">
      <c r="A170" t="str">
        <f>[1]Crop!A170</f>
        <v>Somali</v>
      </c>
      <c r="B170">
        <f>[1]Crop!B170</f>
        <v>9000</v>
      </c>
      <c r="C170">
        <f>[1]Crop!C170</f>
        <v>8000</v>
      </c>
      <c r="D170">
        <f>[1]Crop!D170</f>
        <v>7000</v>
      </c>
      <c r="E170">
        <f>[1]Crop!E170</f>
        <v>6000</v>
      </c>
      <c r="F170">
        <f>[1]Crop!F170</f>
        <v>5000</v>
      </c>
      <c r="G170">
        <f>[1]Crop!G170</f>
        <v>4000</v>
      </c>
    </row>
    <row r="171" spans="1:7" x14ac:dyDescent="0.25">
      <c r="A171" t="str">
        <f>[1]Crop!A171</f>
        <v>SNNPR</v>
      </c>
      <c r="B171">
        <f>[1]Crop!B171</f>
        <v>9000</v>
      </c>
      <c r="C171">
        <f>[1]Crop!C171</f>
        <v>8000</v>
      </c>
      <c r="D171">
        <f>[1]Crop!D171</f>
        <v>7000</v>
      </c>
      <c r="E171">
        <f>[1]Crop!E171</f>
        <v>6000</v>
      </c>
      <c r="F171">
        <f>[1]Crop!F171</f>
        <v>5000</v>
      </c>
      <c r="G171">
        <f>[1]Crop!G171</f>
        <v>4000</v>
      </c>
    </row>
    <row r="172" spans="1:7" x14ac:dyDescent="0.25">
      <c r="A172" t="str">
        <f>[1]Crop!A172</f>
        <v>Tigray</v>
      </c>
      <c r="B172">
        <f>[1]Crop!B172</f>
        <v>9000</v>
      </c>
      <c r="C172">
        <f>[1]Crop!C172</f>
        <v>8000</v>
      </c>
      <c r="D172">
        <f>[1]Crop!D172</f>
        <v>7000</v>
      </c>
      <c r="E172">
        <f>[1]Crop!E172</f>
        <v>6000</v>
      </c>
      <c r="F172">
        <f>[1]Crop!F172</f>
        <v>5000</v>
      </c>
      <c r="G172">
        <f>[1]Crop!G172</f>
        <v>4000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1" sqref="C1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>
        <f>[1]CYF!C1</f>
        <v>2015</v>
      </c>
      <c r="D1">
        <f>[1]CYF!D1</f>
        <v>2015</v>
      </c>
    </row>
    <row r="2" spans="1:34" x14ac:dyDescent="0.25">
      <c r="C2" t="str">
        <f>[1]CYF!C2</f>
        <v>Belg</v>
      </c>
      <c r="D2" t="str">
        <f>[1]CYF!D2</f>
        <v>Kremt</v>
      </c>
    </row>
    <row r="3" spans="1:34" x14ac:dyDescent="0.25">
      <c r="A3" t="str">
        <f>[1]CYF!A3</f>
        <v>Teff</v>
      </c>
      <c r="B3" t="str">
        <f>[1]CYF!B3</f>
        <v>AddisAbaba</v>
      </c>
      <c r="C3" s="2">
        <f ca="1">[1]CYF!C3</f>
        <v>0.27983921023035374</v>
      </c>
      <c r="D3" s="2">
        <f ca="1">[1]CYF!D3</f>
        <v>0.21088715006680592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[1]CYF!A4</f>
        <v>Teff</v>
      </c>
      <c r="B4" t="str">
        <f>[1]CYF!B4</f>
        <v>Afar</v>
      </c>
      <c r="C4" s="2">
        <f ca="1">[1]CYF!C4</f>
        <v>0.29547990122935464</v>
      </c>
      <c r="D4" s="2">
        <f ca="1">[1]CYF!D4</f>
        <v>0.28267887739770992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[1]CYF!A5</f>
        <v>Teff</v>
      </c>
      <c r="B5" t="str">
        <f>[1]CYF!B5</f>
        <v>Amhara</v>
      </c>
      <c r="C5" s="2">
        <f ca="1">[1]CYF!C5</f>
        <v>0.26595833839374533</v>
      </c>
      <c r="D5" s="2">
        <f ca="1">[1]CYF!D5</f>
        <v>0.20792618018961809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[1]CYF!A6</f>
        <v>Teff</v>
      </c>
      <c r="B6" t="str">
        <f>[1]CYF!B6</f>
        <v>Gumuz</v>
      </c>
      <c r="C6" s="2">
        <f ca="1">[1]CYF!C6</f>
        <v>0.28876889881715734</v>
      </c>
      <c r="D6" s="2">
        <f ca="1">[1]CYF!D6</f>
        <v>0.22803076135071865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[1]CYF!A7</f>
        <v>Teff</v>
      </c>
      <c r="B7" t="str">
        <f>[1]CYF!B7</f>
        <v>DireDawa</v>
      </c>
      <c r="C7" s="2">
        <f ca="1">[1]CYF!C7</f>
        <v>0.29666102552045781</v>
      </c>
      <c r="D7" s="2">
        <f ca="1">[1]CYF!D7</f>
        <v>0.21363420996247665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[1]CYF!A8</f>
        <v>Teff</v>
      </c>
      <c r="B8" t="str">
        <f>[1]CYF!B8</f>
        <v>Gambela</v>
      </c>
      <c r="C8" s="2">
        <f ca="1">[1]CYF!C8</f>
        <v>0.29518133480188341</v>
      </c>
      <c r="D8" s="2">
        <f ca="1">[1]CYF!D8</f>
        <v>0.23341357425564585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[1]CYF!A9</f>
        <v>Teff</v>
      </c>
      <c r="B9" t="str">
        <f>[1]CYF!B9</f>
        <v>Harari</v>
      </c>
      <c r="C9" s="2">
        <f ca="1">[1]CYF!C9</f>
        <v>0.24410595355637357</v>
      </c>
      <c r="D9" s="2">
        <f ca="1">[1]CYF!D9</f>
        <v>0.27397996449597783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[1]CYF!A10</f>
        <v>Teff</v>
      </c>
      <c r="B10" t="str">
        <f>[1]CYF!B10</f>
        <v>Oromia</v>
      </c>
      <c r="C10" s="2">
        <f ca="1">[1]CYF!C10</f>
        <v>0.28525870023767624</v>
      </c>
      <c r="D10" s="2">
        <f ca="1">[1]CYF!D10</f>
        <v>0.23478281378968652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[1]CYF!A11</f>
        <v>Teff</v>
      </c>
      <c r="B11" t="str">
        <f>[1]CYF!B11</f>
        <v>Somali</v>
      </c>
      <c r="C11" s="2">
        <f ca="1">[1]CYF!C11</f>
        <v>0.2730818450595891</v>
      </c>
      <c r="D11" s="2">
        <f ca="1">[1]CYF!D11</f>
        <v>0.28248236454394582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[1]CYF!A12</f>
        <v>Teff</v>
      </c>
      <c r="B12" t="str">
        <f>[1]CYF!B12</f>
        <v>SNNPR</v>
      </c>
      <c r="C12" s="2">
        <f ca="1">[1]CYF!C12</f>
        <v>0.23669843790760126</v>
      </c>
      <c r="D12" s="2">
        <f ca="1">[1]CYF!D12</f>
        <v>0.2374274267231086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[1]CYF!A13</f>
        <v>Teff</v>
      </c>
      <c r="B13" t="str">
        <f>[1]CYF!B13</f>
        <v>Tigray</v>
      </c>
      <c r="C13" s="2">
        <f ca="1">[1]CYF!C13</f>
        <v>0.2218813766350603</v>
      </c>
      <c r="D13" s="2">
        <f ca="1">[1]CYF!D13</f>
        <v>0.20738153436481546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[1]CYF!A14</f>
        <v>Sorghum</v>
      </c>
      <c r="B14" t="str">
        <f>[1]CYF!B14</f>
        <v>AddisAbaba</v>
      </c>
      <c r="C14" s="2">
        <f ca="1">[1]CYF!C14</f>
        <v>0.24682010529767659</v>
      </c>
      <c r="D14" s="2">
        <f ca="1">[1]CYF!D14</f>
        <v>0.25324752376355564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[1]CYF!A15</f>
        <v>Sorghum</v>
      </c>
      <c r="B15" t="str">
        <f>[1]CYF!B15</f>
        <v>Afar</v>
      </c>
      <c r="C15" s="2">
        <f ca="1">[1]CYF!C15</f>
        <v>0.21291329865054384</v>
      </c>
      <c r="D15" s="2">
        <f ca="1">[1]CYF!D15</f>
        <v>0.24879343445186233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[1]CYF!A16</f>
        <v>Sorghum</v>
      </c>
      <c r="B16" t="str">
        <f>[1]CYF!B16</f>
        <v>Amhara</v>
      </c>
      <c r="C16" s="2">
        <f ca="1">[1]CYF!C16</f>
        <v>0.20810131925750625</v>
      </c>
      <c r="D16" s="2">
        <f ca="1">[1]CYF!D16</f>
        <v>0.20214271588697247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[1]CYF!A17</f>
        <v>Sorghum</v>
      </c>
      <c r="B17" t="str">
        <f>[1]CYF!B17</f>
        <v>Gumuz</v>
      </c>
      <c r="C17" s="2">
        <f ca="1">[1]CYF!C17</f>
        <v>0.29987601849409551</v>
      </c>
      <c r="D17" s="2">
        <f ca="1">[1]CYF!D17</f>
        <v>0.22992016189005315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[1]CYF!A18</f>
        <v>Sorghum</v>
      </c>
      <c r="B18" t="str">
        <f>[1]CYF!B18</f>
        <v>DireDawa</v>
      </c>
      <c r="C18" s="2">
        <f ca="1">[1]CYF!C18</f>
        <v>0.29797574163892365</v>
      </c>
      <c r="D18" s="2">
        <f ca="1">[1]CYF!D18</f>
        <v>0.25348699005420045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[1]CYF!A19</f>
        <v>Sorghum</v>
      </c>
      <c r="B19" t="str">
        <f>[1]CYF!B19</f>
        <v>Gambela</v>
      </c>
      <c r="C19" s="2">
        <f ca="1">[1]CYF!C19</f>
        <v>0.22030802055711968</v>
      </c>
      <c r="D19" s="2">
        <f ca="1">[1]CYF!D19</f>
        <v>0.2178298708138387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[1]CYF!A20</f>
        <v>Sorghum</v>
      </c>
      <c r="B20" t="str">
        <f>[1]CYF!B20</f>
        <v>Harari</v>
      </c>
      <c r="C20" s="2">
        <f ca="1">[1]CYF!C20</f>
        <v>0.20627064206563103</v>
      </c>
      <c r="D20" s="2">
        <f ca="1">[1]CYF!D20</f>
        <v>0.2585430264026819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[1]CYF!A21</f>
        <v>Sorghum</v>
      </c>
      <c r="B21" t="str">
        <f>[1]CYF!B21</f>
        <v>Oromia</v>
      </c>
      <c r="C21" s="2">
        <f ca="1">[1]CYF!C21</f>
        <v>0.27833039644717938</v>
      </c>
      <c r="D21" s="2">
        <f ca="1">[1]CYF!D21</f>
        <v>0.2736091966333572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[1]CYF!A22</f>
        <v>Sorghum</v>
      </c>
      <c r="B22" t="str">
        <f>[1]CYF!B22</f>
        <v>Somali</v>
      </c>
      <c r="C22" s="2">
        <f ca="1">[1]CYF!C22</f>
        <v>0.22478312522791594</v>
      </c>
      <c r="D22" s="2">
        <f ca="1">[1]CYF!D22</f>
        <v>0.22640617493134163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[1]CYF!A23</f>
        <v>Sorghum</v>
      </c>
      <c r="B23" t="str">
        <f>[1]CYF!B23</f>
        <v>SNNPR</v>
      </c>
      <c r="C23" s="2">
        <f ca="1">[1]CYF!C23</f>
        <v>0.20449442890721348</v>
      </c>
      <c r="D23" s="2">
        <f ca="1">[1]CYF!D23</f>
        <v>0.27457459445904969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[1]CYF!A24</f>
        <v>Sorghum</v>
      </c>
      <c r="B24" t="str">
        <f>[1]CYF!B24</f>
        <v>Tigray</v>
      </c>
      <c r="C24" s="2">
        <f ca="1">[1]CYF!C24</f>
        <v>0.25360089019790738</v>
      </c>
      <c r="D24" s="2">
        <f ca="1">[1]CYF!D24</f>
        <v>0.20730275052644095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[1]CYF!A25</f>
        <v>Maize</v>
      </c>
      <c r="B25" t="str">
        <f>[1]CYF!B25</f>
        <v>AddisAbaba</v>
      </c>
      <c r="C25" s="2">
        <f ca="1">[1]CYF!C25</f>
        <v>0.24034526581018076</v>
      </c>
      <c r="D25" s="2">
        <f ca="1">[1]CYF!D25</f>
        <v>0.27145291579675895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[1]CYF!A26</f>
        <v>Maize</v>
      </c>
      <c r="B26" t="str">
        <f>[1]CYF!B26</f>
        <v>Afar</v>
      </c>
      <c r="C26" s="2">
        <f ca="1">[1]CYF!C26</f>
        <v>0.2588875009387665</v>
      </c>
      <c r="D26" s="2">
        <f ca="1">[1]CYF!D26</f>
        <v>0.29430063647492261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[1]CYF!A27</f>
        <v>Maize</v>
      </c>
      <c r="B27" t="str">
        <f>[1]CYF!B27</f>
        <v>Amhara</v>
      </c>
      <c r="C27" s="2">
        <f ca="1">[1]CYF!C27</f>
        <v>0.27626860072196963</v>
      </c>
      <c r="D27" s="2">
        <f ca="1">[1]CYF!D27</f>
        <v>0.25732346923928506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[1]CYF!A28</f>
        <v>Maize</v>
      </c>
      <c r="B28" t="str">
        <f>[1]CYF!B28</f>
        <v>Gumuz</v>
      </c>
      <c r="C28" s="2">
        <f ca="1">[1]CYF!C28</f>
        <v>0.29670120518033294</v>
      </c>
      <c r="D28" s="2">
        <f ca="1">[1]CYF!D28</f>
        <v>0.26083833748380647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[1]CYF!A29</f>
        <v>Maize</v>
      </c>
      <c r="B29" t="str">
        <f>[1]CYF!B29</f>
        <v>DireDawa</v>
      </c>
      <c r="C29" s="2">
        <f ca="1">[1]CYF!C29</f>
        <v>0.21293238474339685</v>
      </c>
      <c r="D29" s="2">
        <f ca="1">[1]CYF!D29</f>
        <v>0.29625942550553841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[1]CYF!A30</f>
        <v>Maize</v>
      </c>
      <c r="B30" t="str">
        <f>[1]CYF!B30</f>
        <v>Gambela</v>
      </c>
      <c r="C30" s="2">
        <f ca="1">[1]CYF!C30</f>
        <v>0.25821034552441435</v>
      </c>
      <c r="D30" s="2">
        <f ca="1">[1]CYF!D30</f>
        <v>0.27725173884145166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[1]CYF!A31</f>
        <v>Maize</v>
      </c>
      <c r="B31" t="str">
        <f>[1]CYF!B31</f>
        <v>Harari</v>
      </c>
      <c r="C31" s="2">
        <f ca="1">[1]CYF!C31</f>
        <v>0.24042720370940965</v>
      </c>
      <c r="D31" s="2">
        <f ca="1">[1]CYF!D31</f>
        <v>0.22381909561348456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[1]CYF!A32</f>
        <v>Maize</v>
      </c>
      <c r="B32" t="str">
        <f>[1]CYF!B32</f>
        <v>Oromia</v>
      </c>
      <c r="C32" s="2">
        <f ca="1">[1]CYF!C32</f>
        <v>0.26327092669541252</v>
      </c>
      <c r="D32" s="2">
        <f ca="1">[1]CYF!D32</f>
        <v>0.20336095135389148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[1]CYF!A33</f>
        <v>Maize</v>
      </c>
      <c r="B33" t="str">
        <f>[1]CYF!B33</f>
        <v>Somali</v>
      </c>
      <c r="C33" s="2">
        <f ca="1">[1]CYF!C33</f>
        <v>0.2338112714792534</v>
      </c>
      <c r="D33" s="2">
        <f ca="1">[1]CYF!D33</f>
        <v>0.20083285414069368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[1]CYF!A34</f>
        <v>Maize</v>
      </c>
      <c r="B34" t="str">
        <f>[1]CYF!B34</f>
        <v>SNNPR</v>
      </c>
      <c r="C34" s="2">
        <f ca="1">[1]CYF!C34</f>
        <v>0.23555782956892221</v>
      </c>
      <c r="D34" s="2">
        <f ca="1">[1]CYF!D34</f>
        <v>0.28069380078599887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[1]CYF!A35</f>
        <v>Maize</v>
      </c>
      <c r="B35" t="str">
        <f>[1]CYF!B35</f>
        <v>Tigray</v>
      </c>
      <c r="C35" s="2">
        <f ca="1">[1]CYF!C35</f>
        <v>0.28580543156936206</v>
      </c>
      <c r="D35" s="2">
        <f ca="1">[1]CYF!D35</f>
        <v>0.23340731686975452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[1]CYF!A36</f>
        <v>Lentils</v>
      </c>
      <c r="B36" t="str">
        <f>[1]CYF!B36</f>
        <v>AddisAbaba</v>
      </c>
      <c r="C36" s="2">
        <f ca="1">[1]CYF!C36</f>
        <v>0.26879742509177801</v>
      </c>
      <c r="D36" s="2">
        <f ca="1">[1]CYF!D36</f>
        <v>0.26927196466842318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[1]CYF!A37</f>
        <v>Lentils</v>
      </c>
      <c r="B37" t="str">
        <f>[1]CYF!B37</f>
        <v>Afar</v>
      </c>
      <c r="C37" s="2">
        <f ca="1">[1]CYF!C37</f>
        <v>0.20853494662907804</v>
      </c>
      <c r="D37" s="2">
        <f ca="1">[1]CYF!D37</f>
        <v>0.27199161285638768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[1]CYF!A38</f>
        <v>Lentils</v>
      </c>
      <c r="B38" t="str">
        <f>[1]CYF!B38</f>
        <v>Amhara</v>
      </c>
      <c r="C38" s="2">
        <f ca="1">[1]CYF!C38</f>
        <v>0.23970018599700174</v>
      </c>
      <c r="D38" s="2">
        <f ca="1">[1]CYF!D38</f>
        <v>0.22912687204412965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[1]CYF!A39</f>
        <v>Lentils</v>
      </c>
      <c r="B39" t="str">
        <f>[1]CYF!B39</f>
        <v>Gumuz</v>
      </c>
      <c r="C39" s="2">
        <f ca="1">[1]CYF!C39</f>
        <v>0.22598480750949523</v>
      </c>
      <c r="D39" s="2">
        <f ca="1">[1]CYF!D39</f>
        <v>0.26246831007848898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[1]CYF!A40</f>
        <v>Lentils</v>
      </c>
      <c r="B40" t="str">
        <f>[1]CYF!B40</f>
        <v>DireDawa</v>
      </c>
      <c r="C40" s="2">
        <f ca="1">[1]CYF!C40</f>
        <v>0.28185797944869434</v>
      </c>
      <c r="D40" s="2">
        <f ca="1">[1]CYF!D40</f>
        <v>0.27309798905120941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[1]CYF!A41</f>
        <v>Lentils</v>
      </c>
      <c r="B41" t="str">
        <f>[1]CYF!B41</f>
        <v>Gambela</v>
      </c>
      <c r="C41" s="2">
        <f ca="1">[1]CYF!C41</f>
        <v>0.24115087968393684</v>
      </c>
      <c r="D41" s="2">
        <f ca="1">[1]CYF!D41</f>
        <v>0.23762413893574966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[1]CYF!A42</f>
        <v>Lentils</v>
      </c>
      <c r="B42" t="str">
        <f>[1]CYF!B42</f>
        <v>Harari</v>
      </c>
      <c r="C42" s="2">
        <f ca="1">[1]CYF!C42</f>
        <v>0.20782866519725748</v>
      </c>
      <c r="D42" s="2">
        <f ca="1">[1]CYF!D42</f>
        <v>0.24677077900988395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[1]CYF!A43</f>
        <v>Lentils</v>
      </c>
      <c r="B43" t="str">
        <f>[1]CYF!B43</f>
        <v>Oromia</v>
      </c>
      <c r="C43" s="2">
        <f ca="1">[1]CYF!C43</f>
        <v>0.28611865147235549</v>
      </c>
      <c r="D43" s="2">
        <f ca="1">[1]CYF!D43</f>
        <v>0.23919035174761016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[1]CYF!A44</f>
        <v>Lentils</v>
      </c>
      <c r="B44" t="str">
        <f>[1]CYF!B44</f>
        <v>Somali</v>
      </c>
      <c r="C44" s="2">
        <f ca="1">[1]CYF!C44</f>
        <v>0.26010796110726753</v>
      </c>
      <c r="D44" s="2">
        <f ca="1">[1]CYF!D44</f>
        <v>0.28140391184211705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[1]CYF!A45</f>
        <v>Lentils</v>
      </c>
      <c r="B45" t="str">
        <f>[1]CYF!B45</f>
        <v>SNNPR</v>
      </c>
      <c r="C45" s="2">
        <f ca="1">[1]CYF!C45</f>
        <v>0.23860382258224699</v>
      </c>
      <c r="D45" s="2">
        <f ca="1">[1]CYF!D45</f>
        <v>0.20317841827094277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[1]CYF!A46</f>
        <v>Lentils</v>
      </c>
      <c r="B46" t="str">
        <f>[1]CYF!B46</f>
        <v>Tigray</v>
      </c>
      <c r="C46" s="2">
        <f ca="1">[1]CYF!C46</f>
        <v>0.24885342135479915</v>
      </c>
      <c r="D46" s="2">
        <f ca="1">[1]CYF!D46</f>
        <v>0.26345724870350773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[1]CYF!A47</f>
        <v>Vegetables</v>
      </c>
      <c r="B47" t="str">
        <f>[1]CYF!B47</f>
        <v>AddisAbaba</v>
      </c>
      <c r="C47" s="2">
        <f ca="1">[1]CYF!C47</f>
        <v>0.23407606476282675</v>
      </c>
      <c r="D47" s="2">
        <f ca="1">[1]CYF!D47</f>
        <v>0.22970819687332966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[1]CYF!A48</f>
        <v>Vegetables</v>
      </c>
      <c r="B48" t="str">
        <f>[1]CYF!B48</f>
        <v>Afar</v>
      </c>
      <c r="C48" s="2">
        <f ca="1">[1]CYF!C48</f>
        <v>0.20407868074341595</v>
      </c>
      <c r="D48" s="2">
        <f ca="1">[1]CYF!D48</f>
        <v>0.24832104338135721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[1]CYF!A49</f>
        <v>Vegetables</v>
      </c>
      <c r="B49" t="str">
        <f>[1]CYF!B49</f>
        <v>Amhara</v>
      </c>
      <c r="C49" s="2">
        <f ca="1">[1]CYF!C49</f>
        <v>0.29181060952024951</v>
      </c>
      <c r="D49" s="2">
        <f ca="1">[1]CYF!D49</f>
        <v>0.2148216191162782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[1]CYF!A50</f>
        <v>Vegetables</v>
      </c>
      <c r="B50" t="str">
        <f>[1]CYF!B50</f>
        <v>Gumuz</v>
      </c>
      <c r="C50" s="2">
        <f ca="1">[1]CYF!C50</f>
        <v>0.20240081538668286</v>
      </c>
      <c r="D50" s="2">
        <f ca="1">[1]CYF!D50</f>
        <v>0.2632237171278114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[1]CYF!A51</f>
        <v>Vegetables</v>
      </c>
      <c r="B51" t="str">
        <f>[1]CYF!B51</f>
        <v>DireDawa</v>
      </c>
      <c r="C51" s="2">
        <f ca="1">[1]CYF!C51</f>
        <v>0.24563953998486376</v>
      </c>
      <c r="D51" s="2">
        <f ca="1">[1]CYF!D51</f>
        <v>0.21371434316282514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[1]CYF!A52</f>
        <v>Vegetables</v>
      </c>
      <c r="B52" t="str">
        <f>[1]CYF!B52</f>
        <v>Gambela</v>
      </c>
      <c r="C52" s="2">
        <f ca="1">[1]CYF!C52</f>
        <v>0.27217510396370537</v>
      </c>
      <c r="D52" s="2">
        <f ca="1">[1]CYF!D52</f>
        <v>0.25654138785695929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[1]CYF!A53</f>
        <v>Vegetables</v>
      </c>
      <c r="B53" t="str">
        <f>[1]CYF!B53</f>
        <v>Harari</v>
      </c>
      <c r="C53" s="2">
        <f ca="1">[1]CYF!C53</f>
        <v>0.24754358924936967</v>
      </c>
      <c r="D53" s="2">
        <f ca="1">[1]CYF!D53</f>
        <v>0.28351435281424686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[1]CYF!A54</f>
        <v>Vegetables</v>
      </c>
      <c r="B54" t="str">
        <f>[1]CYF!B54</f>
        <v>Oromia</v>
      </c>
      <c r="C54" s="2">
        <f ca="1">[1]CYF!C54</f>
        <v>0.2967377763320912</v>
      </c>
      <c r="D54" s="2">
        <f ca="1">[1]CYF!D54</f>
        <v>0.25895728084295616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[1]CYF!A55</f>
        <v>Vegetables</v>
      </c>
      <c r="B55" t="str">
        <f>[1]CYF!B55</f>
        <v>Somali</v>
      </c>
      <c r="C55" s="2">
        <f ca="1">[1]CYF!C55</f>
        <v>0.29557535441705185</v>
      </c>
      <c r="D55" s="2">
        <f ca="1">[1]CYF!D55</f>
        <v>0.23156388415743784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[1]CYF!A56</f>
        <v>Vegetables</v>
      </c>
      <c r="B56" t="str">
        <f>[1]CYF!B56</f>
        <v>SNNPR</v>
      </c>
      <c r="C56" s="2">
        <f ca="1">[1]CYF!C56</f>
        <v>0.28814472164469013</v>
      </c>
      <c r="D56" s="2">
        <f ca="1">[1]CYF!D56</f>
        <v>0.24237278742531451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[1]CYF!A57</f>
        <v>Vegetables</v>
      </c>
      <c r="B57" t="str">
        <f>[1]CYF!B57</f>
        <v>Tigray</v>
      </c>
      <c r="C57" s="2">
        <f ca="1">[1]CYF!C57</f>
        <v>0.22893168583844384</v>
      </c>
      <c r="D57" s="2">
        <f ca="1">[1]CYF!D57</f>
        <v>0.21131422522191592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[1]CYF!A58</f>
        <v>Coffee</v>
      </c>
      <c r="B58" t="str">
        <f>[1]CYF!B58</f>
        <v>AddisAbaba</v>
      </c>
      <c r="C58" s="2">
        <f ca="1">[1]CYF!C58</f>
        <v>0.29243481444902469</v>
      </c>
      <c r="D58" s="2">
        <f ca="1">[1]CYF!D58</f>
        <v>0.27125008625091251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[1]CYF!A59</f>
        <v>Coffee</v>
      </c>
      <c r="B59" t="str">
        <f>[1]CYF!B59</f>
        <v>Afar</v>
      </c>
      <c r="C59" s="2">
        <f ca="1">[1]CYF!C59</f>
        <v>0.25126318352827592</v>
      </c>
      <c r="D59" s="2">
        <f ca="1">[1]CYF!D59</f>
        <v>0.2657668868460627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[1]CYF!A60</f>
        <v>Coffee</v>
      </c>
      <c r="B60" t="str">
        <f>[1]CYF!B60</f>
        <v>Amhara</v>
      </c>
      <c r="C60" s="2">
        <f ca="1">[1]CYF!C60</f>
        <v>0.28244497373935068</v>
      </c>
      <c r="D60" s="2">
        <f ca="1">[1]CYF!D60</f>
        <v>0.23026086773984841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[1]CYF!A61</f>
        <v>Coffee</v>
      </c>
      <c r="B61" t="str">
        <f>[1]CYF!B61</f>
        <v>Gumuz</v>
      </c>
      <c r="C61" s="2">
        <f ca="1">[1]CYF!C61</f>
        <v>0.22917669653305564</v>
      </c>
      <c r="D61" s="2">
        <f ca="1">[1]CYF!D61</f>
        <v>0.21674872618421026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[1]CYF!A62</f>
        <v>Coffee</v>
      </c>
      <c r="B62" t="str">
        <f>[1]CYF!B62</f>
        <v>DireDawa</v>
      </c>
      <c r="C62" s="2">
        <f ca="1">[1]CYF!C62</f>
        <v>0.22990461255178227</v>
      </c>
      <c r="D62" s="2">
        <f ca="1">[1]CYF!D62</f>
        <v>0.27600530902438764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[1]CYF!A63</f>
        <v>Coffee</v>
      </c>
      <c r="B63" t="str">
        <f>[1]CYF!B63</f>
        <v>Gambela</v>
      </c>
      <c r="C63" s="2">
        <f ca="1">[1]CYF!C63</f>
        <v>0.25754106080619082</v>
      </c>
      <c r="D63" s="2">
        <f ca="1">[1]CYF!D63</f>
        <v>0.20006396327003773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[1]CYF!A64</f>
        <v>Coffee</v>
      </c>
      <c r="B64" t="str">
        <f>[1]CYF!B64</f>
        <v>Harari</v>
      </c>
      <c r="C64" s="2">
        <f ca="1">[1]CYF!C64</f>
        <v>0.27794575978434882</v>
      </c>
      <c r="D64" s="2">
        <f ca="1">[1]CYF!D64</f>
        <v>0.24684742192983539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[1]CYF!A65</f>
        <v>Coffee</v>
      </c>
      <c r="B65" t="str">
        <f>[1]CYF!B65</f>
        <v>Oromia</v>
      </c>
      <c r="C65" s="2">
        <f ca="1">[1]CYF!C65</f>
        <v>0.22145957095525751</v>
      </c>
      <c r="D65" s="2">
        <f ca="1">[1]CYF!D65</f>
        <v>0.27039461429785894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[1]CYF!A66</f>
        <v>Coffee</v>
      </c>
      <c r="B66" t="str">
        <f>[1]CYF!B66</f>
        <v>Somali</v>
      </c>
      <c r="C66" s="2">
        <f ca="1">[1]CYF!C66</f>
        <v>0.2799779563828762</v>
      </c>
      <c r="D66" s="2">
        <f ca="1">[1]CYF!D66</f>
        <v>0.25742217504058862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[1]CYF!A67</f>
        <v>Coffee</v>
      </c>
      <c r="B67" t="str">
        <f>[1]CYF!B67</f>
        <v>SNNPR</v>
      </c>
      <c r="C67" s="2">
        <f ca="1">[1]CYF!C67</f>
        <v>0.21499638154388978</v>
      </c>
      <c r="D67" s="2">
        <f ca="1">[1]CYF!D67</f>
        <v>0.21144962587536154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[1]CYF!A68</f>
        <v>Coffee</v>
      </c>
      <c r="B68" t="str">
        <f>[1]CYF!B68</f>
        <v>Tigray</v>
      </c>
      <c r="C68" s="2">
        <f ca="1">[1]CYF!C68</f>
        <v>0.25731851864264804</v>
      </c>
      <c r="D68" s="2">
        <f ca="1">[1]CYF!D68</f>
        <v>0.28310414010810236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A3" sqref="A3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>
        <f>[1]aFAO!C1</f>
        <v>2015</v>
      </c>
      <c r="D1">
        <f>[1]aFAO!D1</f>
        <v>2015</v>
      </c>
    </row>
    <row r="2" spans="1:34" x14ac:dyDescent="0.25">
      <c r="C2" t="str">
        <f>[1]aFAO!C2</f>
        <v>Belg</v>
      </c>
      <c r="D2" t="str">
        <f>[1]aFAO!D2</f>
        <v>Kremt</v>
      </c>
    </row>
    <row r="3" spans="1:34" x14ac:dyDescent="0.25">
      <c r="A3" t="str">
        <f>[1]aFAO!A3</f>
        <v>Teff</v>
      </c>
      <c r="B3" t="str">
        <f>[1]aFAO!B3</f>
        <v>AddisAbaba</v>
      </c>
      <c r="C3" s="2">
        <f ca="1">[1]aFAO!C3</f>
        <v>21.518528896395832</v>
      </c>
      <c r="D3" s="2">
        <f ca="1">[1]aFAO!D3</f>
        <v>23.481445392096873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[1]aFAO!A4</f>
        <v>Teff</v>
      </c>
      <c r="B4" t="str">
        <f>[1]aFAO!B4</f>
        <v>Afar</v>
      </c>
      <c r="C4" s="2">
        <f ca="1">[1]aFAO!C4</f>
        <v>23.486871286207574</v>
      </c>
      <c r="D4" s="2">
        <f ca="1">[1]aFAO!D4</f>
        <v>21.182362661142058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[1]aFAO!A5</f>
        <v>Teff</v>
      </c>
      <c r="B5" t="str">
        <f>[1]aFAO!B5</f>
        <v>Amhara</v>
      </c>
      <c r="C5" s="2">
        <f ca="1">[1]aFAO!C5</f>
        <v>26.755687207793084</v>
      </c>
      <c r="D5" s="2">
        <f ca="1">[1]aFAO!D5</f>
        <v>29.429732017461653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[1]aFAO!A6</f>
        <v>Teff</v>
      </c>
      <c r="B6" t="str">
        <f>[1]aFAO!B6</f>
        <v>Gumuz</v>
      </c>
      <c r="C6" s="2">
        <f ca="1">[1]aFAO!C6</f>
        <v>24.566736314857422</v>
      </c>
      <c r="D6" s="2">
        <f ca="1">[1]aFAO!D6</f>
        <v>20.523738969055216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[1]aFAO!A7</f>
        <v>Teff</v>
      </c>
      <c r="B7" t="str">
        <f>[1]aFAO!B7</f>
        <v>DireDawa</v>
      </c>
      <c r="C7" s="2">
        <f ca="1">[1]aFAO!C7</f>
        <v>25.976399486260515</v>
      </c>
      <c r="D7" s="2">
        <f ca="1">[1]aFAO!D7</f>
        <v>20.946494833872052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[1]aFAO!A8</f>
        <v>Teff</v>
      </c>
      <c r="B8" t="str">
        <f>[1]aFAO!B8</f>
        <v>Gambela</v>
      </c>
      <c r="C8" s="2">
        <f ca="1">[1]aFAO!C8</f>
        <v>24.374851502023738</v>
      </c>
      <c r="D8" s="2">
        <f ca="1">[1]aFAO!D8</f>
        <v>24.681252045981982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[1]aFAO!A9</f>
        <v>Teff</v>
      </c>
      <c r="B9" t="str">
        <f>[1]aFAO!B9</f>
        <v>Harari</v>
      </c>
      <c r="C9" s="2">
        <f ca="1">[1]aFAO!C9</f>
        <v>26.297092903840014</v>
      </c>
      <c r="D9" s="2">
        <f ca="1">[1]aFAO!D9</f>
        <v>26.211679696841784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[1]aFAO!A10</f>
        <v>Teff</v>
      </c>
      <c r="B10" t="str">
        <f>[1]aFAO!B10</f>
        <v>Oromia</v>
      </c>
      <c r="C10" s="2">
        <f ca="1">[1]aFAO!C10</f>
        <v>28.771105845108796</v>
      </c>
      <c r="D10" s="2">
        <f ca="1">[1]aFAO!D10</f>
        <v>25.866751527893339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[1]aFAO!A11</f>
        <v>Teff</v>
      </c>
      <c r="B11" t="str">
        <f>[1]aFAO!B11</f>
        <v>Somali</v>
      </c>
      <c r="C11" s="2">
        <f ca="1">[1]aFAO!C11</f>
        <v>23.844305850768663</v>
      </c>
      <c r="D11" s="2">
        <f ca="1">[1]aFAO!D11</f>
        <v>20.225595994767474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[1]aFAO!A12</f>
        <v>Teff</v>
      </c>
      <c r="B12" t="str">
        <f>[1]aFAO!B12</f>
        <v>SNNPR</v>
      </c>
      <c r="C12" s="2">
        <f ca="1">[1]aFAO!C12</f>
        <v>20.553634445529738</v>
      </c>
      <c r="D12" s="2">
        <f ca="1">[1]aFAO!D12</f>
        <v>21.504896505177225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[1]aFAO!A13</f>
        <v>Teff</v>
      </c>
      <c r="B13" t="str">
        <f>[1]aFAO!B13</f>
        <v>Tigray</v>
      </c>
      <c r="C13" s="2">
        <f ca="1">[1]aFAO!C13</f>
        <v>28.112926717547808</v>
      </c>
      <c r="D13" s="2">
        <f ca="1">[1]aFAO!D13</f>
        <v>26.05171893166262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[1]aFAO!A14</f>
        <v>Sorghum</v>
      </c>
      <c r="B14" t="str">
        <f>[1]aFAO!B14</f>
        <v>AddisAbaba</v>
      </c>
      <c r="C14" s="2">
        <f ca="1">[1]aFAO!C14</f>
        <v>24.786631883330358</v>
      </c>
      <c r="D14" s="2">
        <f ca="1">[1]aFAO!D14</f>
        <v>21.732962727594654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[1]aFAO!A15</f>
        <v>Sorghum</v>
      </c>
      <c r="B15" t="str">
        <f>[1]aFAO!B15</f>
        <v>Afar</v>
      </c>
      <c r="C15" s="2">
        <f ca="1">[1]aFAO!C15</f>
        <v>21.067210956766274</v>
      </c>
      <c r="D15" s="2">
        <f ca="1">[1]aFAO!D15</f>
        <v>21.266779328974522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[1]aFAO!A16</f>
        <v>Sorghum</v>
      </c>
      <c r="B16" t="str">
        <f>[1]aFAO!B16</f>
        <v>Amhara</v>
      </c>
      <c r="C16" s="2">
        <f ca="1">[1]aFAO!C16</f>
        <v>26.094498087515341</v>
      </c>
      <c r="D16" s="2">
        <f ca="1">[1]aFAO!D16</f>
        <v>22.316291083196798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[1]aFAO!A17</f>
        <v>Sorghum</v>
      </c>
      <c r="B17" t="str">
        <f>[1]aFAO!B17</f>
        <v>Gumuz</v>
      </c>
      <c r="C17" s="2">
        <f ca="1">[1]aFAO!C17</f>
        <v>22.532181535020783</v>
      </c>
      <c r="D17" s="2">
        <f ca="1">[1]aFAO!D17</f>
        <v>29.423565958537406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[1]aFAO!A18</f>
        <v>Sorghum</v>
      </c>
      <c r="B18" t="str">
        <f>[1]aFAO!B18</f>
        <v>DireDawa</v>
      </c>
      <c r="C18" s="2">
        <f ca="1">[1]aFAO!C18</f>
        <v>29.537838487916378</v>
      </c>
      <c r="D18" s="2">
        <f ca="1">[1]aFAO!D18</f>
        <v>29.087834536212657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[1]aFAO!A19</f>
        <v>Sorghum</v>
      </c>
      <c r="B19" t="str">
        <f>[1]aFAO!B19</f>
        <v>Gambela</v>
      </c>
      <c r="C19" s="2">
        <f ca="1">[1]aFAO!C19</f>
        <v>27.302703551805934</v>
      </c>
      <c r="D19" s="2">
        <f ca="1">[1]aFAO!D19</f>
        <v>22.005970025874159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[1]aFAO!A20</f>
        <v>Sorghum</v>
      </c>
      <c r="B20" t="str">
        <f>[1]aFAO!B20</f>
        <v>Harari</v>
      </c>
      <c r="C20" s="2">
        <f ca="1">[1]aFAO!C20</f>
        <v>24.09052480740171</v>
      </c>
      <c r="D20" s="2">
        <f ca="1">[1]aFAO!D20</f>
        <v>27.080982850550416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[1]aFAO!A21</f>
        <v>Sorghum</v>
      </c>
      <c r="B21" t="str">
        <f>[1]aFAO!B21</f>
        <v>Oromia</v>
      </c>
      <c r="C21" s="2">
        <f ca="1">[1]aFAO!C21</f>
        <v>25.670834447344426</v>
      </c>
      <c r="D21" s="2">
        <f ca="1">[1]aFAO!D21</f>
        <v>22.604887009550133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[1]aFAO!A22</f>
        <v>Sorghum</v>
      </c>
      <c r="B22" t="str">
        <f>[1]aFAO!B22</f>
        <v>Somali</v>
      </c>
      <c r="C22" s="2">
        <f ca="1">[1]aFAO!C22</f>
        <v>27.902494148671813</v>
      </c>
      <c r="D22" s="2">
        <f ca="1">[1]aFAO!D22</f>
        <v>27.083770370626965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[1]aFAO!A23</f>
        <v>Sorghum</v>
      </c>
      <c r="B23" t="str">
        <f>[1]aFAO!B23</f>
        <v>SNNPR</v>
      </c>
      <c r="C23" s="2">
        <f ca="1">[1]aFAO!C23</f>
        <v>29.665886870503588</v>
      </c>
      <c r="D23" s="2">
        <f ca="1">[1]aFAO!D23</f>
        <v>23.388785738402078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[1]aFAO!A24</f>
        <v>Sorghum</v>
      </c>
      <c r="B24" t="str">
        <f>[1]aFAO!B24</f>
        <v>Tigray</v>
      </c>
      <c r="C24" s="2">
        <f ca="1">[1]aFAO!C24</f>
        <v>29.646679909470386</v>
      </c>
      <c r="D24" s="2">
        <f ca="1">[1]aFAO!D24</f>
        <v>26.933642872662478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[1]aFAO!A25</f>
        <v>Maize</v>
      </c>
      <c r="B25" t="str">
        <f>[1]aFAO!B25</f>
        <v>AddisAbaba</v>
      </c>
      <c r="C25" s="2">
        <f ca="1">[1]aFAO!C25</f>
        <v>28.710677431917432</v>
      </c>
      <c r="D25" s="2">
        <f ca="1">[1]aFAO!D25</f>
        <v>21.774767228774518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[1]aFAO!A26</f>
        <v>Maize</v>
      </c>
      <c r="B26" t="str">
        <f>[1]aFAO!B26</f>
        <v>Afar</v>
      </c>
      <c r="C26" s="2">
        <f ca="1">[1]aFAO!C26</f>
        <v>23.855995067609697</v>
      </c>
      <c r="D26" s="2">
        <f ca="1">[1]aFAO!D26</f>
        <v>27.255699878190775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[1]aFAO!A27</f>
        <v>Maize</v>
      </c>
      <c r="B27" t="str">
        <f>[1]aFAO!B27</f>
        <v>Amhara</v>
      </c>
      <c r="C27" s="2">
        <f ca="1">[1]aFAO!C27</f>
        <v>23.402312609489783</v>
      </c>
      <c r="D27" s="2">
        <f ca="1">[1]aFAO!D27</f>
        <v>23.639168165875624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[1]aFAO!A28</f>
        <v>Maize</v>
      </c>
      <c r="B28" t="str">
        <f>[1]aFAO!B28</f>
        <v>Gumuz</v>
      </c>
      <c r="C28" s="2">
        <f ca="1">[1]aFAO!C28</f>
        <v>22.891301522969375</v>
      </c>
      <c r="D28" s="2">
        <f ca="1">[1]aFAO!D28</f>
        <v>21.819797767415032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[1]aFAO!A29</f>
        <v>Maize</v>
      </c>
      <c r="B29" t="str">
        <f>[1]aFAO!B29</f>
        <v>DireDawa</v>
      </c>
      <c r="C29" s="2">
        <f ca="1">[1]aFAO!C29</f>
        <v>27.729859528303891</v>
      </c>
      <c r="D29" s="2">
        <f ca="1">[1]aFAO!D29</f>
        <v>24.72801585885729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[1]aFAO!A30</f>
        <v>Maize</v>
      </c>
      <c r="B30" t="str">
        <f>[1]aFAO!B30</f>
        <v>Gambela</v>
      </c>
      <c r="C30" s="2">
        <f ca="1">[1]aFAO!C30</f>
        <v>24.063242125705798</v>
      </c>
      <c r="D30" s="2">
        <f ca="1">[1]aFAO!D30</f>
        <v>26.357112541985284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[1]aFAO!A31</f>
        <v>Maize</v>
      </c>
      <c r="B31" t="str">
        <f>[1]aFAO!B31</f>
        <v>Harari</v>
      </c>
      <c r="C31" s="2">
        <f ca="1">[1]aFAO!C31</f>
        <v>24.480250356391338</v>
      </c>
      <c r="D31" s="2">
        <f ca="1">[1]aFAO!D31</f>
        <v>24.792106060201004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[1]aFAO!A32</f>
        <v>Maize</v>
      </c>
      <c r="B32" t="str">
        <f>[1]aFAO!B32</f>
        <v>Oromia</v>
      </c>
      <c r="C32" s="2">
        <f ca="1">[1]aFAO!C32</f>
        <v>23.227683839215668</v>
      </c>
      <c r="D32" s="2">
        <f ca="1">[1]aFAO!D32</f>
        <v>28.74109229185947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[1]aFAO!A33</f>
        <v>Maize</v>
      </c>
      <c r="B33" t="str">
        <f>[1]aFAO!B33</f>
        <v>Somali</v>
      </c>
      <c r="C33" s="2">
        <f ca="1">[1]aFAO!C33</f>
        <v>25.744841479962481</v>
      </c>
      <c r="D33" s="2">
        <f ca="1">[1]aFAO!D33</f>
        <v>23.547918668462643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[1]aFAO!A34</f>
        <v>Maize</v>
      </c>
      <c r="B34" t="str">
        <f>[1]aFAO!B34</f>
        <v>SNNPR</v>
      </c>
      <c r="C34" s="2">
        <f ca="1">[1]aFAO!C34</f>
        <v>27.387567510815359</v>
      </c>
      <c r="D34" s="2">
        <f ca="1">[1]aFAO!D34</f>
        <v>22.72058265959167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[1]aFAO!A35</f>
        <v>Maize</v>
      </c>
      <c r="B35" t="str">
        <f>[1]aFAO!B35</f>
        <v>Tigray</v>
      </c>
      <c r="C35" s="2">
        <f ca="1">[1]aFAO!C35</f>
        <v>26.29816146119412</v>
      </c>
      <c r="D35" s="2">
        <f ca="1">[1]aFAO!D35</f>
        <v>21.778503739797209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[1]aFAO!A36</f>
        <v>Lentils</v>
      </c>
      <c r="B36" t="str">
        <f>[1]aFAO!B36</f>
        <v>AddisAbaba</v>
      </c>
      <c r="C36" s="2">
        <f ca="1">[1]aFAO!C36</f>
        <v>29.824085480957685</v>
      </c>
      <c r="D36" s="2">
        <f ca="1">[1]aFAO!D36</f>
        <v>27.791368529862524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[1]aFAO!A37</f>
        <v>Lentils</v>
      </c>
      <c r="B37" t="str">
        <f>[1]aFAO!B37</f>
        <v>Afar</v>
      </c>
      <c r="C37" s="2">
        <f ca="1">[1]aFAO!C37</f>
        <v>21.08783122507602</v>
      </c>
      <c r="D37" s="2">
        <f ca="1">[1]aFAO!D37</f>
        <v>29.677271247813387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[1]aFAO!A38</f>
        <v>Lentils</v>
      </c>
      <c r="B38" t="str">
        <f>[1]aFAO!B38</f>
        <v>Amhara</v>
      </c>
      <c r="C38" s="2">
        <f ca="1">[1]aFAO!C38</f>
        <v>28.898714294931455</v>
      </c>
      <c r="D38" s="2">
        <f ca="1">[1]aFAO!D38</f>
        <v>23.47569286632714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[1]aFAO!A39</f>
        <v>Lentils</v>
      </c>
      <c r="B39" t="str">
        <f>[1]aFAO!B39</f>
        <v>Gumuz</v>
      </c>
      <c r="C39" s="2">
        <f ca="1">[1]aFAO!C39</f>
        <v>23.354687877025771</v>
      </c>
      <c r="D39" s="2">
        <f ca="1">[1]aFAO!D39</f>
        <v>23.507742705429802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[1]aFAO!A40</f>
        <v>Lentils</v>
      </c>
      <c r="B40" t="str">
        <f>[1]aFAO!B40</f>
        <v>DireDawa</v>
      </c>
      <c r="C40" s="2">
        <f ca="1">[1]aFAO!C40</f>
        <v>24.72726211576008</v>
      </c>
      <c r="D40" s="2">
        <f ca="1">[1]aFAO!D40</f>
        <v>23.900084707549183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[1]aFAO!A41</f>
        <v>Lentils</v>
      </c>
      <c r="B41" t="str">
        <f>[1]aFAO!B41</f>
        <v>Gambela</v>
      </c>
      <c r="C41" s="2">
        <f ca="1">[1]aFAO!C41</f>
        <v>27.730770155216018</v>
      </c>
      <c r="D41" s="2">
        <f ca="1">[1]aFAO!D41</f>
        <v>24.488441154469704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[1]aFAO!A42</f>
        <v>Lentils</v>
      </c>
      <c r="B42" t="str">
        <f>[1]aFAO!B42</f>
        <v>Harari</v>
      </c>
      <c r="C42" s="2">
        <f ca="1">[1]aFAO!C42</f>
        <v>22.972361938067674</v>
      </c>
      <c r="D42" s="2">
        <f ca="1">[1]aFAO!D42</f>
        <v>22.551820881154246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[1]aFAO!A43</f>
        <v>Lentils</v>
      </c>
      <c r="B43" t="str">
        <f>[1]aFAO!B43</f>
        <v>Oromia</v>
      </c>
      <c r="C43" s="2">
        <f ca="1">[1]aFAO!C43</f>
        <v>22.854834615077042</v>
      </c>
      <c r="D43" s="2">
        <f ca="1">[1]aFAO!D43</f>
        <v>20.247996910355877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[1]aFAO!A44</f>
        <v>Lentils</v>
      </c>
      <c r="B44" t="str">
        <f>[1]aFAO!B44</f>
        <v>Somali</v>
      </c>
      <c r="C44" s="2">
        <f ca="1">[1]aFAO!C44</f>
        <v>23.195472585589162</v>
      </c>
      <c r="D44" s="2">
        <f ca="1">[1]aFAO!D44</f>
        <v>20.727258506887853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[1]aFAO!A45</f>
        <v>Lentils</v>
      </c>
      <c r="B45" t="str">
        <f>[1]aFAO!B45</f>
        <v>SNNPR</v>
      </c>
      <c r="C45" s="2">
        <f ca="1">[1]aFAO!C45</f>
        <v>29.713378102387221</v>
      </c>
      <c r="D45" s="2">
        <f ca="1">[1]aFAO!D45</f>
        <v>27.639529994498101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[1]aFAO!A46</f>
        <v>Lentils</v>
      </c>
      <c r="B46" t="str">
        <f>[1]aFAO!B46</f>
        <v>Tigray</v>
      </c>
      <c r="C46" s="2">
        <f ca="1">[1]aFAO!C46</f>
        <v>27.818707687323773</v>
      </c>
      <c r="D46" s="2">
        <f ca="1">[1]aFAO!D46</f>
        <v>23.29764474464341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[1]aFAO!A47</f>
        <v>Vegetables</v>
      </c>
      <c r="B47" t="str">
        <f>[1]aFAO!B47</f>
        <v>AddisAbaba</v>
      </c>
      <c r="C47" s="2">
        <f ca="1">[1]aFAO!C47</f>
        <v>29.475268678838518</v>
      </c>
      <c r="D47" s="2">
        <f ca="1">[1]aFAO!D47</f>
        <v>24.780566274669845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[1]aFAO!A48</f>
        <v>Vegetables</v>
      </c>
      <c r="B48" t="str">
        <f>[1]aFAO!B48</f>
        <v>Afar</v>
      </c>
      <c r="C48" s="2">
        <f ca="1">[1]aFAO!C48</f>
        <v>21.612639329413536</v>
      </c>
      <c r="D48" s="2">
        <f ca="1">[1]aFAO!D48</f>
        <v>26.178717864462524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[1]aFAO!A49</f>
        <v>Vegetables</v>
      </c>
      <c r="B49" t="str">
        <f>[1]aFAO!B49</f>
        <v>Amhara</v>
      </c>
      <c r="C49" s="2">
        <f ca="1">[1]aFAO!C49</f>
        <v>29.647896319884705</v>
      </c>
      <c r="D49" s="2">
        <f ca="1">[1]aFAO!D49</f>
        <v>23.634230601132696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[1]aFAO!A50</f>
        <v>Vegetables</v>
      </c>
      <c r="B50" t="str">
        <f>[1]aFAO!B50</f>
        <v>Gumuz</v>
      </c>
      <c r="C50" s="2">
        <f ca="1">[1]aFAO!C50</f>
        <v>21.178985117898716</v>
      </c>
      <c r="D50" s="2">
        <f ca="1">[1]aFAO!D50</f>
        <v>24.729514915769947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[1]aFAO!A51</f>
        <v>Vegetables</v>
      </c>
      <c r="B51" t="str">
        <f>[1]aFAO!B51</f>
        <v>DireDawa</v>
      </c>
      <c r="C51" s="2">
        <f ca="1">[1]aFAO!C51</f>
        <v>23.432336624688642</v>
      </c>
      <c r="D51" s="2">
        <f ca="1">[1]aFAO!D51</f>
        <v>28.94582497457251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[1]aFAO!A52</f>
        <v>Vegetables</v>
      </c>
      <c r="B52" t="str">
        <f>[1]aFAO!B52</f>
        <v>Gambela</v>
      </c>
      <c r="C52" s="2">
        <f ca="1">[1]aFAO!C52</f>
        <v>25.450790406828698</v>
      </c>
      <c r="D52" s="2">
        <f ca="1">[1]aFAO!D52</f>
        <v>29.31992675735453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[1]aFAO!A53</f>
        <v>Vegetables</v>
      </c>
      <c r="B53" t="str">
        <f>[1]aFAO!B53</f>
        <v>Harari</v>
      </c>
      <c r="C53" s="2">
        <f ca="1">[1]aFAO!C53</f>
        <v>23.010509366365081</v>
      </c>
      <c r="D53" s="2">
        <f ca="1">[1]aFAO!D53</f>
        <v>28.338323722304914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[1]aFAO!A54</f>
        <v>Vegetables</v>
      </c>
      <c r="B54" t="str">
        <f>[1]aFAO!B54</f>
        <v>Oromia</v>
      </c>
      <c r="C54" s="2">
        <f ca="1">[1]aFAO!C54</f>
        <v>25.484584530234937</v>
      </c>
      <c r="D54" s="2">
        <f ca="1">[1]aFAO!D54</f>
        <v>27.010116229628256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[1]aFAO!A55</f>
        <v>Vegetables</v>
      </c>
      <c r="B55" t="str">
        <f>[1]aFAO!B55</f>
        <v>Somali</v>
      </c>
      <c r="C55" s="2">
        <f ca="1">[1]aFAO!C55</f>
        <v>21.985121399859242</v>
      </c>
      <c r="D55" s="2">
        <f ca="1">[1]aFAO!D55</f>
        <v>20.258393651515455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[1]aFAO!A56</f>
        <v>Vegetables</v>
      </c>
      <c r="B56" t="str">
        <f>[1]aFAO!B56</f>
        <v>SNNPR</v>
      </c>
      <c r="C56" s="2">
        <f ca="1">[1]aFAO!C56</f>
        <v>28.497040661890765</v>
      </c>
      <c r="D56" s="2">
        <f ca="1">[1]aFAO!D56</f>
        <v>25.83480206134746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[1]aFAO!A57</f>
        <v>Vegetables</v>
      </c>
      <c r="B57" t="str">
        <f>[1]aFAO!B57</f>
        <v>Tigray</v>
      </c>
      <c r="C57" s="2">
        <f ca="1">[1]aFAO!C57</f>
        <v>27.629750813716715</v>
      </c>
      <c r="D57" s="2">
        <f ca="1">[1]aFAO!D57</f>
        <v>20.465061161251874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[1]aFAO!A58</f>
        <v>Coffee</v>
      </c>
      <c r="B58" t="str">
        <f>[1]aFAO!B58</f>
        <v>AddisAbaba</v>
      </c>
      <c r="C58" s="2">
        <f ca="1">[1]aFAO!C58</f>
        <v>26.509815253324319</v>
      </c>
      <c r="D58" s="2">
        <f ca="1">[1]aFAO!D58</f>
        <v>22.026430815099907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[1]aFAO!A59</f>
        <v>Coffee</v>
      </c>
      <c r="B59" t="str">
        <f>[1]aFAO!B59</f>
        <v>Afar</v>
      </c>
      <c r="C59" s="2">
        <f ca="1">[1]aFAO!C59</f>
        <v>29.931326236255838</v>
      </c>
      <c r="D59" s="2">
        <f ca="1">[1]aFAO!D59</f>
        <v>28.792890600001229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[1]aFAO!A60</f>
        <v>Coffee</v>
      </c>
      <c r="B60" t="str">
        <f>[1]aFAO!B60</f>
        <v>Amhara</v>
      </c>
      <c r="C60" s="2">
        <f ca="1">[1]aFAO!C60</f>
        <v>29.651925044201977</v>
      </c>
      <c r="D60" s="2">
        <f ca="1">[1]aFAO!D60</f>
        <v>25.691762893810516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[1]aFAO!A61</f>
        <v>Coffee</v>
      </c>
      <c r="B61" t="str">
        <f>[1]aFAO!B61</f>
        <v>Gumuz</v>
      </c>
      <c r="C61" s="2">
        <f ca="1">[1]aFAO!C61</f>
        <v>23.667421902545698</v>
      </c>
      <c r="D61" s="2">
        <f ca="1">[1]aFAO!D61</f>
        <v>28.43011867509772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[1]aFAO!A62</f>
        <v>Coffee</v>
      </c>
      <c r="B62" t="str">
        <f>[1]aFAO!B62</f>
        <v>DireDawa</v>
      </c>
      <c r="C62" s="2">
        <f ca="1">[1]aFAO!C62</f>
        <v>21.627863015316535</v>
      </c>
      <c r="D62" s="2">
        <f ca="1">[1]aFAO!D62</f>
        <v>25.779352975944132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[1]aFAO!A63</f>
        <v>Coffee</v>
      </c>
      <c r="B63" t="str">
        <f>[1]aFAO!B63</f>
        <v>Gambela</v>
      </c>
      <c r="C63" s="2">
        <f ca="1">[1]aFAO!C63</f>
        <v>20.870702034132645</v>
      </c>
      <c r="D63" s="2">
        <f ca="1">[1]aFAO!D63</f>
        <v>23.976060222536933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[1]aFAO!A64</f>
        <v>Coffee</v>
      </c>
      <c r="B64" t="str">
        <f>[1]aFAO!B64</f>
        <v>Harari</v>
      </c>
      <c r="C64" s="2">
        <f ca="1">[1]aFAO!C64</f>
        <v>22.304670334022138</v>
      </c>
      <c r="D64" s="2">
        <f ca="1">[1]aFAO!D64</f>
        <v>29.248930806449124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[1]aFAO!A65</f>
        <v>Coffee</v>
      </c>
      <c r="B65" t="str">
        <f>[1]aFAO!B65</f>
        <v>Oromia</v>
      </c>
      <c r="C65" s="2">
        <f ca="1">[1]aFAO!C65</f>
        <v>25.46977094475028</v>
      </c>
      <c r="D65" s="2">
        <f ca="1">[1]aFAO!D65</f>
        <v>21.04474717515043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[1]aFAO!A66</f>
        <v>Coffee</v>
      </c>
      <c r="B66" t="str">
        <f>[1]aFAO!B66</f>
        <v>Somali</v>
      </c>
      <c r="C66" s="2">
        <f ca="1">[1]aFAO!C66</f>
        <v>23.012849356498361</v>
      </c>
      <c r="D66" s="2">
        <f ca="1">[1]aFAO!D66</f>
        <v>21.770016075020092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[1]aFAO!A67</f>
        <v>Coffee</v>
      </c>
      <c r="B67" t="str">
        <f>[1]aFAO!B67</f>
        <v>SNNPR</v>
      </c>
      <c r="C67" s="2">
        <f ca="1">[1]aFAO!C67</f>
        <v>26.861775134698224</v>
      </c>
      <c r="D67" s="2">
        <f ca="1">[1]aFAO!D67</f>
        <v>23.024564356264118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[1]aFAO!A68</f>
        <v>Coffee</v>
      </c>
      <c r="B68" t="str">
        <f>[1]aFAO!B68</f>
        <v>Tigray</v>
      </c>
      <c r="C68" s="2">
        <f ca="1">[1]aFAO!C68</f>
        <v>25.6551311447339</v>
      </c>
      <c r="D68" s="2">
        <f ca="1">[1]aFAO!D68</f>
        <v>26.475225058827412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8"/>
  <sheetViews>
    <sheetView zoomScale="85" zoomScaleNormal="85" workbookViewId="0">
      <selection activeCell="C1" sqref="C1:D2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>
        <f>[1]DemInt!C1</f>
        <v>2015</v>
      </c>
      <c r="D1">
        <f>[1]DemInt!D1</f>
        <v>2015</v>
      </c>
    </row>
    <row r="2" spans="1:34" x14ac:dyDescent="0.25">
      <c r="C2" t="str">
        <f>[1]DemInt!C2</f>
        <v>Belg</v>
      </c>
      <c r="D2" t="str">
        <f>[1]DemInt!D2</f>
        <v>Kremt</v>
      </c>
    </row>
    <row r="3" spans="1:34" x14ac:dyDescent="0.25">
      <c r="A3" t="str">
        <f>[1]DemInt!A3</f>
        <v>Teff</v>
      </c>
      <c r="B3" t="str">
        <f>[1]DemInt!B3</f>
        <v>AddisAbaba</v>
      </c>
      <c r="C3" s="2">
        <f ca="1">[1]DemInt!C3</f>
        <v>2556.3873994205383</v>
      </c>
      <c r="D3" s="2">
        <f ca="1">[1]DemInt!D3</f>
        <v>2617.5129969848067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[1]DemInt!A4</f>
        <v>Teff</v>
      </c>
      <c r="B4" t="str">
        <f>[1]DemInt!B4</f>
        <v>Afar</v>
      </c>
      <c r="C4" s="2">
        <f ca="1">[1]DemInt!C4</f>
        <v>2375.9053085783198</v>
      </c>
      <c r="D4" s="2">
        <f ca="1">[1]DemInt!D4</f>
        <v>2145.6138076782354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[1]DemInt!A5</f>
        <v>Teff</v>
      </c>
      <c r="B5" t="str">
        <f>[1]DemInt!B5</f>
        <v>Amhara</v>
      </c>
      <c r="C5" s="2">
        <f ca="1">[1]DemInt!C5</f>
        <v>2037.2826963939685</v>
      </c>
      <c r="D5" s="2">
        <f ca="1">[1]DemInt!D5</f>
        <v>2074.154368338463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[1]DemInt!A6</f>
        <v>Teff</v>
      </c>
      <c r="B6" t="str">
        <f>[1]DemInt!B6</f>
        <v>Gumuz</v>
      </c>
      <c r="C6" s="2">
        <f ca="1">[1]DemInt!C6</f>
        <v>2302.2109060238031</v>
      </c>
      <c r="D6" s="2">
        <f ca="1">[1]DemInt!D6</f>
        <v>2786.3075831170836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[1]DemInt!A7</f>
        <v>Teff</v>
      </c>
      <c r="B7" t="str">
        <f>[1]DemInt!B7</f>
        <v>DireDawa</v>
      </c>
      <c r="C7" s="2">
        <f ca="1">[1]DemInt!C7</f>
        <v>2846.6257051773046</v>
      </c>
      <c r="D7" s="2">
        <f ca="1">[1]DemInt!D7</f>
        <v>2507.8247549137604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[1]DemInt!A8</f>
        <v>Teff</v>
      </c>
      <c r="B8" t="str">
        <f>[1]DemInt!B8</f>
        <v>Gambela</v>
      </c>
      <c r="C8" s="2">
        <f ca="1">[1]DemInt!C8</f>
        <v>2475.8644229145857</v>
      </c>
      <c r="D8" s="2">
        <f ca="1">[1]DemInt!D8</f>
        <v>2162.2251949834631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[1]DemInt!A9</f>
        <v>Teff</v>
      </c>
      <c r="B9" t="str">
        <f>[1]DemInt!B9</f>
        <v>Harari</v>
      </c>
      <c r="C9" s="2">
        <f ca="1">[1]DemInt!C9</f>
        <v>2681.7629028688179</v>
      </c>
      <c r="D9" s="2">
        <f ca="1">[1]DemInt!D9</f>
        <v>2417.5764721893588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[1]DemInt!A10</f>
        <v>Teff</v>
      </c>
      <c r="B10" t="str">
        <f>[1]DemInt!B10</f>
        <v>Oromia</v>
      </c>
      <c r="C10" s="2">
        <f ca="1">[1]DemInt!C10</f>
        <v>2426.9729042550371</v>
      </c>
      <c r="D10" s="2">
        <f ca="1">[1]DemInt!D10</f>
        <v>2648.0342297272628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[1]DemInt!A11</f>
        <v>Teff</v>
      </c>
      <c r="B11" t="str">
        <f>[1]DemInt!B11</f>
        <v>Somali</v>
      </c>
      <c r="C11" s="2">
        <f ca="1">[1]DemInt!C11</f>
        <v>2633.2946772255614</v>
      </c>
      <c r="D11" s="2">
        <f ca="1">[1]DemInt!D11</f>
        <v>2597.885915034818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[1]DemInt!A12</f>
        <v>Teff</v>
      </c>
      <c r="B12" t="str">
        <f>[1]DemInt!B12</f>
        <v>SNNPR</v>
      </c>
      <c r="C12" s="2">
        <f ca="1">[1]DemInt!C12</f>
        <v>2691.907057432657</v>
      </c>
      <c r="D12" s="2">
        <f ca="1">[1]DemInt!D12</f>
        <v>2275.5776763346112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[1]DemInt!A13</f>
        <v>Teff</v>
      </c>
      <c r="B13" t="str">
        <f>[1]DemInt!B13</f>
        <v>Tigray</v>
      </c>
      <c r="C13" s="2">
        <f ca="1">[1]DemInt!C13</f>
        <v>2000.1984140236893</v>
      </c>
      <c r="D13" s="2">
        <f ca="1">[1]DemInt!D13</f>
        <v>2340.1233668507534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[1]DemInt!A14</f>
        <v>Sorghum</v>
      </c>
      <c r="B14" t="str">
        <f>[1]DemInt!B14</f>
        <v>AddisAbaba</v>
      </c>
      <c r="C14" s="2">
        <f ca="1">[1]DemInt!C14</f>
        <v>2118.9603125300437</v>
      </c>
      <c r="D14" s="2">
        <f ca="1">[1]DemInt!D14</f>
        <v>2143.5697908317802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[1]DemInt!A15</f>
        <v>Sorghum</v>
      </c>
      <c r="B15" t="str">
        <f>[1]DemInt!B15</f>
        <v>Afar</v>
      </c>
      <c r="C15" s="2">
        <f ca="1">[1]DemInt!C15</f>
        <v>2279.2195228834307</v>
      </c>
      <c r="D15" s="2">
        <f ca="1">[1]DemInt!D15</f>
        <v>2959.6211359180452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[1]DemInt!A16</f>
        <v>Sorghum</v>
      </c>
      <c r="B16" t="str">
        <f>[1]DemInt!B16</f>
        <v>Amhara</v>
      </c>
      <c r="C16" s="2">
        <f ca="1">[1]DemInt!C16</f>
        <v>2469.1079411865448</v>
      </c>
      <c r="D16" s="2">
        <f ca="1">[1]DemInt!D16</f>
        <v>2591.1712085956374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[1]DemInt!A17</f>
        <v>Sorghum</v>
      </c>
      <c r="B17" t="str">
        <f>[1]DemInt!B17</f>
        <v>Gumuz</v>
      </c>
      <c r="C17" s="2">
        <f ca="1">[1]DemInt!C17</f>
        <v>2799.6417992656011</v>
      </c>
      <c r="D17" s="2">
        <f ca="1">[1]DemInt!D17</f>
        <v>2967.5136290068995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[1]DemInt!A18</f>
        <v>Sorghum</v>
      </c>
      <c r="B18" t="str">
        <f>[1]DemInt!B18</f>
        <v>DireDawa</v>
      </c>
      <c r="C18" s="2">
        <f ca="1">[1]DemInt!C18</f>
        <v>2534.9711822958002</v>
      </c>
      <c r="D18" s="2">
        <f ca="1">[1]DemInt!D18</f>
        <v>2411.2248113254882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[1]DemInt!A19</f>
        <v>Sorghum</v>
      </c>
      <c r="B19" t="str">
        <f>[1]DemInt!B19</f>
        <v>Gambela</v>
      </c>
      <c r="C19" s="2">
        <f ca="1">[1]DemInt!C19</f>
        <v>2851.1899514746374</v>
      </c>
      <c r="D19" s="2">
        <f ca="1">[1]DemInt!D19</f>
        <v>2572.32003674405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[1]DemInt!A20</f>
        <v>Sorghum</v>
      </c>
      <c r="B20" t="str">
        <f>[1]DemInt!B20</f>
        <v>Harari</v>
      </c>
      <c r="C20" s="2">
        <f ca="1">[1]DemInt!C20</f>
        <v>2832.2635079825432</v>
      </c>
      <c r="D20" s="2">
        <f ca="1">[1]DemInt!D20</f>
        <v>2341.7878817200026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[1]DemInt!A21</f>
        <v>Sorghum</v>
      </c>
      <c r="B21" t="str">
        <f>[1]DemInt!B21</f>
        <v>Oromia</v>
      </c>
      <c r="C21" s="2">
        <f ca="1">[1]DemInt!C21</f>
        <v>2377.9112561476663</v>
      </c>
      <c r="D21" s="2">
        <f ca="1">[1]DemInt!D21</f>
        <v>2914.4446183367149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[1]DemInt!A22</f>
        <v>Sorghum</v>
      </c>
      <c r="B22" t="str">
        <f>[1]DemInt!B22</f>
        <v>Somali</v>
      </c>
      <c r="C22" s="2">
        <f ca="1">[1]DemInt!C22</f>
        <v>2538.2517086978942</v>
      </c>
      <c r="D22" s="2">
        <f ca="1">[1]DemInt!D22</f>
        <v>2797.2263947627489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[1]DemInt!A23</f>
        <v>Sorghum</v>
      </c>
      <c r="B23" t="str">
        <f>[1]DemInt!B23</f>
        <v>SNNPR</v>
      </c>
      <c r="C23" s="2">
        <f ca="1">[1]DemInt!C23</f>
        <v>2705.0125833554785</v>
      </c>
      <c r="D23" s="2">
        <f ca="1">[1]DemInt!D23</f>
        <v>2539.954002071278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[1]DemInt!A24</f>
        <v>Sorghum</v>
      </c>
      <c r="B24" t="str">
        <f>[1]DemInt!B24</f>
        <v>Tigray</v>
      </c>
      <c r="C24" s="2">
        <f ca="1">[1]DemInt!C24</f>
        <v>2823.5149131995136</v>
      </c>
      <c r="D24" s="2">
        <f ca="1">[1]DemInt!D24</f>
        <v>2084.5955464569802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[1]DemInt!A25</f>
        <v>Maize</v>
      </c>
      <c r="B25" t="str">
        <f>[1]DemInt!B25</f>
        <v>AddisAbaba</v>
      </c>
      <c r="C25" s="2">
        <f ca="1">[1]DemInt!C25</f>
        <v>2879.3174554357192</v>
      </c>
      <c r="D25" s="2">
        <f ca="1">[1]DemInt!D25</f>
        <v>2693.2203304297477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[1]DemInt!A26</f>
        <v>Maize</v>
      </c>
      <c r="B26" t="str">
        <f>[1]DemInt!B26</f>
        <v>Afar</v>
      </c>
      <c r="C26" s="2">
        <f ca="1">[1]DemInt!C26</f>
        <v>2778.1334401044378</v>
      </c>
      <c r="D26" s="2">
        <f ca="1">[1]DemInt!D26</f>
        <v>2468.675544377782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[1]DemInt!A27</f>
        <v>Maize</v>
      </c>
      <c r="B27" t="str">
        <f>[1]DemInt!B27</f>
        <v>Amhara</v>
      </c>
      <c r="C27" s="2">
        <f ca="1">[1]DemInt!C27</f>
        <v>2375.5215820022208</v>
      </c>
      <c r="D27" s="2">
        <f ca="1">[1]DemInt!D27</f>
        <v>2021.8921262369224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[1]DemInt!A28</f>
        <v>Maize</v>
      </c>
      <c r="B28" t="str">
        <f>[1]DemInt!B28</f>
        <v>Gumuz</v>
      </c>
      <c r="C28" s="2">
        <f ca="1">[1]DemInt!C28</f>
        <v>2245.6995647956796</v>
      </c>
      <c r="D28" s="2">
        <f ca="1">[1]DemInt!D28</f>
        <v>2774.259489054863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[1]DemInt!A29</f>
        <v>Maize</v>
      </c>
      <c r="B29" t="str">
        <f>[1]DemInt!B29</f>
        <v>DireDawa</v>
      </c>
      <c r="C29" s="2">
        <f ca="1">[1]DemInt!C29</f>
        <v>2840.7301868126683</v>
      </c>
      <c r="D29" s="2">
        <f ca="1">[1]DemInt!D29</f>
        <v>2263.5414939496086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[1]DemInt!A30</f>
        <v>Maize</v>
      </c>
      <c r="B30" t="str">
        <f>[1]DemInt!B30</f>
        <v>Gambela</v>
      </c>
      <c r="C30" s="2">
        <f ca="1">[1]DemInt!C30</f>
        <v>2184.9305106908178</v>
      </c>
      <c r="D30" s="2">
        <f ca="1">[1]DemInt!D30</f>
        <v>2528.0153579229004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[1]DemInt!A31</f>
        <v>Maize</v>
      </c>
      <c r="B31" t="str">
        <f>[1]DemInt!B31</f>
        <v>Harari</v>
      </c>
      <c r="C31" s="2">
        <f ca="1">[1]DemInt!C31</f>
        <v>2822.0309633400439</v>
      </c>
      <c r="D31" s="2">
        <f ca="1">[1]DemInt!D31</f>
        <v>2770.904458147601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[1]DemInt!A32</f>
        <v>Maize</v>
      </c>
      <c r="B32" t="str">
        <f>[1]DemInt!B32</f>
        <v>Oromia</v>
      </c>
      <c r="C32" s="2">
        <f ca="1">[1]DemInt!C32</f>
        <v>2284.1544496415045</v>
      </c>
      <c r="D32" s="2">
        <f ca="1">[1]DemInt!D32</f>
        <v>2645.5610427016795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[1]DemInt!A33</f>
        <v>Maize</v>
      </c>
      <c r="B33" t="str">
        <f>[1]DemInt!B33</f>
        <v>Somali</v>
      </c>
      <c r="C33" s="2">
        <f ca="1">[1]DemInt!C33</f>
        <v>2616.3104253822348</v>
      </c>
      <c r="D33" s="2">
        <f ca="1">[1]DemInt!D33</f>
        <v>2644.0258165734581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[1]DemInt!A34</f>
        <v>Maize</v>
      </c>
      <c r="B34" t="str">
        <f>[1]DemInt!B34</f>
        <v>SNNPR</v>
      </c>
      <c r="C34" s="2">
        <f ca="1">[1]DemInt!C34</f>
        <v>2096.3436023644085</v>
      </c>
      <c r="D34" s="2">
        <f ca="1">[1]DemInt!D34</f>
        <v>2117.1140974179493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[1]DemInt!A35</f>
        <v>Maize</v>
      </c>
      <c r="B35" t="str">
        <f>[1]DemInt!B35</f>
        <v>Tigray</v>
      </c>
      <c r="C35" s="2">
        <f ca="1">[1]DemInt!C35</f>
        <v>2372.9789663723764</v>
      </c>
      <c r="D35" s="2">
        <f ca="1">[1]DemInt!D35</f>
        <v>2873.2811205893181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[1]DemInt!A36</f>
        <v>Lentils</v>
      </c>
      <c r="B36" t="str">
        <f>[1]DemInt!B36</f>
        <v>AddisAbaba</v>
      </c>
      <c r="C36" s="2">
        <f ca="1">[1]DemInt!C36</f>
        <v>2196.6890930954014</v>
      </c>
      <c r="D36" s="2">
        <f ca="1">[1]DemInt!D36</f>
        <v>2005.06931280702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[1]DemInt!A37</f>
        <v>Lentils</v>
      </c>
      <c r="B37" t="str">
        <f>[1]DemInt!B37</f>
        <v>Afar</v>
      </c>
      <c r="C37" s="2">
        <f ca="1">[1]DemInt!C37</f>
        <v>2032.4178830181268</v>
      </c>
      <c r="D37" s="2">
        <f ca="1">[1]DemInt!D37</f>
        <v>2694.8619531014087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[1]DemInt!A38</f>
        <v>Lentils</v>
      </c>
      <c r="B38" t="str">
        <f>[1]DemInt!B38</f>
        <v>Amhara</v>
      </c>
      <c r="C38" s="2">
        <f ca="1">[1]DemInt!C38</f>
        <v>2529.0399805906691</v>
      </c>
      <c r="D38" s="2">
        <f ca="1">[1]DemInt!D38</f>
        <v>2132.5653360982005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[1]DemInt!A39</f>
        <v>Lentils</v>
      </c>
      <c r="B39" t="str">
        <f>[1]DemInt!B39</f>
        <v>Gumuz</v>
      </c>
      <c r="C39" s="2">
        <f ca="1">[1]DemInt!C39</f>
        <v>2574.4551424392953</v>
      </c>
      <c r="D39" s="2">
        <f ca="1">[1]DemInt!D39</f>
        <v>2150.3566434564273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[1]DemInt!A40</f>
        <v>Lentils</v>
      </c>
      <c r="B40" t="str">
        <f>[1]DemInt!B40</f>
        <v>DireDawa</v>
      </c>
      <c r="C40" s="2">
        <f ca="1">[1]DemInt!C40</f>
        <v>2091.402486603376</v>
      </c>
      <c r="D40" s="2">
        <f ca="1">[1]DemInt!D40</f>
        <v>2927.3618760015752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[1]DemInt!A41</f>
        <v>Lentils</v>
      </c>
      <c r="B41" t="str">
        <f>[1]DemInt!B41</f>
        <v>Gambela</v>
      </c>
      <c r="C41" s="2">
        <f ca="1">[1]DemInt!C41</f>
        <v>2317.1305234525303</v>
      </c>
      <c r="D41" s="2">
        <f ca="1">[1]DemInt!D41</f>
        <v>2288.3704155758655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[1]DemInt!A42</f>
        <v>Lentils</v>
      </c>
      <c r="B42" t="str">
        <f>[1]DemInt!B42</f>
        <v>Harari</v>
      </c>
      <c r="C42" s="2">
        <f ca="1">[1]DemInt!C42</f>
        <v>2937.0410173714295</v>
      </c>
      <c r="D42" s="2">
        <f ca="1">[1]DemInt!D42</f>
        <v>2318.4543501781891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[1]DemInt!A43</f>
        <v>Lentils</v>
      </c>
      <c r="B43" t="str">
        <f>[1]DemInt!B43</f>
        <v>Oromia</v>
      </c>
      <c r="C43" s="2">
        <f ca="1">[1]DemInt!C43</f>
        <v>2464.878381359661</v>
      </c>
      <c r="D43" s="2">
        <f ca="1">[1]DemInt!D43</f>
        <v>2518.1480738445944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[1]DemInt!A44</f>
        <v>Lentils</v>
      </c>
      <c r="B44" t="str">
        <f>[1]DemInt!B44</f>
        <v>Somali</v>
      </c>
      <c r="C44" s="2">
        <f ca="1">[1]DemInt!C44</f>
        <v>2664.2225910293573</v>
      </c>
      <c r="D44" s="2">
        <f ca="1">[1]DemInt!D44</f>
        <v>2351.1588597390059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[1]DemInt!A45</f>
        <v>Lentils</v>
      </c>
      <c r="B45" t="str">
        <f>[1]DemInt!B45</f>
        <v>SNNPR</v>
      </c>
      <c r="C45" s="2">
        <f ca="1">[1]DemInt!C45</f>
        <v>2005.0035784595948</v>
      </c>
      <c r="D45" s="2">
        <f ca="1">[1]DemInt!D45</f>
        <v>2495.9968613134429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[1]DemInt!A46</f>
        <v>Lentils</v>
      </c>
      <c r="B46" t="str">
        <f>[1]DemInt!B46</f>
        <v>Tigray</v>
      </c>
      <c r="C46" s="2">
        <f ca="1">[1]DemInt!C46</f>
        <v>2222.8735993533769</v>
      </c>
      <c r="D46" s="2">
        <f ca="1">[1]DemInt!D46</f>
        <v>2684.5800583851242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[1]DemInt!A47</f>
        <v>Vegetables</v>
      </c>
      <c r="B47" t="str">
        <f>[1]DemInt!B47</f>
        <v>AddisAbaba</v>
      </c>
      <c r="C47" s="2">
        <f ca="1">[1]DemInt!C47</f>
        <v>2465.5065635365809</v>
      </c>
      <c r="D47" s="2">
        <f ca="1">[1]DemInt!D47</f>
        <v>2643.5934720975079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[1]DemInt!A48</f>
        <v>Vegetables</v>
      </c>
      <c r="B48" t="str">
        <f>[1]DemInt!B48</f>
        <v>Afar</v>
      </c>
      <c r="C48" s="2">
        <f ca="1">[1]DemInt!C48</f>
        <v>2612.1081263754254</v>
      </c>
      <c r="D48" s="2">
        <f ca="1">[1]DemInt!D48</f>
        <v>2178.3710771078086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[1]DemInt!A49</f>
        <v>Vegetables</v>
      </c>
      <c r="B49" t="str">
        <f>[1]DemInt!B49</f>
        <v>Amhara</v>
      </c>
      <c r="C49" s="2">
        <f ca="1">[1]DemInt!C49</f>
        <v>2683.3522905249197</v>
      </c>
      <c r="D49" s="2">
        <f ca="1">[1]DemInt!D49</f>
        <v>2950.1477965621634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[1]DemInt!A50</f>
        <v>Vegetables</v>
      </c>
      <c r="B50" t="str">
        <f>[1]DemInt!B50</f>
        <v>Gumuz</v>
      </c>
      <c r="C50" s="2">
        <f ca="1">[1]DemInt!C50</f>
        <v>2087.5698520577666</v>
      </c>
      <c r="D50" s="2">
        <f ca="1">[1]DemInt!D50</f>
        <v>2951.9180578317669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[1]DemInt!A51</f>
        <v>Vegetables</v>
      </c>
      <c r="B51" t="str">
        <f>[1]DemInt!B51</f>
        <v>DireDawa</v>
      </c>
      <c r="C51" s="2">
        <f ca="1">[1]DemInt!C51</f>
        <v>2686.8546755801326</v>
      </c>
      <c r="D51" s="2">
        <f ca="1">[1]DemInt!D51</f>
        <v>2993.1459267354694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[1]DemInt!A52</f>
        <v>Vegetables</v>
      </c>
      <c r="B52" t="str">
        <f>[1]DemInt!B52</f>
        <v>Gambela</v>
      </c>
      <c r="C52" s="2">
        <f ca="1">[1]DemInt!C52</f>
        <v>2943.2735442399535</v>
      </c>
      <c r="D52" s="2">
        <f ca="1">[1]DemInt!D52</f>
        <v>2650.9206283590452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[1]DemInt!A53</f>
        <v>Vegetables</v>
      </c>
      <c r="B53" t="str">
        <f>[1]DemInt!B53</f>
        <v>Harari</v>
      </c>
      <c r="C53" s="2">
        <f ca="1">[1]DemInt!C53</f>
        <v>2465.5383833621386</v>
      </c>
      <c r="D53" s="2">
        <f ca="1">[1]DemInt!D53</f>
        <v>2568.4521169261038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[1]DemInt!A54</f>
        <v>Vegetables</v>
      </c>
      <c r="B54" t="str">
        <f>[1]DemInt!B54</f>
        <v>Oromia</v>
      </c>
      <c r="C54" s="2">
        <f ca="1">[1]DemInt!C54</f>
        <v>2529.9463426342927</v>
      </c>
      <c r="D54" s="2">
        <f ca="1">[1]DemInt!D54</f>
        <v>2778.9924614568827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[1]DemInt!A55</f>
        <v>Vegetables</v>
      </c>
      <c r="B55" t="str">
        <f>[1]DemInt!B55</f>
        <v>Somali</v>
      </c>
      <c r="C55" s="2">
        <f ca="1">[1]DemInt!C55</f>
        <v>2799.5743965479405</v>
      </c>
      <c r="D55" s="2">
        <f ca="1">[1]DemInt!D55</f>
        <v>2204.2814763109627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[1]DemInt!A56</f>
        <v>Vegetables</v>
      </c>
      <c r="B56" t="str">
        <f>[1]DemInt!B56</f>
        <v>SNNPR</v>
      </c>
      <c r="C56" s="2">
        <f ca="1">[1]DemInt!C56</f>
        <v>2152.8835782646306</v>
      </c>
      <c r="D56" s="2">
        <f ca="1">[1]DemInt!D56</f>
        <v>2448.6800095176609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[1]DemInt!A57</f>
        <v>Vegetables</v>
      </c>
      <c r="B57" t="str">
        <f>[1]DemInt!B57</f>
        <v>Tigray</v>
      </c>
      <c r="C57" s="2">
        <f ca="1">[1]DemInt!C57</f>
        <v>2810.3114097414477</v>
      </c>
      <c r="D57" s="2">
        <f ca="1">[1]DemInt!D57</f>
        <v>2026.0031762341098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[1]DemInt!A58</f>
        <v>Coffee</v>
      </c>
      <c r="B58" t="str">
        <f>[1]DemInt!B58</f>
        <v>AddisAbaba</v>
      </c>
      <c r="C58" s="2">
        <f ca="1">[1]DemInt!C58</f>
        <v>2622.9296866162554</v>
      </c>
      <c r="D58" s="2">
        <f ca="1">[1]DemInt!D58</f>
        <v>2062.4505069096695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[1]DemInt!A59</f>
        <v>Coffee</v>
      </c>
      <c r="B59" t="str">
        <f>[1]DemInt!B59</f>
        <v>Afar</v>
      </c>
      <c r="C59" s="2">
        <f ca="1">[1]DemInt!C59</f>
        <v>2690.699912128779</v>
      </c>
      <c r="D59" s="2">
        <f ca="1">[1]DemInt!D59</f>
        <v>2758.8446909243762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[1]DemInt!A60</f>
        <v>Coffee</v>
      </c>
      <c r="B60" t="str">
        <f>[1]DemInt!B60</f>
        <v>Amhara</v>
      </c>
      <c r="C60" s="2">
        <f ca="1">[1]DemInt!C60</f>
        <v>2623.3559091390234</v>
      </c>
      <c r="D60" s="2">
        <f ca="1">[1]DemInt!D60</f>
        <v>2355.8769414915373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[1]DemInt!A61</f>
        <v>Coffee</v>
      </c>
      <c r="B61" t="str">
        <f>[1]DemInt!B61</f>
        <v>Gumuz</v>
      </c>
      <c r="C61" s="2">
        <f ca="1">[1]DemInt!C61</f>
        <v>2160.8700120665644</v>
      </c>
      <c r="D61" s="2">
        <f ca="1">[1]DemInt!D61</f>
        <v>2577.1125645792063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[1]DemInt!A62</f>
        <v>Coffee</v>
      </c>
      <c r="B62" t="str">
        <f>[1]DemInt!B62</f>
        <v>DireDawa</v>
      </c>
      <c r="C62" s="2">
        <f ca="1">[1]DemInt!C62</f>
        <v>2413.6004534748849</v>
      </c>
      <c r="D62" s="2">
        <f ca="1">[1]DemInt!D62</f>
        <v>2020.2912223994472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[1]DemInt!A63</f>
        <v>Coffee</v>
      </c>
      <c r="B63" t="str">
        <f>[1]DemInt!B63</f>
        <v>Gambela</v>
      </c>
      <c r="C63" s="2">
        <f ca="1">[1]DemInt!C63</f>
        <v>2641.2116128824655</v>
      </c>
      <c r="D63" s="2">
        <f ca="1">[1]DemInt!D63</f>
        <v>2826.0579559053231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[1]DemInt!A64</f>
        <v>Coffee</v>
      </c>
      <c r="B64" t="str">
        <f>[1]DemInt!B64</f>
        <v>Harari</v>
      </c>
      <c r="C64" s="2">
        <f ca="1">[1]DemInt!C64</f>
        <v>2699.4709409865263</v>
      </c>
      <c r="D64" s="2">
        <f ca="1">[1]DemInt!D64</f>
        <v>2397.5490360034737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[1]DemInt!A65</f>
        <v>Coffee</v>
      </c>
      <c r="B65" t="str">
        <f>[1]DemInt!B65</f>
        <v>Oromia</v>
      </c>
      <c r="C65" s="2">
        <f ca="1">[1]DemInt!C65</f>
        <v>2083.5250824679647</v>
      </c>
      <c r="D65" s="2">
        <f ca="1">[1]DemInt!D65</f>
        <v>2704.1981250781346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[1]DemInt!A66</f>
        <v>Coffee</v>
      </c>
      <c r="B66" t="str">
        <f>[1]DemInt!B66</f>
        <v>Somali</v>
      </c>
      <c r="C66" s="2">
        <f ca="1">[1]DemInt!C66</f>
        <v>2389.2760182831589</v>
      </c>
      <c r="D66" s="2">
        <f ca="1">[1]DemInt!D66</f>
        <v>2080.8300541296776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[1]DemInt!A67</f>
        <v>Coffee</v>
      </c>
      <c r="B67" t="str">
        <f>[1]DemInt!B67</f>
        <v>SNNPR</v>
      </c>
      <c r="C67" s="2">
        <f ca="1">[1]DemInt!C67</f>
        <v>2304.4225778061837</v>
      </c>
      <c r="D67" s="2">
        <f ca="1">[1]DemInt!D67</f>
        <v>2741.0318453544214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[1]DemInt!A68</f>
        <v>Coffee</v>
      </c>
      <c r="B68" t="str">
        <f>[1]DemInt!B68</f>
        <v>Tigray</v>
      </c>
      <c r="C68" s="2">
        <f ca="1">[1]DemInt!C68</f>
        <v>2079.0291379100458</v>
      </c>
      <c r="D68" s="2">
        <f ca="1">[1]DemInt!D68</f>
        <v>2764.9466967373655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zoomScale="85" zoomScaleNormal="85" workbookViewId="0">
      <selection activeCell="A3" sqref="A3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>
        <f>[1]DemSlope!C1</f>
        <v>2015</v>
      </c>
      <c r="D1">
        <f>[1]DemSlope!D1</f>
        <v>2015</v>
      </c>
    </row>
    <row r="2" spans="1:34" x14ac:dyDescent="0.25">
      <c r="C2" t="str">
        <f>[1]DemSlope!C2</f>
        <v>Belg</v>
      </c>
      <c r="D2" t="str">
        <f>[1]DemSlope!D2</f>
        <v>Kremt</v>
      </c>
    </row>
    <row r="3" spans="1:34" x14ac:dyDescent="0.25">
      <c r="A3" t="str">
        <f>[1]DemSlope!A3</f>
        <v>Teff</v>
      </c>
      <c r="B3" t="str">
        <f>[1]DemSlope!B3</f>
        <v>AddisAbaba</v>
      </c>
      <c r="C3">
        <f ca="1">[1]DemSlope!C3</f>
        <v>22.483410750441774</v>
      </c>
      <c r="D3">
        <f ca="1">[1]DemSlope!D3</f>
        <v>22.084761129354767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[1]DemSlope!A4</f>
        <v>Teff</v>
      </c>
      <c r="B4" t="str">
        <f>[1]DemSlope!B4</f>
        <v>Afar</v>
      </c>
      <c r="C4">
        <f ca="1">[1]DemSlope!C4</f>
        <v>21.388026707105769</v>
      </c>
      <c r="D4">
        <f ca="1">[1]DemSlope!D4</f>
        <v>28.012489374644986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[1]DemSlope!A5</f>
        <v>Teff</v>
      </c>
      <c r="B5" t="str">
        <f>[1]DemSlope!B5</f>
        <v>Amhara</v>
      </c>
      <c r="C5">
        <f ca="1">[1]DemSlope!C5</f>
        <v>22.085903958197996</v>
      </c>
      <c r="D5">
        <f ca="1">[1]DemSlope!D5</f>
        <v>27.576524298721473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[1]DemSlope!A6</f>
        <v>Teff</v>
      </c>
      <c r="B6" t="str">
        <f>[1]DemSlope!B6</f>
        <v>Gumuz</v>
      </c>
      <c r="C6">
        <f ca="1">[1]DemSlope!C6</f>
        <v>25.667500060203121</v>
      </c>
      <c r="D6">
        <f ca="1">[1]DemSlope!D6</f>
        <v>28.790817340101427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[1]DemSlope!A7</f>
        <v>Teff</v>
      </c>
      <c r="B7" t="str">
        <f>[1]DemSlope!B7</f>
        <v>DireDawa</v>
      </c>
      <c r="C7">
        <f ca="1">[1]DemSlope!C7</f>
        <v>22.757661810895549</v>
      </c>
      <c r="D7">
        <f ca="1">[1]DemSlope!D7</f>
        <v>20.961902853315951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[1]DemSlope!A8</f>
        <v>Teff</v>
      </c>
      <c r="B8" t="str">
        <f>[1]DemSlope!B8</f>
        <v>Gambela</v>
      </c>
      <c r="C8">
        <f ca="1">[1]DemSlope!C8</f>
        <v>26.358194429228231</v>
      </c>
      <c r="D8">
        <f ca="1">[1]DemSlope!D8</f>
        <v>20.601169929138749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[1]DemSlope!A9</f>
        <v>Teff</v>
      </c>
      <c r="B9" t="str">
        <f>[1]DemSlope!B9</f>
        <v>Harari</v>
      </c>
      <c r="C9">
        <f ca="1">[1]DemSlope!C9</f>
        <v>26.500365772468733</v>
      </c>
      <c r="D9">
        <f ca="1">[1]DemSlope!D9</f>
        <v>26.312720449002825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[1]DemSlope!A10</f>
        <v>Teff</v>
      </c>
      <c r="B10" t="str">
        <f>[1]DemSlope!B10</f>
        <v>Oromia</v>
      </c>
      <c r="C10">
        <f ca="1">[1]DemSlope!C10</f>
        <v>29.492037484919983</v>
      </c>
      <c r="D10">
        <f ca="1">[1]DemSlope!D10</f>
        <v>20.093848151660318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[1]DemSlope!A11</f>
        <v>Teff</v>
      </c>
      <c r="B11" t="str">
        <f>[1]DemSlope!B11</f>
        <v>Somali</v>
      </c>
      <c r="C11">
        <f ca="1">[1]DemSlope!C11</f>
        <v>28.752032098432679</v>
      </c>
      <c r="D11">
        <f ca="1">[1]DemSlope!D11</f>
        <v>20.777707142370545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[1]DemSlope!A12</f>
        <v>Teff</v>
      </c>
      <c r="B12" t="str">
        <f>[1]DemSlope!B12</f>
        <v>SNNPR</v>
      </c>
      <c r="C12">
        <f ca="1">[1]DemSlope!C12</f>
        <v>29.908586063577136</v>
      </c>
      <c r="D12">
        <f ca="1">[1]DemSlope!D12</f>
        <v>28.576109978207551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[1]DemSlope!A13</f>
        <v>Teff</v>
      </c>
      <c r="B13" t="str">
        <f>[1]DemSlope!B13</f>
        <v>Tigray</v>
      </c>
      <c r="C13">
        <f ca="1">[1]DemSlope!C13</f>
        <v>24.58977214124193</v>
      </c>
      <c r="D13">
        <f ca="1">[1]DemSlope!D13</f>
        <v>24.041421594114997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[1]DemSlope!A14</f>
        <v>Sorghum</v>
      </c>
      <c r="B14" t="str">
        <f>[1]DemSlope!B14</f>
        <v>AddisAbaba</v>
      </c>
      <c r="C14">
        <f ca="1">[1]DemSlope!C14</f>
        <v>20.589682120224673</v>
      </c>
      <c r="D14">
        <f ca="1">[1]DemSlope!D14</f>
        <v>23.361641923513254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[1]DemSlope!A15</f>
        <v>Sorghum</v>
      </c>
      <c r="B15" t="str">
        <f>[1]DemSlope!B15</f>
        <v>Afar</v>
      </c>
      <c r="C15">
        <f ca="1">[1]DemSlope!C15</f>
        <v>20.769244039927358</v>
      </c>
      <c r="D15">
        <f ca="1">[1]DemSlope!D15</f>
        <v>24.073315686280495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[1]DemSlope!A16</f>
        <v>Sorghum</v>
      </c>
      <c r="B16" t="str">
        <f>[1]DemSlope!B16</f>
        <v>Amhara</v>
      </c>
      <c r="C16">
        <f ca="1">[1]DemSlope!C16</f>
        <v>27.048813727059159</v>
      </c>
      <c r="D16">
        <f ca="1">[1]DemSlope!D16</f>
        <v>28.028975219290505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[1]DemSlope!A17</f>
        <v>Sorghum</v>
      </c>
      <c r="B17" t="str">
        <f>[1]DemSlope!B17</f>
        <v>Gumuz</v>
      </c>
      <c r="C17">
        <f ca="1">[1]DemSlope!C17</f>
        <v>20.737950168614184</v>
      </c>
      <c r="D17">
        <f ca="1">[1]DemSlope!D17</f>
        <v>20.569535524833373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[1]DemSlope!A18</f>
        <v>Sorghum</v>
      </c>
      <c r="B18" t="str">
        <f>[1]DemSlope!B18</f>
        <v>DireDawa</v>
      </c>
      <c r="C18">
        <f ca="1">[1]DemSlope!C18</f>
        <v>28.051779697551851</v>
      </c>
      <c r="D18">
        <f ca="1">[1]DemSlope!D18</f>
        <v>28.939437448895859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[1]DemSlope!A19</f>
        <v>Sorghum</v>
      </c>
      <c r="B19" t="str">
        <f>[1]DemSlope!B19</f>
        <v>Gambela</v>
      </c>
      <c r="C19">
        <f ca="1">[1]DemSlope!C19</f>
        <v>21.934532892950624</v>
      </c>
      <c r="D19">
        <f ca="1">[1]DemSlope!D19</f>
        <v>20.212235144952835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[1]DemSlope!A20</f>
        <v>Sorghum</v>
      </c>
      <c r="B20" t="str">
        <f>[1]DemSlope!B20</f>
        <v>Harari</v>
      </c>
      <c r="C20">
        <f ca="1">[1]DemSlope!C20</f>
        <v>22.711101282632342</v>
      </c>
      <c r="D20">
        <f ca="1">[1]DemSlope!D20</f>
        <v>27.745556501205144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[1]DemSlope!A21</f>
        <v>Sorghum</v>
      </c>
      <c r="B21" t="str">
        <f>[1]DemSlope!B21</f>
        <v>Oromia</v>
      </c>
      <c r="C21">
        <f ca="1">[1]DemSlope!C21</f>
        <v>29.039778295573896</v>
      </c>
      <c r="D21">
        <f ca="1">[1]DemSlope!D21</f>
        <v>29.780427863017188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[1]DemSlope!A22</f>
        <v>Sorghum</v>
      </c>
      <c r="B22" t="str">
        <f>[1]DemSlope!B22</f>
        <v>Somali</v>
      </c>
      <c r="C22">
        <f ca="1">[1]DemSlope!C22</f>
        <v>23.652379802247051</v>
      </c>
      <c r="D22">
        <f ca="1">[1]DemSlope!D22</f>
        <v>23.120955701142705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[1]DemSlope!A23</f>
        <v>Sorghum</v>
      </c>
      <c r="B23" t="str">
        <f>[1]DemSlope!B23</f>
        <v>SNNPR</v>
      </c>
      <c r="C23">
        <f ca="1">[1]DemSlope!C23</f>
        <v>20.913321192417076</v>
      </c>
      <c r="D23">
        <f ca="1">[1]DemSlope!D23</f>
        <v>22.819610379301992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[1]DemSlope!A24</f>
        <v>Sorghum</v>
      </c>
      <c r="B24" t="str">
        <f>[1]DemSlope!B24</f>
        <v>Tigray</v>
      </c>
      <c r="C24">
        <f ca="1">[1]DemSlope!C24</f>
        <v>24.513295203358823</v>
      </c>
      <c r="D24">
        <f ca="1">[1]DemSlope!D24</f>
        <v>24.42416557607671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[1]DemSlope!A25</f>
        <v>Maize</v>
      </c>
      <c r="B25" t="str">
        <f>[1]DemSlope!B25</f>
        <v>AddisAbaba</v>
      </c>
      <c r="C25">
        <f ca="1">[1]DemSlope!C25</f>
        <v>26.562972681002815</v>
      </c>
      <c r="D25">
        <f ca="1">[1]DemSlope!D25</f>
        <v>22.269566888341231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[1]DemSlope!A26</f>
        <v>Maize</v>
      </c>
      <c r="B26" t="str">
        <f>[1]DemSlope!B26</f>
        <v>Afar</v>
      </c>
      <c r="C26">
        <f ca="1">[1]DemSlope!C26</f>
        <v>29.969777311014699</v>
      </c>
      <c r="D26">
        <f ca="1">[1]DemSlope!D26</f>
        <v>29.748227252279449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[1]DemSlope!A27</f>
        <v>Maize</v>
      </c>
      <c r="B27" t="str">
        <f>[1]DemSlope!B27</f>
        <v>Amhara</v>
      </c>
      <c r="C27">
        <f ca="1">[1]DemSlope!C27</f>
        <v>26.192360088457256</v>
      </c>
      <c r="D27">
        <f ca="1">[1]DemSlope!D27</f>
        <v>28.320132778217626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[1]DemSlope!A28</f>
        <v>Maize</v>
      </c>
      <c r="B28" t="str">
        <f>[1]DemSlope!B28</f>
        <v>Gumuz</v>
      </c>
      <c r="C28">
        <f ca="1">[1]DemSlope!C28</f>
        <v>21.403038003467813</v>
      </c>
      <c r="D28">
        <f ca="1">[1]DemSlope!D28</f>
        <v>27.18369663890034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[1]DemSlope!A29</f>
        <v>Maize</v>
      </c>
      <c r="B29" t="str">
        <f>[1]DemSlope!B29</f>
        <v>DireDawa</v>
      </c>
      <c r="C29">
        <f ca="1">[1]DemSlope!C29</f>
        <v>28.735205580754275</v>
      </c>
      <c r="D29">
        <f ca="1">[1]DemSlope!D29</f>
        <v>24.807515825344911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[1]DemSlope!A30</f>
        <v>Maize</v>
      </c>
      <c r="B30" t="str">
        <f>[1]DemSlope!B30</f>
        <v>Gambela</v>
      </c>
      <c r="C30">
        <f ca="1">[1]DemSlope!C30</f>
        <v>21.097638198840212</v>
      </c>
      <c r="D30">
        <f ca="1">[1]DemSlope!D30</f>
        <v>22.155282185686023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[1]DemSlope!A31</f>
        <v>Maize</v>
      </c>
      <c r="B31" t="str">
        <f>[1]DemSlope!B31</f>
        <v>Harari</v>
      </c>
      <c r="C31">
        <f ca="1">[1]DemSlope!C31</f>
        <v>26.192145309771838</v>
      </c>
      <c r="D31">
        <f ca="1">[1]DemSlope!D31</f>
        <v>23.178185880520168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[1]DemSlope!A32</f>
        <v>Maize</v>
      </c>
      <c r="B32" t="str">
        <f>[1]DemSlope!B32</f>
        <v>Oromia</v>
      </c>
      <c r="C32">
        <f ca="1">[1]DemSlope!C32</f>
        <v>20.201446518529149</v>
      </c>
      <c r="D32">
        <f ca="1">[1]DemSlope!D32</f>
        <v>22.070557075555975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[1]DemSlope!A33</f>
        <v>Maize</v>
      </c>
      <c r="B33" t="str">
        <f>[1]DemSlope!B33</f>
        <v>Somali</v>
      </c>
      <c r="C33">
        <f ca="1">[1]DemSlope!C33</f>
        <v>20.460964051443732</v>
      </c>
      <c r="D33">
        <f ca="1">[1]DemSlope!D33</f>
        <v>21.563108054357624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[1]DemSlope!A34</f>
        <v>Maize</v>
      </c>
      <c r="B34" t="str">
        <f>[1]DemSlope!B34</f>
        <v>SNNPR</v>
      </c>
      <c r="C34">
        <f ca="1">[1]DemSlope!C34</f>
        <v>23.159442972468909</v>
      </c>
      <c r="D34">
        <f ca="1">[1]DemSlope!D34</f>
        <v>27.949133170394109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[1]DemSlope!A35</f>
        <v>Maize</v>
      </c>
      <c r="B35" t="str">
        <f>[1]DemSlope!B35</f>
        <v>Tigray</v>
      </c>
      <c r="C35">
        <f ca="1">[1]DemSlope!C35</f>
        <v>22.706546084430812</v>
      </c>
      <c r="D35">
        <f ca="1">[1]DemSlope!D35</f>
        <v>26.329067376314448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[1]DemSlope!A36</f>
        <v>Lentils</v>
      </c>
      <c r="B36" t="str">
        <f>[1]DemSlope!B36</f>
        <v>AddisAbaba</v>
      </c>
      <c r="C36">
        <f ca="1">[1]DemSlope!C36</f>
        <v>26.299437399506825</v>
      </c>
      <c r="D36">
        <f ca="1">[1]DemSlope!D36</f>
        <v>25.96857860368808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[1]DemSlope!A37</f>
        <v>Lentils</v>
      </c>
      <c r="B37" t="str">
        <f>[1]DemSlope!B37</f>
        <v>Afar</v>
      </c>
      <c r="C37">
        <f ca="1">[1]DemSlope!C37</f>
        <v>20.635647398354251</v>
      </c>
      <c r="D37">
        <f ca="1">[1]DemSlope!D37</f>
        <v>27.653335465629596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[1]DemSlope!A38</f>
        <v>Lentils</v>
      </c>
      <c r="B38" t="str">
        <f>[1]DemSlope!B38</f>
        <v>Amhara</v>
      </c>
      <c r="C38">
        <f ca="1">[1]DemSlope!C38</f>
        <v>27.246223326293673</v>
      </c>
      <c r="D38">
        <f ca="1">[1]DemSlope!D38</f>
        <v>22.689627862599089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[1]DemSlope!A39</f>
        <v>Lentils</v>
      </c>
      <c r="B39" t="str">
        <f>[1]DemSlope!B39</f>
        <v>Gumuz</v>
      </c>
      <c r="C39">
        <f ca="1">[1]DemSlope!C39</f>
        <v>28.97343204789594</v>
      </c>
      <c r="D39">
        <f ca="1">[1]DemSlope!D39</f>
        <v>21.675517109990764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[1]DemSlope!A40</f>
        <v>Lentils</v>
      </c>
      <c r="B40" t="str">
        <f>[1]DemSlope!B40</f>
        <v>DireDawa</v>
      </c>
      <c r="C40">
        <f ca="1">[1]DemSlope!C40</f>
        <v>22.084256419556198</v>
      </c>
      <c r="D40">
        <f ca="1">[1]DemSlope!D40</f>
        <v>26.902038459344801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[1]DemSlope!A41</f>
        <v>Lentils</v>
      </c>
      <c r="B41" t="str">
        <f>[1]DemSlope!B41</f>
        <v>Gambela</v>
      </c>
      <c r="C41">
        <f ca="1">[1]DemSlope!C41</f>
        <v>25.536934085779556</v>
      </c>
      <c r="D41">
        <f ca="1">[1]DemSlope!D41</f>
        <v>22.904595622801672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[1]DemSlope!A42</f>
        <v>Lentils</v>
      </c>
      <c r="B42" t="str">
        <f>[1]DemSlope!B42</f>
        <v>Harari</v>
      </c>
      <c r="C42">
        <f ca="1">[1]DemSlope!C42</f>
        <v>22.789054779644196</v>
      </c>
      <c r="D42">
        <f ca="1">[1]DemSlope!D42</f>
        <v>28.19547676514145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[1]DemSlope!A43</f>
        <v>Lentils</v>
      </c>
      <c r="B43" t="str">
        <f>[1]DemSlope!B43</f>
        <v>Oromia</v>
      </c>
      <c r="C43">
        <f ca="1">[1]DemSlope!C43</f>
        <v>26.472351430541778</v>
      </c>
      <c r="D43">
        <f ca="1">[1]DemSlope!D43</f>
        <v>29.119000526445447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[1]DemSlope!A44</f>
        <v>Lentils</v>
      </c>
      <c r="B44" t="str">
        <f>[1]DemSlope!B44</f>
        <v>Somali</v>
      </c>
      <c r="C44">
        <f ca="1">[1]DemSlope!C44</f>
        <v>29.198462754971175</v>
      </c>
      <c r="D44">
        <f ca="1">[1]DemSlope!D44</f>
        <v>26.434545522547246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[1]DemSlope!A45</f>
        <v>Lentils</v>
      </c>
      <c r="B45" t="str">
        <f>[1]DemSlope!B45</f>
        <v>SNNPR</v>
      </c>
      <c r="C45">
        <f ca="1">[1]DemSlope!C45</f>
        <v>23.694510813799798</v>
      </c>
      <c r="D45">
        <f ca="1">[1]DemSlope!D45</f>
        <v>22.610397412880641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[1]DemSlope!A46</f>
        <v>Lentils</v>
      </c>
      <c r="B46" t="str">
        <f>[1]DemSlope!B46</f>
        <v>Tigray</v>
      </c>
      <c r="C46">
        <f ca="1">[1]DemSlope!C46</f>
        <v>28.15352525817331</v>
      </c>
      <c r="D46">
        <f ca="1">[1]DemSlope!D46</f>
        <v>22.0108720393889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[1]DemSlope!A47</f>
        <v>Vegetables</v>
      </c>
      <c r="B47" t="str">
        <f>[1]DemSlope!B47</f>
        <v>AddisAbaba</v>
      </c>
      <c r="C47">
        <f ca="1">[1]DemSlope!C47</f>
        <v>27.121925381430625</v>
      </c>
      <c r="D47">
        <f ca="1">[1]DemSlope!D47</f>
        <v>23.533482094609752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[1]DemSlope!A48</f>
        <v>Vegetables</v>
      </c>
      <c r="B48" t="str">
        <f>[1]DemSlope!B48</f>
        <v>Afar</v>
      </c>
      <c r="C48">
        <f ca="1">[1]DemSlope!C48</f>
        <v>25.040743772361953</v>
      </c>
      <c r="D48">
        <f ca="1">[1]DemSlope!D48</f>
        <v>28.223628725382405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[1]DemSlope!A49</f>
        <v>Vegetables</v>
      </c>
      <c r="B49" t="str">
        <f>[1]DemSlope!B49</f>
        <v>Amhara</v>
      </c>
      <c r="C49">
        <f ca="1">[1]DemSlope!C49</f>
        <v>28.226063055953627</v>
      </c>
      <c r="D49">
        <f ca="1">[1]DemSlope!D49</f>
        <v>25.088734979789816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[1]DemSlope!A50</f>
        <v>Vegetables</v>
      </c>
      <c r="B50" t="str">
        <f>[1]DemSlope!B50</f>
        <v>Gumuz</v>
      </c>
      <c r="C50">
        <f ca="1">[1]DemSlope!C50</f>
        <v>24.88376245322144</v>
      </c>
      <c r="D50">
        <f ca="1">[1]DemSlope!D50</f>
        <v>26.533643618277516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[1]DemSlope!A51</f>
        <v>Vegetables</v>
      </c>
      <c r="B51" t="str">
        <f>[1]DemSlope!B51</f>
        <v>DireDawa</v>
      </c>
      <c r="C51">
        <f ca="1">[1]DemSlope!C51</f>
        <v>23.199138774779545</v>
      </c>
      <c r="D51">
        <f ca="1">[1]DemSlope!D51</f>
        <v>23.856128417205277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[1]DemSlope!A52</f>
        <v>Vegetables</v>
      </c>
      <c r="B52" t="str">
        <f>[1]DemSlope!B52</f>
        <v>Gambela</v>
      </c>
      <c r="C52">
        <f ca="1">[1]DemSlope!C52</f>
        <v>20.170454772620758</v>
      </c>
      <c r="D52">
        <f ca="1">[1]DemSlope!D52</f>
        <v>27.918401618987502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[1]DemSlope!A53</f>
        <v>Vegetables</v>
      </c>
      <c r="B53" t="str">
        <f>[1]DemSlope!B53</f>
        <v>Harari</v>
      </c>
      <c r="C53">
        <f ca="1">[1]DemSlope!C53</f>
        <v>22.968904395241552</v>
      </c>
      <c r="D53">
        <f ca="1">[1]DemSlope!D53</f>
        <v>21.761329927223926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[1]DemSlope!A54</f>
        <v>Vegetables</v>
      </c>
      <c r="B54" t="str">
        <f>[1]DemSlope!B54</f>
        <v>Oromia</v>
      </c>
      <c r="C54">
        <f ca="1">[1]DemSlope!C54</f>
        <v>27.730660916366389</v>
      </c>
      <c r="D54">
        <f ca="1">[1]DemSlope!D54</f>
        <v>26.684770512540474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[1]DemSlope!A55</f>
        <v>Vegetables</v>
      </c>
      <c r="B55" t="str">
        <f>[1]DemSlope!B55</f>
        <v>Somali</v>
      </c>
      <c r="C55">
        <f ca="1">[1]DemSlope!C55</f>
        <v>25.40857039585887</v>
      </c>
      <c r="D55">
        <f ca="1">[1]DemSlope!D55</f>
        <v>29.051313972276908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[1]DemSlope!A56</f>
        <v>Vegetables</v>
      </c>
      <c r="B56" t="str">
        <f>[1]DemSlope!B56</f>
        <v>SNNPR</v>
      </c>
      <c r="C56">
        <f ca="1">[1]DemSlope!C56</f>
        <v>23.545859552074688</v>
      </c>
      <c r="D56">
        <f ca="1">[1]DemSlope!D56</f>
        <v>26.868806925660714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[1]DemSlope!A57</f>
        <v>Vegetables</v>
      </c>
      <c r="B57" t="str">
        <f>[1]DemSlope!B57</f>
        <v>Tigray</v>
      </c>
      <c r="C57">
        <f ca="1">[1]DemSlope!C57</f>
        <v>22.02839178101113</v>
      </c>
      <c r="D57">
        <f ca="1">[1]DemSlope!D57</f>
        <v>23.215226241332665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[1]DemSlope!A58</f>
        <v>Coffee</v>
      </c>
      <c r="B58" t="str">
        <f>[1]DemSlope!B58</f>
        <v>AddisAbaba</v>
      </c>
      <c r="C58">
        <f ca="1">[1]DemSlope!C58</f>
        <v>27.101080666277539</v>
      </c>
      <c r="D58">
        <f ca="1">[1]DemSlope!D58</f>
        <v>26.819860854045075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[1]DemSlope!A59</f>
        <v>Coffee</v>
      </c>
      <c r="B59" t="str">
        <f>[1]DemSlope!B59</f>
        <v>Afar</v>
      </c>
      <c r="C59">
        <f ca="1">[1]DemSlope!C59</f>
        <v>22.44329939179265</v>
      </c>
      <c r="D59">
        <f ca="1">[1]DemSlope!D59</f>
        <v>24.154936671100735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[1]DemSlope!A60</f>
        <v>Coffee</v>
      </c>
      <c r="B60" t="str">
        <f>[1]DemSlope!B60</f>
        <v>Amhara</v>
      </c>
      <c r="C60">
        <f ca="1">[1]DemSlope!C60</f>
        <v>26.822029668412416</v>
      </c>
      <c r="D60">
        <f ca="1">[1]DemSlope!D60</f>
        <v>21.653679645482121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[1]DemSlope!A61</f>
        <v>Coffee</v>
      </c>
      <c r="B61" t="str">
        <f>[1]DemSlope!B61</f>
        <v>Gumuz</v>
      </c>
      <c r="C61">
        <f ca="1">[1]DemSlope!C61</f>
        <v>21.081919349855998</v>
      </c>
      <c r="D61">
        <f ca="1">[1]DemSlope!D61</f>
        <v>29.825908879986489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[1]DemSlope!A62</f>
        <v>Coffee</v>
      </c>
      <c r="B62" t="str">
        <f>[1]DemSlope!B62</f>
        <v>DireDawa</v>
      </c>
      <c r="C62">
        <f ca="1">[1]DemSlope!C62</f>
        <v>24.804327654445231</v>
      </c>
      <c r="D62">
        <f ca="1">[1]DemSlope!D62</f>
        <v>22.567384082504507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[1]DemSlope!A63</f>
        <v>Coffee</v>
      </c>
      <c r="B63" t="str">
        <f>[1]DemSlope!B63</f>
        <v>Gambela</v>
      </c>
      <c r="C63">
        <f ca="1">[1]DemSlope!C63</f>
        <v>24.291222726417466</v>
      </c>
      <c r="D63">
        <f ca="1">[1]DemSlope!D63</f>
        <v>28.875433449755164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[1]DemSlope!A64</f>
        <v>Coffee</v>
      </c>
      <c r="B64" t="str">
        <f>[1]DemSlope!B64</f>
        <v>Harari</v>
      </c>
      <c r="C64">
        <f ca="1">[1]DemSlope!C64</f>
        <v>21.227050639462131</v>
      </c>
      <c r="D64">
        <f ca="1">[1]DemSlope!D64</f>
        <v>21.99868356696971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[1]DemSlope!A65</f>
        <v>Coffee</v>
      </c>
      <c r="B65" t="str">
        <f>[1]DemSlope!B65</f>
        <v>Oromia</v>
      </c>
      <c r="C65">
        <f ca="1">[1]DemSlope!C65</f>
        <v>21.705008452975456</v>
      </c>
      <c r="D65">
        <f ca="1">[1]DemSlope!D65</f>
        <v>21.845548525128983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[1]DemSlope!A66</f>
        <v>Coffee</v>
      </c>
      <c r="B66" t="str">
        <f>[1]DemSlope!B66</f>
        <v>Somali</v>
      </c>
      <c r="C66">
        <f ca="1">[1]DemSlope!C66</f>
        <v>25.362613416507731</v>
      </c>
      <c r="D66">
        <f ca="1">[1]DemSlope!D66</f>
        <v>22.331823089918991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[1]DemSlope!A67</f>
        <v>Coffee</v>
      </c>
      <c r="B67" t="str">
        <f>[1]DemSlope!B67</f>
        <v>SNNPR</v>
      </c>
      <c r="C67">
        <f ca="1">[1]DemSlope!C67</f>
        <v>22.01201492122739</v>
      </c>
      <c r="D67">
        <f ca="1">[1]DemSlope!D67</f>
        <v>24.988794274203482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[1]DemSlope!A68</f>
        <v>Coffee</v>
      </c>
      <c r="B68" t="str">
        <f>[1]DemSlope!B68</f>
        <v>Tigray</v>
      </c>
      <c r="C68">
        <f ca="1">[1]DemSlope!C68</f>
        <v>27.705775696135774</v>
      </c>
      <c r="D68">
        <f ca="1">[1]DemSlope!D68</f>
        <v>23.382537594457673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3"/>
  <sheetViews>
    <sheetView zoomScale="85" zoomScaleNormal="85" workbookViewId="0">
      <selection activeCell="B3" sqref="B3:C13"/>
    </sheetView>
  </sheetViews>
  <sheetFormatPr defaultRowHeight="15.75" x14ac:dyDescent="0.25"/>
  <cols>
    <col min="1" max="1" width="10.75" bestFit="1" customWidth="1"/>
  </cols>
  <sheetData>
    <row r="1" spans="1:3" x14ac:dyDescent="0.25">
      <c r="B1">
        <f>[1]Elec!B1</f>
        <v>2015</v>
      </c>
      <c r="C1">
        <f>[1]Elec!C1</f>
        <v>2015</v>
      </c>
    </row>
    <row r="2" spans="1:3" x14ac:dyDescent="0.25">
      <c r="B2" t="str">
        <f>[1]Elec!B2</f>
        <v>Belg</v>
      </c>
      <c r="C2" t="str">
        <f>[1]Elec!C2</f>
        <v>Kremt</v>
      </c>
    </row>
    <row r="3" spans="1:3" x14ac:dyDescent="0.25">
      <c r="A3" t="str">
        <f>[1]Elec!A3</f>
        <v>AddisAbaba</v>
      </c>
      <c r="B3" s="2">
        <f ca="1">[1]Elec!B3</f>
        <v>508.2038236397413</v>
      </c>
      <c r="C3" s="2">
        <f ca="1">[1]Elec!C3</f>
        <v>409.57597275893897</v>
      </c>
    </row>
    <row r="4" spans="1:3" x14ac:dyDescent="0.25">
      <c r="A4" t="str">
        <f>[1]Elec!A4</f>
        <v>Afar</v>
      </c>
      <c r="B4" s="2">
        <f ca="1">[1]Elec!B4</f>
        <v>50.731332902712339</v>
      </c>
      <c r="C4" s="2">
        <f ca="1">[1]Elec!C4</f>
        <v>43.291805916344217</v>
      </c>
    </row>
    <row r="5" spans="1:3" x14ac:dyDescent="0.25">
      <c r="A5" t="str">
        <f>[1]Elec!A5</f>
        <v>Amhara</v>
      </c>
      <c r="B5" s="2">
        <f ca="1">[1]Elec!B5</f>
        <v>52.137132066628098</v>
      </c>
      <c r="C5" s="2">
        <f ca="1">[1]Elec!C5</f>
        <v>43.705366923288636</v>
      </c>
    </row>
    <row r="6" spans="1:3" x14ac:dyDescent="0.25">
      <c r="A6" t="str">
        <f>[1]Elec!A6</f>
        <v>Gumuz</v>
      </c>
      <c r="B6" s="2">
        <f ca="1">[1]Elec!B6</f>
        <v>50.00592289840565</v>
      </c>
      <c r="C6" s="2">
        <f ca="1">[1]Elec!C6</f>
        <v>40.581723983324331</v>
      </c>
    </row>
    <row r="7" spans="1:3" x14ac:dyDescent="0.25">
      <c r="A7" t="str">
        <f>[1]Elec!A7</f>
        <v>DireDawa</v>
      </c>
      <c r="B7" s="2">
        <f ca="1">[1]Elec!B7</f>
        <v>52.617578099452615</v>
      </c>
      <c r="C7" s="2">
        <f ca="1">[1]Elec!C7</f>
        <v>42.158042919358572</v>
      </c>
    </row>
    <row r="8" spans="1:3" x14ac:dyDescent="0.25">
      <c r="A8" t="str">
        <f>[1]Elec!A8</f>
        <v>Gambela</v>
      </c>
      <c r="B8" s="2">
        <f ca="1">[1]Elec!B8</f>
        <v>50.604585315029333</v>
      </c>
      <c r="C8" s="2">
        <f ca="1">[1]Elec!C8</f>
        <v>44.764083525630816</v>
      </c>
    </row>
    <row r="9" spans="1:3" x14ac:dyDescent="0.25">
      <c r="A9" t="str">
        <f>[1]Elec!A9</f>
        <v>Harari</v>
      </c>
      <c r="B9" s="2">
        <f ca="1">[1]Elec!B9</f>
        <v>50.737597951578593</v>
      </c>
      <c r="C9" s="2">
        <f ca="1">[1]Elec!C9</f>
        <v>41.222248201877214</v>
      </c>
    </row>
    <row r="10" spans="1:3" x14ac:dyDescent="0.25">
      <c r="A10" t="str">
        <f>[1]Elec!A10</f>
        <v>Oromia</v>
      </c>
      <c r="B10" s="2">
        <f ca="1">[1]Elec!B10</f>
        <v>56.715428079146008</v>
      </c>
      <c r="C10" s="2">
        <f ca="1">[1]Elec!C10</f>
        <v>44.876873409385936</v>
      </c>
    </row>
    <row r="11" spans="1:3" x14ac:dyDescent="0.25">
      <c r="A11" t="str">
        <f>[1]Elec!A11</f>
        <v>Somali</v>
      </c>
      <c r="B11" s="2">
        <f ca="1">[1]Elec!B11</f>
        <v>53.749060324158478</v>
      </c>
      <c r="C11" s="2">
        <f ca="1">[1]Elec!C11</f>
        <v>42.630170146101818</v>
      </c>
    </row>
    <row r="12" spans="1:3" x14ac:dyDescent="0.25">
      <c r="A12" t="str">
        <f>[1]Elec!A12</f>
        <v>SNNPR</v>
      </c>
      <c r="B12" s="2">
        <f ca="1">[1]Elec!B12</f>
        <v>55.384061466998517</v>
      </c>
      <c r="C12" s="2">
        <f ca="1">[1]Elec!C12</f>
        <v>42.560568045670763</v>
      </c>
    </row>
    <row r="13" spans="1:3" x14ac:dyDescent="0.25">
      <c r="A13" t="str">
        <f>[1]Elec!A13</f>
        <v>Tigray</v>
      </c>
      <c r="B13" s="2">
        <f ca="1">[1]Elec!B13</f>
        <v>55.066074669613712</v>
      </c>
      <c r="C13" s="2">
        <f ca="1">[1]Elec!C13</f>
        <v>44.107781667800452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sets</vt:lpstr>
      <vt:lpstr>Cattle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2017-07-21T17:49:22Z</dcterms:modified>
</cp:coreProperties>
</file>