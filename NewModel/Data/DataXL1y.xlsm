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iram\GDrive\Work\Sauleh\Code\Food\NewModel\Data\"/>
    </mc:Choice>
  </mc:AlternateContent>
  <bookViews>
    <workbookView xWindow="0" yWindow="465" windowWidth="20220" windowHeight="7065" tabRatio="664" firstSheet="1" activeTab="2"/>
  </bookViews>
  <sheets>
    <sheet name="index" sheetId="1" r:id="rId1"/>
    <sheet name="sets" sheetId="3" r:id="rId2"/>
    <sheet name="Cattle" sheetId="8" r:id="rId3"/>
    <sheet name="Roads" sheetId="5" r:id="rId4"/>
    <sheet name="ElecLine" sheetId="10" r:id="rId5"/>
    <sheet name="DiscFact" sheetId="6" r:id="rId6"/>
    <sheet name="Crop" sheetId="7" r:id="rId7"/>
    <sheet name="CYF" sheetId="4" r:id="rId8"/>
    <sheet name="aFAO" sheetId="11" r:id="rId9"/>
    <sheet name="DemInt" sheetId="14" r:id="rId10"/>
    <sheet name="DemSlope" sheetId="15" r:id="rId11"/>
    <sheet name="Elec" sheetId="9" r:id="rId12"/>
  </sheets>
  <externalReferences>
    <externalReference r:id="rId13"/>
  </externalReferences>
  <definedNames>
    <definedName name="_xlnm._FilterDatabase" localSheetId="4" hidden="1">ElecLine!$A$21:$B$86</definedName>
    <definedName name="_xlnm._FilterDatabase" localSheetId="0" hidden="1">index!$A$1:$E$29</definedName>
    <definedName name="_xlnm._FilterDatabase" localSheetId="3" hidden="1">Roads!$A$21:$B$86</definedName>
    <definedName name="_xlnm._FilterDatabase" localSheetId="1" hidden="1">sets!$F$2:$F$13</definedName>
    <definedName name="Crops">sets!$J$3:$J$62</definedName>
    <definedName name="Food">sets!$H$3:$H$62</definedName>
    <definedName name="Nodes">sets!$F$3:$F$62</definedName>
    <definedName name="RoadList" localSheetId="4">ElecLine!$A$21</definedName>
    <definedName name="RoadList">Roads!$A$21</definedName>
    <definedName name="Seasons">sets!$D$3:$D$62</definedName>
    <definedName name="Years">sets!$B$3:$B$62</definedName>
  </definedNames>
  <calcPr calcId="171027" concurrentCalc="0"/>
</workbook>
</file>

<file path=xl/calcChain.xml><?xml version="1.0" encoding="utf-8"?>
<calcChain xmlns="http://schemas.openxmlformats.org/spreadsheetml/2006/main">
  <c r="B2" i="8" l="1"/>
  <c r="B3" i="8"/>
  <c r="B4" i="8"/>
  <c r="B5" i="8"/>
  <c r="B6" i="8"/>
  <c r="B7" i="8"/>
  <c r="B8" i="8"/>
  <c r="B9" i="8"/>
  <c r="B10" i="8"/>
  <c r="B11" i="8"/>
  <c r="B12" i="8"/>
  <c r="B22" i="8"/>
  <c r="B23" i="8"/>
  <c r="B24" i="8"/>
  <c r="B25" i="8"/>
  <c r="B26" i="8"/>
  <c r="B27" i="8"/>
  <c r="B28" i="8"/>
  <c r="B29" i="8"/>
  <c r="B30" i="8"/>
  <c r="B31" i="8"/>
  <c r="B32" i="8"/>
  <c r="B82" i="8"/>
  <c r="B83" i="8"/>
  <c r="B84" i="8"/>
  <c r="B85" i="8"/>
  <c r="B86" i="8"/>
  <c r="B87" i="8"/>
  <c r="B88" i="8"/>
  <c r="B89" i="8"/>
  <c r="B90" i="8"/>
  <c r="B91" i="8"/>
  <c r="B92" i="8"/>
  <c r="B102" i="8"/>
  <c r="C102" i="8"/>
  <c r="D102" i="8"/>
  <c r="E102" i="8"/>
  <c r="F102" i="8"/>
  <c r="G102" i="8"/>
  <c r="H102" i="8"/>
  <c r="I102" i="8"/>
  <c r="J102" i="8"/>
  <c r="K102" i="8"/>
  <c r="L102" i="8"/>
  <c r="B103" i="8"/>
  <c r="C103" i="8"/>
  <c r="D103" i="8"/>
  <c r="E103" i="8"/>
  <c r="F103" i="8"/>
  <c r="G103" i="8"/>
  <c r="H103" i="8"/>
  <c r="I103" i="8"/>
  <c r="J103" i="8"/>
  <c r="K103" i="8"/>
  <c r="L103" i="8"/>
  <c r="B104" i="8"/>
  <c r="C104" i="8"/>
  <c r="D104" i="8"/>
  <c r="E104" i="8"/>
  <c r="F104" i="8"/>
  <c r="G104" i="8"/>
  <c r="H104" i="8"/>
  <c r="I104" i="8"/>
  <c r="J104" i="8"/>
  <c r="K104" i="8"/>
  <c r="L104" i="8"/>
  <c r="B105" i="8"/>
  <c r="C105" i="8"/>
  <c r="D105" i="8"/>
  <c r="E105" i="8"/>
  <c r="F105" i="8"/>
  <c r="G105" i="8"/>
  <c r="H105" i="8"/>
  <c r="I105" i="8"/>
  <c r="J105" i="8"/>
  <c r="K105" i="8"/>
  <c r="L105" i="8"/>
  <c r="B106" i="8"/>
  <c r="C106" i="8"/>
  <c r="D106" i="8"/>
  <c r="E106" i="8"/>
  <c r="F106" i="8"/>
  <c r="G106" i="8"/>
  <c r="H106" i="8"/>
  <c r="I106" i="8"/>
  <c r="J106" i="8"/>
  <c r="K106" i="8"/>
  <c r="L106" i="8"/>
  <c r="B107" i="8"/>
  <c r="C107" i="8"/>
  <c r="D107" i="8"/>
  <c r="E107" i="8"/>
  <c r="F107" i="8"/>
  <c r="G107" i="8"/>
  <c r="H107" i="8"/>
  <c r="I107" i="8"/>
  <c r="J107" i="8"/>
  <c r="K107" i="8"/>
  <c r="L107" i="8"/>
  <c r="B108" i="8"/>
  <c r="C108" i="8"/>
  <c r="D108" i="8"/>
  <c r="E108" i="8"/>
  <c r="F108" i="8"/>
  <c r="G108" i="8"/>
  <c r="H108" i="8"/>
  <c r="I108" i="8"/>
  <c r="J108" i="8"/>
  <c r="K108" i="8"/>
  <c r="L108" i="8"/>
  <c r="B109" i="8"/>
  <c r="C109" i="8"/>
  <c r="D109" i="8"/>
  <c r="E109" i="8"/>
  <c r="F109" i="8"/>
  <c r="G109" i="8"/>
  <c r="H109" i="8"/>
  <c r="I109" i="8"/>
  <c r="J109" i="8"/>
  <c r="K109" i="8"/>
  <c r="L109" i="8"/>
  <c r="B110" i="8"/>
  <c r="C110" i="8"/>
  <c r="D110" i="8"/>
  <c r="E110" i="8"/>
  <c r="F110" i="8"/>
  <c r="G110" i="8"/>
  <c r="H110" i="8"/>
  <c r="I110" i="8"/>
  <c r="J110" i="8"/>
  <c r="K110" i="8"/>
  <c r="L110" i="8"/>
  <c r="B111" i="8"/>
  <c r="C111" i="8"/>
  <c r="D111" i="8"/>
  <c r="E111" i="8"/>
  <c r="F111" i="8"/>
  <c r="G111" i="8"/>
  <c r="H111" i="8"/>
  <c r="I111" i="8"/>
  <c r="J111" i="8"/>
  <c r="K111" i="8"/>
  <c r="L111" i="8"/>
  <c r="B112" i="8"/>
  <c r="C112" i="8"/>
  <c r="D112" i="8"/>
  <c r="E112" i="8"/>
  <c r="F112" i="8"/>
  <c r="G112" i="8"/>
  <c r="H112" i="8"/>
  <c r="I112" i="8"/>
  <c r="J112" i="8"/>
  <c r="K112" i="8"/>
  <c r="L112" i="8"/>
  <c r="G172" i="7"/>
  <c r="F172" i="7"/>
  <c r="E172" i="7"/>
  <c r="D172" i="7"/>
  <c r="C172" i="7"/>
  <c r="B172" i="7"/>
  <c r="A172" i="7"/>
  <c r="G171" i="7"/>
  <c r="F171" i="7"/>
  <c r="E171" i="7"/>
  <c r="D171" i="7"/>
  <c r="C171" i="7"/>
  <c r="B171" i="7"/>
  <c r="A171" i="7"/>
  <c r="G170" i="7"/>
  <c r="F170" i="7"/>
  <c r="E170" i="7"/>
  <c r="D170" i="7"/>
  <c r="C170" i="7"/>
  <c r="B170" i="7"/>
  <c r="A170" i="7"/>
  <c r="G169" i="7"/>
  <c r="F169" i="7"/>
  <c r="E169" i="7"/>
  <c r="D169" i="7"/>
  <c r="C169" i="7"/>
  <c r="B169" i="7"/>
  <c r="A169" i="7"/>
  <c r="G168" i="7"/>
  <c r="F168" i="7"/>
  <c r="E168" i="7"/>
  <c r="D168" i="7"/>
  <c r="C168" i="7"/>
  <c r="B168" i="7"/>
  <c r="A168" i="7"/>
  <c r="G167" i="7"/>
  <c r="F167" i="7"/>
  <c r="E167" i="7"/>
  <c r="D167" i="7"/>
  <c r="C167" i="7"/>
  <c r="B167" i="7"/>
  <c r="A167" i="7"/>
  <c r="G166" i="7"/>
  <c r="F166" i="7"/>
  <c r="E166" i="7"/>
  <c r="D166" i="7"/>
  <c r="C166" i="7"/>
  <c r="B166" i="7"/>
  <c r="A166" i="7"/>
  <c r="G165" i="7"/>
  <c r="F165" i="7"/>
  <c r="E165" i="7"/>
  <c r="D165" i="7"/>
  <c r="C165" i="7"/>
  <c r="B165" i="7"/>
  <c r="A165" i="7"/>
  <c r="G164" i="7"/>
  <c r="F164" i="7"/>
  <c r="E164" i="7"/>
  <c r="D164" i="7"/>
  <c r="C164" i="7"/>
  <c r="B164" i="7"/>
  <c r="A164" i="7"/>
  <c r="G163" i="7"/>
  <c r="F163" i="7"/>
  <c r="E163" i="7"/>
  <c r="D163" i="7"/>
  <c r="C163" i="7"/>
  <c r="B163" i="7"/>
  <c r="A163" i="7"/>
  <c r="G162" i="7"/>
  <c r="F162" i="7"/>
  <c r="E162" i="7"/>
  <c r="D162" i="7"/>
  <c r="C162" i="7"/>
  <c r="B162" i="7"/>
  <c r="A162" i="7"/>
  <c r="G161" i="7"/>
  <c r="F161" i="7"/>
  <c r="E161" i="7"/>
  <c r="D161" i="7"/>
  <c r="C161" i="7"/>
  <c r="B161" i="7"/>
  <c r="B151" i="7"/>
  <c r="A151" i="7"/>
  <c r="B150" i="7"/>
  <c r="A150" i="7"/>
  <c r="B149" i="7"/>
  <c r="A149" i="7"/>
  <c r="B148" i="7"/>
  <c r="A148" i="7"/>
  <c r="B147" i="7"/>
  <c r="A147" i="7"/>
  <c r="B146" i="7"/>
  <c r="A146" i="7"/>
  <c r="B145" i="7"/>
  <c r="A145" i="7"/>
  <c r="B144" i="7"/>
  <c r="A144" i="7"/>
  <c r="B143" i="7"/>
  <c r="A143" i="7"/>
  <c r="B142" i="7"/>
  <c r="A142" i="7"/>
  <c r="B141" i="7"/>
  <c r="A141" i="7"/>
  <c r="B121" i="7"/>
  <c r="B132" i="7"/>
  <c r="A132" i="7"/>
  <c r="B131" i="7"/>
  <c r="A131" i="7"/>
  <c r="B130" i="7"/>
  <c r="A130" i="7"/>
  <c r="B129" i="7"/>
  <c r="A129" i="7"/>
  <c r="B128" i="7"/>
  <c r="A128" i="7"/>
  <c r="B127" i="7"/>
  <c r="A127" i="7"/>
  <c r="B126" i="7"/>
  <c r="A126" i="7"/>
  <c r="B125" i="7"/>
  <c r="A125" i="7"/>
  <c r="B124" i="7"/>
  <c r="A124" i="7"/>
  <c r="B123" i="7"/>
  <c r="A123" i="7"/>
  <c r="B122" i="7"/>
  <c r="A122" i="7"/>
  <c r="B112" i="7"/>
  <c r="A112" i="7"/>
  <c r="B111" i="7"/>
  <c r="A111" i="7"/>
  <c r="B110" i="7"/>
  <c r="A110" i="7"/>
  <c r="B109" i="7"/>
  <c r="A109" i="7"/>
  <c r="B108" i="7"/>
  <c r="A108" i="7"/>
  <c r="B107" i="7"/>
  <c r="A107" i="7"/>
  <c r="B106" i="7"/>
  <c r="A106" i="7"/>
  <c r="B105" i="7"/>
  <c r="A105" i="7"/>
  <c r="B104" i="7"/>
  <c r="A104" i="7"/>
  <c r="B103" i="7"/>
  <c r="A103" i="7"/>
  <c r="B102" i="7"/>
  <c r="A102" i="7"/>
  <c r="B101" i="7"/>
  <c r="B4" i="9"/>
  <c r="C4" i="9"/>
  <c r="B5" i="9"/>
  <c r="C5" i="9"/>
  <c r="B6" i="9"/>
  <c r="C6" i="9"/>
  <c r="B7" i="9"/>
  <c r="C7" i="9"/>
  <c r="B8" i="9"/>
  <c r="C8" i="9"/>
  <c r="B9" i="9"/>
  <c r="C9" i="9"/>
  <c r="B10" i="9"/>
  <c r="C10" i="9"/>
  <c r="B11" i="9"/>
  <c r="C11" i="9"/>
  <c r="B12" i="9"/>
  <c r="C12" i="9"/>
  <c r="B13" i="9"/>
  <c r="C13" i="9"/>
  <c r="A13" i="9"/>
  <c r="A12" i="9"/>
  <c r="A11" i="9"/>
  <c r="A10" i="9"/>
  <c r="A9" i="9"/>
  <c r="A8" i="9"/>
  <c r="A7" i="9"/>
  <c r="A6" i="9"/>
  <c r="A5" i="9"/>
  <c r="A4" i="9"/>
  <c r="A3" i="9"/>
  <c r="C3" i="9"/>
  <c r="B3" i="9"/>
  <c r="C2" i="9"/>
  <c r="B2" i="9"/>
  <c r="C1" i="9"/>
  <c r="B1" i="9"/>
  <c r="B68" i="15"/>
  <c r="A68" i="15"/>
  <c r="B67" i="15"/>
  <c r="A67" i="15"/>
  <c r="B66" i="15"/>
  <c r="A66" i="15"/>
  <c r="B65" i="15"/>
  <c r="A65" i="15"/>
  <c r="B64" i="15"/>
  <c r="A64" i="15"/>
  <c r="B63" i="15"/>
  <c r="A63" i="15"/>
  <c r="B62" i="15"/>
  <c r="A62" i="15"/>
  <c r="B61" i="15"/>
  <c r="A61" i="15"/>
  <c r="B60" i="15"/>
  <c r="A60" i="15"/>
  <c r="B59" i="15"/>
  <c r="A59" i="15"/>
  <c r="B58" i="15"/>
  <c r="A58" i="15"/>
  <c r="B57" i="15"/>
  <c r="A57" i="15"/>
  <c r="B56" i="15"/>
  <c r="A56" i="15"/>
  <c r="B55" i="15"/>
  <c r="A55" i="15"/>
  <c r="B54" i="15"/>
  <c r="A54" i="15"/>
  <c r="B53" i="15"/>
  <c r="A53" i="15"/>
  <c r="B52" i="15"/>
  <c r="A52" i="15"/>
  <c r="B51" i="15"/>
  <c r="A51" i="15"/>
  <c r="B50" i="15"/>
  <c r="A50" i="15"/>
  <c r="B49" i="15"/>
  <c r="A49" i="15"/>
  <c r="B48" i="15"/>
  <c r="A48" i="15"/>
  <c r="B47" i="15"/>
  <c r="A47" i="15"/>
  <c r="B46" i="15"/>
  <c r="A46" i="15"/>
  <c r="B45" i="15"/>
  <c r="A45" i="15"/>
  <c r="B44" i="15"/>
  <c r="A44" i="15"/>
  <c r="B43" i="15"/>
  <c r="A43" i="15"/>
  <c r="B42" i="15"/>
  <c r="A42" i="15"/>
  <c r="B41" i="15"/>
  <c r="A41" i="15"/>
  <c r="B40" i="15"/>
  <c r="A40" i="15"/>
  <c r="B39" i="15"/>
  <c r="A39" i="15"/>
  <c r="B38" i="15"/>
  <c r="A38" i="15"/>
  <c r="B37" i="15"/>
  <c r="A37" i="15"/>
  <c r="B36" i="15"/>
  <c r="A36" i="15"/>
  <c r="B35" i="15"/>
  <c r="A35" i="15"/>
  <c r="B34" i="15"/>
  <c r="A34" i="15"/>
  <c r="B33" i="15"/>
  <c r="A33" i="15"/>
  <c r="B32" i="15"/>
  <c r="A32" i="15"/>
  <c r="B31" i="15"/>
  <c r="A31" i="15"/>
  <c r="B30" i="15"/>
  <c r="A30" i="15"/>
  <c r="B29" i="15"/>
  <c r="A29" i="15"/>
  <c r="B28" i="15"/>
  <c r="A28" i="15"/>
  <c r="B27" i="15"/>
  <c r="A27" i="15"/>
  <c r="B26" i="15"/>
  <c r="A26" i="15"/>
  <c r="B25" i="15"/>
  <c r="A25" i="15"/>
  <c r="B24" i="15"/>
  <c r="A24" i="15"/>
  <c r="B23" i="15"/>
  <c r="A23" i="15"/>
  <c r="B22" i="15"/>
  <c r="A22" i="15"/>
  <c r="B21" i="15"/>
  <c r="A21" i="15"/>
  <c r="B20" i="15"/>
  <c r="A20" i="15"/>
  <c r="B19" i="15"/>
  <c r="A19" i="15"/>
  <c r="B18" i="15"/>
  <c r="A18" i="15"/>
  <c r="B17" i="15"/>
  <c r="A17" i="15"/>
  <c r="B16" i="15"/>
  <c r="A16" i="15"/>
  <c r="B15" i="15"/>
  <c r="A15" i="15"/>
  <c r="B14" i="15"/>
  <c r="A14" i="15"/>
  <c r="B13" i="15"/>
  <c r="A13" i="15"/>
  <c r="B12" i="15"/>
  <c r="A12" i="15"/>
  <c r="B11" i="15"/>
  <c r="A11" i="15"/>
  <c r="B10" i="15"/>
  <c r="A10" i="15"/>
  <c r="B9" i="15"/>
  <c r="A9" i="15"/>
  <c r="B8" i="15"/>
  <c r="A8" i="15"/>
  <c r="B7" i="15"/>
  <c r="A7" i="15"/>
  <c r="B6" i="15"/>
  <c r="A6" i="15"/>
  <c r="B5" i="15"/>
  <c r="A5" i="15"/>
  <c r="B4" i="15"/>
  <c r="A4" i="15"/>
  <c r="B3" i="15"/>
  <c r="A3" i="15"/>
  <c r="D68" i="15"/>
  <c r="C68" i="15"/>
  <c r="D67" i="15"/>
  <c r="C67" i="15"/>
  <c r="D66" i="15"/>
  <c r="C66" i="15"/>
  <c r="D65" i="15"/>
  <c r="C65" i="15"/>
  <c r="D64" i="15"/>
  <c r="C64" i="15"/>
  <c r="D63" i="15"/>
  <c r="C63" i="15"/>
  <c r="D62" i="15"/>
  <c r="C62" i="15"/>
  <c r="D61" i="15"/>
  <c r="C61" i="15"/>
  <c r="D60" i="15"/>
  <c r="C60" i="15"/>
  <c r="D59" i="15"/>
  <c r="C59" i="15"/>
  <c r="D58" i="15"/>
  <c r="C58" i="15"/>
  <c r="D57" i="15"/>
  <c r="C57" i="15"/>
  <c r="D56" i="15"/>
  <c r="C56" i="15"/>
  <c r="D55" i="15"/>
  <c r="C55" i="15"/>
  <c r="D54" i="15"/>
  <c r="C54" i="15"/>
  <c r="D53" i="15"/>
  <c r="C53" i="15"/>
  <c r="D52" i="15"/>
  <c r="C52" i="15"/>
  <c r="D51" i="15"/>
  <c r="C51" i="15"/>
  <c r="D50" i="15"/>
  <c r="C50" i="15"/>
  <c r="D49" i="15"/>
  <c r="C49" i="15"/>
  <c r="D48" i="15"/>
  <c r="C48" i="15"/>
  <c r="D47" i="15"/>
  <c r="C47" i="15"/>
  <c r="D46" i="15"/>
  <c r="C46" i="15"/>
  <c r="D45" i="15"/>
  <c r="C45" i="15"/>
  <c r="D44" i="15"/>
  <c r="C44" i="15"/>
  <c r="D43" i="15"/>
  <c r="C43" i="15"/>
  <c r="D42" i="15"/>
  <c r="C42" i="15"/>
  <c r="D41" i="15"/>
  <c r="C41" i="15"/>
  <c r="D40" i="15"/>
  <c r="C40" i="15"/>
  <c r="D39" i="15"/>
  <c r="C39" i="15"/>
  <c r="D38" i="15"/>
  <c r="C38" i="15"/>
  <c r="D37" i="15"/>
  <c r="C37" i="15"/>
  <c r="D36" i="15"/>
  <c r="C36" i="15"/>
  <c r="D35" i="15"/>
  <c r="C35" i="15"/>
  <c r="D34" i="15"/>
  <c r="C34" i="15"/>
  <c r="D33" i="15"/>
  <c r="C33" i="15"/>
  <c r="D32" i="15"/>
  <c r="C32" i="15"/>
  <c r="D31" i="15"/>
  <c r="C31" i="15"/>
  <c r="D30" i="15"/>
  <c r="C30" i="15"/>
  <c r="D29" i="15"/>
  <c r="C29" i="15"/>
  <c r="D28" i="15"/>
  <c r="C28" i="15"/>
  <c r="D27" i="15"/>
  <c r="C27" i="15"/>
  <c r="D26" i="15"/>
  <c r="C26" i="15"/>
  <c r="D25" i="15"/>
  <c r="C25" i="15"/>
  <c r="D24" i="15"/>
  <c r="C24" i="15"/>
  <c r="D23" i="15"/>
  <c r="C23" i="15"/>
  <c r="D22" i="15"/>
  <c r="C22" i="15"/>
  <c r="D21" i="15"/>
  <c r="C21" i="15"/>
  <c r="D20" i="15"/>
  <c r="C20" i="15"/>
  <c r="D19" i="15"/>
  <c r="C19" i="15"/>
  <c r="D18" i="15"/>
  <c r="C18" i="15"/>
  <c r="D17" i="15"/>
  <c r="C17" i="15"/>
  <c r="D16" i="15"/>
  <c r="C16" i="15"/>
  <c r="D15" i="15"/>
  <c r="C15" i="15"/>
  <c r="D14" i="15"/>
  <c r="C14" i="15"/>
  <c r="D13" i="15"/>
  <c r="C13" i="15"/>
  <c r="D12" i="15"/>
  <c r="C12" i="15"/>
  <c r="D11" i="15"/>
  <c r="C11" i="15"/>
  <c r="D10" i="15"/>
  <c r="C10" i="15"/>
  <c r="D9" i="15"/>
  <c r="C9" i="15"/>
  <c r="D8" i="15"/>
  <c r="C8" i="15"/>
  <c r="D7" i="15"/>
  <c r="C7" i="15"/>
  <c r="D6" i="15"/>
  <c r="C6" i="15"/>
  <c r="D5" i="15"/>
  <c r="C5" i="15"/>
  <c r="D4" i="15"/>
  <c r="C4" i="15"/>
  <c r="D3" i="15"/>
  <c r="C3" i="15"/>
  <c r="D2" i="15"/>
  <c r="C2" i="15"/>
  <c r="D1" i="15"/>
  <c r="C1" i="15"/>
  <c r="D2" i="14"/>
  <c r="C2" i="14"/>
  <c r="D1" i="14"/>
  <c r="C1" i="14"/>
  <c r="D68" i="14"/>
  <c r="C68" i="14"/>
  <c r="B68" i="14"/>
  <c r="A68" i="14"/>
  <c r="D67" i="14"/>
  <c r="C67" i="14"/>
  <c r="B67" i="14"/>
  <c r="A67" i="14"/>
  <c r="D66" i="14"/>
  <c r="C66" i="14"/>
  <c r="B66" i="14"/>
  <c r="A66" i="14"/>
  <c r="D65" i="14"/>
  <c r="C65" i="14"/>
  <c r="B65" i="14"/>
  <c r="A65" i="14"/>
  <c r="D64" i="14"/>
  <c r="C64" i="14"/>
  <c r="B64" i="14"/>
  <c r="A64" i="14"/>
  <c r="D63" i="14"/>
  <c r="C63" i="14"/>
  <c r="B63" i="14"/>
  <c r="A63" i="14"/>
  <c r="D62" i="14"/>
  <c r="C62" i="14"/>
  <c r="B62" i="14"/>
  <c r="A62" i="14"/>
  <c r="D61" i="14"/>
  <c r="C61" i="14"/>
  <c r="B61" i="14"/>
  <c r="A61" i="14"/>
  <c r="D60" i="14"/>
  <c r="C60" i="14"/>
  <c r="B60" i="14"/>
  <c r="A60" i="14"/>
  <c r="D59" i="14"/>
  <c r="C59" i="14"/>
  <c r="B59" i="14"/>
  <c r="A59" i="14"/>
  <c r="D58" i="14"/>
  <c r="C58" i="14"/>
  <c r="B58" i="14"/>
  <c r="A58" i="14"/>
  <c r="D57" i="14"/>
  <c r="C57" i="14"/>
  <c r="B57" i="14"/>
  <c r="A57" i="14"/>
  <c r="D56" i="14"/>
  <c r="C56" i="14"/>
  <c r="B56" i="14"/>
  <c r="A56" i="14"/>
  <c r="D55" i="14"/>
  <c r="C55" i="14"/>
  <c r="B55" i="14"/>
  <c r="A55" i="14"/>
  <c r="D54" i="14"/>
  <c r="C54" i="14"/>
  <c r="B54" i="14"/>
  <c r="A54" i="14"/>
  <c r="D53" i="14"/>
  <c r="C53" i="14"/>
  <c r="B53" i="14"/>
  <c r="A53" i="14"/>
  <c r="D52" i="14"/>
  <c r="C52" i="14"/>
  <c r="B52" i="14"/>
  <c r="A52" i="14"/>
  <c r="D51" i="14"/>
  <c r="C51" i="14"/>
  <c r="B51" i="14"/>
  <c r="A51" i="14"/>
  <c r="D50" i="14"/>
  <c r="C50" i="14"/>
  <c r="B50" i="14"/>
  <c r="A50" i="14"/>
  <c r="D49" i="14"/>
  <c r="C49" i="14"/>
  <c r="B49" i="14"/>
  <c r="A49" i="14"/>
  <c r="D48" i="14"/>
  <c r="C48" i="14"/>
  <c r="B48" i="14"/>
  <c r="A48" i="14"/>
  <c r="D47" i="14"/>
  <c r="C47" i="14"/>
  <c r="B47" i="14"/>
  <c r="A47" i="14"/>
  <c r="D46" i="14"/>
  <c r="C46" i="14"/>
  <c r="B46" i="14"/>
  <c r="A46" i="14"/>
  <c r="D45" i="14"/>
  <c r="C45" i="14"/>
  <c r="B45" i="14"/>
  <c r="A45" i="14"/>
  <c r="D44" i="14"/>
  <c r="C44" i="14"/>
  <c r="B44" i="14"/>
  <c r="A44" i="14"/>
  <c r="D43" i="14"/>
  <c r="C43" i="14"/>
  <c r="B43" i="14"/>
  <c r="A43" i="14"/>
  <c r="D42" i="14"/>
  <c r="C42" i="14"/>
  <c r="B42" i="14"/>
  <c r="A42" i="14"/>
  <c r="D41" i="14"/>
  <c r="C41" i="14"/>
  <c r="B41" i="14"/>
  <c r="A41" i="14"/>
  <c r="D40" i="14"/>
  <c r="C40" i="14"/>
  <c r="B40" i="14"/>
  <c r="A40" i="14"/>
  <c r="D39" i="14"/>
  <c r="C39" i="14"/>
  <c r="B39" i="14"/>
  <c r="A39" i="14"/>
  <c r="D38" i="14"/>
  <c r="C38" i="14"/>
  <c r="B38" i="14"/>
  <c r="A38" i="14"/>
  <c r="D37" i="14"/>
  <c r="C37" i="14"/>
  <c r="B37" i="14"/>
  <c r="A37" i="14"/>
  <c r="D36" i="14"/>
  <c r="C36" i="14"/>
  <c r="B36" i="14"/>
  <c r="A36" i="14"/>
  <c r="D35" i="14"/>
  <c r="C35" i="14"/>
  <c r="B35" i="14"/>
  <c r="A35" i="14"/>
  <c r="D34" i="14"/>
  <c r="C34" i="14"/>
  <c r="B34" i="14"/>
  <c r="A34" i="14"/>
  <c r="D33" i="14"/>
  <c r="C33" i="14"/>
  <c r="B33" i="14"/>
  <c r="A33" i="14"/>
  <c r="D32" i="14"/>
  <c r="C32" i="14"/>
  <c r="B32" i="14"/>
  <c r="A32" i="14"/>
  <c r="D31" i="14"/>
  <c r="C31" i="14"/>
  <c r="B31" i="14"/>
  <c r="A31" i="14"/>
  <c r="D30" i="14"/>
  <c r="C30" i="14"/>
  <c r="B30" i="14"/>
  <c r="A30" i="14"/>
  <c r="D29" i="14"/>
  <c r="C29" i="14"/>
  <c r="B29" i="14"/>
  <c r="A29" i="14"/>
  <c r="D28" i="14"/>
  <c r="C28" i="14"/>
  <c r="B28" i="14"/>
  <c r="A28" i="14"/>
  <c r="D27" i="14"/>
  <c r="C27" i="14"/>
  <c r="B27" i="14"/>
  <c r="A27" i="14"/>
  <c r="D26" i="14"/>
  <c r="C26" i="14"/>
  <c r="B26" i="14"/>
  <c r="A26" i="14"/>
  <c r="D25" i="14"/>
  <c r="C25" i="14"/>
  <c r="B25" i="14"/>
  <c r="A25" i="14"/>
  <c r="D24" i="14"/>
  <c r="C24" i="14"/>
  <c r="B24" i="14"/>
  <c r="A24" i="14"/>
  <c r="D23" i="14"/>
  <c r="C23" i="14"/>
  <c r="B23" i="14"/>
  <c r="A23" i="14"/>
  <c r="D22" i="14"/>
  <c r="C22" i="14"/>
  <c r="B22" i="14"/>
  <c r="A22" i="14"/>
  <c r="D21" i="14"/>
  <c r="C21" i="14"/>
  <c r="B21" i="14"/>
  <c r="A21" i="14"/>
  <c r="D20" i="14"/>
  <c r="C20" i="14"/>
  <c r="B20" i="14"/>
  <c r="A20" i="14"/>
  <c r="D19" i="14"/>
  <c r="C19" i="14"/>
  <c r="B19" i="14"/>
  <c r="A19" i="14"/>
  <c r="D18" i="14"/>
  <c r="C18" i="14"/>
  <c r="B18" i="14"/>
  <c r="A18" i="14"/>
  <c r="D17" i="14"/>
  <c r="C17" i="14"/>
  <c r="B17" i="14"/>
  <c r="A17" i="14"/>
  <c r="D16" i="14"/>
  <c r="C16" i="14"/>
  <c r="B16" i="14"/>
  <c r="A16" i="14"/>
  <c r="D15" i="14"/>
  <c r="C15" i="14"/>
  <c r="B15" i="14"/>
  <c r="A15" i="14"/>
  <c r="D14" i="14"/>
  <c r="C14" i="14"/>
  <c r="B14" i="14"/>
  <c r="A14" i="14"/>
  <c r="D13" i="14"/>
  <c r="C13" i="14"/>
  <c r="B13" i="14"/>
  <c r="A13" i="14"/>
  <c r="D12" i="14"/>
  <c r="C12" i="14"/>
  <c r="B12" i="14"/>
  <c r="A12" i="14"/>
  <c r="D11" i="14"/>
  <c r="C11" i="14"/>
  <c r="B11" i="14"/>
  <c r="A11" i="14"/>
  <c r="D10" i="14"/>
  <c r="C10" i="14"/>
  <c r="B10" i="14"/>
  <c r="A10" i="14"/>
  <c r="D9" i="14"/>
  <c r="C9" i="14"/>
  <c r="B9" i="14"/>
  <c r="A9" i="14"/>
  <c r="D8" i="14"/>
  <c r="C8" i="14"/>
  <c r="B8" i="14"/>
  <c r="A8" i="14"/>
  <c r="D7" i="14"/>
  <c r="C7" i="14"/>
  <c r="B7" i="14"/>
  <c r="A7" i="14"/>
  <c r="D6" i="14"/>
  <c r="C6" i="14"/>
  <c r="B6" i="14"/>
  <c r="A6" i="14"/>
  <c r="D5" i="14"/>
  <c r="C5" i="14"/>
  <c r="B5" i="14"/>
  <c r="A5" i="14"/>
  <c r="D4" i="14"/>
  <c r="C4" i="14"/>
  <c r="B4" i="14"/>
  <c r="A4" i="14"/>
  <c r="D3" i="14"/>
  <c r="C3" i="14"/>
  <c r="B3" i="14"/>
  <c r="A3" i="14"/>
  <c r="B68" i="11"/>
  <c r="A68" i="11"/>
  <c r="B67" i="11"/>
  <c r="A67" i="11"/>
  <c r="B66" i="11"/>
  <c r="A66" i="11"/>
  <c r="B65" i="11"/>
  <c r="A65" i="11"/>
  <c r="B64" i="11"/>
  <c r="A64" i="11"/>
  <c r="B63" i="11"/>
  <c r="A63" i="11"/>
  <c r="B62" i="11"/>
  <c r="A62" i="11"/>
  <c r="B61" i="11"/>
  <c r="A61" i="11"/>
  <c r="B60" i="11"/>
  <c r="A60" i="11"/>
  <c r="B59" i="11"/>
  <c r="A59" i="11"/>
  <c r="B58" i="11"/>
  <c r="A58" i="11"/>
  <c r="B57" i="11"/>
  <c r="A57" i="11"/>
  <c r="B56" i="11"/>
  <c r="A56" i="11"/>
  <c r="B55" i="11"/>
  <c r="A55" i="11"/>
  <c r="B54" i="11"/>
  <c r="A54" i="11"/>
  <c r="B53" i="11"/>
  <c r="A53" i="11"/>
  <c r="B52" i="11"/>
  <c r="A52" i="11"/>
  <c r="B51" i="11"/>
  <c r="A51" i="11"/>
  <c r="B50" i="11"/>
  <c r="A50" i="11"/>
  <c r="B49" i="11"/>
  <c r="A49" i="11"/>
  <c r="B48" i="11"/>
  <c r="A48" i="11"/>
  <c r="B47" i="11"/>
  <c r="A47" i="11"/>
  <c r="B46" i="11"/>
  <c r="A46" i="11"/>
  <c r="B45" i="11"/>
  <c r="A45" i="11"/>
  <c r="B44" i="11"/>
  <c r="A44" i="11"/>
  <c r="B43" i="11"/>
  <c r="A43" i="11"/>
  <c r="B42" i="11"/>
  <c r="A42" i="11"/>
  <c r="B41" i="11"/>
  <c r="A41" i="11"/>
  <c r="B40" i="11"/>
  <c r="A40" i="11"/>
  <c r="B39" i="11"/>
  <c r="A39" i="11"/>
  <c r="B38" i="11"/>
  <c r="A38" i="11"/>
  <c r="B37" i="11"/>
  <c r="A37" i="11"/>
  <c r="B36" i="11"/>
  <c r="A36" i="11"/>
  <c r="B35" i="11"/>
  <c r="A35" i="11"/>
  <c r="B34" i="11"/>
  <c r="A34" i="11"/>
  <c r="B33" i="11"/>
  <c r="A33" i="11"/>
  <c r="B32" i="11"/>
  <c r="A32" i="11"/>
  <c r="B31" i="11"/>
  <c r="A31" i="11"/>
  <c r="B30" i="11"/>
  <c r="A30" i="11"/>
  <c r="B29" i="11"/>
  <c r="A29" i="11"/>
  <c r="B28" i="11"/>
  <c r="A28" i="11"/>
  <c r="B27" i="11"/>
  <c r="A27" i="11"/>
  <c r="B26" i="11"/>
  <c r="A26" i="11"/>
  <c r="B25" i="11"/>
  <c r="A25" i="11"/>
  <c r="B24" i="11"/>
  <c r="A24" i="11"/>
  <c r="B23" i="11"/>
  <c r="A23" i="11"/>
  <c r="B22" i="11"/>
  <c r="A22" i="11"/>
  <c r="B21" i="11"/>
  <c r="A21" i="11"/>
  <c r="B20" i="11"/>
  <c r="A20" i="11"/>
  <c r="B19" i="11"/>
  <c r="A19" i="11"/>
  <c r="B18" i="11"/>
  <c r="A18" i="11"/>
  <c r="B17" i="11"/>
  <c r="A17" i="11"/>
  <c r="B16" i="11"/>
  <c r="A16" i="11"/>
  <c r="B15" i="11"/>
  <c r="A15" i="11"/>
  <c r="B14" i="11"/>
  <c r="A14" i="11"/>
  <c r="B13" i="11"/>
  <c r="A13" i="11"/>
  <c r="B12" i="11"/>
  <c r="A12" i="11"/>
  <c r="B11" i="11"/>
  <c r="A11" i="11"/>
  <c r="B10" i="11"/>
  <c r="A10" i="11"/>
  <c r="B9" i="11"/>
  <c r="A9" i="11"/>
  <c r="B8" i="11"/>
  <c r="A8" i="11"/>
  <c r="B7" i="11"/>
  <c r="A7" i="11"/>
  <c r="B6" i="11"/>
  <c r="A6" i="11"/>
  <c r="B5" i="11"/>
  <c r="A5" i="11"/>
  <c r="B4" i="11"/>
  <c r="A4" i="11"/>
  <c r="B3" i="11"/>
  <c r="A3" i="11"/>
  <c r="D68" i="11"/>
  <c r="C68" i="11"/>
  <c r="D67" i="11"/>
  <c r="C67" i="11"/>
  <c r="D66" i="11"/>
  <c r="C66" i="11"/>
  <c r="D65" i="11"/>
  <c r="C65" i="11"/>
  <c r="D64" i="11"/>
  <c r="C64" i="11"/>
  <c r="D63" i="11"/>
  <c r="C63" i="11"/>
  <c r="D62" i="11"/>
  <c r="C62" i="11"/>
  <c r="D61" i="11"/>
  <c r="C61" i="11"/>
  <c r="D60" i="11"/>
  <c r="C60" i="11"/>
  <c r="D59" i="11"/>
  <c r="C59" i="11"/>
  <c r="D58" i="11"/>
  <c r="C58" i="11"/>
  <c r="D57" i="11"/>
  <c r="C57" i="11"/>
  <c r="D56" i="11"/>
  <c r="C56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D43" i="11"/>
  <c r="C43" i="11"/>
  <c r="D42" i="11"/>
  <c r="C42" i="11"/>
  <c r="D41" i="11"/>
  <c r="C41" i="11"/>
  <c r="D40" i="11"/>
  <c r="C40" i="11"/>
  <c r="D39" i="11"/>
  <c r="C39" i="11"/>
  <c r="D38" i="11"/>
  <c r="C38" i="11"/>
  <c r="D37" i="11"/>
  <c r="C37" i="11"/>
  <c r="D36" i="11"/>
  <c r="C36" i="11"/>
  <c r="D35" i="11"/>
  <c r="C35" i="11"/>
  <c r="D34" i="11"/>
  <c r="C34" i="11"/>
  <c r="D33" i="11"/>
  <c r="C33" i="11"/>
  <c r="D32" i="11"/>
  <c r="C32" i="11"/>
  <c r="D31" i="11"/>
  <c r="C31" i="11"/>
  <c r="D30" i="11"/>
  <c r="C30" i="11"/>
  <c r="D29" i="11"/>
  <c r="C29" i="11"/>
  <c r="D28" i="11"/>
  <c r="C28" i="11"/>
  <c r="D27" i="11"/>
  <c r="C27" i="11"/>
  <c r="D26" i="11"/>
  <c r="C26" i="11"/>
  <c r="D25" i="11"/>
  <c r="C25" i="11"/>
  <c r="D24" i="11"/>
  <c r="C24" i="11"/>
  <c r="D23" i="11"/>
  <c r="C23" i="11"/>
  <c r="D22" i="11"/>
  <c r="C22" i="11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4" i="11"/>
  <c r="C4" i="11"/>
  <c r="D3" i="11"/>
  <c r="C3" i="11"/>
  <c r="D2" i="11"/>
  <c r="C2" i="11"/>
  <c r="D1" i="11"/>
  <c r="C1" i="11"/>
  <c r="D2" i="4"/>
  <c r="C2" i="4"/>
  <c r="D1" i="4"/>
  <c r="C1" i="4"/>
  <c r="D68" i="4"/>
  <c r="C68" i="4"/>
  <c r="B68" i="4"/>
  <c r="A68" i="4"/>
  <c r="D67" i="4"/>
  <c r="C67" i="4"/>
  <c r="B67" i="4"/>
  <c r="A67" i="4"/>
  <c r="D66" i="4"/>
  <c r="C66" i="4"/>
  <c r="B66" i="4"/>
  <c r="A66" i="4"/>
  <c r="D65" i="4"/>
  <c r="C65" i="4"/>
  <c r="B65" i="4"/>
  <c r="A65" i="4"/>
  <c r="D64" i="4"/>
  <c r="C64" i="4"/>
  <c r="B64" i="4"/>
  <c r="A64" i="4"/>
  <c r="D63" i="4"/>
  <c r="C63" i="4"/>
  <c r="B63" i="4"/>
  <c r="A63" i="4"/>
  <c r="D62" i="4"/>
  <c r="C62" i="4"/>
  <c r="B62" i="4"/>
  <c r="A62" i="4"/>
  <c r="D61" i="4"/>
  <c r="C61" i="4"/>
  <c r="B61" i="4"/>
  <c r="A61" i="4"/>
  <c r="D60" i="4"/>
  <c r="C60" i="4"/>
  <c r="B60" i="4"/>
  <c r="A60" i="4"/>
  <c r="D59" i="4"/>
  <c r="C59" i="4"/>
  <c r="B59" i="4"/>
  <c r="A59" i="4"/>
  <c r="D58" i="4"/>
  <c r="C58" i="4"/>
  <c r="B58" i="4"/>
  <c r="A58" i="4"/>
  <c r="D57" i="4"/>
  <c r="C57" i="4"/>
  <c r="B57" i="4"/>
  <c r="A57" i="4"/>
  <c r="D56" i="4"/>
  <c r="C56" i="4"/>
  <c r="B56" i="4"/>
  <c r="A56" i="4"/>
  <c r="D55" i="4"/>
  <c r="C55" i="4"/>
  <c r="B55" i="4"/>
  <c r="A55" i="4"/>
  <c r="D54" i="4"/>
  <c r="C54" i="4"/>
  <c r="B54" i="4"/>
  <c r="A54" i="4"/>
  <c r="D53" i="4"/>
  <c r="C53" i="4"/>
  <c r="B53" i="4"/>
  <c r="A53" i="4"/>
  <c r="D52" i="4"/>
  <c r="C52" i="4"/>
  <c r="B52" i="4"/>
  <c r="A52" i="4"/>
  <c r="D51" i="4"/>
  <c r="C51" i="4"/>
  <c r="B51" i="4"/>
  <c r="A51" i="4"/>
  <c r="D50" i="4"/>
  <c r="C50" i="4"/>
  <c r="B50" i="4"/>
  <c r="A50" i="4"/>
  <c r="D49" i="4"/>
  <c r="C49" i="4"/>
  <c r="B49" i="4"/>
  <c r="A49" i="4"/>
  <c r="D48" i="4"/>
  <c r="C48" i="4"/>
  <c r="B48" i="4"/>
  <c r="A48" i="4"/>
  <c r="D47" i="4"/>
  <c r="C47" i="4"/>
  <c r="B47" i="4"/>
  <c r="A47" i="4"/>
  <c r="D46" i="4"/>
  <c r="C46" i="4"/>
  <c r="B46" i="4"/>
  <c r="A46" i="4"/>
  <c r="D45" i="4"/>
  <c r="C45" i="4"/>
  <c r="B45" i="4"/>
  <c r="A45" i="4"/>
  <c r="D44" i="4"/>
  <c r="C44" i="4"/>
  <c r="B44" i="4"/>
  <c r="A44" i="4"/>
  <c r="D43" i="4"/>
  <c r="C43" i="4"/>
  <c r="B43" i="4"/>
  <c r="A43" i="4"/>
  <c r="D42" i="4"/>
  <c r="C42" i="4"/>
  <c r="B42" i="4"/>
  <c r="A42" i="4"/>
  <c r="D41" i="4"/>
  <c r="C41" i="4"/>
  <c r="B41" i="4"/>
  <c r="A41" i="4"/>
  <c r="D40" i="4"/>
  <c r="C40" i="4"/>
  <c r="B40" i="4"/>
  <c r="A40" i="4"/>
  <c r="D39" i="4"/>
  <c r="C39" i="4"/>
  <c r="B39" i="4"/>
  <c r="A39" i="4"/>
  <c r="D38" i="4"/>
  <c r="C38" i="4"/>
  <c r="B38" i="4"/>
  <c r="A38" i="4"/>
  <c r="D37" i="4"/>
  <c r="C37" i="4"/>
  <c r="B37" i="4"/>
  <c r="A37" i="4"/>
  <c r="D36" i="4"/>
  <c r="C36" i="4"/>
  <c r="B36" i="4"/>
  <c r="A36" i="4"/>
  <c r="D35" i="4"/>
  <c r="C35" i="4"/>
  <c r="B35" i="4"/>
  <c r="A35" i="4"/>
  <c r="D34" i="4"/>
  <c r="C34" i="4"/>
  <c r="B34" i="4"/>
  <c r="A34" i="4"/>
  <c r="D33" i="4"/>
  <c r="C33" i="4"/>
  <c r="B33" i="4"/>
  <c r="A33" i="4"/>
  <c r="D32" i="4"/>
  <c r="C32" i="4"/>
  <c r="B32" i="4"/>
  <c r="A32" i="4"/>
  <c r="D31" i="4"/>
  <c r="C31" i="4"/>
  <c r="B31" i="4"/>
  <c r="A31" i="4"/>
  <c r="D30" i="4"/>
  <c r="C30" i="4"/>
  <c r="B30" i="4"/>
  <c r="A30" i="4"/>
  <c r="D29" i="4"/>
  <c r="C29" i="4"/>
  <c r="B29" i="4"/>
  <c r="A29" i="4"/>
  <c r="D28" i="4"/>
  <c r="C28" i="4"/>
  <c r="B28" i="4"/>
  <c r="A28" i="4"/>
  <c r="D27" i="4"/>
  <c r="C27" i="4"/>
  <c r="B27" i="4"/>
  <c r="A27" i="4"/>
  <c r="D26" i="4"/>
  <c r="C26" i="4"/>
  <c r="B26" i="4"/>
  <c r="A26" i="4"/>
  <c r="D25" i="4"/>
  <c r="C25" i="4"/>
  <c r="B25" i="4"/>
  <c r="A25" i="4"/>
  <c r="D24" i="4"/>
  <c r="C24" i="4"/>
  <c r="B24" i="4"/>
  <c r="A24" i="4"/>
  <c r="D23" i="4"/>
  <c r="C23" i="4"/>
  <c r="B23" i="4"/>
  <c r="A23" i="4"/>
  <c r="D22" i="4"/>
  <c r="C22" i="4"/>
  <c r="B22" i="4"/>
  <c r="A22" i="4"/>
  <c r="D21" i="4"/>
  <c r="C21" i="4"/>
  <c r="B21" i="4"/>
  <c r="A21" i="4"/>
  <c r="D20" i="4"/>
  <c r="C20" i="4"/>
  <c r="B20" i="4"/>
  <c r="A20" i="4"/>
  <c r="D19" i="4"/>
  <c r="C19" i="4"/>
  <c r="B19" i="4"/>
  <c r="A19" i="4"/>
  <c r="D18" i="4"/>
  <c r="C18" i="4"/>
  <c r="B18" i="4"/>
  <c r="A18" i="4"/>
  <c r="D17" i="4"/>
  <c r="C17" i="4"/>
  <c r="B17" i="4"/>
  <c r="A17" i="4"/>
  <c r="D16" i="4"/>
  <c r="C16" i="4"/>
  <c r="B16" i="4"/>
  <c r="A16" i="4"/>
  <c r="D15" i="4"/>
  <c r="C15" i="4"/>
  <c r="B15" i="4"/>
  <c r="A15" i="4"/>
  <c r="D14" i="4"/>
  <c r="C14" i="4"/>
  <c r="B14" i="4"/>
  <c r="A14" i="4"/>
  <c r="D13" i="4"/>
  <c r="C13" i="4"/>
  <c r="B13" i="4"/>
  <c r="A13" i="4"/>
  <c r="D12" i="4"/>
  <c r="C12" i="4"/>
  <c r="B12" i="4"/>
  <c r="A12" i="4"/>
  <c r="D11" i="4"/>
  <c r="C11" i="4"/>
  <c r="B11" i="4"/>
  <c r="A11" i="4"/>
  <c r="D10" i="4"/>
  <c r="C10" i="4"/>
  <c r="B10" i="4"/>
  <c r="A10" i="4"/>
  <c r="D9" i="4"/>
  <c r="C9" i="4"/>
  <c r="B9" i="4"/>
  <c r="A9" i="4"/>
  <c r="D8" i="4"/>
  <c r="C8" i="4"/>
  <c r="B8" i="4"/>
  <c r="A8" i="4"/>
  <c r="D7" i="4"/>
  <c r="C7" i="4"/>
  <c r="B7" i="4"/>
  <c r="A7" i="4"/>
  <c r="D6" i="4"/>
  <c r="C6" i="4"/>
  <c r="B6" i="4"/>
  <c r="A6" i="4"/>
  <c r="D5" i="4"/>
  <c r="C5" i="4"/>
  <c r="B5" i="4"/>
  <c r="A5" i="4"/>
  <c r="D4" i="4"/>
  <c r="C4" i="4"/>
  <c r="B4" i="4"/>
  <c r="A4" i="4"/>
  <c r="D3" i="4"/>
  <c r="C3" i="4"/>
  <c r="B3" i="4"/>
  <c r="A3" i="4"/>
  <c r="B68" i="7"/>
  <c r="A68" i="7"/>
  <c r="B67" i="7"/>
  <c r="A67" i="7"/>
  <c r="B66" i="7"/>
  <c r="A66" i="7"/>
  <c r="B65" i="7"/>
  <c r="A65" i="7"/>
  <c r="B64" i="7"/>
  <c r="A64" i="7"/>
  <c r="B63" i="7"/>
  <c r="A63" i="7"/>
  <c r="B62" i="7"/>
  <c r="A62" i="7"/>
  <c r="B61" i="7"/>
  <c r="A61" i="7"/>
  <c r="B60" i="7"/>
  <c r="A60" i="7"/>
  <c r="B59" i="7"/>
  <c r="A59" i="7"/>
  <c r="B58" i="7"/>
  <c r="A58" i="7"/>
  <c r="B57" i="7"/>
  <c r="A57" i="7"/>
  <c r="B56" i="7"/>
  <c r="A56" i="7"/>
  <c r="B55" i="7"/>
  <c r="A55" i="7"/>
  <c r="B54" i="7"/>
  <c r="A54" i="7"/>
  <c r="B53" i="7"/>
  <c r="A53" i="7"/>
  <c r="B52" i="7"/>
  <c r="A52" i="7"/>
  <c r="B51" i="7"/>
  <c r="A51" i="7"/>
  <c r="B50" i="7"/>
  <c r="A50" i="7"/>
  <c r="B49" i="7"/>
  <c r="A49" i="7"/>
  <c r="B48" i="7"/>
  <c r="A48" i="7"/>
  <c r="B47" i="7"/>
  <c r="A47" i="7"/>
  <c r="B46" i="7"/>
  <c r="A46" i="7"/>
  <c r="B45" i="7"/>
  <c r="A45" i="7"/>
  <c r="B44" i="7"/>
  <c r="A44" i="7"/>
  <c r="B43" i="7"/>
  <c r="A43" i="7"/>
  <c r="B42" i="7"/>
  <c r="A42" i="7"/>
  <c r="B41" i="7"/>
  <c r="A41" i="7"/>
  <c r="B40" i="7"/>
  <c r="A40" i="7"/>
  <c r="B39" i="7"/>
  <c r="A39" i="7"/>
  <c r="B38" i="7"/>
  <c r="A38" i="7"/>
  <c r="B37" i="7"/>
  <c r="A37" i="7"/>
  <c r="B36" i="7"/>
  <c r="A36" i="7"/>
  <c r="B35" i="7"/>
  <c r="A35" i="7"/>
  <c r="B34" i="7"/>
  <c r="A34" i="7"/>
  <c r="B33" i="7"/>
  <c r="A33" i="7"/>
  <c r="B32" i="7"/>
  <c r="A32" i="7"/>
  <c r="B31" i="7"/>
  <c r="A31" i="7"/>
  <c r="B30" i="7"/>
  <c r="A30" i="7"/>
  <c r="B29" i="7"/>
  <c r="A29" i="7"/>
  <c r="B28" i="7"/>
  <c r="A28" i="7"/>
  <c r="B27" i="7"/>
  <c r="A27" i="7"/>
  <c r="B26" i="7"/>
  <c r="A26" i="7"/>
  <c r="B25" i="7"/>
  <c r="A25" i="7"/>
  <c r="B24" i="7"/>
  <c r="A24" i="7"/>
  <c r="B23" i="7"/>
  <c r="A23" i="7"/>
  <c r="B22" i="7"/>
  <c r="A22" i="7"/>
  <c r="B21" i="7"/>
  <c r="A21" i="7"/>
  <c r="B20" i="7"/>
  <c r="A20" i="7"/>
  <c r="B19" i="7"/>
  <c r="A19" i="7"/>
  <c r="B18" i="7"/>
  <c r="A18" i="7"/>
  <c r="B17" i="7"/>
  <c r="A17" i="7"/>
  <c r="B16" i="7"/>
  <c r="A16" i="7"/>
  <c r="B15" i="7"/>
  <c r="A15" i="7"/>
  <c r="B14" i="7"/>
  <c r="A14" i="7"/>
  <c r="B13" i="7"/>
  <c r="A13" i="7"/>
  <c r="B12" i="7"/>
  <c r="A12" i="7"/>
  <c r="B11" i="7"/>
  <c r="A11" i="7"/>
  <c r="B10" i="7"/>
  <c r="A10" i="7"/>
  <c r="B9" i="7"/>
  <c r="A9" i="7"/>
  <c r="B8" i="7"/>
  <c r="A8" i="7"/>
  <c r="B7" i="7"/>
  <c r="A7" i="7"/>
  <c r="B6" i="7"/>
  <c r="A6" i="7"/>
  <c r="B5" i="7"/>
  <c r="A5" i="7"/>
  <c r="B4" i="7"/>
  <c r="A4" i="7"/>
  <c r="B3" i="7"/>
  <c r="A3" i="7"/>
  <c r="D68" i="7"/>
  <c r="C68" i="7"/>
  <c r="D67" i="7"/>
  <c r="C67" i="7"/>
  <c r="D66" i="7"/>
  <c r="C66" i="7"/>
  <c r="D65" i="7"/>
  <c r="C65" i="7"/>
  <c r="D64" i="7"/>
  <c r="C64" i="7"/>
  <c r="D63" i="7"/>
  <c r="C63" i="7"/>
  <c r="D62" i="7"/>
  <c r="C62" i="7"/>
  <c r="D61" i="7"/>
  <c r="C61" i="7"/>
  <c r="D60" i="7"/>
  <c r="C60" i="7"/>
  <c r="D59" i="7"/>
  <c r="C59" i="7"/>
  <c r="D58" i="7"/>
  <c r="C58" i="7"/>
  <c r="D57" i="7"/>
  <c r="C57" i="7"/>
  <c r="D56" i="7"/>
  <c r="C56" i="7"/>
  <c r="D55" i="7"/>
  <c r="C55" i="7"/>
  <c r="D54" i="7"/>
  <c r="C54" i="7"/>
  <c r="D53" i="7"/>
  <c r="C53" i="7"/>
  <c r="D52" i="7"/>
  <c r="C52" i="7"/>
  <c r="D51" i="7"/>
  <c r="C51" i="7"/>
  <c r="D50" i="7"/>
  <c r="C50" i="7"/>
  <c r="D49" i="7"/>
  <c r="C49" i="7"/>
  <c r="D48" i="7"/>
  <c r="C48" i="7"/>
  <c r="D47" i="7"/>
  <c r="C47" i="7"/>
  <c r="D46" i="7"/>
  <c r="C46" i="7"/>
  <c r="D45" i="7"/>
  <c r="C45" i="7"/>
  <c r="D44" i="7"/>
  <c r="C44" i="7"/>
  <c r="D43" i="7"/>
  <c r="C43" i="7"/>
  <c r="D42" i="7"/>
  <c r="C42" i="7"/>
  <c r="D41" i="7"/>
  <c r="C41" i="7"/>
  <c r="D40" i="7"/>
  <c r="C40" i="7"/>
  <c r="D39" i="7"/>
  <c r="C39" i="7"/>
  <c r="D38" i="7"/>
  <c r="C38" i="7"/>
  <c r="D37" i="7"/>
  <c r="C37" i="7"/>
  <c r="D36" i="7"/>
  <c r="C36" i="7"/>
  <c r="D35" i="7"/>
  <c r="C35" i="7"/>
  <c r="D34" i="7"/>
  <c r="C34" i="7"/>
  <c r="D33" i="7"/>
  <c r="C33" i="7"/>
  <c r="D32" i="7"/>
  <c r="C32" i="7"/>
  <c r="D31" i="7"/>
  <c r="C31" i="7"/>
  <c r="D30" i="7"/>
  <c r="C30" i="7"/>
  <c r="D29" i="7"/>
  <c r="C29" i="7"/>
  <c r="D28" i="7"/>
  <c r="C28" i="7"/>
  <c r="D27" i="7"/>
  <c r="C27" i="7"/>
  <c r="D26" i="7"/>
  <c r="C26" i="7"/>
  <c r="D25" i="7"/>
  <c r="C25" i="7"/>
  <c r="D24" i="7"/>
  <c r="C24" i="7"/>
  <c r="D23" i="7"/>
  <c r="C23" i="7"/>
  <c r="D22" i="7"/>
  <c r="C22" i="7"/>
  <c r="D21" i="7"/>
  <c r="C21" i="7"/>
  <c r="D20" i="7"/>
  <c r="C20" i="7"/>
  <c r="D19" i="7"/>
  <c r="C19" i="7"/>
  <c r="D18" i="7"/>
  <c r="C18" i="7"/>
  <c r="D17" i="7"/>
  <c r="C17" i="7"/>
  <c r="D16" i="7"/>
  <c r="C16" i="7"/>
  <c r="D15" i="7"/>
  <c r="C15" i="7"/>
  <c r="D14" i="7"/>
  <c r="C14" i="7"/>
  <c r="D13" i="7"/>
  <c r="C13" i="7"/>
  <c r="D12" i="7"/>
  <c r="C12" i="7"/>
  <c r="D11" i="7"/>
  <c r="C11" i="7"/>
  <c r="D10" i="7"/>
  <c r="C10" i="7"/>
  <c r="D9" i="7"/>
  <c r="C9" i="7"/>
  <c r="D8" i="7"/>
  <c r="C8" i="7"/>
  <c r="D7" i="7"/>
  <c r="C7" i="7"/>
  <c r="D6" i="7"/>
  <c r="C6" i="7"/>
  <c r="D5" i="7"/>
  <c r="C5" i="7"/>
  <c r="D4" i="7"/>
  <c r="C4" i="7"/>
  <c r="D3" i="7"/>
  <c r="C3" i="7"/>
  <c r="D2" i="7"/>
  <c r="C2" i="7"/>
  <c r="D1" i="7"/>
  <c r="C1" i="7"/>
  <c r="B1" i="6"/>
  <c r="AB2" i="10"/>
  <c r="O2" i="10"/>
  <c r="L12" i="10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B2" i="10"/>
  <c r="AL12" i="5"/>
  <c r="AK12" i="5"/>
  <c r="AJ12" i="5"/>
  <c r="AI12" i="5"/>
  <c r="AH12" i="5"/>
  <c r="AG12" i="5"/>
  <c r="AF12" i="5"/>
  <c r="AE12" i="5"/>
  <c r="AD12" i="5"/>
  <c r="AC12" i="5"/>
  <c r="AB12" i="5"/>
  <c r="AL11" i="5"/>
  <c r="AK11" i="5"/>
  <c r="AJ11" i="5"/>
  <c r="AI11" i="5"/>
  <c r="AH11" i="5"/>
  <c r="AG11" i="5"/>
  <c r="AF11" i="5"/>
  <c r="AE11" i="5"/>
  <c r="AD11" i="5"/>
  <c r="AC11" i="5"/>
  <c r="AB11" i="5"/>
  <c r="AL10" i="5"/>
  <c r="AK10" i="5"/>
  <c r="AJ10" i="5"/>
  <c r="AI10" i="5"/>
  <c r="AH10" i="5"/>
  <c r="AG10" i="5"/>
  <c r="AF10" i="5"/>
  <c r="AE10" i="5"/>
  <c r="AD10" i="5"/>
  <c r="AC10" i="5"/>
  <c r="AB10" i="5"/>
  <c r="AL9" i="5"/>
  <c r="AK9" i="5"/>
  <c r="AJ9" i="5"/>
  <c r="AI9" i="5"/>
  <c r="AH9" i="5"/>
  <c r="AG9" i="5"/>
  <c r="AF9" i="5"/>
  <c r="AE9" i="5"/>
  <c r="AD9" i="5"/>
  <c r="AC9" i="5"/>
  <c r="AB9" i="5"/>
  <c r="AL8" i="5"/>
  <c r="AK8" i="5"/>
  <c r="AJ8" i="5"/>
  <c r="AI8" i="5"/>
  <c r="AH8" i="5"/>
  <c r="AG8" i="5"/>
  <c r="AF8" i="5"/>
  <c r="AE8" i="5"/>
  <c r="AD8" i="5"/>
  <c r="AC8" i="5"/>
  <c r="AB8" i="5"/>
  <c r="AL7" i="5"/>
  <c r="AK7" i="5"/>
  <c r="AJ7" i="5"/>
  <c r="AI7" i="5"/>
  <c r="AH7" i="5"/>
  <c r="AG7" i="5"/>
  <c r="AF7" i="5"/>
  <c r="AE7" i="5"/>
  <c r="AD7" i="5"/>
  <c r="AC7" i="5"/>
  <c r="AB7" i="5"/>
  <c r="AL6" i="5"/>
  <c r="AK6" i="5"/>
  <c r="AJ6" i="5"/>
  <c r="AI6" i="5"/>
  <c r="AH6" i="5"/>
  <c r="AG6" i="5"/>
  <c r="AF6" i="5"/>
  <c r="AE6" i="5"/>
  <c r="AD6" i="5"/>
  <c r="AC6" i="5"/>
  <c r="AB6" i="5"/>
  <c r="AL5" i="5"/>
  <c r="AK5" i="5"/>
  <c r="AJ5" i="5"/>
  <c r="AI5" i="5"/>
  <c r="AH5" i="5"/>
  <c r="AG5" i="5"/>
  <c r="AF5" i="5"/>
  <c r="AE5" i="5"/>
  <c r="AD5" i="5"/>
  <c r="AC5" i="5"/>
  <c r="AB5" i="5"/>
  <c r="AL4" i="5"/>
  <c r="AK4" i="5"/>
  <c r="AJ4" i="5"/>
  <c r="AI4" i="5"/>
  <c r="AH4" i="5"/>
  <c r="AG4" i="5"/>
  <c r="AF4" i="5"/>
  <c r="AE4" i="5"/>
  <c r="AD4" i="5"/>
  <c r="AC4" i="5"/>
  <c r="AB4" i="5"/>
  <c r="AL3" i="5"/>
  <c r="AK3" i="5"/>
  <c r="AJ3" i="5"/>
  <c r="AI3" i="5"/>
  <c r="AH3" i="5"/>
  <c r="AG3" i="5"/>
  <c r="AF3" i="5"/>
  <c r="AE3" i="5"/>
  <c r="AD3" i="5"/>
  <c r="AC3" i="5"/>
  <c r="AB3" i="5"/>
  <c r="AL2" i="5"/>
  <c r="AK2" i="5"/>
  <c r="AJ2" i="5"/>
  <c r="AI2" i="5"/>
  <c r="AH2" i="5"/>
  <c r="AG2" i="5"/>
  <c r="AF2" i="5"/>
  <c r="AE2" i="5"/>
  <c r="AD2" i="5"/>
  <c r="AC2" i="5"/>
  <c r="AB2" i="5"/>
  <c r="Y12" i="5"/>
  <c r="X12" i="5"/>
  <c r="W12" i="5"/>
  <c r="V12" i="5"/>
  <c r="U12" i="5"/>
  <c r="T12" i="5"/>
  <c r="S12" i="5"/>
  <c r="R12" i="5"/>
  <c r="Q12" i="5"/>
  <c r="P12" i="5"/>
  <c r="O12" i="5"/>
  <c r="Y11" i="5"/>
  <c r="X11" i="5"/>
  <c r="W11" i="5"/>
  <c r="V11" i="5"/>
  <c r="U11" i="5"/>
  <c r="T11" i="5"/>
  <c r="S11" i="5"/>
  <c r="R11" i="5"/>
  <c r="Q11" i="5"/>
  <c r="P11" i="5"/>
  <c r="O11" i="5"/>
  <c r="Y10" i="5"/>
  <c r="X10" i="5"/>
  <c r="W10" i="5"/>
  <c r="V10" i="5"/>
  <c r="U10" i="5"/>
  <c r="T10" i="5"/>
  <c r="S10" i="5"/>
  <c r="R10" i="5"/>
  <c r="Q10" i="5"/>
  <c r="P10" i="5"/>
  <c r="O10" i="5"/>
  <c r="Y9" i="5"/>
  <c r="X9" i="5"/>
  <c r="W9" i="5"/>
  <c r="V9" i="5"/>
  <c r="U9" i="5"/>
  <c r="T9" i="5"/>
  <c r="S9" i="5"/>
  <c r="R9" i="5"/>
  <c r="Q9" i="5"/>
  <c r="P9" i="5"/>
  <c r="O9" i="5"/>
  <c r="Y8" i="5"/>
  <c r="X8" i="5"/>
  <c r="W8" i="5"/>
  <c r="V8" i="5"/>
  <c r="U8" i="5"/>
  <c r="T8" i="5"/>
  <c r="S8" i="5"/>
  <c r="R8" i="5"/>
  <c r="Q8" i="5"/>
  <c r="P8" i="5"/>
  <c r="O8" i="5"/>
  <c r="Y7" i="5"/>
  <c r="X7" i="5"/>
  <c r="W7" i="5"/>
  <c r="V7" i="5"/>
  <c r="U7" i="5"/>
  <c r="T7" i="5"/>
  <c r="S7" i="5"/>
  <c r="R7" i="5"/>
  <c r="Q7" i="5"/>
  <c r="P7" i="5"/>
  <c r="O7" i="5"/>
  <c r="Y6" i="5"/>
  <c r="X6" i="5"/>
  <c r="W6" i="5"/>
  <c r="V6" i="5"/>
  <c r="U6" i="5"/>
  <c r="T6" i="5"/>
  <c r="S6" i="5"/>
  <c r="R6" i="5"/>
  <c r="Q6" i="5"/>
  <c r="P6" i="5"/>
  <c r="O6" i="5"/>
  <c r="Y5" i="5"/>
  <c r="X5" i="5"/>
  <c r="W5" i="5"/>
  <c r="V5" i="5"/>
  <c r="U5" i="5"/>
  <c r="T5" i="5"/>
  <c r="S5" i="5"/>
  <c r="R5" i="5"/>
  <c r="Q5" i="5"/>
  <c r="P5" i="5"/>
  <c r="O5" i="5"/>
  <c r="Y4" i="5"/>
  <c r="X4" i="5"/>
  <c r="W4" i="5"/>
  <c r="V4" i="5"/>
  <c r="U4" i="5"/>
  <c r="T4" i="5"/>
  <c r="S4" i="5"/>
  <c r="R4" i="5"/>
  <c r="Q4" i="5"/>
  <c r="P4" i="5"/>
  <c r="O4" i="5"/>
  <c r="Y3" i="5"/>
  <c r="X3" i="5"/>
  <c r="W3" i="5"/>
  <c r="V3" i="5"/>
  <c r="U3" i="5"/>
  <c r="T3" i="5"/>
  <c r="S3" i="5"/>
  <c r="R3" i="5"/>
  <c r="Q3" i="5"/>
  <c r="P3" i="5"/>
  <c r="O3" i="5"/>
  <c r="Y2" i="5"/>
  <c r="X2" i="5"/>
  <c r="W2" i="5"/>
  <c r="V2" i="5"/>
  <c r="U2" i="5"/>
  <c r="T2" i="5"/>
  <c r="S2" i="5"/>
  <c r="R2" i="5"/>
  <c r="Q2" i="5"/>
  <c r="P2" i="5"/>
  <c r="O2" i="5"/>
  <c r="L12" i="5"/>
  <c r="K12" i="5"/>
  <c r="J12" i="5"/>
  <c r="I12" i="5"/>
  <c r="H12" i="5"/>
  <c r="G12" i="5"/>
  <c r="F12" i="5"/>
  <c r="E12" i="5"/>
  <c r="D12" i="5"/>
  <c r="C12" i="5"/>
  <c r="B12" i="5"/>
  <c r="L11" i="5"/>
  <c r="K11" i="5"/>
  <c r="J11" i="5"/>
  <c r="I11" i="5"/>
  <c r="H11" i="5"/>
  <c r="G11" i="5"/>
  <c r="F11" i="5"/>
  <c r="E11" i="5"/>
  <c r="D11" i="5"/>
  <c r="C11" i="5"/>
  <c r="B11" i="5"/>
  <c r="L10" i="5"/>
  <c r="K10" i="5"/>
  <c r="J10" i="5"/>
  <c r="I10" i="5"/>
  <c r="H10" i="5"/>
  <c r="G10" i="5"/>
  <c r="F10" i="5"/>
  <c r="E10" i="5"/>
  <c r="D10" i="5"/>
  <c r="C10" i="5"/>
  <c r="B10" i="5"/>
  <c r="L9" i="5"/>
  <c r="K9" i="5"/>
  <c r="J9" i="5"/>
  <c r="I9" i="5"/>
  <c r="H9" i="5"/>
  <c r="G9" i="5"/>
  <c r="F9" i="5"/>
  <c r="E9" i="5"/>
  <c r="D9" i="5"/>
  <c r="C9" i="5"/>
  <c r="B9" i="5"/>
  <c r="L8" i="5"/>
  <c r="K8" i="5"/>
  <c r="J8" i="5"/>
  <c r="I8" i="5"/>
  <c r="H8" i="5"/>
  <c r="G8" i="5"/>
  <c r="F8" i="5"/>
  <c r="E8" i="5"/>
  <c r="D8" i="5"/>
  <c r="C8" i="5"/>
  <c r="B8" i="5"/>
  <c r="L7" i="5"/>
  <c r="K7" i="5"/>
  <c r="J7" i="5"/>
  <c r="I7" i="5"/>
  <c r="H7" i="5"/>
  <c r="G7" i="5"/>
  <c r="F7" i="5"/>
  <c r="E7" i="5"/>
  <c r="D7" i="5"/>
  <c r="C7" i="5"/>
  <c r="B7" i="5"/>
  <c r="L6" i="5"/>
  <c r="K6" i="5"/>
  <c r="J6" i="5"/>
  <c r="I6" i="5"/>
  <c r="H6" i="5"/>
  <c r="G6" i="5"/>
  <c r="F6" i="5"/>
  <c r="E6" i="5"/>
  <c r="D6" i="5"/>
  <c r="C6" i="5"/>
  <c r="B6" i="5"/>
  <c r="L5" i="5"/>
  <c r="K5" i="5"/>
  <c r="J5" i="5"/>
  <c r="I5" i="5"/>
  <c r="H5" i="5"/>
  <c r="G5" i="5"/>
  <c r="F5" i="5"/>
  <c r="E5" i="5"/>
  <c r="D5" i="5"/>
  <c r="C5" i="5"/>
  <c r="B5" i="5"/>
  <c r="L4" i="5"/>
  <c r="K4" i="5"/>
  <c r="J4" i="5"/>
  <c r="I4" i="5"/>
  <c r="H4" i="5"/>
  <c r="G4" i="5"/>
  <c r="F4" i="5"/>
  <c r="E4" i="5"/>
  <c r="D4" i="5"/>
  <c r="C4" i="5"/>
  <c r="B4" i="5"/>
  <c r="L3" i="5"/>
  <c r="K3" i="5"/>
  <c r="J3" i="5"/>
  <c r="I3" i="5"/>
  <c r="H3" i="5"/>
  <c r="G3" i="5"/>
  <c r="F3" i="5"/>
  <c r="E3" i="5"/>
  <c r="D3" i="5"/>
  <c r="C3" i="5"/>
  <c r="B3" i="5"/>
  <c r="L2" i="5"/>
  <c r="K2" i="5"/>
  <c r="J2" i="5"/>
  <c r="I2" i="5"/>
  <c r="H2" i="5"/>
  <c r="G2" i="5"/>
  <c r="F2" i="5"/>
  <c r="E2" i="5"/>
  <c r="D2" i="5"/>
  <c r="C2" i="5"/>
  <c r="B2" i="5"/>
  <c r="J8" i="3"/>
  <c r="J7" i="3"/>
  <c r="J6" i="3"/>
  <c r="J5" i="3"/>
  <c r="J4" i="3"/>
  <c r="J3" i="3"/>
  <c r="H10" i="3"/>
  <c r="H9" i="3"/>
  <c r="H8" i="3"/>
  <c r="H7" i="3"/>
  <c r="H6" i="3"/>
  <c r="H5" i="3"/>
  <c r="H4" i="3"/>
  <c r="H3" i="3"/>
  <c r="F13" i="3"/>
  <c r="F12" i="3"/>
  <c r="F11" i="3"/>
  <c r="F10" i="3"/>
  <c r="F9" i="3"/>
  <c r="F8" i="3"/>
  <c r="F7" i="3"/>
  <c r="F6" i="3"/>
  <c r="F5" i="3"/>
  <c r="F4" i="3"/>
  <c r="F3" i="3"/>
  <c r="D4" i="3"/>
  <c r="D3" i="3"/>
  <c r="B3" i="3"/>
  <c r="A12" i="8"/>
  <c r="A11" i="8"/>
  <c r="A10" i="8"/>
  <c r="A9" i="8"/>
  <c r="A8" i="8"/>
  <c r="A7" i="8"/>
  <c r="A6" i="8"/>
  <c r="A5" i="8"/>
  <c r="A4" i="8"/>
  <c r="A3" i="8"/>
  <c r="A2" i="8"/>
  <c r="A52" i="8"/>
  <c r="A51" i="8"/>
  <c r="A50" i="8"/>
  <c r="A49" i="8"/>
  <c r="A48" i="8"/>
  <c r="A47" i="8"/>
  <c r="A46" i="8"/>
  <c r="A45" i="8"/>
  <c r="A44" i="8"/>
  <c r="A43" i="8"/>
  <c r="A42" i="8"/>
  <c r="A72" i="8"/>
  <c r="A71" i="8"/>
  <c r="A70" i="8"/>
  <c r="A69" i="8"/>
  <c r="A68" i="8"/>
  <c r="A67" i="8"/>
  <c r="A66" i="8"/>
  <c r="A65" i="8"/>
  <c r="A64" i="8"/>
  <c r="A63" i="8"/>
  <c r="A62" i="8"/>
  <c r="A92" i="8"/>
  <c r="A91" i="8"/>
  <c r="A90" i="8"/>
  <c r="A89" i="8"/>
  <c r="A88" i="8"/>
  <c r="A87" i="8"/>
  <c r="A86" i="8"/>
  <c r="A85" i="8"/>
  <c r="A84" i="8"/>
  <c r="A83" i="8"/>
  <c r="A82" i="8"/>
  <c r="L101" i="8"/>
  <c r="K101" i="8"/>
  <c r="J101" i="8"/>
  <c r="I101" i="8"/>
  <c r="H101" i="8"/>
  <c r="G101" i="8"/>
  <c r="F101" i="8"/>
  <c r="E101" i="8"/>
  <c r="D101" i="8"/>
  <c r="C101" i="8"/>
  <c r="B101" i="8"/>
  <c r="A112" i="8"/>
  <c r="A111" i="8"/>
  <c r="A110" i="8"/>
  <c r="A109" i="8"/>
  <c r="A108" i="8"/>
  <c r="A107" i="8"/>
  <c r="A106" i="8"/>
  <c r="A105" i="8"/>
  <c r="A104" i="8"/>
  <c r="A103" i="8"/>
  <c r="A102" i="8"/>
  <c r="A131" i="8"/>
  <c r="A130" i="8"/>
  <c r="A129" i="8"/>
  <c r="A128" i="8"/>
  <c r="A127" i="8"/>
  <c r="A126" i="8"/>
  <c r="A125" i="8"/>
  <c r="A124" i="8"/>
  <c r="A123" i="8"/>
  <c r="A122" i="8"/>
  <c r="A121" i="8"/>
  <c r="F131" i="8"/>
  <c r="F130" i="8"/>
  <c r="F129" i="8"/>
  <c r="F128" i="8"/>
  <c r="F127" i="8"/>
  <c r="F126" i="8"/>
  <c r="F125" i="8"/>
  <c r="F124" i="8"/>
  <c r="F123" i="8"/>
  <c r="F122" i="8"/>
  <c r="F121" i="8"/>
  <c r="K131" i="8"/>
  <c r="K130" i="8"/>
  <c r="K129" i="8"/>
  <c r="K128" i="8"/>
  <c r="K127" i="8"/>
  <c r="K126" i="8"/>
  <c r="K125" i="8"/>
  <c r="K124" i="8"/>
  <c r="K123" i="8"/>
  <c r="K122" i="8"/>
  <c r="K121" i="8"/>
  <c r="L131" i="8"/>
  <c r="L130" i="8"/>
  <c r="L129" i="8"/>
  <c r="L128" i="8"/>
  <c r="L127" i="8"/>
  <c r="L126" i="8"/>
  <c r="L125" i="8"/>
  <c r="L124" i="8"/>
  <c r="L123" i="8"/>
  <c r="L122" i="8"/>
  <c r="L121" i="8"/>
  <c r="G131" i="8"/>
  <c r="G130" i="8"/>
  <c r="G129" i="8"/>
  <c r="G128" i="8"/>
  <c r="G127" i="8"/>
  <c r="G126" i="8"/>
  <c r="G125" i="8"/>
  <c r="G124" i="8"/>
  <c r="G123" i="8"/>
  <c r="G122" i="8"/>
  <c r="G121" i="8"/>
  <c r="B131" i="8"/>
  <c r="B130" i="8"/>
  <c r="B129" i="8"/>
  <c r="B128" i="8"/>
  <c r="B127" i="8"/>
  <c r="B126" i="8"/>
  <c r="B125" i="8"/>
  <c r="B124" i="8"/>
  <c r="B123" i="8"/>
  <c r="B122" i="8"/>
  <c r="B121" i="8"/>
  <c r="B72" i="8"/>
  <c r="B71" i="8"/>
  <c r="B70" i="8"/>
  <c r="B69" i="8"/>
  <c r="B68" i="8"/>
  <c r="B67" i="8"/>
  <c r="B66" i="8"/>
  <c r="B65" i="8"/>
  <c r="B64" i="8"/>
  <c r="B63" i="8"/>
  <c r="B62" i="8"/>
  <c r="B52" i="8"/>
  <c r="B51" i="8"/>
  <c r="B50" i="8"/>
  <c r="B49" i="8"/>
  <c r="B48" i="8"/>
  <c r="B47" i="8"/>
  <c r="B46" i="8"/>
  <c r="B45" i="8"/>
  <c r="B44" i="8"/>
  <c r="B43" i="8"/>
  <c r="B42" i="8"/>
  <c r="B143" i="8"/>
  <c r="B144" i="8"/>
  <c r="B145" i="8"/>
  <c r="B146" i="8"/>
  <c r="B147" i="8"/>
  <c r="B148" i="8"/>
  <c r="B149" i="8"/>
  <c r="B150" i="8"/>
  <c r="B151" i="8"/>
  <c r="B152" i="8"/>
  <c r="B142" i="8"/>
  <c r="B41" i="8" a="1"/>
  <c r="B41" i="8"/>
  <c r="B21" i="8" a="1"/>
  <c r="B21" i="8"/>
  <c r="B1" i="8" a="1"/>
  <c r="B1" i="8"/>
  <c r="B163" i="8"/>
  <c r="B164" i="8"/>
  <c r="B165" i="8"/>
  <c r="B166" i="8"/>
  <c r="B167" i="8"/>
  <c r="B168" i="8"/>
  <c r="B169" i="8"/>
  <c r="B170" i="8"/>
  <c r="B171" i="8"/>
  <c r="B172" i="8"/>
  <c r="B162" i="8"/>
  <c r="A162" i="8" a="1"/>
  <c r="A162" i="8"/>
  <c r="A163" i="8"/>
  <c r="A164" i="8"/>
  <c r="A165" i="8"/>
  <c r="A166" i="8"/>
  <c r="A167" i="8"/>
  <c r="A168" i="8"/>
  <c r="A169" i="8"/>
  <c r="A170" i="8"/>
  <c r="A171" i="8"/>
  <c r="A172" i="8"/>
  <c r="A142" i="8" a="1"/>
  <c r="A142" i="8"/>
  <c r="A143" i="8"/>
  <c r="A144" i="8"/>
  <c r="A145" i="8"/>
  <c r="A146" i="8"/>
  <c r="A147" i="8"/>
  <c r="A148" i="8"/>
  <c r="A149" i="8"/>
  <c r="A150" i="8"/>
  <c r="A151" i="8"/>
  <c r="A152" i="8"/>
  <c r="AK12" i="10"/>
  <c r="AJ12" i="10"/>
  <c r="AI12" i="10"/>
  <c r="AH12" i="10"/>
  <c r="AG12" i="10"/>
  <c r="AF12" i="10"/>
  <c r="AE12" i="10"/>
  <c r="AD12" i="10"/>
  <c r="AC12" i="10"/>
  <c r="X12" i="10"/>
  <c r="W12" i="10"/>
  <c r="V12" i="10"/>
  <c r="U12" i="10"/>
  <c r="T12" i="10"/>
  <c r="S12" i="10"/>
  <c r="R12" i="10"/>
  <c r="Q12" i="10"/>
  <c r="P12" i="10"/>
  <c r="AL11" i="10"/>
  <c r="AJ11" i="10"/>
  <c r="AI11" i="10"/>
  <c r="AH11" i="10"/>
  <c r="AG11" i="10"/>
  <c r="AF11" i="10"/>
  <c r="AE11" i="10"/>
  <c r="AD11" i="10"/>
  <c r="AC11" i="10"/>
  <c r="Y11" i="10"/>
  <c r="W11" i="10"/>
  <c r="V11" i="10"/>
  <c r="U11" i="10"/>
  <c r="T11" i="10"/>
  <c r="S11" i="10"/>
  <c r="R11" i="10"/>
  <c r="Q11" i="10"/>
  <c r="P11" i="10"/>
  <c r="AL10" i="10"/>
  <c r="AK10" i="10"/>
  <c r="AI10" i="10"/>
  <c r="AH10" i="10"/>
  <c r="AG10" i="10"/>
  <c r="AF10" i="10"/>
  <c r="AE10" i="10"/>
  <c r="AD10" i="10"/>
  <c r="AC10" i="10"/>
  <c r="Y10" i="10"/>
  <c r="X10" i="10"/>
  <c r="V10" i="10"/>
  <c r="U10" i="10"/>
  <c r="T10" i="10"/>
  <c r="S10" i="10"/>
  <c r="R10" i="10"/>
  <c r="Q10" i="10"/>
  <c r="P10" i="10"/>
  <c r="AL9" i="10"/>
  <c r="AK9" i="10"/>
  <c r="AJ9" i="10"/>
  <c r="AH9" i="10"/>
  <c r="AG9" i="10"/>
  <c r="AF9" i="10"/>
  <c r="AE9" i="10"/>
  <c r="AD9" i="10"/>
  <c r="AC9" i="10"/>
  <c r="Y9" i="10"/>
  <c r="X9" i="10"/>
  <c r="W9" i="10"/>
  <c r="U9" i="10"/>
  <c r="T9" i="10"/>
  <c r="S9" i="10"/>
  <c r="R9" i="10"/>
  <c r="Q9" i="10"/>
  <c r="P9" i="10"/>
  <c r="AL8" i="10"/>
  <c r="AK8" i="10"/>
  <c r="AJ8" i="10"/>
  <c r="AI8" i="10"/>
  <c r="AG8" i="10"/>
  <c r="AF8" i="10"/>
  <c r="AE8" i="10"/>
  <c r="AD8" i="10"/>
  <c r="AC8" i="10"/>
  <c r="Y8" i="10"/>
  <c r="X8" i="10"/>
  <c r="W8" i="10"/>
  <c r="V8" i="10"/>
  <c r="T8" i="10"/>
  <c r="S8" i="10"/>
  <c r="R8" i="10"/>
  <c r="Q8" i="10"/>
  <c r="P8" i="10"/>
  <c r="AL7" i="10"/>
  <c r="AK7" i="10"/>
  <c r="AJ7" i="10"/>
  <c r="AI7" i="10"/>
  <c r="AH7" i="10"/>
  <c r="AF7" i="10"/>
  <c r="AE7" i="10"/>
  <c r="AD7" i="10"/>
  <c r="AC7" i="10"/>
  <c r="Y7" i="10"/>
  <c r="X7" i="10"/>
  <c r="W7" i="10"/>
  <c r="V7" i="10"/>
  <c r="U7" i="10"/>
  <c r="S7" i="10"/>
  <c r="R7" i="10"/>
  <c r="Q7" i="10"/>
  <c r="P7" i="10"/>
  <c r="AL6" i="10"/>
  <c r="AK6" i="10"/>
  <c r="AJ6" i="10"/>
  <c r="AI6" i="10"/>
  <c r="AH6" i="10"/>
  <c r="AG6" i="10"/>
  <c r="AE6" i="10"/>
  <c r="AD6" i="10"/>
  <c r="AC6" i="10"/>
  <c r="Y6" i="10"/>
  <c r="X6" i="10"/>
  <c r="W6" i="10"/>
  <c r="V6" i="10"/>
  <c r="U6" i="10"/>
  <c r="T6" i="10"/>
  <c r="R6" i="10"/>
  <c r="Q6" i="10"/>
  <c r="P6" i="10"/>
  <c r="AL5" i="10"/>
  <c r="AK5" i="10"/>
  <c r="AJ5" i="10"/>
  <c r="AI5" i="10"/>
  <c r="AH5" i="10"/>
  <c r="AG5" i="10"/>
  <c r="AF5" i="10"/>
  <c r="AD5" i="10"/>
  <c r="AC5" i="10"/>
  <c r="Y5" i="10"/>
  <c r="X5" i="10"/>
  <c r="W5" i="10"/>
  <c r="V5" i="10"/>
  <c r="U5" i="10"/>
  <c r="T5" i="10"/>
  <c r="S5" i="10"/>
  <c r="Q5" i="10"/>
  <c r="P5" i="10"/>
  <c r="AL4" i="10"/>
  <c r="AK4" i="10"/>
  <c r="AJ4" i="10"/>
  <c r="AI4" i="10"/>
  <c r="AH4" i="10"/>
  <c r="AG4" i="10"/>
  <c r="AF4" i="10"/>
  <c r="AE4" i="10"/>
  <c r="AC4" i="10"/>
  <c r="Y4" i="10"/>
  <c r="X4" i="10"/>
  <c r="W4" i="10"/>
  <c r="V4" i="10"/>
  <c r="U4" i="10"/>
  <c r="T4" i="10"/>
  <c r="S4" i="10"/>
  <c r="R4" i="10"/>
  <c r="P4" i="10"/>
  <c r="AL3" i="10"/>
  <c r="AK3" i="10"/>
  <c r="AJ3" i="10"/>
  <c r="AI3" i="10"/>
  <c r="AH3" i="10"/>
  <c r="AG3" i="10"/>
  <c r="AF3" i="10"/>
  <c r="AE3" i="10"/>
  <c r="AD3" i="10"/>
  <c r="Y3" i="10"/>
  <c r="X3" i="10"/>
  <c r="W3" i="10"/>
  <c r="V3" i="10"/>
  <c r="U3" i="10"/>
  <c r="T3" i="10"/>
  <c r="S3" i="10"/>
  <c r="R3" i="10"/>
  <c r="Q3" i="10"/>
  <c r="A22" i="8" a="1"/>
  <c r="A22" i="8"/>
  <c r="A23" i="8"/>
  <c r="A24" i="8"/>
  <c r="A25" i="8"/>
  <c r="A26" i="8"/>
  <c r="A27" i="8"/>
  <c r="A28" i="8"/>
  <c r="A29" i="8"/>
  <c r="A30" i="8"/>
  <c r="A31" i="8"/>
  <c r="A32" i="8"/>
</calcChain>
</file>

<file path=xl/sharedStrings.xml><?xml version="1.0" encoding="utf-8"?>
<sst xmlns="http://schemas.openxmlformats.org/spreadsheetml/2006/main" count="232" uniqueCount="82">
  <si>
    <t>Years</t>
  </si>
  <si>
    <t>Seasons</t>
  </si>
  <si>
    <t>Nodes</t>
  </si>
  <si>
    <t>AddisAbaba</t>
  </si>
  <si>
    <t>Afar</t>
  </si>
  <si>
    <t>Amhara</t>
  </si>
  <si>
    <t>Gumuz</t>
  </si>
  <si>
    <t>DireDawa</t>
  </si>
  <si>
    <t>Gambela</t>
  </si>
  <si>
    <t>Harari</t>
  </si>
  <si>
    <t>Oromia</t>
  </si>
  <si>
    <t>Somali</t>
  </si>
  <si>
    <t>Tigray</t>
  </si>
  <si>
    <t>Crops</t>
  </si>
  <si>
    <t>SNNPR</t>
  </si>
  <si>
    <t>set</t>
  </si>
  <si>
    <t>sets!B3</t>
  </si>
  <si>
    <t>sets!d3</t>
  </si>
  <si>
    <t>sets!f3</t>
  </si>
  <si>
    <t>sets!h3</t>
  </si>
  <si>
    <t>Food</t>
  </si>
  <si>
    <t>rdim</t>
  </si>
  <si>
    <t>cdim</t>
  </si>
  <si>
    <t>par</t>
  </si>
  <si>
    <t>CYF</t>
  </si>
  <si>
    <t>CYF!A1</t>
  </si>
  <si>
    <t>Roads!A1</t>
  </si>
  <si>
    <t>DiscFact</t>
  </si>
  <si>
    <t>DiscFact!A1</t>
  </si>
  <si>
    <t>C_convert</t>
  </si>
  <si>
    <t>C_chg</t>
  </si>
  <si>
    <t>Crop!A101</t>
  </si>
  <si>
    <t>Crop!A121</t>
  </si>
  <si>
    <t>Crop!A141</t>
  </si>
  <si>
    <t>Crop!A161</t>
  </si>
  <si>
    <t>pr_Hide</t>
  </si>
  <si>
    <t>Cattle!A1</t>
  </si>
  <si>
    <t>Yld_H</t>
  </si>
  <si>
    <t>Cattle!A21</t>
  </si>
  <si>
    <t>k</t>
  </si>
  <si>
    <t>kappa</t>
  </si>
  <si>
    <t>Cattle!A41</t>
  </si>
  <si>
    <t>Cattle!A61</t>
  </si>
  <si>
    <t>C_Cow</t>
  </si>
  <si>
    <t>Cattle!A81</t>
  </si>
  <si>
    <t>CowtranYr1</t>
  </si>
  <si>
    <t>Cattle!A101</t>
  </si>
  <si>
    <t>Cattle!A121</t>
  </si>
  <si>
    <t>InitCow</t>
  </si>
  <si>
    <t>Herdsize</t>
  </si>
  <si>
    <t>CowDeath</t>
  </si>
  <si>
    <t>TotArea</t>
  </si>
  <si>
    <t>Area_init</t>
  </si>
  <si>
    <t>Cattle!F121</t>
  </si>
  <si>
    <t>Cattle!K121</t>
  </si>
  <si>
    <t>Eline</t>
  </si>
  <si>
    <t>ElecLine!A1</t>
  </si>
  <si>
    <t>Cap_Road</t>
  </si>
  <si>
    <t>Roads!N1</t>
  </si>
  <si>
    <t>CF_Road_data</t>
  </si>
  <si>
    <t>Roads!AA1</t>
  </si>
  <si>
    <t>Year</t>
  </si>
  <si>
    <t>Season</t>
  </si>
  <si>
    <t>Node</t>
  </si>
  <si>
    <t>FoodItem</t>
  </si>
  <si>
    <t>Crop</t>
  </si>
  <si>
    <t>sets!j3</t>
  </si>
  <si>
    <t>Road</t>
  </si>
  <si>
    <t>aFAO</t>
  </si>
  <si>
    <t>aFAO!A1</t>
  </si>
  <si>
    <t>C_prod</t>
  </si>
  <si>
    <t>DemInt</t>
  </si>
  <si>
    <t>DemSlope</t>
  </si>
  <si>
    <t>DemInt!A1</t>
  </si>
  <si>
    <t>DemSlope!A1</t>
  </si>
  <si>
    <t>Base_Elec_Dem</t>
  </si>
  <si>
    <t>Elec!A1</t>
  </si>
  <si>
    <t>MilkYield</t>
  </si>
  <si>
    <t>BeefYield</t>
  </si>
  <si>
    <t>Cattle!A141</t>
  </si>
  <si>
    <t>Cattle!A161</t>
  </si>
  <si>
    <t>Crop!B2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</si>
</sst>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4" fontId="0" fillId="0" borderId="0" xfId="0" applyNumberFormat="1"/>
    <xf numFmtId="0" fontId="0" fillId="0" borderId="0" xfId="0" applyFill="1"/>
    <xf numFmtId="0" fontId="0" fillId="2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X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attle"/>
      <sheetName val="sets"/>
      <sheetName val="Roads"/>
      <sheetName val="ElecLine"/>
      <sheetName val="DiscFact"/>
      <sheetName val="Crop"/>
      <sheetName val="CYF"/>
      <sheetName val="aFAO"/>
      <sheetName val="DemInt"/>
      <sheetName val="DemSlope"/>
      <sheetName val="Elec"/>
    </sheetNames>
    <sheetDataSet>
      <sheetData sheetId="0"/>
      <sheetData sheetId="1">
        <row r="2">
          <cell r="A2" t="str">
            <v>AddisAbaba</v>
          </cell>
          <cell r="B2">
            <v>0</v>
          </cell>
        </row>
        <row r="3">
          <cell r="A3" t="str">
            <v>Afar</v>
          </cell>
          <cell r="B3">
            <v>0</v>
          </cell>
        </row>
        <row r="4">
          <cell r="A4" t="str">
            <v>Amhara</v>
          </cell>
          <cell r="B4">
            <v>0</v>
          </cell>
        </row>
        <row r="5">
          <cell r="A5" t="str">
            <v>Gumuz</v>
          </cell>
          <cell r="B5">
            <v>0</v>
          </cell>
        </row>
        <row r="6">
          <cell r="A6" t="str">
            <v>DireDawa</v>
          </cell>
          <cell r="B6">
            <v>0</v>
          </cell>
        </row>
        <row r="7">
          <cell r="A7" t="str">
            <v>Gambela</v>
          </cell>
          <cell r="B7">
            <v>0</v>
          </cell>
        </row>
        <row r="8">
          <cell r="A8" t="str">
            <v>Harari</v>
          </cell>
          <cell r="B8">
            <v>0</v>
          </cell>
        </row>
        <row r="9">
          <cell r="A9" t="str">
            <v>Oromia</v>
          </cell>
          <cell r="B9">
            <v>0</v>
          </cell>
        </row>
        <row r="10">
          <cell r="A10" t="str">
            <v>Somali</v>
          </cell>
          <cell r="B10">
            <v>0</v>
          </cell>
        </row>
        <row r="11">
          <cell r="A11" t="str">
            <v>SNNPR</v>
          </cell>
          <cell r="B11">
            <v>0</v>
          </cell>
        </row>
        <row r="12">
          <cell r="A12" t="str">
            <v>Tigray</v>
          </cell>
          <cell r="B12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42">
          <cell r="A42" t="str">
            <v>AddisAbaba</v>
          </cell>
          <cell r="B42">
            <v>1</v>
          </cell>
        </row>
        <row r="43">
          <cell r="A43" t="str">
            <v>Afar</v>
          </cell>
          <cell r="B43">
            <v>1</v>
          </cell>
        </row>
        <row r="44">
          <cell r="A44" t="str">
            <v>Amhara</v>
          </cell>
          <cell r="B44">
            <v>1</v>
          </cell>
        </row>
        <row r="45">
          <cell r="A45" t="str">
            <v>Gumuz</v>
          </cell>
          <cell r="B45">
            <v>1</v>
          </cell>
        </row>
        <row r="46">
          <cell r="A46" t="str">
            <v>DireDawa</v>
          </cell>
          <cell r="B46">
            <v>1</v>
          </cell>
        </row>
        <row r="47">
          <cell r="A47" t="str">
            <v>Gambela</v>
          </cell>
          <cell r="B47">
            <v>1</v>
          </cell>
        </row>
        <row r="48">
          <cell r="A48" t="str">
            <v>Harari</v>
          </cell>
          <cell r="B48">
            <v>1</v>
          </cell>
        </row>
        <row r="49">
          <cell r="A49" t="str">
            <v>Oromia</v>
          </cell>
          <cell r="B49">
            <v>1</v>
          </cell>
        </row>
        <row r="50">
          <cell r="A50" t="str">
            <v>Somali</v>
          </cell>
          <cell r="B50">
            <v>1</v>
          </cell>
        </row>
        <row r="51">
          <cell r="A51" t="str">
            <v>SNNPR</v>
          </cell>
          <cell r="B51">
            <v>1</v>
          </cell>
        </row>
        <row r="52">
          <cell r="A52" t="str">
            <v>Tigray</v>
          </cell>
          <cell r="B52">
            <v>1</v>
          </cell>
        </row>
        <row r="62">
          <cell r="A62" t="str">
            <v>AddisAbaba</v>
          </cell>
          <cell r="B62">
            <v>0.7</v>
          </cell>
        </row>
        <row r="63">
          <cell r="A63" t="str">
            <v>Afar</v>
          </cell>
          <cell r="B63">
            <v>0.7</v>
          </cell>
        </row>
        <row r="64">
          <cell r="A64" t="str">
            <v>Amhara</v>
          </cell>
          <cell r="B64">
            <v>0.7</v>
          </cell>
        </row>
        <row r="65">
          <cell r="A65" t="str">
            <v>Gumuz</v>
          </cell>
          <cell r="B65">
            <v>0.7</v>
          </cell>
        </row>
        <row r="66">
          <cell r="A66" t="str">
            <v>DireDawa</v>
          </cell>
          <cell r="B66">
            <v>0.7</v>
          </cell>
        </row>
        <row r="67">
          <cell r="A67" t="str">
            <v>Gambela</v>
          </cell>
          <cell r="B67">
            <v>0.7</v>
          </cell>
        </row>
        <row r="68">
          <cell r="A68" t="str">
            <v>Harari</v>
          </cell>
          <cell r="B68">
            <v>0.7</v>
          </cell>
        </row>
        <row r="69">
          <cell r="A69" t="str">
            <v>Oromia</v>
          </cell>
          <cell r="B69">
            <v>0.7</v>
          </cell>
        </row>
        <row r="70">
          <cell r="A70" t="str">
            <v>Somali</v>
          </cell>
          <cell r="B70">
            <v>0.7</v>
          </cell>
        </row>
        <row r="71">
          <cell r="A71" t="str">
            <v>SNNPR</v>
          </cell>
          <cell r="B71">
            <v>0.7</v>
          </cell>
        </row>
        <row r="72">
          <cell r="A72" t="str">
            <v>Tigray</v>
          </cell>
          <cell r="B72">
            <v>0.7</v>
          </cell>
        </row>
        <row r="82">
          <cell r="A82" t="str">
            <v>AddisAbaba</v>
          </cell>
          <cell r="B82">
            <v>10</v>
          </cell>
        </row>
        <row r="83">
          <cell r="A83" t="str">
            <v>Afar</v>
          </cell>
          <cell r="B83">
            <v>10</v>
          </cell>
        </row>
        <row r="84">
          <cell r="A84" t="str">
            <v>Amhara</v>
          </cell>
          <cell r="B84">
            <v>10</v>
          </cell>
        </row>
        <row r="85">
          <cell r="A85" t="str">
            <v>Gumuz</v>
          </cell>
          <cell r="B85">
            <v>10</v>
          </cell>
        </row>
        <row r="86">
          <cell r="A86" t="str">
            <v>DireDawa</v>
          </cell>
          <cell r="B86">
            <v>10</v>
          </cell>
        </row>
        <row r="87">
          <cell r="A87" t="str">
            <v>Gambela</v>
          </cell>
          <cell r="B87">
            <v>10</v>
          </cell>
        </row>
        <row r="88">
          <cell r="A88" t="str">
            <v>Harari</v>
          </cell>
          <cell r="B88">
            <v>10</v>
          </cell>
        </row>
        <row r="89">
          <cell r="A89" t="str">
            <v>Oromia</v>
          </cell>
          <cell r="B89">
            <v>10</v>
          </cell>
        </row>
        <row r="90">
          <cell r="A90" t="str">
            <v>Somali</v>
          </cell>
          <cell r="B90">
            <v>10</v>
          </cell>
        </row>
        <row r="91">
          <cell r="A91" t="str">
            <v>SNNPR</v>
          </cell>
          <cell r="B91">
            <v>10</v>
          </cell>
        </row>
        <row r="92">
          <cell r="A92" t="str">
            <v>Tigray</v>
          </cell>
          <cell r="B92">
            <v>10</v>
          </cell>
        </row>
        <row r="101">
          <cell r="B101" t="str">
            <v>AddisAbaba</v>
          </cell>
          <cell r="C101" t="str">
            <v>Afar</v>
          </cell>
          <cell r="D101" t="str">
            <v>Amhara</v>
          </cell>
          <cell r="E101" t="str">
            <v>Gumuz</v>
          </cell>
          <cell r="F101" t="str">
            <v>DireDawa</v>
          </cell>
          <cell r="G101" t="str">
            <v>Gambela</v>
          </cell>
          <cell r="H101" t="str">
            <v>Harari</v>
          </cell>
          <cell r="I101" t="str">
            <v>Oromia</v>
          </cell>
          <cell r="J101" t="str">
            <v>Somali</v>
          </cell>
          <cell r="K101" t="str">
            <v>SNNPR</v>
          </cell>
          <cell r="L101" t="str">
            <v>Tigray</v>
          </cell>
        </row>
        <row r="102">
          <cell r="A102" t="str">
            <v>AddisAbaba</v>
          </cell>
          <cell r="B102">
            <v>0.1</v>
          </cell>
          <cell r="C102">
            <v>0.1</v>
          </cell>
          <cell r="D102">
            <v>0.1</v>
          </cell>
          <cell r="E102">
            <v>0.1</v>
          </cell>
          <cell r="F102">
            <v>0.1</v>
          </cell>
          <cell r="G102">
            <v>0.1</v>
          </cell>
          <cell r="H102">
            <v>0.1</v>
          </cell>
          <cell r="I102">
            <v>0.1</v>
          </cell>
          <cell r="J102">
            <v>0.1</v>
          </cell>
          <cell r="K102">
            <v>0.1</v>
          </cell>
          <cell r="L102">
            <v>0.1</v>
          </cell>
        </row>
        <row r="103">
          <cell r="A103" t="str">
            <v>Afar</v>
          </cell>
          <cell r="B103">
            <v>0.1</v>
          </cell>
          <cell r="C103">
            <v>0.1</v>
          </cell>
          <cell r="D103">
            <v>0.1</v>
          </cell>
          <cell r="E103">
            <v>0.1</v>
          </cell>
          <cell r="F103">
            <v>0.1</v>
          </cell>
          <cell r="G103">
            <v>0.1</v>
          </cell>
          <cell r="H103">
            <v>0.1</v>
          </cell>
          <cell r="I103">
            <v>0.1</v>
          </cell>
          <cell r="J103">
            <v>0.1</v>
          </cell>
          <cell r="K103">
            <v>0.1</v>
          </cell>
          <cell r="L103">
            <v>0.1</v>
          </cell>
        </row>
        <row r="104">
          <cell r="A104" t="str">
            <v>Amhara</v>
          </cell>
          <cell r="B104">
            <v>0.1</v>
          </cell>
          <cell r="C104">
            <v>0.1</v>
          </cell>
          <cell r="D104">
            <v>0.1</v>
          </cell>
          <cell r="E104">
            <v>0.1</v>
          </cell>
          <cell r="F104">
            <v>0.1</v>
          </cell>
          <cell r="G104">
            <v>0.1</v>
          </cell>
          <cell r="H104">
            <v>0.1</v>
          </cell>
          <cell r="I104">
            <v>0.1</v>
          </cell>
          <cell r="J104">
            <v>0.1</v>
          </cell>
          <cell r="K104">
            <v>0.1</v>
          </cell>
          <cell r="L104">
            <v>0.1</v>
          </cell>
        </row>
        <row r="105">
          <cell r="A105" t="str">
            <v>Gumuz</v>
          </cell>
          <cell r="B105">
            <v>0.1</v>
          </cell>
          <cell r="C105">
            <v>0.1</v>
          </cell>
          <cell r="D105">
            <v>0.1</v>
          </cell>
          <cell r="E105">
            <v>0.1</v>
          </cell>
          <cell r="F105">
            <v>0.1</v>
          </cell>
          <cell r="G105">
            <v>0.1</v>
          </cell>
          <cell r="H105">
            <v>0.1</v>
          </cell>
          <cell r="I105">
            <v>0.1</v>
          </cell>
          <cell r="J105">
            <v>0.1</v>
          </cell>
          <cell r="K105">
            <v>0.1</v>
          </cell>
          <cell r="L105">
            <v>0.1</v>
          </cell>
        </row>
        <row r="106">
          <cell r="A106" t="str">
            <v>DireDawa</v>
          </cell>
          <cell r="B106">
            <v>0.1</v>
          </cell>
          <cell r="C106">
            <v>0.1</v>
          </cell>
          <cell r="D106">
            <v>0.1</v>
          </cell>
          <cell r="E106">
            <v>0.1</v>
          </cell>
          <cell r="F106">
            <v>0.1</v>
          </cell>
          <cell r="G106">
            <v>0.1</v>
          </cell>
          <cell r="H106">
            <v>0.1</v>
          </cell>
          <cell r="I106">
            <v>0.1</v>
          </cell>
          <cell r="J106">
            <v>0.1</v>
          </cell>
          <cell r="K106">
            <v>0.1</v>
          </cell>
          <cell r="L106">
            <v>0.1</v>
          </cell>
        </row>
        <row r="107">
          <cell r="A107" t="str">
            <v>Gambela</v>
          </cell>
          <cell r="B107">
            <v>0.1</v>
          </cell>
          <cell r="C107">
            <v>0.1</v>
          </cell>
          <cell r="D107">
            <v>0.1</v>
          </cell>
          <cell r="E107">
            <v>0.1</v>
          </cell>
          <cell r="F107">
            <v>0.1</v>
          </cell>
          <cell r="G107">
            <v>0.1</v>
          </cell>
          <cell r="H107">
            <v>0.1</v>
          </cell>
          <cell r="I107">
            <v>0.1</v>
          </cell>
          <cell r="J107">
            <v>0.1</v>
          </cell>
          <cell r="K107">
            <v>0.1</v>
          </cell>
          <cell r="L107">
            <v>0.1</v>
          </cell>
        </row>
        <row r="108">
          <cell r="A108" t="str">
            <v>Harari</v>
          </cell>
          <cell r="B108">
            <v>0.1</v>
          </cell>
          <cell r="C108">
            <v>0.1</v>
          </cell>
          <cell r="D108">
            <v>0.1</v>
          </cell>
          <cell r="E108">
            <v>0.1</v>
          </cell>
          <cell r="F108">
            <v>0.1</v>
          </cell>
          <cell r="G108">
            <v>0.1</v>
          </cell>
          <cell r="H108">
            <v>0.1</v>
          </cell>
          <cell r="I108">
            <v>0.1</v>
          </cell>
          <cell r="J108">
            <v>0.1</v>
          </cell>
          <cell r="K108">
            <v>0.1</v>
          </cell>
          <cell r="L108">
            <v>0.1</v>
          </cell>
        </row>
        <row r="109">
          <cell r="A109" t="str">
            <v>Oromia</v>
          </cell>
          <cell r="B109">
            <v>0.1</v>
          </cell>
          <cell r="C109">
            <v>0.1</v>
          </cell>
          <cell r="D109">
            <v>0.1</v>
          </cell>
          <cell r="E109">
            <v>0.1</v>
          </cell>
          <cell r="F109">
            <v>0.1</v>
          </cell>
          <cell r="G109">
            <v>0.1</v>
          </cell>
          <cell r="H109">
            <v>0.1</v>
          </cell>
          <cell r="I109">
            <v>0.1</v>
          </cell>
          <cell r="J109">
            <v>0.1</v>
          </cell>
          <cell r="K109">
            <v>0.1</v>
          </cell>
          <cell r="L109">
            <v>0.1</v>
          </cell>
        </row>
        <row r="110">
          <cell r="A110" t="str">
            <v>Somali</v>
          </cell>
          <cell r="B110">
            <v>0.1</v>
          </cell>
          <cell r="C110">
            <v>0.1</v>
          </cell>
          <cell r="D110">
            <v>0.1</v>
          </cell>
          <cell r="E110">
            <v>0.1</v>
          </cell>
          <cell r="F110">
            <v>0.1</v>
          </cell>
          <cell r="G110">
            <v>0.1</v>
          </cell>
          <cell r="H110">
            <v>0.1</v>
          </cell>
          <cell r="I110">
            <v>0.1</v>
          </cell>
          <cell r="J110">
            <v>0.1</v>
          </cell>
          <cell r="K110">
            <v>0.1</v>
          </cell>
          <cell r="L110">
            <v>0.1</v>
          </cell>
        </row>
        <row r="111">
          <cell r="A111" t="str">
            <v>SNNPR</v>
          </cell>
          <cell r="B111">
            <v>0.1</v>
          </cell>
          <cell r="C111">
            <v>0.1</v>
          </cell>
          <cell r="D111">
            <v>0.1</v>
          </cell>
          <cell r="E111">
            <v>0.1</v>
          </cell>
          <cell r="F111">
            <v>0.1</v>
          </cell>
          <cell r="G111">
            <v>0.1</v>
          </cell>
          <cell r="H111">
            <v>0.1</v>
          </cell>
          <cell r="I111">
            <v>0.1</v>
          </cell>
          <cell r="J111">
            <v>0.1</v>
          </cell>
          <cell r="K111">
            <v>0.1</v>
          </cell>
          <cell r="L111">
            <v>0.1</v>
          </cell>
        </row>
        <row r="112">
          <cell r="A112" t="str">
            <v>Tigray</v>
          </cell>
          <cell r="B112">
            <v>0.1</v>
          </cell>
          <cell r="C112">
            <v>0.1</v>
          </cell>
          <cell r="D112">
            <v>0.1</v>
          </cell>
          <cell r="E112">
            <v>0.1</v>
          </cell>
          <cell r="F112">
            <v>0.1</v>
          </cell>
          <cell r="G112">
            <v>0.1</v>
          </cell>
          <cell r="H112">
            <v>0.1</v>
          </cell>
          <cell r="I112">
            <v>0.1</v>
          </cell>
          <cell r="J112">
            <v>0.1</v>
          </cell>
          <cell r="K112">
            <v>0.1</v>
          </cell>
          <cell r="L112">
            <v>0.1</v>
          </cell>
        </row>
        <row r="121">
          <cell r="A121" t="str">
            <v>AddisAbaba</v>
          </cell>
          <cell r="B121">
            <v>10</v>
          </cell>
          <cell r="F121" t="str">
            <v>AddisAbaba</v>
          </cell>
          <cell r="G121">
            <v>9</v>
          </cell>
          <cell r="K121" t="str">
            <v>AddisAbaba</v>
          </cell>
          <cell r="L121">
            <v>0.3</v>
          </cell>
        </row>
        <row r="122">
          <cell r="A122" t="str">
            <v>Afar</v>
          </cell>
          <cell r="B122">
            <v>10.5</v>
          </cell>
          <cell r="F122" t="str">
            <v>Afar</v>
          </cell>
          <cell r="G122">
            <v>9.5</v>
          </cell>
          <cell r="K122" t="str">
            <v>Afar</v>
          </cell>
          <cell r="L122">
            <v>0.3</v>
          </cell>
        </row>
        <row r="123">
          <cell r="A123" t="str">
            <v>Amhara</v>
          </cell>
          <cell r="B123">
            <v>11</v>
          </cell>
          <cell r="F123" t="str">
            <v>Amhara</v>
          </cell>
          <cell r="G123">
            <v>10</v>
          </cell>
          <cell r="K123" t="str">
            <v>Amhara</v>
          </cell>
          <cell r="L123">
            <v>0.3</v>
          </cell>
        </row>
        <row r="124">
          <cell r="A124" t="str">
            <v>Gumuz</v>
          </cell>
          <cell r="B124">
            <v>11.5</v>
          </cell>
          <cell r="F124" t="str">
            <v>Gumuz</v>
          </cell>
          <cell r="G124">
            <v>10.5</v>
          </cell>
          <cell r="K124" t="str">
            <v>Gumuz</v>
          </cell>
          <cell r="L124">
            <v>0.3</v>
          </cell>
        </row>
        <row r="125">
          <cell r="A125" t="str">
            <v>DireDawa</v>
          </cell>
          <cell r="B125">
            <v>12</v>
          </cell>
          <cell r="F125" t="str">
            <v>DireDawa</v>
          </cell>
          <cell r="G125">
            <v>11</v>
          </cell>
          <cell r="K125" t="str">
            <v>DireDawa</v>
          </cell>
          <cell r="L125">
            <v>0.3</v>
          </cell>
        </row>
        <row r="126">
          <cell r="A126" t="str">
            <v>Gambela</v>
          </cell>
          <cell r="B126">
            <v>12.5</v>
          </cell>
          <cell r="F126" t="str">
            <v>Gambela</v>
          </cell>
          <cell r="G126">
            <v>11.5</v>
          </cell>
          <cell r="K126" t="str">
            <v>Gambela</v>
          </cell>
          <cell r="L126">
            <v>0.3</v>
          </cell>
        </row>
        <row r="127">
          <cell r="A127" t="str">
            <v>Harari</v>
          </cell>
          <cell r="B127">
            <v>13</v>
          </cell>
          <cell r="F127" t="str">
            <v>Harari</v>
          </cell>
          <cell r="G127">
            <v>12</v>
          </cell>
          <cell r="K127" t="str">
            <v>Harari</v>
          </cell>
          <cell r="L127">
            <v>0.3</v>
          </cell>
        </row>
        <row r="128">
          <cell r="A128" t="str">
            <v>Oromia</v>
          </cell>
          <cell r="B128">
            <v>13.5</v>
          </cell>
          <cell r="F128" t="str">
            <v>Oromia</v>
          </cell>
          <cell r="G128">
            <v>12.5</v>
          </cell>
          <cell r="K128" t="str">
            <v>Oromia</v>
          </cell>
          <cell r="L128">
            <v>0.3</v>
          </cell>
        </row>
        <row r="129">
          <cell r="A129" t="str">
            <v>Somali</v>
          </cell>
          <cell r="B129">
            <v>14</v>
          </cell>
          <cell r="F129" t="str">
            <v>Somali</v>
          </cell>
          <cell r="G129">
            <v>13</v>
          </cell>
          <cell r="K129" t="str">
            <v>Somali</v>
          </cell>
          <cell r="L129">
            <v>0.3</v>
          </cell>
        </row>
        <row r="130">
          <cell r="A130" t="str">
            <v>SNNPR</v>
          </cell>
          <cell r="B130">
            <v>14.5</v>
          </cell>
          <cell r="F130" t="str">
            <v>SNNPR</v>
          </cell>
          <cell r="G130">
            <v>13.5</v>
          </cell>
          <cell r="K130" t="str">
            <v>SNNPR</v>
          </cell>
          <cell r="L130">
            <v>0.3</v>
          </cell>
        </row>
        <row r="131">
          <cell r="A131" t="str">
            <v>Tigray</v>
          </cell>
          <cell r="B131">
            <v>15</v>
          </cell>
          <cell r="F131" t="str">
            <v>Tigray</v>
          </cell>
          <cell r="G131">
            <v>14</v>
          </cell>
          <cell r="K131" t="str">
            <v>Tigray</v>
          </cell>
          <cell r="L131">
            <v>0.3</v>
          </cell>
        </row>
      </sheetData>
      <sheetData sheetId="2">
        <row r="3">
          <cell r="B3">
            <v>2015</v>
          </cell>
          <cell r="D3" t="str">
            <v>Belg</v>
          </cell>
          <cell r="F3" t="str">
            <v>AddisAbaba</v>
          </cell>
          <cell r="H3" t="str">
            <v>Teff</v>
          </cell>
          <cell r="J3" t="str">
            <v>Teff</v>
          </cell>
        </row>
        <row r="4">
          <cell r="D4" t="str">
            <v>Kremt</v>
          </cell>
          <cell r="F4" t="str">
            <v>Afar</v>
          </cell>
          <cell r="H4" t="str">
            <v>Sorghum</v>
          </cell>
          <cell r="J4" t="str">
            <v>Sorghum</v>
          </cell>
        </row>
        <row r="5">
          <cell r="F5" t="str">
            <v>Amhara</v>
          </cell>
          <cell r="H5" t="str">
            <v>Maize</v>
          </cell>
          <cell r="J5" t="str">
            <v>Maize</v>
          </cell>
        </row>
        <row r="6">
          <cell r="F6" t="str">
            <v>Gumuz</v>
          </cell>
          <cell r="H6" t="str">
            <v>Lentils</v>
          </cell>
          <cell r="J6" t="str">
            <v>Lentils</v>
          </cell>
        </row>
        <row r="7">
          <cell r="F7" t="str">
            <v>DireDawa</v>
          </cell>
          <cell r="H7" t="str">
            <v>Vegetables</v>
          </cell>
          <cell r="J7" t="str">
            <v>Vegetables</v>
          </cell>
        </row>
        <row r="8">
          <cell r="F8" t="str">
            <v>Gambela</v>
          </cell>
          <cell r="H8" t="str">
            <v>Coffee</v>
          </cell>
          <cell r="J8" t="str">
            <v>Coffee</v>
          </cell>
        </row>
        <row r="9">
          <cell r="F9" t="str">
            <v>Harari</v>
          </cell>
          <cell r="H9" t="str">
            <v>Beef</v>
          </cell>
        </row>
        <row r="10">
          <cell r="F10" t="str">
            <v>Oromia</v>
          </cell>
          <cell r="H10" t="str">
            <v>Milk</v>
          </cell>
        </row>
        <row r="11">
          <cell r="F11" t="str">
            <v>Somali</v>
          </cell>
        </row>
        <row r="12">
          <cell r="F12" t="str">
            <v>SNNPR</v>
          </cell>
        </row>
        <row r="13">
          <cell r="F13" t="str">
            <v>Tigray</v>
          </cell>
        </row>
      </sheetData>
      <sheetData sheetId="3">
        <row r="2">
          <cell r="B2" t="str">
            <v>No</v>
          </cell>
          <cell r="C2" t="str">
            <v>Yes</v>
          </cell>
          <cell r="D2" t="str">
            <v>Yes</v>
          </cell>
          <cell r="E2" t="str">
            <v>Yes</v>
          </cell>
          <cell r="F2" t="str">
            <v>Yes</v>
          </cell>
          <cell r="G2" t="str">
            <v>Yes</v>
          </cell>
          <cell r="H2" t="str">
            <v>Yes</v>
          </cell>
          <cell r="I2" t="str">
            <v>Yes</v>
          </cell>
          <cell r="J2" t="str">
            <v>Yes</v>
          </cell>
          <cell r="K2" t="str">
            <v>Yes</v>
          </cell>
          <cell r="L2" t="str">
            <v>Yes</v>
          </cell>
          <cell r="P2">
            <v>10</v>
          </cell>
          <cell r="Q2">
            <v>10</v>
          </cell>
          <cell r="R2">
            <v>10</v>
          </cell>
          <cell r="S2">
            <v>10</v>
          </cell>
          <cell r="T2">
            <v>10</v>
          </cell>
          <cell r="U2">
            <v>10</v>
          </cell>
          <cell r="V2">
            <v>10</v>
          </cell>
          <cell r="W2">
            <v>10</v>
          </cell>
          <cell r="X2">
            <v>10</v>
          </cell>
          <cell r="Y2">
            <v>10</v>
          </cell>
          <cell r="AC2">
            <v>500</v>
          </cell>
          <cell r="AD2">
            <v>500</v>
          </cell>
          <cell r="AE2">
            <v>500</v>
          </cell>
          <cell r="AF2">
            <v>500</v>
          </cell>
          <cell r="AG2">
            <v>500</v>
          </cell>
          <cell r="AH2">
            <v>500</v>
          </cell>
          <cell r="AI2">
            <v>500</v>
          </cell>
          <cell r="AJ2">
            <v>500</v>
          </cell>
          <cell r="AK2">
            <v>500</v>
          </cell>
          <cell r="AL2">
            <v>500</v>
          </cell>
        </row>
        <row r="3">
          <cell r="B3" t="str">
            <v>Yes</v>
          </cell>
          <cell r="C3" t="str">
            <v>No</v>
          </cell>
          <cell r="D3" t="str">
            <v>No</v>
          </cell>
          <cell r="E3" t="str">
            <v>Yes</v>
          </cell>
          <cell r="F3" t="str">
            <v>No</v>
          </cell>
          <cell r="G3" t="str">
            <v>Yes</v>
          </cell>
          <cell r="H3" t="str">
            <v>Yes</v>
          </cell>
          <cell r="I3" t="str">
            <v>Yes</v>
          </cell>
          <cell r="J3" t="str">
            <v>No</v>
          </cell>
          <cell r="K3" t="str">
            <v>Yes</v>
          </cell>
          <cell r="L3" t="str">
            <v>No</v>
          </cell>
          <cell r="O3">
            <v>10</v>
          </cell>
          <cell r="Q3">
            <v>10.663028858434071</v>
          </cell>
          <cell r="R3">
            <v>14.289315261695798</v>
          </cell>
          <cell r="S3">
            <v>14.348151121154606</v>
          </cell>
          <cell r="T3">
            <v>13.292190859099618</v>
          </cell>
          <cell r="U3">
            <v>12.236969836947772</v>
          </cell>
          <cell r="V3">
            <v>13.433927701980338</v>
          </cell>
          <cell r="W3">
            <v>14.627435121552541</v>
          </cell>
          <cell r="X3">
            <v>12.269520462800156</v>
          </cell>
          <cell r="Y3">
            <v>14.642214007362208</v>
          </cell>
          <cell r="AB3">
            <v>500</v>
          </cell>
          <cell r="AD3">
            <v>278.90486797089716</v>
          </cell>
          <cell r="AE3">
            <v>250.66607435570785</v>
          </cell>
          <cell r="AF3">
            <v>268.86323048584046</v>
          </cell>
          <cell r="AG3">
            <v>262.77961922000031</v>
          </cell>
          <cell r="AH3">
            <v>253.92982883855714</v>
          </cell>
          <cell r="AI3">
            <v>296.0714317464886</v>
          </cell>
          <cell r="AJ3">
            <v>281.52320968955178</v>
          </cell>
          <cell r="AK3">
            <v>277.11579756283555</v>
          </cell>
          <cell r="AL3">
            <v>255.18662479102767</v>
          </cell>
        </row>
        <row r="4">
          <cell r="B4" t="str">
            <v>Yes</v>
          </cell>
          <cell r="C4" t="str">
            <v>No</v>
          </cell>
          <cell r="D4" t="str">
            <v>No</v>
          </cell>
          <cell r="E4" t="str">
            <v>Yes</v>
          </cell>
          <cell r="F4" t="str">
            <v>No</v>
          </cell>
          <cell r="G4" t="str">
            <v>No</v>
          </cell>
          <cell r="H4" t="str">
            <v>Yes</v>
          </cell>
          <cell r="I4" t="str">
            <v>No</v>
          </cell>
          <cell r="J4" t="str">
            <v>Yes</v>
          </cell>
          <cell r="K4" t="str">
            <v>Yes</v>
          </cell>
          <cell r="L4" t="str">
            <v>Yes</v>
          </cell>
          <cell r="O4">
            <v>10</v>
          </cell>
          <cell r="P4">
            <v>12.211815006025347</v>
          </cell>
          <cell r="R4">
            <v>10.494456782558215</v>
          </cell>
          <cell r="S4">
            <v>11.023936499909491</v>
          </cell>
          <cell r="T4">
            <v>11.920682112276866</v>
          </cell>
          <cell r="U4">
            <v>13.00720848214552</v>
          </cell>
          <cell r="V4">
            <v>12.841404219898074</v>
          </cell>
          <cell r="W4">
            <v>13.687722555926038</v>
          </cell>
          <cell r="X4">
            <v>14.539969891731253</v>
          </cell>
          <cell r="Y4">
            <v>13.880336316175832</v>
          </cell>
          <cell r="AB4">
            <v>500</v>
          </cell>
          <cell r="AC4">
            <v>277.24966071022448</v>
          </cell>
          <cell r="AE4">
            <v>255.30825915153579</v>
          </cell>
          <cell r="AF4">
            <v>285.24173211190447</v>
          </cell>
          <cell r="AG4">
            <v>258.88871794700151</v>
          </cell>
          <cell r="AH4">
            <v>288.12349627672791</v>
          </cell>
          <cell r="AI4">
            <v>291.76938057092377</v>
          </cell>
          <cell r="AJ4">
            <v>291.72645349122348</v>
          </cell>
          <cell r="AK4">
            <v>261.64279735794668</v>
          </cell>
          <cell r="AL4">
            <v>290.98930639184209</v>
          </cell>
        </row>
        <row r="5">
          <cell r="B5" t="str">
            <v>Yes</v>
          </cell>
          <cell r="C5" t="str">
            <v>Yes</v>
          </cell>
          <cell r="D5" t="str">
            <v>Yes</v>
          </cell>
          <cell r="E5" t="str">
            <v>No</v>
          </cell>
          <cell r="F5" t="str">
            <v>Yes</v>
          </cell>
          <cell r="G5" t="str">
            <v>No</v>
          </cell>
          <cell r="H5" t="str">
            <v>No</v>
          </cell>
          <cell r="I5" t="str">
            <v>Yes</v>
          </cell>
          <cell r="J5" t="str">
            <v>No</v>
          </cell>
          <cell r="K5" t="str">
            <v>No</v>
          </cell>
          <cell r="L5" t="str">
            <v>Yes</v>
          </cell>
          <cell r="O5">
            <v>10</v>
          </cell>
          <cell r="P5">
            <v>14.265504453699407</v>
          </cell>
          <cell r="Q5">
            <v>14.422402798953538</v>
          </cell>
          <cell r="S5">
            <v>12.883657033557547</v>
          </cell>
          <cell r="T5">
            <v>10.067799747235789</v>
          </cell>
          <cell r="U5">
            <v>11.896759378171932</v>
          </cell>
          <cell r="V5">
            <v>12.197080691077868</v>
          </cell>
          <cell r="W5">
            <v>12.732307988578201</v>
          </cell>
          <cell r="X5">
            <v>11.447441784828941</v>
          </cell>
          <cell r="Y5">
            <v>10.21399199240566</v>
          </cell>
          <cell r="AB5">
            <v>500</v>
          </cell>
          <cell r="AC5">
            <v>287.14656474345304</v>
          </cell>
          <cell r="AD5">
            <v>297.77620616439702</v>
          </cell>
          <cell r="AF5">
            <v>299.46743122004898</v>
          </cell>
          <cell r="AG5">
            <v>278.1153306300285</v>
          </cell>
          <cell r="AH5">
            <v>287.96123846294034</v>
          </cell>
          <cell r="AI5">
            <v>257.22811989648204</v>
          </cell>
          <cell r="AJ5">
            <v>276.11702722760134</v>
          </cell>
          <cell r="AK5">
            <v>283.86772610647824</v>
          </cell>
          <cell r="AL5">
            <v>286.97320041730359</v>
          </cell>
        </row>
        <row r="6">
          <cell r="B6" t="str">
            <v>Yes</v>
          </cell>
          <cell r="C6" t="str">
            <v>No</v>
          </cell>
          <cell r="D6" t="str">
            <v>No</v>
          </cell>
          <cell r="E6" t="str">
            <v>Yes</v>
          </cell>
          <cell r="F6" t="str">
            <v>No</v>
          </cell>
          <cell r="G6" t="str">
            <v>Yes</v>
          </cell>
          <cell r="H6" t="str">
            <v>Yes</v>
          </cell>
          <cell r="I6" t="str">
            <v>Yes</v>
          </cell>
          <cell r="J6" t="str">
            <v>No</v>
          </cell>
          <cell r="K6" t="str">
            <v>No</v>
          </cell>
          <cell r="L6" t="str">
            <v>Yes</v>
          </cell>
          <cell r="O6">
            <v>10</v>
          </cell>
          <cell r="P6">
            <v>10.414777163510362</v>
          </cell>
          <cell r="Q6">
            <v>14.259748279778551</v>
          </cell>
          <cell r="R6">
            <v>13.228876277632997</v>
          </cell>
          <cell r="T6">
            <v>12.485562467680545</v>
          </cell>
          <cell r="U6">
            <v>14.160009586460815</v>
          </cell>
          <cell r="V6">
            <v>14.920526691429991</v>
          </cell>
          <cell r="W6">
            <v>14.275245474778124</v>
          </cell>
          <cell r="X6">
            <v>10.207327194363044</v>
          </cell>
          <cell r="Y6">
            <v>14.029507387782457</v>
          </cell>
          <cell r="AB6">
            <v>500</v>
          </cell>
          <cell r="AC6">
            <v>290.29719038995722</v>
          </cell>
          <cell r="AD6">
            <v>250.91747324645527</v>
          </cell>
          <cell r="AE6">
            <v>271.03995928564484</v>
          </cell>
          <cell r="AG6">
            <v>277.86022750610272</v>
          </cell>
          <cell r="AH6">
            <v>278.26162719681338</v>
          </cell>
          <cell r="AI6">
            <v>276.0653458129546</v>
          </cell>
          <cell r="AJ6">
            <v>258.17219050195018</v>
          </cell>
          <cell r="AK6">
            <v>294.85934219947734</v>
          </cell>
          <cell r="AL6">
            <v>262.54654974814918</v>
          </cell>
        </row>
        <row r="7">
          <cell r="B7" t="str">
            <v>Yes</v>
          </cell>
          <cell r="C7" t="str">
            <v>Yes</v>
          </cell>
          <cell r="D7" t="str">
            <v>No</v>
          </cell>
          <cell r="E7" t="str">
            <v>No</v>
          </cell>
          <cell r="F7" t="str">
            <v>Yes</v>
          </cell>
          <cell r="G7" t="str">
            <v>No</v>
          </cell>
          <cell r="H7" t="str">
            <v>No</v>
          </cell>
          <cell r="I7" t="str">
            <v>Yes</v>
          </cell>
          <cell r="J7" t="str">
            <v>Yes</v>
          </cell>
          <cell r="K7" t="str">
            <v>Yes</v>
          </cell>
          <cell r="L7" t="str">
            <v>Yes</v>
          </cell>
          <cell r="O7">
            <v>10</v>
          </cell>
          <cell r="P7">
            <v>12.419942702212825</v>
          </cell>
          <cell r="Q7">
            <v>14.37490043765944</v>
          </cell>
          <cell r="R7">
            <v>13.603793589731492</v>
          </cell>
          <cell r="S7">
            <v>13.542365507710509</v>
          </cell>
          <cell r="U7">
            <v>13.005993607960038</v>
          </cell>
          <cell r="V7">
            <v>10.956129909674706</v>
          </cell>
          <cell r="W7">
            <v>12.178230975461787</v>
          </cell>
          <cell r="X7">
            <v>11.215377377077576</v>
          </cell>
          <cell r="Y7">
            <v>14.882145988287039</v>
          </cell>
          <cell r="AB7">
            <v>500</v>
          </cell>
          <cell r="AC7">
            <v>292.21874408057982</v>
          </cell>
          <cell r="AD7">
            <v>292.52839088308957</v>
          </cell>
          <cell r="AE7">
            <v>277.67314079571327</v>
          </cell>
          <cell r="AF7">
            <v>252.2563955020297</v>
          </cell>
          <cell r="AH7">
            <v>271.83036387097337</v>
          </cell>
          <cell r="AI7">
            <v>254.03054815601675</v>
          </cell>
          <cell r="AJ7">
            <v>282.64752635363317</v>
          </cell>
          <cell r="AK7">
            <v>264.37419330471243</v>
          </cell>
          <cell r="AL7">
            <v>261.97630814627695</v>
          </cell>
        </row>
        <row r="8">
          <cell r="B8" t="str">
            <v>Yes</v>
          </cell>
          <cell r="C8" t="str">
            <v>Yes</v>
          </cell>
          <cell r="D8" t="str">
            <v>Yes</v>
          </cell>
          <cell r="E8" t="str">
            <v>No</v>
          </cell>
          <cell r="F8" t="str">
            <v>Yes</v>
          </cell>
          <cell r="G8" t="str">
            <v>No</v>
          </cell>
          <cell r="H8" t="str">
            <v>No</v>
          </cell>
          <cell r="I8" t="str">
            <v>No</v>
          </cell>
          <cell r="J8" t="str">
            <v>Yes</v>
          </cell>
          <cell r="K8" t="str">
            <v>Yes</v>
          </cell>
          <cell r="L8" t="str">
            <v>Yes</v>
          </cell>
          <cell r="O8">
            <v>10</v>
          </cell>
          <cell r="P8">
            <v>12.645458192181444</v>
          </cell>
          <cell r="Q8">
            <v>10.322429698238016</v>
          </cell>
          <cell r="R8">
            <v>10.879058659264398</v>
          </cell>
          <cell r="S8">
            <v>11.069941815276762</v>
          </cell>
          <cell r="T8">
            <v>13.773421926580916</v>
          </cell>
          <cell r="V8">
            <v>10.245199149801534</v>
          </cell>
          <cell r="W8">
            <v>13.113174418537358</v>
          </cell>
          <cell r="X8">
            <v>11.008658846922621</v>
          </cell>
          <cell r="Y8">
            <v>14.912778638616206</v>
          </cell>
          <cell r="AB8">
            <v>500</v>
          </cell>
          <cell r="AC8">
            <v>299.46672535177106</v>
          </cell>
          <cell r="AD8">
            <v>257.32211102362157</v>
          </cell>
          <cell r="AE8">
            <v>290.72123946664578</v>
          </cell>
          <cell r="AF8">
            <v>264.59510668862919</v>
          </cell>
          <cell r="AG8">
            <v>291.06853609998547</v>
          </cell>
          <cell r="AI8">
            <v>294.21674785246756</v>
          </cell>
          <cell r="AJ8">
            <v>298.38844511476367</v>
          </cell>
          <cell r="AK8">
            <v>288.91702545686007</v>
          </cell>
          <cell r="AL8">
            <v>287.23816263996383</v>
          </cell>
        </row>
        <row r="9">
          <cell r="B9" t="str">
            <v>Yes</v>
          </cell>
          <cell r="C9" t="str">
            <v>Yes</v>
          </cell>
          <cell r="D9" t="str">
            <v>No</v>
          </cell>
          <cell r="E9" t="str">
            <v>Yes</v>
          </cell>
          <cell r="F9" t="str">
            <v>Yes</v>
          </cell>
          <cell r="G9" t="str">
            <v>Yes</v>
          </cell>
          <cell r="H9" t="str">
            <v>No</v>
          </cell>
          <cell r="I9" t="str">
            <v>No</v>
          </cell>
          <cell r="J9" t="str">
            <v>Yes</v>
          </cell>
          <cell r="K9" t="str">
            <v>No</v>
          </cell>
          <cell r="L9" t="str">
            <v>No</v>
          </cell>
          <cell r="O9">
            <v>10</v>
          </cell>
          <cell r="P9">
            <v>11.098733751552174</v>
          </cell>
          <cell r="Q9">
            <v>12.057219829426886</v>
          </cell>
          <cell r="R9">
            <v>14.171047650395501</v>
          </cell>
          <cell r="S9">
            <v>14.397953634812033</v>
          </cell>
          <cell r="T9">
            <v>11.828413982072343</v>
          </cell>
          <cell r="U9">
            <v>12.857153908264209</v>
          </cell>
          <cell r="W9">
            <v>10.514584021844087</v>
          </cell>
          <cell r="X9">
            <v>12.080649265229596</v>
          </cell>
          <cell r="Y9">
            <v>10.59099632843729</v>
          </cell>
          <cell r="AB9">
            <v>500</v>
          </cell>
          <cell r="AC9">
            <v>283.46931484364279</v>
          </cell>
          <cell r="AD9">
            <v>271.40610585829614</v>
          </cell>
          <cell r="AE9">
            <v>281.55662953894262</v>
          </cell>
          <cell r="AF9">
            <v>270.09759883454461</v>
          </cell>
          <cell r="AG9">
            <v>256.4017951271515</v>
          </cell>
          <cell r="AH9">
            <v>254.96503082245411</v>
          </cell>
          <cell r="AJ9">
            <v>292.26386096779743</v>
          </cell>
          <cell r="AK9">
            <v>280.9407850375805</v>
          </cell>
          <cell r="AL9">
            <v>282.94316738131823</v>
          </cell>
        </row>
        <row r="10">
          <cell r="B10" t="str">
            <v>Yes</v>
          </cell>
          <cell r="C10" t="str">
            <v>No</v>
          </cell>
          <cell r="D10" t="str">
            <v>Yes</v>
          </cell>
          <cell r="E10" t="str">
            <v>No</v>
          </cell>
          <cell r="F10" t="str">
            <v>No</v>
          </cell>
          <cell r="G10" t="str">
            <v>Yes</v>
          </cell>
          <cell r="H10" t="str">
            <v>Yes</v>
          </cell>
          <cell r="I10" t="str">
            <v>Yes</v>
          </cell>
          <cell r="J10" t="str">
            <v>No</v>
          </cell>
          <cell r="K10" t="str">
            <v>Yes</v>
          </cell>
          <cell r="L10" t="str">
            <v>No</v>
          </cell>
          <cell r="O10">
            <v>10</v>
          </cell>
          <cell r="P10">
            <v>10.220297317422741</v>
          </cell>
          <cell r="Q10">
            <v>12.771216421356915</v>
          </cell>
          <cell r="R10">
            <v>12.717575546043083</v>
          </cell>
          <cell r="S10">
            <v>10.445902745666091</v>
          </cell>
          <cell r="T10">
            <v>11.443601295640253</v>
          </cell>
          <cell r="U10">
            <v>11.720980834362173</v>
          </cell>
          <cell r="V10">
            <v>13.013105156820451</v>
          </cell>
          <cell r="X10">
            <v>14.340039108422044</v>
          </cell>
          <cell r="Y10">
            <v>14.107218799184846</v>
          </cell>
          <cell r="AB10">
            <v>500</v>
          </cell>
          <cell r="AC10">
            <v>259.12439290040749</v>
          </cell>
          <cell r="AD10">
            <v>279.70792875245201</v>
          </cell>
          <cell r="AE10">
            <v>283.8870671311239</v>
          </cell>
          <cell r="AF10">
            <v>250.62596411163133</v>
          </cell>
          <cell r="AG10">
            <v>258.9195087867389</v>
          </cell>
          <cell r="AH10">
            <v>296.58607533011212</v>
          </cell>
          <cell r="AI10">
            <v>259.26506828341951</v>
          </cell>
          <cell r="AK10">
            <v>275.96322759583711</v>
          </cell>
          <cell r="AL10">
            <v>278.00676993468375</v>
          </cell>
        </row>
        <row r="11">
          <cell r="B11" t="str">
            <v>Yes</v>
          </cell>
          <cell r="C11" t="str">
            <v>Yes</v>
          </cell>
          <cell r="D11" t="str">
            <v>Yes</v>
          </cell>
          <cell r="E11" t="str">
            <v>No</v>
          </cell>
          <cell r="F11" t="str">
            <v>No</v>
          </cell>
          <cell r="G11" t="str">
            <v>Yes</v>
          </cell>
          <cell r="H11" t="str">
            <v>Yes</v>
          </cell>
          <cell r="I11" t="str">
            <v>No</v>
          </cell>
          <cell r="J11" t="str">
            <v>Yes</v>
          </cell>
          <cell r="K11" t="str">
            <v>No</v>
          </cell>
          <cell r="L11" t="str">
            <v>Yes</v>
          </cell>
          <cell r="O11">
            <v>10</v>
          </cell>
          <cell r="P11">
            <v>12.136583499824484</v>
          </cell>
          <cell r="Q11">
            <v>10.308410589680484</v>
          </cell>
          <cell r="R11">
            <v>13.625638416241289</v>
          </cell>
          <cell r="S11">
            <v>14.0094721830156</v>
          </cell>
          <cell r="T11">
            <v>11.620521081158518</v>
          </cell>
          <cell r="U11">
            <v>13.563073250978146</v>
          </cell>
          <cell r="V11">
            <v>14.193112257153633</v>
          </cell>
          <cell r="W11">
            <v>10.57003733053976</v>
          </cell>
          <cell r="Y11">
            <v>10.543497391317675</v>
          </cell>
          <cell r="AB11">
            <v>500</v>
          </cell>
          <cell r="AC11">
            <v>296.22294857867922</v>
          </cell>
          <cell r="AD11">
            <v>278.88015176782318</v>
          </cell>
          <cell r="AE11">
            <v>264.60697722521479</v>
          </cell>
          <cell r="AF11">
            <v>266.00955943938118</v>
          </cell>
          <cell r="AG11">
            <v>257.20110363685393</v>
          </cell>
          <cell r="AH11">
            <v>250.62301991384663</v>
          </cell>
          <cell r="AI11">
            <v>252.88526760027639</v>
          </cell>
          <cell r="AJ11">
            <v>252.39579736144213</v>
          </cell>
          <cell r="AL11">
            <v>257.68490962825496</v>
          </cell>
        </row>
        <row r="12">
          <cell r="B12" t="str">
            <v>Yes</v>
          </cell>
          <cell r="C12" t="str">
            <v>No</v>
          </cell>
          <cell r="D12" t="str">
            <v>Yes</v>
          </cell>
          <cell r="E12" t="str">
            <v>Yes</v>
          </cell>
          <cell r="F12" t="str">
            <v>Yes</v>
          </cell>
          <cell r="G12" t="str">
            <v>Yes</v>
          </cell>
          <cell r="H12" t="str">
            <v>No</v>
          </cell>
          <cell r="I12" t="str">
            <v>No</v>
          </cell>
          <cell r="J12" t="str">
            <v>No</v>
          </cell>
          <cell r="K12" t="str">
            <v>Yes</v>
          </cell>
          <cell r="L12" t="str">
            <v>No</v>
          </cell>
          <cell r="O12">
            <v>10</v>
          </cell>
          <cell r="P12">
            <v>10.475859907752234</v>
          </cell>
          <cell r="Q12">
            <v>13.73191236793981</v>
          </cell>
          <cell r="R12">
            <v>12.011643832633567</v>
          </cell>
          <cell r="S12">
            <v>12.254748648420421</v>
          </cell>
          <cell r="T12">
            <v>13.71169250569443</v>
          </cell>
          <cell r="U12">
            <v>10.824761550519735</v>
          </cell>
          <cell r="V12">
            <v>10.997534793716856</v>
          </cell>
          <cell r="W12">
            <v>13.602951624782921</v>
          </cell>
          <cell r="X12">
            <v>12.908966551315503</v>
          </cell>
          <cell r="AB12">
            <v>500</v>
          </cell>
          <cell r="AC12">
            <v>251.67989711900771</v>
          </cell>
          <cell r="AD12">
            <v>250.71611579300946</v>
          </cell>
          <cell r="AE12">
            <v>291.69151893903876</v>
          </cell>
          <cell r="AF12">
            <v>271.9681040227868</v>
          </cell>
          <cell r="AG12">
            <v>292.05096578741791</v>
          </cell>
          <cell r="AH12">
            <v>258.52473939202957</v>
          </cell>
          <cell r="AI12">
            <v>293.25490761981132</v>
          </cell>
          <cell r="AJ12">
            <v>292.96630846863064</v>
          </cell>
          <cell r="AK12">
            <v>275.9943700631556</v>
          </cell>
        </row>
      </sheetData>
      <sheetData sheetId="4">
        <row r="2">
          <cell r="B2" t="str">
            <v>No</v>
          </cell>
          <cell r="C2" t="str">
            <v>Yes</v>
          </cell>
          <cell r="D2" t="str">
            <v>Yes</v>
          </cell>
          <cell r="E2" t="str">
            <v>Yes</v>
          </cell>
          <cell r="F2" t="str">
            <v>Yes</v>
          </cell>
          <cell r="G2" t="str">
            <v>Yes</v>
          </cell>
          <cell r="H2" t="str">
            <v>Yes</v>
          </cell>
          <cell r="I2" t="str">
            <v>Yes</v>
          </cell>
          <cell r="J2" t="str">
            <v>Yes</v>
          </cell>
          <cell r="K2" t="str">
            <v>Yes</v>
          </cell>
          <cell r="L2" t="str">
            <v>Yes</v>
          </cell>
        </row>
        <row r="3">
          <cell r="B3" t="str">
            <v>Yes</v>
          </cell>
          <cell r="C3" t="str">
            <v>No</v>
          </cell>
          <cell r="D3" t="str">
            <v>No</v>
          </cell>
          <cell r="E3" t="str">
            <v>Yes</v>
          </cell>
          <cell r="F3" t="str">
            <v>No</v>
          </cell>
          <cell r="G3" t="str">
            <v>Yes</v>
          </cell>
          <cell r="H3" t="str">
            <v>Yes</v>
          </cell>
          <cell r="I3" t="str">
            <v>Yes</v>
          </cell>
          <cell r="J3" t="str">
            <v>No</v>
          </cell>
          <cell r="K3" t="str">
            <v>Yes</v>
          </cell>
          <cell r="L3" t="str">
            <v>No</v>
          </cell>
        </row>
        <row r="4">
          <cell r="B4" t="str">
            <v>Yes</v>
          </cell>
          <cell r="C4" t="str">
            <v>No</v>
          </cell>
          <cell r="D4" t="str">
            <v>No</v>
          </cell>
          <cell r="E4" t="str">
            <v>Yes</v>
          </cell>
          <cell r="F4" t="str">
            <v>No</v>
          </cell>
          <cell r="G4" t="str">
            <v>No</v>
          </cell>
          <cell r="H4" t="str">
            <v>Yes</v>
          </cell>
          <cell r="I4" t="str">
            <v>No</v>
          </cell>
          <cell r="J4" t="str">
            <v>Yes</v>
          </cell>
          <cell r="K4" t="str">
            <v>Yes</v>
          </cell>
          <cell r="L4" t="str">
            <v>No</v>
          </cell>
        </row>
        <row r="5">
          <cell r="B5" t="str">
            <v>Yes</v>
          </cell>
          <cell r="C5" t="str">
            <v>Yes</v>
          </cell>
          <cell r="D5" t="str">
            <v>No</v>
          </cell>
          <cell r="E5" t="str">
            <v>No</v>
          </cell>
          <cell r="F5" t="str">
            <v>Yes</v>
          </cell>
          <cell r="G5" t="str">
            <v>No</v>
          </cell>
          <cell r="H5" t="str">
            <v>No</v>
          </cell>
          <cell r="I5" t="str">
            <v>Yes</v>
          </cell>
          <cell r="J5" t="str">
            <v>No</v>
          </cell>
          <cell r="K5" t="str">
            <v>No</v>
          </cell>
          <cell r="L5" t="str">
            <v>Yes</v>
          </cell>
        </row>
        <row r="6">
          <cell r="B6" t="str">
            <v>Yes</v>
          </cell>
          <cell r="C6" t="str">
            <v>No</v>
          </cell>
          <cell r="D6" t="str">
            <v>No</v>
          </cell>
          <cell r="E6" t="str">
            <v>Yes</v>
          </cell>
          <cell r="F6" t="str">
            <v>No</v>
          </cell>
          <cell r="G6" t="str">
            <v>Yes</v>
          </cell>
          <cell r="H6" t="str">
            <v>Yes</v>
          </cell>
          <cell r="I6" t="str">
            <v>Yes</v>
          </cell>
          <cell r="J6" t="str">
            <v>No</v>
          </cell>
          <cell r="K6" t="str">
            <v>No</v>
          </cell>
          <cell r="L6" t="str">
            <v>Yes</v>
          </cell>
        </row>
        <row r="7">
          <cell r="B7" t="str">
            <v>Yes</v>
          </cell>
          <cell r="C7" t="str">
            <v>No</v>
          </cell>
          <cell r="D7" t="str">
            <v>No</v>
          </cell>
          <cell r="E7" t="str">
            <v>No</v>
          </cell>
          <cell r="F7" t="str">
            <v>Yes</v>
          </cell>
          <cell r="G7" t="str">
            <v>No</v>
          </cell>
          <cell r="H7" t="str">
            <v>No</v>
          </cell>
          <cell r="I7" t="str">
            <v>Yes</v>
          </cell>
          <cell r="J7" t="str">
            <v>Yes</v>
          </cell>
          <cell r="K7" t="str">
            <v>Yes</v>
          </cell>
          <cell r="L7" t="str">
            <v>Yes</v>
          </cell>
        </row>
        <row r="8">
          <cell r="B8" t="str">
            <v>Yes</v>
          </cell>
          <cell r="C8" t="str">
            <v>Yes</v>
          </cell>
          <cell r="D8" t="str">
            <v>Yes</v>
          </cell>
          <cell r="E8" t="str">
            <v>No</v>
          </cell>
          <cell r="F8" t="str">
            <v>No</v>
          </cell>
          <cell r="G8" t="str">
            <v>No</v>
          </cell>
          <cell r="H8" t="str">
            <v>No</v>
          </cell>
          <cell r="I8" t="str">
            <v>No</v>
          </cell>
          <cell r="J8" t="str">
            <v>Yes</v>
          </cell>
          <cell r="K8" t="str">
            <v>Yes</v>
          </cell>
          <cell r="L8" t="str">
            <v>Yes</v>
          </cell>
        </row>
        <row r="9">
          <cell r="B9" t="str">
            <v>Yes</v>
          </cell>
          <cell r="C9" t="str">
            <v>Yes</v>
          </cell>
          <cell r="D9" t="str">
            <v>No</v>
          </cell>
          <cell r="E9" t="str">
            <v>Yes</v>
          </cell>
          <cell r="F9" t="str">
            <v>Yes</v>
          </cell>
          <cell r="G9" t="str">
            <v>No</v>
          </cell>
          <cell r="H9" t="str">
            <v>No</v>
          </cell>
          <cell r="I9" t="str">
            <v>No</v>
          </cell>
          <cell r="J9" t="str">
            <v>Yes</v>
          </cell>
          <cell r="K9" t="str">
            <v>No</v>
          </cell>
          <cell r="L9" t="str">
            <v>No</v>
          </cell>
        </row>
        <row r="10">
          <cell r="B10" t="str">
            <v>Yes</v>
          </cell>
          <cell r="C10" t="str">
            <v>No</v>
          </cell>
          <cell r="D10" t="str">
            <v>Yes</v>
          </cell>
          <cell r="E10" t="str">
            <v>No</v>
          </cell>
          <cell r="F10" t="str">
            <v>No</v>
          </cell>
          <cell r="G10" t="str">
            <v>Yes</v>
          </cell>
          <cell r="H10" t="str">
            <v>Yes</v>
          </cell>
          <cell r="I10" t="str">
            <v>Yes</v>
          </cell>
          <cell r="J10" t="str">
            <v>No</v>
          </cell>
          <cell r="K10" t="str">
            <v>No</v>
          </cell>
          <cell r="L10" t="str">
            <v>No</v>
          </cell>
        </row>
        <row r="11">
          <cell r="B11" t="str">
            <v>Yes</v>
          </cell>
          <cell r="C11" t="str">
            <v>Yes</v>
          </cell>
          <cell r="D11" t="str">
            <v>Yes</v>
          </cell>
          <cell r="E11" t="str">
            <v>No</v>
          </cell>
          <cell r="F11" t="str">
            <v>No</v>
          </cell>
          <cell r="G11" t="str">
            <v>Yes</v>
          </cell>
          <cell r="H11" t="str">
            <v>No</v>
          </cell>
          <cell r="I11" t="str">
            <v>No</v>
          </cell>
          <cell r="J11" t="str">
            <v>Yes</v>
          </cell>
          <cell r="K11" t="str">
            <v>No</v>
          </cell>
          <cell r="L11" t="str">
            <v>Yes</v>
          </cell>
        </row>
        <row r="12">
          <cell r="B12" t="str">
            <v>Yes</v>
          </cell>
          <cell r="C12" t="str">
            <v>No</v>
          </cell>
          <cell r="D12" t="str">
            <v>Yes</v>
          </cell>
          <cell r="E12" t="str">
            <v>No</v>
          </cell>
          <cell r="F12" t="str">
            <v>Yes</v>
          </cell>
          <cell r="G12" t="str">
            <v>Yes</v>
          </cell>
          <cell r="H12" t="str">
            <v>No</v>
          </cell>
          <cell r="I12" t="str">
            <v>No</v>
          </cell>
          <cell r="J12" t="str">
            <v>No</v>
          </cell>
          <cell r="K12" t="str">
            <v>Yes</v>
          </cell>
          <cell r="L12" t="str">
            <v>No</v>
          </cell>
        </row>
      </sheetData>
      <sheetData sheetId="5">
        <row r="1">
          <cell r="B1">
            <v>1</v>
          </cell>
        </row>
      </sheetData>
      <sheetData sheetId="6">
        <row r="1">
          <cell r="C1" t="str">
            <v>Belg</v>
          </cell>
          <cell r="D1" t="str">
            <v>Kremt</v>
          </cell>
        </row>
        <row r="2">
          <cell r="C2">
            <v>2015</v>
          </cell>
          <cell r="D2">
            <v>2015</v>
          </cell>
        </row>
        <row r="3">
          <cell r="A3" t="str">
            <v>Teff</v>
          </cell>
          <cell r="B3" t="str">
            <v>AddisAbaba</v>
          </cell>
          <cell r="C3">
            <v>12.458487145059665</v>
          </cell>
          <cell r="D3">
            <v>17.400408949789437</v>
          </cell>
        </row>
        <row r="4">
          <cell r="A4" t="str">
            <v>Teff</v>
          </cell>
          <cell r="B4" t="str">
            <v>Afar</v>
          </cell>
          <cell r="C4">
            <v>11.455438689058436</v>
          </cell>
          <cell r="D4">
            <v>16.905529394899904</v>
          </cell>
        </row>
        <row r="5">
          <cell r="A5" t="str">
            <v>Teff</v>
          </cell>
          <cell r="B5" t="str">
            <v>Amhara</v>
          </cell>
          <cell r="C5">
            <v>14.619381674918465</v>
          </cell>
          <cell r="D5">
            <v>17.005856432635515</v>
          </cell>
        </row>
        <row r="6">
          <cell r="A6" t="str">
            <v>Teff</v>
          </cell>
          <cell r="B6" t="str">
            <v>Gumuz</v>
          </cell>
          <cell r="C6">
            <v>14.233221222021239</v>
          </cell>
          <cell r="D6">
            <v>16.820094497147775</v>
          </cell>
        </row>
        <row r="7">
          <cell r="A7" t="str">
            <v>Teff</v>
          </cell>
          <cell r="B7" t="str">
            <v>DireDawa</v>
          </cell>
          <cell r="C7">
            <v>13.59527026648172</v>
          </cell>
          <cell r="D7">
            <v>16.265304238984367</v>
          </cell>
        </row>
        <row r="8">
          <cell r="A8" t="str">
            <v>Teff</v>
          </cell>
          <cell r="B8" t="str">
            <v>Gambela</v>
          </cell>
          <cell r="C8">
            <v>11.679882184786269</v>
          </cell>
          <cell r="D8">
            <v>15.324832906104355</v>
          </cell>
        </row>
        <row r="9">
          <cell r="A9" t="str">
            <v>Teff</v>
          </cell>
          <cell r="B9" t="str">
            <v>Harari</v>
          </cell>
          <cell r="C9">
            <v>13.98495342604679</v>
          </cell>
          <cell r="D9">
            <v>17.55117735948544</v>
          </cell>
        </row>
        <row r="10">
          <cell r="A10" t="str">
            <v>Teff</v>
          </cell>
          <cell r="B10" t="str">
            <v>Oromia</v>
          </cell>
          <cell r="C10">
            <v>12.102248469211927</v>
          </cell>
          <cell r="D10">
            <v>16.955614918561377</v>
          </cell>
        </row>
        <row r="11">
          <cell r="A11" t="str">
            <v>Teff</v>
          </cell>
          <cell r="B11" t="str">
            <v>Somali</v>
          </cell>
          <cell r="C11">
            <v>13.369163434291991</v>
          </cell>
          <cell r="D11">
            <v>17.961023671478642</v>
          </cell>
        </row>
        <row r="12">
          <cell r="A12" t="str">
            <v>Teff</v>
          </cell>
          <cell r="B12" t="str">
            <v>SNNPR</v>
          </cell>
          <cell r="C12">
            <v>13.06930753096867</v>
          </cell>
          <cell r="D12">
            <v>15.269730676846802</v>
          </cell>
        </row>
        <row r="13">
          <cell r="A13" t="str">
            <v>Teff</v>
          </cell>
          <cell r="B13" t="str">
            <v>Tigray</v>
          </cell>
          <cell r="C13">
            <v>11.554223963514191</v>
          </cell>
          <cell r="D13">
            <v>15.66314227708088</v>
          </cell>
        </row>
        <row r="14">
          <cell r="A14" t="str">
            <v>Sorghum</v>
          </cell>
          <cell r="B14" t="str">
            <v>AddisAbaba</v>
          </cell>
          <cell r="C14">
            <v>18.024984607334741</v>
          </cell>
          <cell r="D14">
            <v>23.416356264473158</v>
          </cell>
        </row>
        <row r="15">
          <cell r="A15" t="str">
            <v>Sorghum</v>
          </cell>
          <cell r="B15" t="str">
            <v>Afar</v>
          </cell>
          <cell r="C15">
            <v>20.454636973068975</v>
          </cell>
          <cell r="D15">
            <v>22.676412663444403</v>
          </cell>
        </row>
        <row r="16">
          <cell r="A16" t="str">
            <v>Sorghum</v>
          </cell>
          <cell r="B16" t="str">
            <v>Amhara</v>
          </cell>
          <cell r="C16">
            <v>19.325869692359781</v>
          </cell>
          <cell r="D16">
            <v>24.294950973139287</v>
          </cell>
        </row>
        <row r="17">
          <cell r="A17" t="str">
            <v>Sorghum</v>
          </cell>
          <cell r="B17" t="str">
            <v>Gumuz</v>
          </cell>
          <cell r="C17">
            <v>20.52859185275851</v>
          </cell>
          <cell r="D17">
            <v>23.696628122507079</v>
          </cell>
        </row>
        <row r="18">
          <cell r="A18" t="str">
            <v>Sorghum</v>
          </cell>
          <cell r="B18" t="str">
            <v>DireDawa</v>
          </cell>
          <cell r="C18">
            <v>21.12478462455028</v>
          </cell>
          <cell r="D18">
            <v>23.543465199128658</v>
          </cell>
        </row>
        <row r="19">
          <cell r="A19" t="str">
            <v>Sorghum</v>
          </cell>
          <cell r="B19" t="str">
            <v>Gambela</v>
          </cell>
          <cell r="C19">
            <v>22.73987802986062</v>
          </cell>
          <cell r="D19">
            <v>22.101564655673876</v>
          </cell>
        </row>
        <row r="20">
          <cell r="A20" t="str">
            <v>Sorghum</v>
          </cell>
          <cell r="B20" t="str">
            <v>Harari</v>
          </cell>
          <cell r="C20">
            <v>20.495727694964835</v>
          </cell>
          <cell r="D20">
            <v>22.919197444636779</v>
          </cell>
        </row>
        <row r="21">
          <cell r="A21" t="str">
            <v>Sorghum</v>
          </cell>
          <cell r="B21" t="str">
            <v>Oromia</v>
          </cell>
          <cell r="C21">
            <v>20.141293313284827</v>
          </cell>
          <cell r="D21">
            <v>22.099781838541574</v>
          </cell>
        </row>
        <row r="22">
          <cell r="A22" t="str">
            <v>Sorghum</v>
          </cell>
          <cell r="B22" t="str">
            <v>Somali</v>
          </cell>
          <cell r="C22">
            <v>19.236429978801734</v>
          </cell>
          <cell r="D22">
            <v>23.491340276220708</v>
          </cell>
        </row>
        <row r="23">
          <cell r="A23" t="str">
            <v>Sorghum</v>
          </cell>
          <cell r="B23" t="str">
            <v>SNNPR</v>
          </cell>
          <cell r="C23">
            <v>19.552957024920218</v>
          </cell>
          <cell r="D23">
            <v>23.322675365043104</v>
          </cell>
        </row>
        <row r="24">
          <cell r="A24" t="str">
            <v>Sorghum</v>
          </cell>
          <cell r="B24" t="str">
            <v>Tigray</v>
          </cell>
          <cell r="C24">
            <v>20.695269218575266</v>
          </cell>
          <cell r="D24">
            <v>24.277874914917341</v>
          </cell>
        </row>
        <row r="25">
          <cell r="A25" t="str">
            <v>Maize</v>
          </cell>
          <cell r="B25" t="str">
            <v>AddisAbaba</v>
          </cell>
          <cell r="C25">
            <v>20.018063228088486</v>
          </cell>
          <cell r="D25">
            <v>22.048463170322155</v>
          </cell>
        </row>
        <row r="26">
          <cell r="A26" t="str">
            <v>Maize</v>
          </cell>
          <cell r="B26" t="str">
            <v>Afar</v>
          </cell>
          <cell r="C26">
            <v>20.342612689131251</v>
          </cell>
          <cell r="D26">
            <v>23.098854465730721</v>
          </cell>
        </row>
        <row r="27">
          <cell r="A27" t="str">
            <v>Maize</v>
          </cell>
          <cell r="B27" t="str">
            <v>Amhara</v>
          </cell>
          <cell r="C27">
            <v>19.752239478053948</v>
          </cell>
          <cell r="D27">
            <v>23.134755723837397</v>
          </cell>
        </row>
        <row r="28">
          <cell r="A28" t="str">
            <v>Maize</v>
          </cell>
          <cell r="B28" t="str">
            <v>Gumuz</v>
          </cell>
          <cell r="C28">
            <v>20.992594391266589</v>
          </cell>
          <cell r="D28">
            <v>22.671578778800264</v>
          </cell>
        </row>
        <row r="29">
          <cell r="A29" t="str">
            <v>Maize</v>
          </cell>
          <cell r="B29" t="str">
            <v>DireDawa</v>
          </cell>
          <cell r="C29">
            <v>21.928291307813527</v>
          </cell>
          <cell r="D29">
            <v>23.623270967036497</v>
          </cell>
        </row>
        <row r="30">
          <cell r="A30" t="str">
            <v>Maize</v>
          </cell>
          <cell r="B30" t="str">
            <v>Gambela</v>
          </cell>
          <cell r="C30">
            <v>22.983755675228075</v>
          </cell>
          <cell r="D30">
            <v>23.393813010578938</v>
          </cell>
        </row>
        <row r="31">
          <cell r="A31" t="str">
            <v>Maize</v>
          </cell>
          <cell r="B31" t="str">
            <v>Harari</v>
          </cell>
          <cell r="C31">
            <v>19.016983983252914</v>
          </cell>
          <cell r="D31">
            <v>22.422665656735933</v>
          </cell>
        </row>
        <row r="32">
          <cell r="A32" t="str">
            <v>Maize</v>
          </cell>
          <cell r="B32" t="str">
            <v>Oromia</v>
          </cell>
          <cell r="C32">
            <v>19.129842402575321</v>
          </cell>
          <cell r="D32">
            <v>23.367872634419889</v>
          </cell>
        </row>
        <row r="33">
          <cell r="A33" t="str">
            <v>Maize</v>
          </cell>
          <cell r="B33" t="str">
            <v>Somali</v>
          </cell>
          <cell r="C33">
            <v>22.36953279420068</v>
          </cell>
          <cell r="D33">
            <v>24.715248397333511</v>
          </cell>
        </row>
        <row r="34">
          <cell r="A34" t="str">
            <v>Maize</v>
          </cell>
          <cell r="B34" t="str">
            <v>SNNPR</v>
          </cell>
          <cell r="C34">
            <v>22.264301864776499</v>
          </cell>
          <cell r="D34">
            <v>23.669898976498679</v>
          </cell>
        </row>
        <row r="35">
          <cell r="A35" t="str">
            <v>Maize</v>
          </cell>
          <cell r="B35" t="str">
            <v>Tigray</v>
          </cell>
          <cell r="C35">
            <v>22.863887269017287</v>
          </cell>
          <cell r="D35">
            <v>22.215436998068238</v>
          </cell>
        </row>
        <row r="36">
          <cell r="A36" t="str">
            <v>Lentils</v>
          </cell>
          <cell r="B36" t="str">
            <v>AddisAbaba</v>
          </cell>
          <cell r="C36">
            <v>22.203011258141203</v>
          </cell>
          <cell r="D36">
            <v>22.389164955787447</v>
          </cell>
        </row>
        <row r="37">
          <cell r="A37" t="str">
            <v>Lentils</v>
          </cell>
          <cell r="B37" t="str">
            <v>Afar</v>
          </cell>
          <cell r="C37">
            <v>22.745689641493165</v>
          </cell>
          <cell r="D37">
            <v>24.127901858951518</v>
          </cell>
        </row>
        <row r="38">
          <cell r="A38" t="str">
            <v>Lentils</v>
          </cell>
          <cell r="B38" t="str">
            <v>Amhara</v>
          </cell>
          <cell r="C38">
            <v>19.724875303223651</v>
          </cell>
          <cell r="D38">
            <v>22.311985338049915</v>
          </cell>
        </row>
        <row r="39">
          <cell r="A39" t="str">
            <v>Lentils</v>
          </cell>
          <cell r="B39" t="str">
            <v>Gumuz</v>
          </cell>
          <cell r="C39">
            <v>19.56451854141476</v>
          </cell>
          <cell r="D39">
            <v>22.638617928179393</v>
          </cell>
        </row>
        <row r="40">
          <cell r="A40" t="str">
            <v>Lentils</v>
          </cell>
          <cell r="B40" t="str">
            <v>DireDawa</v>
          </cell>
          <cell r="C40">
            <v>18.846874622996051</v>
          </cell>
          <cell r="D40">
            <v>22.84976271652144</v>
          </cell>
        </row>
        <row r="41">
          <cell r="A41" t="str">
            <v>Lentils</v>
          </cell>
          <cell r="B41" t="str">
            <v>Gambela</v>
          </cell>
          <cell r="C41">
            <v>18.058169508735563</v>
          </cell>
          <cell r="D41">
            <v>23.746638775373469</v>
          </cell>
        </row>
        <row r="42">
          <cell r="A42" t="str">
            <v>Lentils</v>
          </cell>
          <cell r="B42" t="str">
            <v>Harari</v>
          </cell>
          <cell r="C42">
            <v>22.474927193235509</v>
          </cell>
          <cell r="D42">
            <v>24.551846592135455</v>
          </cell>
        </row>
        <row r="43">
          <cell r="A43" t="str">
            <v>Lentils</v>
          </cell>
          <cell r="B43" t="str">
            <v>Oromia</v>
          </cell>
          <cell r="C43">
            <v>21.923000418545865</v>
          </cell>
          <cell r="D43">
            <v>24.582740501491717</v>
          </cell>
        </row>
        <row r="44">
          <cell r="A44" t="str">
            <v>Lentils</v>
          </cell>
          <cell r="B44" t="str">
            <v>Somali</v>
          </cell>
          <cell r="C44">
            <v>22.439065906469935</v>
          </cell>
          <cell r="D44">
            <v>24.336427535404297</v>
          </cell>
        </row>
        <row r="45">
          <cell r="A45" t="str">
            <v>Lentils</v>
          </cell>
          <cell r="B45" t="str">
            <v>SNNPR</v>
          </cell>
          <cell r="C45">
            <v>22.534838709803843</v>
          </cell>
          <cell r="D45">
            <v>22.5157596876026</v>
          </cell>
        </row>
        <row r="46">
          <cell r="A46" t="str">
            <v>Lentils</v>
          </cell>
          <cell r="B46" t="str">
            <v>Tigray</v>
          </cell>
          <cell r="C46">
            <v>21.341058148659169</v>
          </cell>
          <cell r="D46">
            <v>23.452214115176627</v>
          </cell>
        </row>
        <row r="47">
          <cell r="A47" t="str">
            <v>Vegetables</v>
          </cell>
          <cell r="B47" t="str">
            <v>AddisAbaba</v>
          </cell>
          <cell r="C47">
            <v>18.908012784571039</v>
          </cell>
          <cell r="D47">
            <v>24.865684595412965</v>
          </cell>
        </row>
        <row r="48">
          <cell r="A48" t="str">
            <v>Vegetables</v>
          </cell>
          <cell r="B48" t="str">
            <v>Afar</v>
          </cell>
          <cell r="C48">
            <v>18.87623872018159</v>
          </cell>
          <cell r="D48">
            <v>24.932950459072913</v>
          </cell>
        </row>
        <row r="49">
          <cell r="A49" t="str">
            <v>Vegetables</v>
          </cell>
          <cell r="B49" t="str">
            <v>Amhara</v>
          </cell>
          <cell r="C49">
            <v>21.513612339227983</v>
          </cell>
          <cell r="D49">
            <v>22.033673739282605</v>
          </cell>
        </row>
        <row r="50">
          <cell r="A50" t="str">
            <v>Vegetables</v>
          </cell>
          <cell r="B50" t="str">
            <v>Gumuz</v>
          </cell>
          <cell r="C50">
            <v>20.322625546300234</v>
          </cell>
          <cell r="D50">
            <v>22.531789073941145</v>
          </cell>
        </row>
        <row r="51">
          <cell r="A51" t="str">
            <v>Vegetables</v>
          </cell>
          <cell r="B51" t="str">
            <v>DireDawa</v>
          </cell>
          <cell r="C51">
            <v>19.350717984331158</v>
          </cell>
          <cell r="D51">
            <v>23.358722127351033</v>
          </cell>
        </row>
        <row r="52">
          <cell r="A52" t="str">
            <v>Vegetables</v>
          </cell>
          <cell r="B52" t="str">
            <v>Gambela</v>
          </cell>
          <cell r="C52">
            <v>19.045099884083466</v>
          </cell>
          <cell r="D52">
            <v>24.282855596055086</v>
          </cell>
        </row>
        <row r="53">
          <cell r="A53" t="str">
            <v>Vegetables</v>
          </cell>
          <cell r="B53" t="str">
            <v>Harari</v>
          </cell>
          <cell r="C53">
            <v>22.335036567874901</v>
          </cell>
          <cell r="D53">
            <v>24.140160159491504</v>
          </cell>
        </row>
        <row r="54">
          <cell r="A54" t="str">
            <v>Vegetables</v>
          </cell>
          <cell r="B54" t="str">
            <v>Oromia</v>
          </cell>
          <cell r="C54">
            <v>18.659990127262155</v>
          </cell>
          <cell r="D54">
            <v>23.872603823498498</v>
          </cell>
        </row>
        <row r="55">
          <cell r="A55" t="str">
            <v>Vegetables</v>
          </cell>
          <cell r="B55" t="str">
            <v>Somali</v>
          </cell>
          <cell r="C55">
            <v>20.521380077285141</v>
          </cell>
          <cell r="D55">
            <v>24.858388184983372</v>
          </cell>
        </row>
        <row r="56">
          <cell r="A56" t="str">
            <v>Vegetables</v>
          </cell>
          <cell r="B56" t="str">
            <v>SNNPR</v>
          </cell>
          <cell r="C56">
            <v>19.231241510182464</v>
          </cell>
          <cell r="D56">
            <v>24.294914110297043</v>
          </cell>
        </row>
        <row r="57">
          <cell r="A57" t="str">
            <v>Vegetables</v>
          </cell>
          <cell r="B57" t="str">
            <v>Tigray</v>
          </cell>
          <cell r="C57">
            <v>18.182755628485733</v>
          </cell>
          <cell r="D57">
            <v>24.612547857490469</v>
          </cell>
        </row>
        <row r="58">
          <cell r="A58" t="str">
            <v>Coffee</v>
          </cell>
          <cell r="B58" t="str">
            <v>AddisAbaba</v>
          </cell>
          <cell r="C58">
            <v>19.019029822125194</v>
          </cell>
          <cell r="D58">
            <v>22.591307423856488</v>
          </cell>
        </row>
        <row r="59">
          <cell r="A59" t="str">
            <v>Coffee</v>
          </cell>
          <cell r="B59" t="str">
            <v>Afar</v>
          </cell>
          <cell r="C59">
            <v>21.951916334564334</v>
          </cell>
          <cell r="D59">
            <v>22.59700242269934</v>
          </cell>
        </row>
        <row r="60">
          <cell r="A60" t="str">
            <v>Coffee</v>
          </cell>
          <cell r="B60" t="str">
            <v>Amhara</v>
          </cell>
          <cell r="C60">
            <v>22.826403445829399</v>
          </cell>
          <cell r="D60">
            <v>23.68239684543914</v>
          </cell>
        </row>
        <row r="61">
          <cell r="A61" t="str">
            <v>Coffee</v>
          </cell>
          <cell r="B61" t="str">
            <v>Gumuz</v>
          </cell>
          <cell r="C61">
            <v>21.405023755488834</v>
          </cell>
          <cell r="D61">
            <v>23.468599819587102</v>
          </cell>
        </row>
        <row r="62">
          <cell r="A62" t="str">
            <v>Coffee</v>
          </cell>
          <cell r="B62" t="str">
            <v>DireDawa</v>
          </cell>
          <cell r="C62">
            <v>20.224172723730767</v>
          </cell>
          <cell r="D62">
            <v>24.847620333954993</v>
          </cell>
        </row>
        <row r="63">
          <cell r="A63" t="str">
            <v>Coffee</v>
          </cell>
          <cell r="B63" t="str">
            <v>Gambela</v>
          </cell>
          <cell r="C63">
            <v>20.021128916373446</v>
          </cell>
          <cell r="D63">
            <v>22.300668058300747</v>
          </cell>
        </row>
        <row r="64">
          <cell r="A64" t="str">
            <v>Coffee</v>
          </cell>
          <cell r="B64" t="str">
            <v>Harari</v>
          </cell>
          <cell r="C64">
            <v>19.892532796493615</v>
          </cell>
          <cell r="D64">
            <v>22.369571557177252</v>
          </cell>
        </row>
        <row r="65">
          <cell r="A65" t="str">
            <v>Coffee</v>
          </cell>
          <cell r="B65" t="str">
            <v>Oromia</v>
          </cell>
          <cell r="C65">
            <v>18.661599554411858</v>
          </cell>
          <cell r="D65">
            <v>24.138738561341558</v>
          </cell>
        </row>
        <row r="66">
          <cell r="A66" t="str">
            <v>Coffee</v>
          </cell>
          <cell r="B66" t="str">
            <v>Somali</v>
          </cell>
          <cell r="C66">
            <v>19.10593375407802</v>
          </cell>
          <cell r="D66">
            <v>23.331827465179515</v>
          </cell>
        </row>
        <row r="67">
          <cell r="A67" t="str">
            <v>Coffee</v>
          </cell>
          <cell r="B67" t="str">
            <v>SNNPR</v>
          </cell>
          <cell r="C67">
            <v>21.440662644165453</v>
          </cell>
          <cell r="D67">
            <v>22.166042593687035</v>
          </cell>
        </row>
        <row r="68">
          <cell r="A68" t="str">
            <v>Coffee</v>
          </cell>
          <cell r="B68" t="str">
            <v>Tigray</v>
          </cell>
          <cell r="C68">
            <v>21.78119031813409</v>
          </cell>
          <cell r="D68">
            <v>24.712092877388617</v>
          </cell>
        </row>
        <row r="101">
          <cell r="B101">
            <v>2015</v>
          </cell>
        </row>
        <row r="102">
          <cell r="A102" t="str">
            <v>AddisAbaba</v>
          </cell>
          <cell r="B102">
            <v>1000</v>
          </cell>
        </row>
        <row r="103">
          <cell r="A103" t="str">
            <v>Afar</v>
          </cell>
          <cell r="B103">
            <v>1000</v>
          </cell>
        </row>
        <row r="104">
          <cell r="A104" t="str">
            <v>Amhara</v>
          </cell>
          <cell r="B104">
            <v>1000</v>
          </cell>
        </row>
        <row r="105">
          <cell r="A105" t="str">
            <v>Gumuz</v>
          </cell>
          <cell r="B105">
            <v>1000</v>
          </cell>
        </row>
        <row r="106">
          <cell r="A106" t="str">
            <v>DireDawa</v>
          </cell>
          <cell r="B106">
            <v>1000</v>
          </cell>
        </row>
        <row r="107">
          <cell r="A107" t="str">
            <v>Gambela</v>
          </cell>
          <cell r="B107">
            <v>1000</v>
          </cell>
        </row>
        <row r="108">
          <cell r="A108" t="str">
            <v>Harari</v>
          </cell>
          <cell r="B108">
            <v>1000</v>
          </cell>
        </row>
        <row r="109">
          <cell r="A109" t="str">
            <v>Oromia</v>
          </cell>
          <cell r="B109">
            <v>1000</v>
          </cell>
        </row>
        <row r="110">
          <cell r="A110" t="str">
            <v>Somali</v>
          </cell>
          <cell r="B110">
            <v>1000</v>
          </cell>
        </row>
        <row r="111">
          <cell r="A111" t="str">
            <v>SNNPR</v>
          </cell>
          <cell r="B111">
            <v>1000</v>
          </cell>
        </row>
        <row r="112">
          <cell r="A112" t="str">
            <v>Tigray</v>
          </cell>
          <cell r="B112">
            <v>1000</v>
          </cell>
        </row>
        <row r="121">
          <cell r="B121">
            <v>2015</v>
          </cell>
        </row>
        <row r="122">
          <cell r="A122" t="str">
            <v>AddisAbaba</v>
          </cell>
          <cell r="B122">
            <v>0</v>
          </cell>
        </row>
        <row r="123">
          <cell r="A123" t="str">
            <v>Afar</v>
          </cell>
          <cell r="B123">
            <v>0</v>
          </cell>
        </row>
        <row r="124">
          <cell r="A124" t="str">
            <v>Amhara</v>
          </cell>
          <cell r="B124">
            <v>0</v>
          </cell>
        </row>
        <row r="125">
          <cell r="A125" t="str">
            <v>Gumuz</v>
          </cell>
          <cell r="B125">
            <v>0</v>
          </cell>
        </row>
        <row r="126">
          <cell r="A126" t="str">
            <v>DireDawa</v>
          </cell>
          <cell r="B126">
            <v>0</v>
          </cell>
        </row>
        <row r="127">
          <cell r="A127" t="str">
            <v>Gambela</v>
          </cell>
          <cell r="B127">
            <v>0</v>
          </cell>
        </row>
        <row r="128">
          <cell r="A128" t="str">
            <v>Harari</v>
          </cell>
          <cell r="B128">
            <v>0</v>
          </cell>
        </row>
        <row r="129">
          <cell r="A129" t="str">
            <v>Oromia</v>
          </cell>
          <cell r="B129">
            <v>0</v>
          </cell>
        </row>
        <row r="130">
          <cell r="A130" t="str">
            <v>Somali</v>
          </cell>
          <cell r="B130">
            <v>0</v>
          </cell>
        </row>
        <row r="131">
          <cell r="A131" t="str">
            <v>SNNPR</v>
          </cell>
          <cell r="B131">
            <v>0</v>
          </cell>
        </row>
        <row r="132">
          <cell r="A132" t="str">
            <v>Tigray</v>
          </cell>
          <cell r="B132">
            <v>0</v>
          </cell>
        </row>
        <row r="141">
          <cell r="A141" t="str">
            <v>AddisAbaba</v>
          </cell>
          <cell r="B141">
            <v>120</v>
          </cell>
        </row>
        <row r="142">
          <cell r="A142" t="str">
            <v>Afar</v>
          </cell>
          <cell r="B142">
            <v>100</v>
          </cell>
        </row>
        <row r="143">
          <cell r="A143" t="str">
            <v>Amhara</v>
          </cell>
          <cell r="B143">
            <v>100</v>
          </cell>
        </row>
        <row r="144">
          <cell r="A144" t="str">
            <v>Gumuz</v>
          </cell>
          <cell r="B144">
            <v>100</v>
          </cell>
        </row>
        <row r="145">
          <cell r="A145" t="str">
            <v>DireDawa</v>
          </cell>
          <cell r="B145">
            <v>100</v>
          </cell>
        </row>
        <row r="146">
          <cell r="A146" t="str">
            <v>Gambela</v>
          </cell>
          <cell r="B146">
            <v>100</v>
          </cell>
        </row>
        <row r="147">
          <cell r="A147" t="str">
            <v>Harari</v>
          </cell>
          <cell r="B147">
            <v>100</v>
          </cell>
        </row>
        <row r="148">
          <cell r="A148" t="str">
            <v>Oromia</v>
          </cell>
          <cell r="B148">
            <v>100</v>
          </cell>
        </row>
        <row r="149">
          <cell r="A149" t="str">
            <v>Somali</v>
          </cell>
          <cell r="B149">
            <v>100</v>
          </cell>
        </row>
        <row r="150">
          <cell r="A150" t="str">
            <v>SNNPR</v>
          </cell>
          <cell r="B150">
            <v>100</v>
          </cell>
        </row>
        <row r="151">
          <cell r="A151" t="str">
            <v>Tigray</v>
          </cell>
          <cell r="B151">
            <v>100</v>
          </cell>
        </row>
        <row r="161">
          <cell r="B161" t="str">
            <v>Teff</v>
          </cell>
          <cell r="C161" t="str">
            <v>Sorghum</v>
          </cell>
          <cell r="D161" t="str">
            <v>Maize</v>
          </cell>
          <cell r="E161" t="str">
            <v>Lentils</v>
          </cell>
          <cell r="F161" t="str">
            <v>Vegetables</v>
          </cell>
          <cell r="G161" t="str">
            <v>Coffee</v>
          </cell>
        </row>
        <row r="162">
          <cell r="A162" t="str">
            <v>AddisAbaba</v>
          </cell>
          <cell r="B162">
            <v>60</v>
          </cell>
          <cell r="C162">
            <v>24</v>
          </cell>
          <cell r="D162">
            <v>12</v>
          </cell>
          <cell r="E162">
            <v>6</v>
          </cell>
          <cell r="F162">
            <v>3.5999999999999996</v>
          </cell>
          <cell r="G162">
            <v>3.5999999999999996</v>
          </cell>
        </row>
        <row r="163">
          <cell r="A163" t="str">
            <v>Afar</v>
          </cell>
          <cell r="B163">
            <v>50</v>
          </cell>
          <cell r="C163">
            <v>20</v>
          </cell>
          <cell r="D163">
            <v>10</v>
          </cell>
          <cell r="E163">
            <v>5</v>
          </cell>
          <cell r="F163">
            <v>3</v>
          </cell>
          <cell r="G163">
            <v>3</v>
          </cell>
        </row>
        <row r="164">
          <cell r="A164" t="str">
            <v>Amhara</v>
          </cell>
          <cell r="B164">
            <v>50</v>
          </cell>
          <cell r="C164">
            <v>20</v>
          </cell>
          <cell r="D164">
            <v>10</v>
          </cell>
          <cell r="E164">
            <v>5</v>
          </cell>
          <cell r="F164">
            <v>3</v>
          </cell>
          <cell r="G164">
            <v>3</v>
          </cell>
        </row>
        <row r="165">
          <cell r="A165" t="str">
            <v>Gumuz</v>
          </cell>
          <cell r="B165">
            <v>50</v>
          </cell>
          <cell r="C165">
            <v>20</v>
          </cell>
          <cell r="D165">
            <v>10</v>
          </cell>
          <cell r="E165">
            <v>5</v>
          </cell>
          <cell r="F165">
            <v>3</v>
          </cell>
          <cell r="G165">
            <v>3</v>
          </cell>
        </row>
        <row r="166">
          <cell r="A166" t="str">
            <v>DireDawa</v>
          </cell>
          <cell r="B166">
            <v>50</v>
          </cell>
          <cell r="C166">
            <v>20</v>
          </cell>
          <cell r="D166">
            <v>10</v>
          </cell>
          <cell r="E166">
            <v>5</v>
          </cell>
          <cell r="F166">
            <v>3</v>
          </cell>
          <cell r="G166">
            <v>3</v>
          </cell>
        </row>
        <row r="167">
          <cell r="A167" t="str">
            <v>Gambela</v>
          </cell>
          <cell r="B167">
            <v>50</v>
          </cell>
          <cell r="C167">
            <v>20</v>
          </cell>
          <cell r="D167">
            <v>10</v>
          </cell>
          <cell r="E167">
            <v>5</v>
          </cell>
          <cell r="F167">
            <v>3</v>
          </cell>
          <cell r="G167">
            <v>3</v>
          </cell>
        </row>
        <row r="168">
          <cell r="A168" t="str">
            <v>Harari</v>
          </cell>
          <cell r="B168">
            <v>50</v>
          </cell>
          <cell r="C168">
            <v>20</v>
          </cell>
          <cell r="D168">
            <v>10</v>
          </cell>
          <cell r="E168">
            <v>5</v>
          </cell>
          <cell r="F168">
            <v>3</v>
          </cell>
          <cell r="G168">
            <v>3</v>
          </cell>
        </row>
        <row r="169">
          <cell r="A169" t="str">
            <v>Oromia</v>
          </cell>
          <cell r="B169">
            <v>50</v>
          </cell>
          <cell r="C169">
            <v>20</v>
          </cell>
          <cell r="D169">
            <v>10</v>
          </cell>
          <cell r="E169">
            <v>5</v>
          </cell>
          <cell r="F169">
            <v>3</v>
          </cell>
          <cell r="G169">
            <v>3</v>
          </cell>
        </row>
        <row r="170">
          <cell r="A170" t="str">
            <v>Somali</v>
          </cell>
          <cell r="B170">
            <v>50</v>
          </cell>
          <cell r="C170">
            <v>20</v>
          </cell>
          <cell r="D170">
            <v>10</v>
          </cell>
          <cell r="E170">
            <v>5</v>
          </cell>
          <cell r="F170">
            <v>3</v>
          </cell>
          <cell r="G170">
            <v>3</v>
          </cell>
        </row>
        <row r="171">
          <cell r="A171" t="str">
            <v>SNNPR</v>
          </cell>
          <cell r="B171">
            <v>50</v>
          </cell>
          <cell r="C171">
            <v>20</v>
          </cell>
          <cell r="D171">
            <v>10</v>
          </cell>
          <cell r="E171">
            <v>5</v>
          </cell>
          <cell r="F171">
            <v>3</v>
          </cell>
          <cell r="G171">
            <v>3</v>
          </cell>
        </row>
        <row r="172">
          <cell r="A172" t="str">
            <v>Tigray</v>
          </cell>
          <cell r="B172">
            <v>50</v>
          </cell>
          <cell r="C172">
            <v>20</v>
          </cell>
          <cell r="D172">
            <v>10</v>
          </cell>
          <cell r="E172">
            <v>5</v>
          </cell>
          <cell r="F172">
            <v>3</v>
          </cell>
          <cell r="G172">
            <v>3</v>
          </cell>
        </row>
      </sheetData>
      <sheetData sheetId="7">
        <row r="1">
          <cell r="C1" t="str">
            <v>Belg</v>
          </cell>
          <cell r="D1" t="str">
            <v>Kremt</v>
          </cell>
        </row>
        <row r="2">
          <cell r="C2">
            <v>2015</v>
          </cell>
          <cell r="D2">
            <v>2015</v>
          </cell>
        </row>
        <row r="3">
          <cell r="A3" t="str">
            <v>Teff</v>
          </cell>
          <cell r="B3" t="str">
            <v>AddisAbaba</v>
          </cell>
          <cell r="C3">
            <v>0.2</v>
          </cell>
          <cell r="D3">
            <v>0.2</v>
          </cell>
        </row>
        <row r="4">
          <cell r="A4" t="str">
            <v>Teff</v>
          </cell>
          <cell r="B4" t="str">
            <v>Afar</v>
          </cell>
          <cell r="C4">
            <v>0.2</v>
          </cell>
          <cell r="D4">
            <v>0.2</v>
          </cell>
        </row>
        <row r="5">
          <cell r="A5" t="str">
            <v>Teff</v>
          </cell>
          <cell r="B5" t="str">
            <v>Amhara</v>
          </cell>
          <cell r="C5">
            <v>0.2</v>
          </cell>
          <cell r="D5">
            <v>0.2</v>
          </cell>
        </row>
        <row r="6">
          <cell r="A6" t="str">
            <v>Teff</v>
          </cell>
          <cell r="B6" t="str">
            <v>Gumuz</v>
          </cell>
          <cell r="C6">
            <v>0.2</v>
          </cell>
          <cell r="D6">
            <v>0.2</v>
          </cell>
        </row>
        <row r="7">
          <cell r="A7" t="str">
            <v>Teff</v>
          </cell>
          <cell r="B7" t="str">
            <v>DireDawa</v>
          </cell>
          <cell r="C7">
            <v>0.2</v>
          </cell>
          <cell r="D7">
            <v>0.2</v>
          </cell>
        </row>
        <row r="8">
          <cell r="A8" t="str">
            <v>Teff</v>
          </cell>
          <cell r="B8" t="str">
            <v>Gambela</v>
          </cell>
          <cell r="C8">
            <v>0.2</v>
          </cell>
          <cell r="D8">
            <v>0.2</v>
          </cell>
        </row>
        <row r="9">
          <cell r="A9" t="str">
            <v>Teff</v>
          </cell>
          <cell r="B9" t="str">
            <v>Harari</v>
          </cell>
          <cell r="C9">
            <v>0.2</v>
          </cell>
          <cell r="D9">
            <v>0.2</v>
          </cell>
        </row>
        <row r="10">
          <cell r="A10" t="str">
            <v>Teff</v>
          </cell>
          <cell r="B10" t="str">
            <v>Oromia</v>
          </cell>
          <cell r="C10">
            <v>0.2</v>
          </cell>
          <cell r="D10">
            <v>0.2</v>
          </cell>
        </row>
        <row r="11">
          <cell r="A11" t="str">
            <v>Teff</v>
          </cell>
          <cell r="B11" t="str">
            <v>Somali</v>
          </cell>
          <cell r="C11">
            <v>0.2</v>
          </cell>
          <cell r="D11">
            <v>0.2</v>
          </cell>
        </row>
        <row r="12">
          <cell r="A12" t="str">
            <v>Teff</v>
          </cell>
          <cell r="B12" t="str">
            <v>SNNPR</v>
          </cell>
          <cell r="C12">
            <v>0.2</v>
          </cell>
          <cell r="D12">
            <v>0.2</v>
          </cell>
        </row>
        <row r="13">
          <cell r="A13" t="str">
            <v>Teff</v>
          </cell>
          <cell r="B13" t="str">
            <v>Tigray</v>
          </cell>
          <cell r="C13">
            <v>0.2</v>
          </cell>
          <cell r="D13">
            <v>0.2</v>
          </cell>
        </row>
        <row r="14">
          <cell r="A14" t="str">
            <v>Sorghum</v>
          </cell>
          <cell r="B14" t="str">
            <v>AddisAbaba</v>
          </cell>
          <cell r="C14">
            <v>0.2</v>
          </cell>
          <cell r="D14">
            <v>0.2</v>
          </cell>
        </row>
        <row r="15">
          <cell r="A15" t="str">
            <v>Sorghum</v>
          </cell>
          <cell r="B15" t="str">
            <v>Afar</v>
          </cell>
          <cell r="C15">
            <v>0.2</v>
          </cell>
          <cell r="D15">
            <v>0.2</v>
          </cell>
        </row>
        <row r="16">
          <cell r="A16" t="str">
            <v>Sorghum</v>
          </cell>
          <cell r="B16" t="str">
            <v>Amhara</v>
          </cell>
          <cell r="C16">
            <v>0.2</v>
          </cell>
          <cell r="D16">
            <v>0.2</v>
          </cell>
        </row>
        <row r="17">
          <cell r="A17" t="str">
            <v>Sorghum</v>
          </cell>
          <cell r="B17" t="str">
            <v>Gumuz</v>
          </cell>
          <cell r="C17">
            <v>0.2</v>
          </cell>
          <cell r="D17">
            <v>0.2</v>
          </cell>
        </row>
        <row r="18">
          <cell r="A18" t="str">
            <v>Sorghum</v>
          </cell>
          <cell r="B18" t="str">
            <v>DireDawa</v>
          </cell>
          <cell r="C18">
            <v>0.2</v>
          </cell>
          <cell r="D18">
            <v>0.2</v>
          </cell>
        </row>
        <row r="19">
          <cell r="A19" t="str">
            <v>Sorghum</v>
          </cell>
          <cell r="B19" t="str">
            <v>Gambela</v>
          </cell>
          <cell r="C19">
            <v>0.2</v>
          </cell>
          <cell r="D19">
            <v>0.2</v>
          </cell>
        </row>
        <row r="20">
          <cell r="A20" t="str">
            <v>Sorghum</v>
          </cell>
          <cell r="B20" t="str">
            <v>Harari</v>
          </cell>
          <cell r="C20">
            <v>0.2</v>
          </cell>
          <cell r="D20">
            <v>0.2</v>
          </cell>
        </row>
        <row r="21">
          <cell r="A21" t="str">
            <v>Sorghum</v>
          </cell>
          <cell r="B21" t="str">
            <v>Oromia</v>
          </cell>
          <cell r="C21">
            <v>0.2</v>
          </cell>
          <cell r="D21">
            <v>0.2</v>
          </cell>
        </row>
        <row r="22">
          <cell r="A22" t="str">
            <v>Sorghum</v>
          </cell>
          <cell r="B22" t="str">
            <v>Somali</v>
          </cell>
          <cell r="C22">
            <v>0.2</v>
          </cell>
          <cell r="D22">
            <v>0.2</v>
          </cell>
        </row>
        <row r="23">
          <cell r="A23" t="str">
            <v>Sorghum</v>
          </cell>
          <cell r="B23" t="str">
            <v>SNNPR</v>
          </cell>
          <cell r="C23">
            <v>0.2</v>
          </cell>
          <cell r="D23">
            <v>0.2</v>
          </cell>
        </row>
        <row r="24">
          <cell r="A24" t="str">
            <v>Sorghum</v>
          </cell>
          <cell r="B24" t="str">
            <v>Tigray</v>
          </cell>
          <cell r="C24">
            <v>0.2</v>
          </cell>
          <cell r="D24">
            <v>0.2</v>
          </cell>
        </row>
        <row r="25">
          <cell r="A25" t="str">
            <v>Maize</v>
          </cell>
          <cell r="B25" t="str">
            <v>AddisAbaba</v>
          </cell>
          <cell r="C25">
            <v>0.2</v>
          </cell>
          <cell r="D25">
            <v>0.2</v>
          </cell>
        </row>
        <row r="26">
          <cell r="A26" t="str">
            <v>Maize</v>
          </cell>
          <cell r="B26" t="str">
            <v>Afar</v>
          </cell>
          <cell r="C26">
            <v>0.2</v>
          </cell>
          <cell r="D26">
            <v>0.2</v>
          </cell>
        </row>
        <row r="27">
          <cell r="A27" t="str">
            <v>Maize</v>
          </cell>
          <cell r="B27" t="str">
            <v>Amhara</v>
          </cell>
          <cell r="C27">
            <v>0.2</v>
          </cell>
          <cell r="D27">
            <v>0.2</v>
          </cell>
        </row>
        <row r="28">
          <cell r="A28" t="str">
            <v>Maize</v>
          </cell>
          <cell r="B28" t="str">
            <v>Gumuz</v>
          </cell>
          <cell r="C28">
            <v>0.2</v>
          </cell>
          <cell r="D28">
            <v>0.2</v>
          </cell>
        </row>
        <row r="29">
          <cell r="A29" t="str">
            <v>Maize</v>
          </cell>
          <cell r="B29" t="str">
            <v>DireDawa</v>
          </cell>
          <cell r="C29">
            <v>0.2</v>
          </cell>
          <cell r="D29">
            <v>0.2</v>
          </cell>
        </row>
        <row r="30">
          <cell r="A30" t="str">
            <v>Maize</v>
          </cell>
          <cell r="B30" t="str">
            <v>Gambela</v>
          </cell>
          <cell r="C30">
            <v>0.2</v>
          </cell>
          <cell r="D30">
            <v>0.2</v>
          </cell>
        </row>
        <row r="31">
          <cell r="A31" t="str">
            <v>Maize</v>
          </cell>
          <cell r="B31" t="str">
            <v>Harari</v>
          </cell>
          <cell r="C31">
            <v>0.2</v>
          </cell>
          <cell r="D31">
            <v>0.2</v>
          </cell>
        </row>
        <row r="32">
          <cell r="A32" t="str">
            <v>Maize</v>
          </cell>
          <cell r="B32" t="str">
            <v>Oromia</v>
          </cell>
          <cell r="C32">
            <v>0.2</v>
          </cell>
          <cell r="D32">
            <v>0.2</v>
          </cell>
        </row>
        <row r="33">
          <cell r="A33" t="str">
            <v>Maize</v>
          </cell>
          <cell r="B33" t="str">
            <v>Somali</v>
          </cell>
          <cell r="C33">
            <v>0.2</v>
          </cell>
          <cell r="D33">
            <v>0.2</v>
          </cell>
        </row>
        <row r="34">
          <cell r="A34" t="str">
            <v>Maize</v>
          </cell>
          <cell r="B34" t="str">
            <v>SNNPR</v>
          </cell>
          <cell r="C34">
            <v>0.2</v>
          </cell>
          <cell r="D34">
            <v>0.2</v>
          </cell>
        </row>
        <row r="35">
          <cell r="A35" t="str">
            <v>Maize</v>
          </cell>
          <cell r="B35" t="str">
            <v>Tigray</v>
          </cell>
          <cell r="C35">
            <v>0.2</v>
          </cell>
          <cell r="D35">
            <v>0.2</v>
          </cell>
        </row>
        <row r="36">
          <cell r="A36" t="str">
            <v>Lentils</v>
          </cell>
          <cell r="B36" t="str">
            <v>AddisAbaba</v>
          </cell>
          <cell r="C36">
            <v>0.2</v>
          </cell>
          <cell r="D36">
            <v>0.2</v>
          </cell>
        </row>
        <row r="37">
          <cell r="A37" t="str">
            <v>Lentils</v>
          </cell>
          <cell r="B37" t="str">
            <v>Afar</v>
          </cell>
          <cell r="C37">
            <v>0.2</v>
          </cell>
          <cell r="D37">
            <v>0.2</v>
          </cell>
        </row>
        <row r="38">
          <cell r="A38" t="str">
            <v>Lentils</v>
          </cell>
          <cell r="B38" t="str">
            <v>Amhara</v>
          </cell>
          <cell r="C38">
            <v>0.2</v>
          </cell>
          <cell r="D38">
            <v>0.2</v>
          </cell>
        </row>
        <row r="39">
          <cell r="A39" t="str">
            <v>Lentils</v>
          </cell>
          <cell r="B39" t="str">
            <v>Gumuz</v>
          </cell>
          <cell r="C39">
            <v>0.2</v>
          </cell>
          <cell r="D39">
            <v>0.2</v>
          </cell>
        </row>
        <row r="40">
          <cell r="A40" t="str">
            <v>Lentils</v>
          </cell>
          <cell r="B40" t="str">
            <v>DireDawa</v>
          </cell>
          <cell r="C40">
            <v>0.2</v>
          </cell>
          <cell r="D40">
            <v>0.2</v>
          </cell>
        </row>
        <row r="41">
          <cell r="A41" t="str">
            <v>Lentils</v>
          </cell>
          <cell r="B41" t="str">
            <v>Gambela</v>
          </cell>
          <cell r="C41">
            <v>0.2</v>
          </cell>
          <cell r="D41">
            <v>0.2</v>
          </cell>
        </row>
        <row r="42">
          <cell r="A42" t="str">
            <v>Lentils</v>
          </cell>
          <cell r="B42" t="str">
            <v>Harari</v>
          </cell>
          <cell r="C42">
            <v>0.2</v>
          </cell>
          <cell r="D42">
            <v>0.2</v>
          </cell>
        </row>
        <row r="43">
          <cell r="A43" t="str">
            <v>Lentils</v>
          </cell>
          <cell r="B43" t="str">
            <v>Oromia</v>
          </cell>
          <cell r="C43">
            <v>0.2</v>
          </cell>
          <cell r="D43">
            <v>0.2</v>
          </cell>
        </row>
        <row r="44">
          <cell r="A44" t="str">
            <v>Lentils</v>
          </cell>
          <cell r="B44" t="str">
            <v>Somali</v>
          </cell>
          <cell r="C44">
            <v>0.2</v>
          </cell>
          <cell r="D44">
            <v>0.2</v>
          </cell>
        </row>
        <row r="45">
          <cell r="A45" t="str">
            <v>Lentils</v>
          </cell>
          <cell r="B45" t="str">
            <v>SNNPR</v>
          </cell>
          <cell r="C45">
            <v>0.2</v>
          </cell>
          <cell r="D45">
            <v>0.2</v>
          </cell>
        </row>
        <row r="46">
          <cell r="A46" t="str">
            <v>Lentils</v>
          </cell>
          <cell r="B46" t="str">
            <v>Tigray</v>
          </cell>
          <cell r="C46">
            <v>0.2</v>
          </cell>
          <cell r="D46">
            <v>0.2</v>
          </cell>
        </row>
        <row r="47">
          <cell r="A47" t="str">
            <v>Vegetables</v>
          </cell>
          <cell r="B47" t="str">
            <v>AddisAbaba</v>
          </cell>
          <cell r="C47">
            <v>0.2</v>
          </cell>
          <cell r="D47">
            <v>0.2</v>
          </cell>
        </row>
        <row r="48">
          <cell r="A48" t="str">
            <v>Vegetables</v>
          </cell>
          <cell r="B48" t="str">
            <v>Afar</v>
          </cell>
          <cell r="C48">
            <v>0.2</v>
          </cell>
          <cell r="D48">
            <v>0.2</v>
          </cell>
        </row>
        <row r="49">
          <cell r="A49" t="str">
            <v>Vegetables</v>
          </cell>
          <cell r="B49" t="str">
            <v>Amhara</v>
          </cell>
          <cell r="C49">
            <v>0.2</v>
          </cell>
          <cell r="D49">
            <v>0.2</v>
          </cell>
        </row>
        <row r="50">
          <cell r="A50" t="str">
            <v>Vegetables</v>
          </cell>
          <cell r="B50" t="str">
            <v>Gumuz</v>
          </cell>
          <cell r="C50">
            <v>0.2</v>
          </cell>
          <cell r="D50">
            <v>0.2</v>
          </cell>
        </row>
        <row r="51">
          <cell r="A51" t="str">
            <v>Vegetables</v>
          </cell>
          <cell r="B51" t="str">
            <v>DireDawa</v>
          </cell>
          <cell r="C51">
            <v>0.2</v>
          </cell>
          <cell r="D51">
            <v>0.2</v>
          </cell>
        </row>
        <row r="52">
          <cell r="A52" t="str">
            <v>Vegetables</v>
          </cell>
          <cell r="B52" t="str">
            <v>Gambela</v>
          </cell>
          <cell r="C52">
            <v>0.2</v>
          </cell>
          <cell r="D52">
            <v>0.2</v>
          </cell>
        </row>
        <row r="53">
          <cell r="A53" t="str">
            <v>Vegetables</v>
          </cell>
          <cell r="B53" t="str">
            <v>Harari</v>
          </cell>
          <cell r="C53">
            <v>0.2</v>
          </cell>
          <cell r="D53">
            <v>0.2</v>
          </cell>
        </row>
        <row r="54">
          <cell r="A54" t="str">
            <v>Vegetables</v>
          </cell>
          <cell r="B54" t="str">
            <v>Oromia</v>
          </cell>
          <cell r="C54">
            <v>0.2</v>
          </cell>
          <cell r="D54">
            <v>0.2</v>
          </cell>
        </row>
        <row r="55">
          <cell r="A55" t="str">
            <v>Vegetables</v>
          </cell>
          <cell r="B55" t="str">
            <v>Somali</v>
          </cell>
          <cell r="C55">
            <v>0.2</v>
          </cell>
          <cell r="D55">
            <v>0.2</v>
          </cell>
        </row>
        <row r="56">
          <cell r="A56" t="str">
            <v>Vegetables</v>
          </cell>
          <cell r="B56" t="str">
            <v>SNNPR</v>
          </cell>
          <cell r="C56">
            <v>0.2</v>
          </cell>
          <cell r="D56">
            <v>0.2</v>
          </cell>
        </row>
        <row r="57">
          <cell r="A57" t="str">
            <v>Vegetables</v>
          </cell>
          <cell r="B57" t="str">
            <v>Tigray</v>
          </cell>
          <cell r="C57">
            <v>0.2</v>
          </cell>
          <cell r="D57">
            <v>0.2</v>
          </cell>
        </row>
        <row r="58">
          <cell r="A58" t="str">
            <v>Coffee</v>
          </cell>
          <cell r="B58" t="str">
            <v>AddisAbaba</v>
          </cell>
          <cell r="C58">
            <v>0.2</v>
          </cell>
          <cell r="D58">
            <v>0.2</v>
          </cell>
        </row>
        <row r="59">
          <cell r="A59" t="str">
            <v>Coffee</v>
          </cell>
          <cell r="B59" t="str">
            <v>Afar</v>
          </cell>
          <cell r="C59">
            <v>0.2</v>
          </cell>
          <cell r="D59">
            <v>0.2</v>
          </cell>
        </row>
        <row r="60">
          <cell r="A60" t="str">
            <v>Coffee</v>
          </cell>
          <cell r="B60" t="str">
            <v>Amhara</v>
          </cell>
          <cell r="C60">
            <v>0.2</v>
          </cell>
          <cell r="D60">
            <v>0.2</v>
          </cell>
        </row>
        <row r="61">
          <cell r="A61" t="str">
            <v>Coffee</v>
          </cell>
          <cell r="B61" t="str">
            <v>Gumuz</v>
          </cell>
          <cell r="C61">
            <v>0.2</v>
          </cell>
          <cell r="D61">
            <v>0.2</v>
          </cell>
        </row>
        <row r="62">
          <cell r="A62" t="str">
            <v>Coffee</v>
          </cell>
          <cell r="B62" t="str">
            <v>DireDawa</v>
          </cell>
          <cell r="C62">
            <v>0.2</v>
          </cell>
          <cell r="D62">
            <v>0.2</v>
          </cell>
        </row>
        <row r="63">
          <cell r="A63" t="str">
            <v>Coffee</v>
          </cell>
          <cell r="B63" t="str">
            <v>Gambela</v>
          </cell>
          <cell r="C63">
            <v>0.2</v>
          </cell>
          <cell r="D63">
            <v>0.2</v>
          </cell>
        </row>
        <row r="64">
          <cell r="A64" t="str">
            <v>Coffee</v>
          </cell>
          <cell r="B64" t="str">
            <v>Harari</v>
          </cell>
          <cell r="C64">
            <v>0.2</v>
          </cell>
          <cell r="D64">
            <v>0.2</v>
          </cell>
        </row>
        <row r="65">
          <cell r="A65" t="str">
            <v>Coffee</v>
          </cell>
          <cell r="B65" t="str">
            <v>Oromia</v>
          </cell>
          <cell r="C65">
            <v>0.2</v>
          </cell>
          <cell r="D65">
            <v>0.2</v>
          </cell>
        </row>
        <row r="66">
          <cell r="A66" t="str">
            <v>Coffee</v>
          </cell>
          <cell r="B66" t="str">
            <v>Somali</v>
          </cell>
          <cell r="C66">
            <v>0.2</v>
          </cell>
          <cell r="D66">
            <v>0.2</v>
          </cell>
        </row>
        <row r="67">
          <cell r="A67" t="str">
            <v>Coffee</v>
          </cell>
          <cell r="B67" t="str">
            <v>SNNPR</v>
          </cell>
          <cell r="C67">
            <v>0.2</v>
          </cell>
          <cell r="D67">
            <v>0.2</v>
          </cell>
        </row>
        <row r="68">
          <cell r="A68" t="str">
            <v>Coffee</v>
          </cell>
          <cell r="B68" t="str">
            <v>Tigray</v>
          </cell>
          <cell r="C68">
            <v>0.2</v>
          </cell>
          <cell r="D68">
            <v>0.2</v>
          </cell>
        </row>
      </sheetData>
      <sheetData sheetId="8">
        <row r="1">
          <cell r="C1" t="str">
            <v>Belg</v>
          </cell>
          <cell r="D1" t="str">
            <v>Kremt</v>
          </cell>
        </row>
        <row r="2">
          <cell r="C2">
            <v>2015</v>
          </cell>
          <cell r="D2">
            <v>2015</v>
          </cell>
        </row>
        <row r="3">
          <cell r="A3" t="str">
            <v>Teff</v>
          </cell>
          <cell r="B3" t="str">
            <v>AddisAbaba</v>
          </cell>
          <cell r="C3">
            <v>27.285797328897655</v>
          </cell>
          <cell r="D3">
            <v>25.864095140059874</v>
          </cell>
        </row>
        <row r="4">
          <cell r="A4" t="str">
            <v>Teff</v>
          </cell>
          <cell r="B4" t="str">
            <v>Afar</v>
          </cell>
          <cell r="C4">
            <v>21.278100150124136</v>
          </cell>
          <cell r="D4">
            <v>21.700141710029406</v>
          </cell>
        </row>
        <row r="5">
          <cell r="A5" t="str">
            <v>Teff</v>
          </cell>
          <cell r="B5" t="str">
            <v>Amhara</v>
          </cell>
          <cell r="C5">
            <v>23.32418979304769</v>
          </cell>
          <cell r="D5">
            <v>24.338113596979074</v>
          </cell>
        </row>
        <row r="6">
          <cell r="A6" t="str">
            <v>Teff</v>
          </cell>
          <cell r="B6" t="str">
            <v>Gumuz</v>
          </cell>
          <cell r="C6">
            <v>22.679106436608418</v>
          </cell>
          <cell r="D6">
            <v>22.38249047491384</v>
          </cell>
        </row>
        <row r="7">
          <cell r="A7" t="str">
            <v>Teff</v>
          </cell>
          <cell r="B7" t="str">
            <v>DireDawa</v>
          </cell>
          <cell r="C7">
            <v>22.307292276187166</v>
          </cell>
          <cell r="D7">
            <v>29.134519688034178</v>
          </cell>
        </row>
        <row r="8">
          <cell r="A8" t="str">
            <v>Teff</v>
          </cell>
          <cell r="B8" t="str">
            <v>Gambela</v>
          </cell>
          <cell r="C8">
            <v>21.433218242441338</v>
          </cell>
          <cell r="D8">
            <v>21.357246102827837</v>
          </cell>
        </row>
        <row r="9">
          <cell r="A9" t="str">
            <v>Teff</v>
          </cell>
          <cell r="B9" t="str">
            <v>Harari</v>
          </cell>
          <cell r="C9">
            <v>26.891024237563631</v>
          </cell>
          <cell r="D9">
            <v>23.856666060746907</v>
          </cell>
        </row>
        <row r="10">
          <cell r="A10" t="str">
            <v>Teff</v>
          </cell>
          <cell r="B10" t="str">
            <v>Oromia</v>
          </cell>
          <cell r="C10">
            <v>29.504020094723565</v>
          </cell>
          <cell r="D10">
            <v>20.311616188930731</v>
          </cell>
        </row>
        <row r="11">
          <cell r="A11" t="str">
            <v>Teff</v>
          </cell>
          <cell r="B11" t="str">
            <v>Somali</v>
          </cell>
          <cell r="C11">
            <v>20.186021043855419</v>
          </cell>
          <cell r="D11">
            <v>25.721327719632765</v>
          </cell>
        </row>
        <row r="12">
          <cell r="A12" t="str">
            <v>Teff</v>
          </cell>
          <cell r="B12" t="str">
            <v>SNNPR</v>
          </cell>
          <cell r="C12">
            <v>26.687528486044521</v>
          </cell>
          <cell r="D12">
            <v>28.495627195561191</v>
          </cell>
        </row>
        <row r="13">
          <cell r="A13" t="str">
            <v>Teff</v>
          </cell>
          <cell r="B13" t="str">
            <v>Tigray</v>
          </cell>
          <cell r="C13">
            <v>26.165167391852805</v>
          </cell>
          <cell r="D13">
            <v>29.889916662271286</v>
          </cell>
        </row>
        <row r="14">
          <cell r="A14" t="str">
            <v>Sorghum</v>
          </cell>
          <cell r="B14" t="str">
            <v>AddisAbaba</v>
          </cell>
          <cell r="C14">
            <v>25.146880775057628</v>
          </cell>
          <cell r="D14">
            <v>28.422634787847613</v>
          </cell>
        </row>
        <row r="15">
          <cell r="A15" t="str">
            <v>Sorghum</v>
          </cell>
          <cell r="B15" t="str">
            <v>Afar</v>
          </cell>
          <cell r="C15">
            <v>24.224654294332439</v>
          </cell>
          <cell r="D15">
            <v>23.71229878310108</v>
          </cell>
        </row>
        <row r="16">
          <cell r="A16" t="str">
            <v>Sorghum</v>
          </cell>
          <cell r="B16" t="str">
            <v>Amhara</v>
          </cell>
          <cell r="C16">
            <v>27.936114973801196</v>
          </cell>
          <cell r="D16">
            <v>27.696619856732784</v>
          </cell>
        </row>
        <row r="17">
          <cell r="A17" t="str">
            <v>Sorghum</v>
          </cell>
          <cell r="B17" t="str">
            <v>Gumuz</v>
          </cell>
          <cell r="C17">
            <v>28.628406600016227</v>
          </cell>
          <cell r="D17">
            <v>29.638803948697863</v>
          </cell>
        </row>
        <row r="18">
          <cell r="A18" t="str">
            <v>Sorghum</v>
          </cell>
          <cell r="B18" t="str">
            <v>DireDawa</v>
          </cell>
          <cell r="C18">
            <v>26.091255905118793</v>
          </cell>
          <cell r="D18">
            <v>27.441900894447414</v>
          </cell>
        </row>
        <row r="19">
          <cell r="A19" t="str">
            <v>Sorghum</v>
          </cell>
          <cell r="B19" t="str">
            <v>Gambela</v>
          </cell>
          <cell r="C19">
            <v>28.739484924051347</v>
          </cell>
          <cell r="D19">
            <v>29.145637739267748</v>
          </cell>
        </row>
        <row r="20">
          <cell r="A20" t="str">
            <v>Sorghum</v>
          </cell>
          <cell r="B20" t="str">
            <v>Harari</v>
          </cell>
          <cell r="C20">
            <v>28.913300664573882</v>
          </cell>
          <cell r="D20">
            <v>24.672770647252314</v>
          </cell>
        </row>
        <row r="21">
          <cell r="A21" t="str">
            <v>Sorghum</v>
          </cell>
          <cell r="B21" t="str">
            <v>Oromia</v>
          </cell>
          <cell r="C21">
            <v>25.122120171808053</v>
          </cell>
          <cell r="D21">
            <v>29.773946821901625</v>
          </cell>
        </row>
        <row r="22">
          <cell r="A22" t="str">
            <v>Sorghum</v>
          </cell>
          <cell r="B22" t="str">
            <v>Somali</v>
          </cell>
          <cell r="C22">
            <v>21.450201573006368</v>
          </cell>
          <cell r="D22">
            <v>27.664572131346247</v>
          </cell>
        </row>
        <row r="23">
          <cell r="A23" t="str">
            <v>Sorghum</v>
          </cell>
          <cell r="B23" t="str">
            <v>SNNPR</v>
          </cell>
          <cell r="C23">
            <v>21.502984658518752</v>
          </cell>
          <cell r="D23">
            <v>22.809686107013299</v>
          </cell>
        </row>
        <row r="24">
          <cell r="A24" t="str">
            <v>Sorghum</v>
          </cell>
          <cell r="B24" t="str">
            <v>Tigray</v>
          </cell>
          <cell r="C24">
            <v>29.306916768989201</v>
          </cell>
          <cell r="D24">
            <v>21.850280730800804</v>
          </cell>
        </row>
        <row r="25">
          <cell r="A25" t="str">
            <v>Maize</v>
          </cell>
          <cell r="B25" t="str">
            <v>AddisAbaba</v>
          </cell>
          <cell r="C25">
            <v>29.887199392709302</v>
          </cell>
          <cell r="D25">
            <v>29.923829778886489</v>
          </cell>
        </row>
        <row r="26">
          <cell r="A26" t="str">
            <v>Maize</v>
          </cell>
          <cell r="B26" t="str">
            <v>Afar</v>
          </cell>
          <cell r="C26">
            <v>22.922665092111245</v>
          </cell>
          <cell r="D26">
            <v>21.702949910185605</v>
          </cell>
        </row>
        <row r="27">
          <cell r="A27" t="str">
            <v>Maize</v>
          </cell>
          <cell r="B27" t="str">
            <v>Amhara</v>
          </cell>
          <cell r="C27">
            <v>21.328120976252386</v>
          </cell>
          <cell r="D27">
            <v>21.593061687168792</v>
          </cell>
        </row>
        <row r="28">
          <cell r="A28" t="str">
            <v>Maize</v>
          </cell>
          <cell r="B28" t="str">
            <v>Gumuz</v>
          </cell>
          <cell r="C28">
            <v>29.652547023005116</v>
          </cell>
          <cell r="D28">
            <v>23.187467693599476</v>
          </cell>
        </row>
        <row r="29">
          <cell r="A29" t="str">
            <v>Maize</v>
          </cell>
          <cell r="B29" t="str">
            <v>DireDawa</v>
          </cell>
          <cell r="C29">
            <v>23.941085954322503</v>
          </cell>
          <cell r="D29">
            <v>29.820513871628478</v>
          </cell>
        </row>
        <row r="30">
          <cell r="A30" t="str">
            <v>Maize</v>
          </cell>
          <cell r="B30" t="str">
            <v>Gambela</v>
          </cell>
          <cell r="C30">
            <v>22.592406571622746</v>
          </cell>
          <cell r="D30">
            <v>26.933170165573582</v>
          </cell>
        </row>
        <row r="31">
          <cell r="A31" t="str">
            <v>Maize</v>
          </cell>
          <cell r="B31" t="str">
            <v>Harari</v>
          </cell>
          <cell r="C31">
            <v>29.055796650746512</v>
          </cell>
          <cell r="D31">
            <v>27.327120342613043</v>
          </cell>
        </row>
        <row r="32">
          <cell r="A32" t="str">
            <v>Maize</v>
          </cell>
          <cell r="B32" t="str">
            <v>Oromia</v>
          </cell>
          <cell r="C32">
            <v>21.467605813579819</v>
          </cell>
          <cell r="D32">
            <v>28.550896076401756</v>
          </cell>
        </row>
        <row r="33">
          <cell r="A33" t="str">
            <v>Maize</v>
          </cell>
          <cell r="B33" t="str">
            <v>Somali</v>
          </cell>
          <cell r="C33">
            <v>29.372960682151849</v>
          </cell>
          <cell r="D33">
            <v>23.252630016397248</v>
          </cell>
        </row>
        <row r="34">
          <cell r="A34" t="str">
            <v>Maize</v>
          </cell>
          <cell r="B34" t="str">
            <v>SNNPR</v>
          </cell>
          <cell r="C34">
            <v>22.851019549787779</v>
          </cell>
          <cell r="D34">
            <v>24.295256261271064</v>
          </cell>
        </row>
        <row r="35">
          <cell r="A35" t="str">
            <v>Maize</v>
          </cell>
          <cell r="B35" t="str">
            <v>Tigray</v>
          </cell>
          <cell r="C35">
            <v>28.869017977503546</v>
          </cell>
          <cell r="D35">
            <v>23.233333073503896</v>
          </cell>
        </row>
        <row r="36">
          <cell r="A36" t="str">
            <v>Lentils</v>
          </cell>
          <cell r="B36" t="str">
            <v>AddisAbaba</v>
          </cell>
          <cell r="C36">
            <v>26.977539684624308</v>
          </cell>
          <cell r="D36">
            <v>24.517367181652947</v>
          </cell>
        </row>
        <row r="37">
          <cell r="A37" t="str">
            <v>Lentils</v>
          </cell>
          <cell r="B37" t="str">
            <v>Afar</v>
          </cell>
          <cell r="C37">
            <v>23.594473286300964</v>
          </cell>
          <cell r="D37">
            <v>24.594868433487431</v>
          </cell>
        </row>
        <row r="38">
          <cell r="A38" t="str">
            <v>Lentils</v>
          </cell>
          <cell r="B38" t="str">
            <v>Amhara</v>
          </cell>
          <cell r="C38">
            <v>21.525858462810021</v>
          </cell>
          <cell r="D38">
            <v>28.110748042721625</v>
          </cell>
        </row>
        <row r="39">
          <cell r="A39" t="str">
            <v>Lentils</v>
          </cell>
          <cell r="B39" t="str">
            <v>Gumuz</v>
          </cell>
          <cell r="C39">
            <v>28.430798455009398</v>
          </cell>
          <cell r="D39">
            <v>25.354948793096838</v>
          </cell>
        </row>
        <row r="40">
          <cell r="A40" t="str">
            <v>Lentils</v>
          </cell>
          <cell r="B40" t="str">
            <v>DireDawa</v>
          </cell>
          <cell r="C40">
            <v>20.929221074988419</v>
          </cell>
          <cell r="D40">
            <v>21.275476604980774</v>
          </cell>
        </row>
        <row r="41">
          <cell r="A41" t="str">
            <v>Lentils</v>
          </cell>
          <cell r="B41" t="str">
            <v>Gambela</v>
          </cell>
          <cell r="C41">
            <v>24.735111424999996</v>
          </cell>
          <cell r="D41">
            <v>28.703196273333951</v>
          </cell>
        </row>
        <row r="42">
          <cell r="A42" t="str">
            <v>Lentils</v>
          </cell>
          <cell r="B42" t="str">
            <v>Harari</v>
          </cell>
          <cell r="C42">
            <v>25.735864147427211</v>
          </cell>
          <cell r="D42">
            <v>28.461372775557436</v>
          </cell>
        </row>
        <row r="43">
          <cell r="A43" t="str">
            <v>Lentils</v>
          </cell>
          <cell r="B43" t="str">
            <v>Oromia</v>
          </cell>
          <cell r="C43">
            <v>23.584917280425184</v>
          </cell>
          <cell r="D43">
            <v>24.19972065731838</v>
          </cell>
        </row>
        <row r="44">
          <cell r="A44" t="str">
            <v>Lentils</v>
          </cell>
          <cell r="B44" t="str">
            <v>Somali</v>
          </cell>
          <cell r="C44">
            <v>26.020770210115906</v>
          </cell>
          <cell r="D44">
            <v>26.635669381608711</v>
          </cell>
        </row>
        <row r="45">
          <cell r="A45" t="str">
            <v>Lentils</v>
          </cell>
          <cell r="B45" t="str">
            <v>SNNPR</v>
          </cell>
          <cell r="C45">
            <v>26.816782925213889</v>
          </cell>
          <cell r="D45">
            <v>20.906562778950221</v>
          </cell>
        </row>
        <row r="46">
          <cell r="A46" t="str">
            <v>Lentils</v>
          </cell>
          <cell r="B46" t="str">
            <v>Tigray</v>
          </cell>
          <cell r="C46">
            <v>28.128699663857994</v>
          </cell>
          <cell r="D46">
            <v>26.614843051339793</v>
          </cell>
        </row>
        <row r="47">
          <cell r="A47" t="str">
            <v>Vegetables</v>
          </cell>
          <cell r="B47" t="str">
            <v>AddisAbaba</v>
          </cell>
          <cell r="C47">
            <v>24.574169877743241</v>
          </cell>
          <cell r="D47">
            <v>26.452275429793399</v>
          </cell>
        </row>
        <row r="48">
          <cell r="A48" t="str">
            <v>Vegetables</v>
          </cell>
          <cell r="B48" t="str">
            <v>Afar</v>
          </cell>
          <cell r="C48">
            <v>20.053829550013795</v>
          </cell>
          <cell r="D48">
            <v>24.651675555674089</v>
          </cell>
        </row>
        <row r="49">
          <cell r="A49" t="str">
            <v>Vegetables</v>
          </cell>
          <cell r="B49" t="str">
            <v>Amhara</v>
          </cell>
          <cell r="C49">
            <v>24.273272160183019</v>
          </cell>
          <cell r="D49">
            <v>23.696533077844443</v>
          </cell>
        </row>
        <row r="50">
          <cell r="A50" t="str">
            <v>Vegetables</v>
          </cell>
          <cell r="B50" t="str">
            <v>Gumuz</v>
          </cell>
          <cell r="C50">
            <v>22.63141455160655</v>
          </cell>
          <cell r="D50">
            <v>25.597155498470457</v>
          </cell>
        </row>
        <row r="51">
          <cell r="A51" t="str">
            <v>Vegetables</v>
          </cell>
          <cell r="B51" t="str">
            <v>DireDawa</v>
          </cell>
          <cell r="C51">
            <v>21.400890217426692</v>
          </cell>
          <cell r="D51">
            <v>21.719881818420323</v>
          </cell>
        </row>
        <row r="52">
          <cell r="A52" t="str">
            <v>Vegetables</v>
          </cell>
          <cell r="B52" t="str">
            <v>Gambela</v>
          </cell>
          <cell r="C52">
            <v>24.342780295039201</v>
          </cell>
          <cell r="D52">
            <v>21.529493058542531</v>
          </cell>
        </row>
        <row r="53">
          <cell r="A53" t="str">
            <v>Vegetables</v>
          </cell>
          <cell r="B53" t="str">
            <v>Harari</v>
          </cell>
          <cell r="C53">
            <v>27.137175224863451</v>
          </cell>
          <cell r="D53">
            <v>20.95209138506096</v>
          </cell>
        </row>
        <row r="54">
          <cell r="A54" t="str">
            <v>Vegetables</v>
          </cell>
          <cell r="B54" t="str">
            <v>Oromia</v>
          </cell>
          <cell r="C54">
            <v>27.875812311451497</v>
          </cell>
          <cell r="D54">
            <v>21.54235451183434</v>
          </cell>
        </row>
        <row r="55">
          <cell r="A55" t="str">
            <v>Vegetables</v>
          </cell>
          <cell r="B55" t="str">
            <v>Somali</v>
          </cell>
          <cell r="C55">
            <v>27.758810988807326</v>
          </cell>
          <cell r="D55">
            <v>23.750666736467227</v>
          </cell>
        </row>
        <row r="56">
          <cell r="A56" t="str">
            <v>Vegetables</v>
          </cell>
          <cell r="B56" t="str">
            <v>SNNPR</v>
          </cell>
          <cell r="C56">
            <v>25.298501943011185</v>
          </cell>
          <cell r="D56">
            <v>25.245082210532978</v>
          </cell>
        </row>
        <row r="57">
          <cell r="A57" t="str">
            <v>Vegetables</v>
          </cell>
          <cell r="B57" t="str">
            <v>Tigray</v>
          </cell>
          <cell r="C57">
            <v>24.345201219845748</v>
          </cell>
          <cell r="D57">
            <v>28.460954138104601</v>
          </cell>
        </row>
        <row r="58">
          <cell r="A58" t="str">
            <v>Coffee</v>
          </cell>
          <cell r="B58" t="str">
            <v>AddisAbaba</v>
          </cell>
          <cell r="C58">
            <v>20.207113462844468</v>
          </cell>
          <cell r="D58">
            <v>27.415161331460848</v>
          </cell>
        </row>
        <row r="59">
          <cell r="A59" t="str">
            <v>Coffee</v>
          </cell>
          <cell r="B59" t="str">
            <v>Afar</v>
          </cell>
          <cell r="C59">
            <v>24.180279720742959</v>
          </cell>
          <cell r="D59">
            <v>22.511525132712329</v>
          </cell>
        </row>
        <row r="60">
          <cell r="A60" t="str">
            <v>Coffee</v>
          </cell>
          <cell r="B60" t="str">
            <v>Amhara</v>
          </cell>
          <cell r="C60">
            <v>27.516739981225193</v>
          </cell>
          <cell r="D60">
            <v>22.753039727601905</v>
          </cell>
        </row>
        <row r="61">
          <cell r="A61" t="str">
            <v>Coffee</v>
          </cell>
          <cell r="B61" t="str">
            <v>Gumuz</v>
          </cell>
          <cell r="C61">
            <v>28.110889292454733</v>
          </cell>
          <cell r="D61">
            <v>25.886729982493012</v>
          </cell>
        </row>
        <row r="62">
          <cell r="A62" t="str">
            <v>Coffee</v>
          </cell>
          <cell r="B62" t="str">
            <v>DireDawa</v>
          </cell>
          <cell r="C62">
            <v>25.638519725181911</v>
          </cell>
          <cell r="D62">
            <v>26.376997251465458</v>
          </cell>
        </row>
        <row r="63">
          <cell r="A63" t="str">
            <v>Coffee</v>
          </cell>
          <cell r="B63" t="str">
            <v>Gambela</v>
          </cell>
          <cell r="C63">
            <v>24.491114764471341</v>
          </cell>
          <cell r="D63">
            <v>26.554728764304336</v>
          </cell>
        </row>
        <row r="64">
          <cell r="A64" t="str">
            <v>Coffee</v>
          </cell>
          <cell r="B64" t="str">
            <v>Harari</v>
          </cell>
          <cell r="C64">
            <v>25.572518931287462</v>
          </cell>
          <cell r="D64">
            <v>24.410547898230998</v>
          </cell>
        </row>
        <row r="65">
          <cell r="A65" t="str">
            <v>Coffee</v>
          </cell>
          <cell r="B65" t="str">
            <v>Oromia</v>
          </cell>
          <cell r="C65">
            <v>22.636174057228882</v>
          </cell>
          <cell r="D65">
            <v>23.573202401322682</v>
          </cell>
        </row>
        <row r="66">
          <cell r="A66" t="str">
            <v>Coffee</v>
          </cell>
          <cell r="B66" t="str">
            <v>Somali</v>
          </cell>
          <cell r="C66">
            <v>29.914644419890884</v>
          </cell>
          <cell r="D66">
            <v>27.446332310213663</v>
          </cell>
        </row>
        <row r="67">
          <cell r="A67" t="str">
            <v>Coffee</v>
          </cell>
          <cell r="B67" t="str">
            <v>SNNPR</v>
          </cell>
          <cell r="C67">
            <v>26.041945504609288</v>
          </cell>
          <cell r="D67">
            <v>27.547055657707737</v>
          </cell>
        </row>
        <row r="68">
          <cell r="A68" t="str">
            <v>Coffee</v>
          </cell>
          <cell r="B68" t="str">
            <v>Tigray</v>
          </cell>
          <cell r="C68">
            <v>27.058527929442565</v>
          </cell>
          <cell r="D68">
            <v>28.921072776682006</v>
          </cell>
        </row>
      </sheetData>
      <sheetData sheetId="9">
        <row r="1">
          <cell r="C1" t="str">
            <v>Belg</v>
          </cell>
          <cell r="D1" t="str">
            <v>Kremt</v>
          </cell>
        </row>
        <row r="2">
          <cell r="C2">
            <v>2015</v>
          </cell>
          <cell r="D2">
            <v>2015</v>
          </cell>
        </row>
        <row r="3">
          <cell r="A3" t="str">
            <v>Teff</v>
          </cell>
          <cell r="B3" t="str">
            <v>AddisAbaba</v>
          </cell>
          <cell r="C3">
            <v>2397.1891183907574</v>
          </cell>
          <cell r="D3">
            <v>3201.9157259196759</v>
          </cell>
        </row>
        <row r="4">
          <cell r="A4" t="str">
            <v>Teff</v>
          </cell>
          <cell r="B4" t="str">
            <v>Afar</v>
          </cell>
          <cell r="C4">
            <v>2277.3447907876352</v>
          </cell>
          <cell r="D4">
            <v>2974.3709035450415</v>
          </cell>
        </row>
        <row r="5">
          <cell r="A5" t="str">
            <v>Teff</v>
          </cell>
          <cell r="B5" t="str">
            <v>Amhara</v>
          </cell>
          <cell r="C5">
            <v>2261.756504495941</v>
          </cell>
          <cell r="D5">
            <v>2761.3561834535358</v>
          </cell>
        </row>
        <row r="6">
          <cell r="A6" t="str">
            <v>Teff</v>
          </cell>
          <cell r="B6" t="str">
            <v>Gumuz</v>
          </cell>
          <cell r="C6">
            <v>2864.4452520503046</v>
          </cell>
          <cell r="D6">
            <v>2322.2000567385207</v>
          </cell>
        </row>
        <row r="7">
          <cell r="A7" t="str">
            <v>Teff</v>
          </cell>
          <cell r="B7" t="str">
            <v>DireDawa</v>
          </cell>
          <cell r="C7">
            <v>2449.858386502824</v>
          </cell>
          <cell r="D7">
            <v>2557.1138583043803</v>
          </cell>
        </row>
        <row r="8">
          <cell r="A8" t="str">
            <v>Teff</v>
          </cell>
          <cell r="B8" t="str">
            <v>Gambela</v>
          </cell>
          <cell r="C8">
            <v>2294.8633926128509</v>
          </cell>
          <cell r="D8">
            <v>2758.6818588520982</v>
          </cell>
        </row>
        <row r="9">
          <cell r="A9" t="str">
            <v>Teff</v>
          </cell>
          <cell r="B9" t="str">
            <v>Harari</v>
          </cell>
          <cell r="C9">
            <v>2207.4198227013294</v>
          </cell>
          <cell r="D9">
            <v>3007.1838515891436</v>
          </cell>
        </row>
        <row r="10">
          <cell r="A10" t="str">
            <v>Teff</v>
          </cell>
          <cell r="B10" t="str">
            <v>Oromia</v>
          </cell>
          <cell r="C10">
            <v>3260.3248829178692</v>
          </cell>
          <cell r="D10">
            <v>2539.2877189544238</v>
          </cell>
        </row>
        <row r="11">
          <cell r="A11" t="str">
            <v>Teff</v>
          </cell>
          <cell r="B11" t="str">
            <v>Somali</v>
          </cell>
          <cell r="C11">
            <v>3051.1286615334166</v>
          </cell>
          <cell r="D11">
            <v>2591.4633620088225</v>
          </cell>
        </row>
        <row r="12">
          <cell r="A12" t="str">
            <v>Teff</v>
          </cell>
          <cell r="B12" t="str">
            <v>SNNPR</v>
          </cell>
          <cell r="C12">
            <v>2483.3903659939087</v>
          </cell>
          <cell r="D12">
            <v>3085.8206599304772</v>
          </cell>
        </row>
        <row r="13">
          <cell r="A13" t="str">
            <v>Teff</v>
          </cell>
          <cell r="B13" t="str">
            <v>Tigray</v>
          </cell>
          <cell r="C13">
            <v>2486.5309031135998</v>
          </cell>
          <cell r="D13">
            <v>2996.0769236453334</v>
          </cell>
        </row>
        <row r="14">
          <cell r="A14" t="str">
            <v>Sorghum</v>
          </cell>
          <cell r="B14" t="str">
            <v>AddisAbaba</v>
          </cell>
          <cell r="C14">
            <v>2979.6488271029557</v>
          </cell>
          <cell r="D14">
            <v>2981.3477791212786</v>
          </cell>
        </row>
        <row r="15">
          <cell r="A15" t="str">
            <v>Sorghum</v>
          </cell>
          <cell r="B15" t="str">
            <v>Afar</v>
          </cell>
          <cell r="C15">
            <v>2525.9336289591083</v>
          </cell>
          <cell r="D15">
            <v>2657.8503995438678</v>
          </cell>
        </row>
        <row r="16">
          <cell r="A16" t="str">
            <v>Sorghum</v>
          </cell>
          <cell r="B16" t="str">
            <v>Amhara</v>
          </cell>
          <cell r="C16">
            <v>2209.3004682872843</v>
          </cell>
          <cell r="D16">
            <v>2392.7455974968434</v>
          </cell>
        </row>
        <row r="17">
          <cell r="A17" t="str">
            <v>Sorghum</v>
          </cell>
          <cell r="B17" t="str">
            <v>Gumuz</v>
          </cell>
          <cell r="C17">
            <v>2735.9064110959384</v>
          </cell>
          <cell r="D17">
            <v>2559.2054775121042</v>
          </cell>
        </row>
        <row r="18">
          <cell r="A18" t="str">
            <v>Sorghum</v>
          </cell>
          <cell r="B18" t="str">
            <v>DireDawa</v>
          </cell>
          <cell r="C18">
            <v>2390.1587864476924</v>
          </cell>
          <cell r="D18">
            <v>2738.2186983960173</v>
          </cell>
        </row>
        <row r="19">
          <cell r="A19" t="str">
            <v>Sorghum</v>
          </cell>
          <cell r="B19" t="str">
            <v>Gambela</v>
          </cell>
          <cell r="C19">
            <v>2332.9741940011941</v>
          </cell>
          <cell r="D19">
            <v>2576.5752871169134</v>
          </cell>
        </row>
        <row r="20">
          <cell r="A20" t="str">
            <v>Sorghum</v>
          </cell>
          <cell r="B20" t="str">
            <v>Harari</v>
          </cell>
          <cell r="C20">
            <v>2180.0233545681804</v>
          </cell>
          <cell r="D20">
            <v>2749.0114223471187</v>
          </cell>
        </row>
        <row r="21">
          <cell r="A21" t="str">
            <v>Sorghum</v>
          </cell>
          <cell r="B21" t="str">
            <v>Oromia</v>
          </cell>
          <cell r="C21">
            <v>2628.8095539549427</v>
          </cell>
          <cell r="D21">
            <v>2977.6363858796267</v>
          </cell>
        </row>
        <row r="22">
          <cell r="A22" t="str">
            <v>Sorghum</v>
          </cell>
          <cell r="B22" t="str">
            <v>Somali</v>
          </cell>
          <cell r="C22">
            <v>2423.568836635995</v>
          </cell>
          <cell r="D22">
            <v>2480.1318021034708</v>
          </cell>
        </row>
        <row r="23">
          <cell r="A23" t="str">
            <v>Sorghum</v>
          </cell>
          <cell r="B23" t="str">
            <v>SNNPR</v>
          </cell>
          <cell r="C23">
            <v>2052.6919257620311</v>
          </cell>
          <cell r="D23">
            <v>2044.5397153362974</v>
          </cell>
        </row>
        <row r="24">
          <cell r="A24" t="str">
            <v>Sorghum</v>
          </cell>
          <cell r="B24" t="str">
            <v>Tigray</v>
          </cell>
          <cell r="C24">
            <v>2689.8703041338022</v>
          </cell>
          <cell r="D24">
            <v>2454.0463917191264</v>
          </cell>
        </row>
        <row r="25">
          <cell r="A25" t="str">
            <v>Maize</v>
          </cell>
          <cell r="B25" t="str">
            <v>AddisAbaba</v>
          </cell>
          <cell r="C25">
            <v>2292.2415214868765</v>
          </cell>
          <cell r="D25">
            <v>2269.9499265077943</v>
          </cell>
        </row>
        <row r="26">
          <cell r="A26" t="str">
            <v>Maize</v>
          </cell>
          <cell r="B26" t="str">
            <v>Afar</v>
          </cell>
          <cell r="C26">
            <v>2696.7209653602572</v>
          </cell>
          <cell r="D26">
            <v>2707.0222132289496</v>
          </cell>
        </row>
        <row r="27">
          <cell r="A27" t="str">
            <v>Maize</v>
          </cell>
          <cell r="B27" t="str">
            <v>Amhara</v>
          </cell>
          <cell r="C27">
            <v>2175.3243004915325</v>
          </cell>
          <cell r="D27">
            <v>2650.4031552863166</v>
          </cell>
        </row>
        <row r="28">
          <cell r="A28" t="str">
            <v>Maize</v>
          </cell>
          <cell r="B28" t="str">
            <v>Gumuz</v>
          </cell>
          <cell r="C28">
            <v>2815.2586789513857</v>
          </cell>
          <cell r="D28">
            <v>2060.0655790553283</v>
          </cell>
        </row>
        <row r="29">
          <cell r="A29" t="str">
            <v>Maize</v>
          </cell>
          <cell r="B29" t="str">
            <v>DireDawa</v>
          </cell>
          <cell r="C29">
            <v>2776.8591742043172</v>
          </cell>
          <cell r="D29">
            <v>2084.0683755085597</v>
          </cell>
        </row>
        <row r="30">
          <cell r="A30" t="str">
            <v>Maize</v>
          </cell>
          <cell r="B30" t="str">
            <v>Gambela</v>
          </cell>
          <cell r="C30">
            <v>2765.8957128366455</v>
          </cell>
          <cell r="D30">
            <v>2382.6020589117529</v>
          </cell>
        </row>
        <row r="31">
          <cell r="A31" t="str">
            <v>Maize</v>
          </cell>
          <cell r="B31" t="str">
            <v>Harari</v>
          </cell>
          <cell r="C31">
            <v>2000.2538242627188</v>
          </cell>
          <cell r="D31">
            <v>2251.9934279428521</v>
          </cell>
        </row>
        <row r="32">
          <cell r="A32" t="str">
            <v>Maize</v>
          </cell>
          <cell r="B32" t="str">
            <v>Oromia</v>
          </cell>
          <cell r="C32">
            <v>2466.7709281893221</v>
          </cell>
          <cell r="D32">
            <v>2975.4710091046154</v>
          </cell>
        </row>
        <row r="33">
          <cell r="A33" t="str">
            <v>Maize</v>
          </cell>
          <cell r="B33" t="str">
            <v>Somali</v>
          </cell>
          <cell r="C33">
            <v>2041.5790135993352</v>
          </cell>
          <cell r="D33">
            <v>2101.7818065323663</v>
          </cell>
        </row>
        <row r="34">
          <cell r="A34" t="str">
            <v>Maize</v>
          </cell>
          <cell r="B34" t="str">
            <v>SNNPR</v>
          </cell>
          <cell r="C34">
            <v>2243.1787611670998</v>
          </cell>
          <cell r="D34">
            <v>2599.1983169007999</v>
          </cell>
        </row>
        <row r="35">
          <cell r="A35" t="str">
            <v>Maize</v>
          </cell>
          <cell r="B35" t="str">
            <v>Tigray</v>
          </cell>
          <cell r="C35">
            <v>2244.5118827824954</v>
          </cell>
          <cell r="D35">
            <v>2276.9638041776998</v>
          </cell>
        </row>
        <row r="36">
          <cell r="A36" t="str">
            <v>Lentils</v>
          </cell>
          <cell r="B36" t="str">
            <v>AddisAbaba</v>
          </cell>
          <cell r="C36">
            <v>2213.7811101987822</v>
          </cell>
          <cell r="D36">
            <v>2450.6778260559554</v>
          </cell>
        </row>
        <row r="37">
          <cell r="A37" t="str">
            <v>Lentils</v>
          </cell>
          <cell r="B37" t="str">
            <v>Afar</v>
          </cell>
          <cell r="C37">
            <v>2101.3448116039076</v>
          </cell>
          <cell r="D37">
            <v>2267.8974248725549</v>
          </cell>
        </row>
        <row r="38">
          <cell r="A38" t="str">
            <v>Lentils</v>
          </cell>
          <cell r="B38" t="str">
            <v>Amhara</v>
          </cell>
          <cell r="C38">
            <v>2959.3904143316486</v>
          </cell>
          <cell r="D38">
            <v>2154.5879505371258</v>
          </cell>
        </row>
        <row r="39">
          <cell r="A39" t="str">
            <v>Lentils</v>
          </cell>
          <cell r="B39" t="str">
            <v>Gumuz</v>
          </cell>
          <cell r="C39">
            <v>2078.7029880157806</v>
          </cell>
          <cell r="D39">
            <v>2378.732508966295</v>
          </cell>
        </row>
        <row r="40">
          <cell r="A40" t="str">
            <v>Lentils</v>
          </cell>
          <cell r="B40" t="str">
            <v>DireDawa</v>
          </cell>
          <cell r="C40">
            <v>2031.9095877903303</v>
          </cell>
          <cell r="D40">
            <v>2927.2891405213495</v>
          </cell>
        </row>
        <row r="41">
          <cell r="A41" t="str">
            <v>Lentils</v>
          </cell>
          <cell r="B41" t="str">
            <v>Gambela</v>
          </cell>
          <cell r="C41">
            <v>2345.1254529053945</v>
          </cell>
          <cell r="D41">
            <v>2580.5678313306958</v>
          </cell>
        </row>
        <row r="42">
          <cell r="A42" t="str">
            <v>Lentils</v>
          </cell>
          <cell r="B42" t="str">
            <v>Harari</v>
          </cell>
          <cell r="C42">
            <v>2470.6926787106404</v>
          </cell>
          <cell r="D42">
            <v>2678.7339275164418</v>
          </cell>
        </row>
        <row r="43">
          <cell r="A43" t="str">
            <v>Lentils</v>
          </cell>
          <cell r="B43" t="str">
            <v>Oromia</v>
          </cell>
          <cell r="C43">
            <v>2994.2603576065831</v>
          </cell>
          <cell r="D43">
            <v>2425.0489285787489</v>
          </cell>
        </row>
        <row r="44">
          <cell r="A44" t="str">
            <v>Lentils</v>
          </cell>
          <cell r="B44" t="str">
            <v>Somali</v>
          </cell>
          <cell r="C44">
            <v>2738.6659362612777</v>
          </cell>
          <cell r="D44">
            <v>2490.5091529449423</v>
          </cell>
        </row>
        <row r="45">
          <cell r="A45" t="str">
            <v>Lentils</v>
          </cell>
          <cell r="B45" t="str">
            <v>SNNPR</v>
          </cell>
          <cell r="C45">
            <v>2206.1941574399229</v>
          </cell>
          <cell r="D45">
            <v>2770.6737097292721</v>
          </cell>
        </row>
        <row r="46">
          <cell r="A46" t="str">
            <v>Lentils</v>
          </cell>
          <cell r="B46" t="str">
            <v>Tigray</v>
          </cell>
          <cell r="C46">
            <v>2967.0704790215655</v>
          </cell>
          <cell r="D46">
            <v>2591.5413031222361</v>
          </cell>
        </row>
        <row r="47">
          <cell r="A47" t="str">
            <v>Vegetables</v>
          </cell>
          <cell r="B47" t="str">
            <v>AddisAbaba</v>
          </cell>
          <cell r="C47">
            <v>2166.3540649603574</v>
          </cell>
          <cell r="D47">
            <v>2292.9895277338042</v>
          </cell>
        </row>
        <row r="48">
          <cell r="A48" t="str">
            <v>Vegetables</v>
          </cell>
          <cell r="B48" t="str">
            <v>Afar</v>
          </cell>
          <cell r="C48">
            <v>2121.6537116452819</v>
          </cell>
          <cell r="D48">
            <v>2451.5002339900661</v>
          </cell>
        </row>
        <row r="49">
          <cell r="A49" t="str">
            <v>Vegetables</v>
          </cell>
          <cell r="B49" t="str">
            <v>Amhara</v>
          </cell>
          <cell r="C49">
            <v>2988.902084064523</v>
          </cell>
          <cell r="D49">
            <v>2895.2417897474966</v>
          </cell>
        </row>
        <row r="50">
          <cell r="A50" t="str">
            <v>Vegetables</v>
          </cell>
          <cell r="B50" t="str">
            <v>Gumuz</v>
          </cell>
          <cell r="C50">
            <v>2098.0474250745119</v>
          </cell>
          <cell r="D50">
            <v>2138.2259806317797</v>
          </cell>
        </row>
        <row r="51">
          <cell r="A51" t="str">
            <v>Vegetables</v>
          </cell>
          <cell r="B51" t="str">
            <v>DireDawa</v>
          </cell>
          <cell r="C51">
            <v>2081.8933752837966</v>
          </cell>
          <cell r="D51">
            <v>2126.9404148659387</v>
          </cell>
        </row>
        <row r="52">
          <cell r="A52" t="str">
            <v>Vegetables</v>
          </cell>
          <cell r="B52" t="str">
            <v>Gambela</v>
          </cell>
          <cell r="C52">
            <v>2064.1533068066719</v>
          </cell>
          <cell r="D52">
            <v>2331.5366680049665</v>
          </cell>
        </row>
        <row r="53">
          <cell r="A53" t="str">
            <v>Vegetables</v>
          </cell>
          <cell r="B53" t="str">
            <v>Harari</v>
          </cell>
          <cell r="C53">
            <v>2101.9578162891166</v>
          </cell>
          <cell r="D53">
            <v>2247.3857108746829</v>
          </cell>
        </row>
        <row r="54">
          <cell r="A54" t="str">
            <v>Vegetables</v>
          </cell>
          <cell r="B54" t="str">
            <v>Oromia</v>
          </cell>
          <cell r="C54">
            <v>2992.0622465981742</v>
          </cell>
          <cell r="D54">
            <v>2284.680014731764</v>
          </cell>
        </row>
        <row r="55">
          <cell r="A55" t="str">
            <v>Vegetables</v>
          </cell>
          <cell r="B55" t="str">
            <v>Somali</v>
          </cell>
          <cell r="C55">
            <v>2188.5469381214398</v>
          </cell>
          <cell r="D55">
            <v>2652.9089589036134</v>
          </cell>
        </row>
        <row r="56">
          <cell r="A56" t="str">
            <v>Vegetables</v>
          </cell>
          <cell r="B56" t="str">
            <v>SNNPR</v>
          </cell>
          <cell r="C56">
            <v>2533.8325941248954</v>
          </cell>
          <cell r="D56">
            <v>2855.4204776312818</v>
          </cell>
        </row>
        <row r="57">
          <cell r="A57" t="str">
            <v>Vegetables</v>
          </cell>
          <cell r="B57" t="str">
            <v>Tigray</v>
          </cell>
          <cell r="C57">
            <v>2720.9180015035486</v>
          </cell>
          <cell r="D57">
            <v>2854.8845489065475</v>
          </cell>
        </row>
        <row r="58">
          <cell r="A58" t="str">
            <v>Coffee</v>
          </cell>
          <cell r="B58" t="str">
            <v>AddisAbaba</v>
          </cell>
          <cell r="C58">
            <v>2554.3437232616552</v>
          </cell>
          <cell r="D58">
            <v>2461.5660801360368</v>
          </cell>
        </row>
        <row r="59">
          <cell r="A59" t="str">
            <v>Coffee</v>
          </cell>
          <cell r="B59" t="str">
            <v>Afar</v>
          </cell>
          <cell r="C59">
            <v>2372.9159227053829</v>
          </cell>
          <cell r="D59">
            <v>2915.8833331876099</v>
          </cell>
        </row>
        <row r="60">
          <cell r="A60" t="str">
            <v>Coffee</v>
          </cell>
          <cell r="B60" t="str">
            <v>Amhara</v>
          </cell>
          <cell r="C60">
            <v>2200.319386643594</v>
          </cell>
          <cell r="D60">
            <v>2377.4890143504617</v>
          </cell>
        </row>
        <row r="61">
          <cell r="A61" t="str">
            <v>Coffee</v>
          </cell>
          <cell r="B61" t="str">
            <v>Gumuz</v>
          </cell>
          <cell r="C61">
            <v>2641.2993209454244</v>
          </cell>
          <cell r="D61">
            <v>2942.4179684705246</v>
          </cell>
        </row>
        <row r="62">
          <cell r="A62" t="str">
            <v>Coffee</v>
          </cell>
          <cell r="B62" t="str">
            <v>DireDawa</v>
          </cell>
          <cell r="C62">
            <v>2197.8120728593231</v>
          </cell>
          <cell r="D62">
            <v>2297.0131821389482</v>
          </cell>
        </row>
        <row r="63">
          <cell r="A63" t="str">
            <v>Coffee</v>
          </cell>
          <cell r="B63" t="str">
            <v>Gambela</v>
          </cell>
          <cell r="C63">
            <v>2632.4476716614477</v>
          </cell>
          <cell r="D63">
            <v>2046.7211462163264</v>
          </cell>
        </row>
        <row r="64">
          <cell r="A64" t="str">
            <v>Coffee</v>
          </cell>
          <cell r="B64" t="str">
            <v>Harari</v>
          </cell>
          <cell r="C64">
            <v>2962.4335677113786</v>
          </cell>
          <cell r="D64">
            <v>2777.2409983581783</v>
          </cell>
        </row>
        <row r="65">
          <cell r="A65" t="str">
            <v>Coffee</v>
          </cell>
          <cell r="B65" t="str">
            <v>Oromia</v>
          </cell>
          <cell r="C65">
            <v>2886.8484643384782</v>
          </cell>
          <cell r="D65">
            <v>2354.4637072404012</v>
          </cell>
        </row>
        <row r="66">
          <cell r="A66" t="str">
            <v>Coffee</v>
          </cell>
          <cell r="B66" t="str">
            <v>Somali</v>
          </cell>
          <cell r="C66">
            <v>2594.6317758208361</v>
          </cell>
          <cell r="D66">
            <v>2420.2244891000419</v>
          </cell>
        </row>
        <row r="67">
          <cell r="A67" t="str">
            <v>Coffee</v>
          </cell>
          <cell r="B67" t="str">
            <v>SNNPR</v>
          </cell>
          <cell r="C67">
            <v>2427.1110077020207</v>
          </cell>
          <cell r="D67">
            <v>2380.654211876878</v>
          </cell>
        </row>
        <row r="68">
          <cell r="A68" t="str">
            <v>Coffee</v>
          </cell>
          <cell r="B68" t="str">
            <v>Tigray</v>
          </cell>
          <cell r="C68">
            <v>2948.3662166602535</v>
          </cell>
          <cell r="D68">
            <v>2316.2501768944308</v>
          </cell>
        </row>
      </sheetData>
      <sheetData sheetId="10">
        <row r="1">
          <cell r="C1" t="str">
            <v>Belg</v>
          </cell>
          <cell r="D1" t="str">
            <v>Kremt</v>
          </cell>
        </row>
        <row r="2">
          <cell r="C2">
            <v>2015</v>
          </cell>
          <cell r="D2">
            <v>2015</v>
          </cell>
        </row>
        <row r="3">
          <cell r="A3" t="str">
            <v>Teff</v>
          </cell>
          <cell r="B3" t="str">
            <v>AddisAbaba</v>
          </cell>
          <cell r="C3">
            <v>31.650318597310974</v>
          </cell>
          <cell r="D3">
            <v>28.450580832701078</v>
          </cell>
        </row>
        <row r="4">
          <cell r="A4" t="str">
            <v>Teff</v>
          </cell>
          <cell r="B4" t="str">
            <v>Afar</v>
          </cell>
          <cell r="C4">
            <v>30.024432411688672</v>
          </cell>
          <cell r="D4">
            <v>27.991818705714273</v>
          </cell>
        </row>
        <row r="5">
          <cell r="A5" t="str">
            <v>Teff</v>
          </cell>
          <cell r="B5" t="str">
            <v>Amhara</v>
          </cell>
          <cell r="C5">
            <v>30.796635839698428</v>
          </cell>
          <cell r="D5">
            <v>32.161570118005486</v>
          </cell>
        </row>
        <row r="6">
          <cell r="A6" t="str">
            <v>Teff</v>
          </cell>
          <cell r="B6" t="str">
            <v>Gumuz</v>
          </cell>
          <cell r="C6">
            <v>30.88490755317741</v>
          </cell>
          <cell r="D6">
            <v>26.297061498975648</v>
          </cell>
        </row>
        <row r="7">
          <cell r="A7" t="str">
            <v>Teff</v>
          </cell>
          <cell r="B7" t="str">
            <v>DireDawa</v>
          </cell>
          <cell r="C7">
            <v>31.113591074346783</v>
          </cell>
          <cell r="D7">
            <v>33.820756860464428</v>
          </cell>
        </row>
        <row r="8">
          <cell r="A8" t="str">
            <v>Teff</v>
          </cell>
          <cell r="B8" t="str">
            <v>Gambela</v>
          </cell>
          <cell r="C8">
            <v>28.12368428892561</v>
          </cell>
          <cell r="D8">
            <v>27.781498107956182</v>
          </cell>
        </row>
        <row r="9">
          <cell r="A9" t="str">
            <v>Teff</v>
          </cell>
          <cell r="B9" t="str">
            <v>Harari</v>
          </cell>
          <cell r="C9">
            <v>25.917832259241536</v>
          </cell>
          <cell r="D9">
            <v>34.34401369627335</v>
          </cell>
        </row>
        <row r="10">
          <cell r="A10" t="str">
            <v>Teff</v>
          </cell>
          <cell r="B10" t="str">
            <v>Oromia</v>
          </cell>
          <cell r="C10">
            <v>26.532740544221497</v>
          </cell>
          <cell r="D10">
            <v>32.111140821731006</v>
          </cell>
        </row>
        <row r="11">
          <cell r="A11" t="str">
            <v>Teff</v>
          </cell>
          <cell r="B11" t="str">
            <v>Somali</v>
          </cell>
          <cell r="C11">
            <v>25.895467953604228</v>
          </cell>
          <cell r="D11">
            <v>25.724138110811108</v>
          </cell>
        </row>
        <row r="12">
          <cell r="A12" t="str">
            <v>Teff</v>
          </cell>
          <cell r="B12" t="str">
            <v>SNNPR</v>
          </cell>
          <cell r="C12">
            <v>34.604124683882787</v>
          </cell>
          <cell r="D12">
            <v>32.517256786696585</v>
          </cell>
        </row>
        <row r="13">
          <cell r="A13" t="str">
            <v>Teff</v>
          </cell>
          <cell r="B13" t="str">
            <v>Tigray</v>
          </cell>
          <cell r="C13">
            <v>26.513745976546272</v>
          </cell>
          <cell r="D13">
            <v>34.46814964862569</v>
          </cell>
        </row>
        <row r="14">
          <cell r="A14" t="str">
            <v>Sorghum</v>
          </cell>
          <cell r="B14" t="str">
            <v>AddisAbaba</v>
          </cell>
          <cell r="C14">
            <v>32.547949342199423</v>
          </cell>
          <cell r="D14">
            <v>25.394786390936481</v>
          </cell>
        </row>
        <row r="15">
          <cell r="A15" t="str">
            <v>Sorghum</v>
          </cell>
          <cell r="B15" t="str">
            <v>Afar</v>
          </cell>
          <cell r="C15">
            <v>27.887649748621996</v>
          </cell>
          <cell r="D15">
            <v>26.847977218037403</v>
          </cell>
        </row>
        <row r="16">
          <cell r="A16" t="str">
            <v>Sorghum</v>
          </cell>
          <cell r="B16" t="str">
            <v>Amhara</v>
          </cell>
          <cell r="C16">
            <v>32.479257188018437</v>
          </cell>
          <cell r="D16">
            <v>30.883668108696817</v>
          </cell>
        </row>
        <row r="17">
          <cell r="A17" t="str">
            <v>Sorghum</v>
          </cell>
          <cell r="B17" t="str">
            <v>Gumuz</v>
          </cell>
          <cell r="C17">
            <v>25.701735134918913</v>
          </cell>
          <cell r="D17">
            <v>26.167197604121775</v>
          </cell>
        </row>
        <row r="18">
          <cell r="A18" t="str">
            <v>Sorghum</v>
          </cell>
          <cell r="B18" t="str">
            <v>DireDawa</v>
          </cell>
          <cell r="C18">
            <v>33.271058066277732</v>
          </cell>
          <cell r="D18">
            <v>33.333822308742398</v>
          </cell>
        </row>
        <row r="19">
          <cell r="A19" t="str">
            <v>Sorghum</v>
          </cell>
          <cell r="B19" t="str">
            <v>Gambela</v>
          </cell>
          <cell r="C19">
            <v>28.834093463805974</v>
          </cell>
          <cell r="D19">
            <v>32.925601766269537</v>
          </cell>
        </row>
        <row r="20">
          <cell r="A20" t="str">
            <v>Sorghum</v>
          </cell>
          <cell r="B20" t="str">
            <v>Harari</v>
          </cell>
          <cell r="C20">
            <v>34.507147283908189</v>
          </cell>
          <cell r="D20">
            <v>27.622751875058572</v>
          </cell>
        </row>
        <row r="21">
          <cell r="A21" t="str">
            <v>Sorghum</v>
          </cell>
          <cell r="B21" t="str">
            <v>Oromia</v>
          </cell>
          <cell r="C21">
            <v>26.182032514858129</v>
          </cell>
          <cell r="D21">
            <v>34.597303576827436</v>
          </cell>
        </row>
        <row r="22">
          <cell r="A22" t="str">
            <v>Sorghum</v>
          </cell>
          <cell r="B22" t="str">
            <v>Somali</v>
          </cell>
          <cell r="C22">
            <v>31.480872626771756</v>
          </cell>
          <cell r="D22">
            <v>25.007559169063324</v>
          </cell>
        </row>
        <row r="23">
          <cell r="A23" t="str">
            <v>Sorghum</v>
          </cell>
          <cell r="B23" t="str">
            <v>SNNPR</v>
          </cell>
          <cell r="C23">
            <v>26.451995099614983</v>
          </cell>
          <cell r="D23">
            <v>28.534676942320552</v>
          </cell>
        </row>
        <row r="24">
          <cell r="A24" t="str">
            <v>Sorghum</v>
          </cell>
          <cell r="B24" t="str">
            <v>Tigray</v>
          </cell>
          <cell r="C24">
            <v>28.222465048976872</v>
          </cell>
          <cell r="D24">
            <v>26.786402915101025</v>
          </cell>
        </row>
        <row r="25">
          <cell r="A25" t="str">
            <v>Maize</v>
          </cell>
          <cell r="B25" t="str">
            <v>AddisAbaba</v>
          </cell>
          <cell r="C25">
            <v>33.518652707292127</v>
          </cell>
          <cell r="D25">
            <v>32.197365235081364</v>
          </cell>
        </row>
        <row r="26">
          <cell r="A26" t="str">
            <v>Maize</v>
          </cell>
          <cell r="B26" t="str">
            <v>Afar</v>
          </cell>
          <cell r="C26">
            <v>28.242971013535112</v>
          </cell>
          <cell r="D26">
            <v>27.483136402397768</v>
          </cell>
        </row>
        <row r="27">
          <cell r="A27" t="str">
            <v>Maize</v>
          </cell>
          <cell r="B27" t="str">
            <v>Amhara</v>
          </cell>
          <cell r="C27">
            <v>31.758590514115063</v>
          </cell>
          <cell r="D27">
            <v>30.633719575087035</v>
          </cell>
        </row>
        <row r="28">
          <cell r="A28" t="str">
            <v>Maize</v>
          </cell>
          <cell r="B28" t="str">
            <v>Gumuz</v>
          </cell>
          <cell r="C28">
            <v>32.280089665234932</v>
          </cell>
          <cell r="D28">
            <v>31.929639897965252</v>
          </cell>
        </row>
        <row r="29">
          <cell r="A29" t="str">
            <v>Maize</v>
          </cell>
          <cell r="B29" t="str">
            <v>DireDawa</v>
          </cell>
          <cell r="C29">
            <v>27.854589666373613</v>
          </cell>
          <cell r="D29">
            <v>29.949408819249584</v>
          </cell>
        </row>
        <row r="30">
          <cell r="A30" t="str">
            <v>Maize</v>
          </cell>
          <cell r="B30" t="str">
            <v>Gambela</v>
          </cell>
          <cell r="C30">
            <v>34.773759375038722</v>
          </cell>
          <cell r="D30">
            <v>33.354895536065506</v>
          </cell>
        </row>
        <row r="31">
          <cell r="A31" t="str">
            <v>Maize</v>
          </cell>
          <cell r="B31" t="str">
            <v>Harari</v>
          </cell>
          <cell r="C31">
            <v>34.35519719725788</v>
          </cell>
          <cell r="D31">
            <v>31.759483480192145</v>
          </cell>
        </row>
        <row r="32">
          <cell r="A32" t="str">
            <v>Maize</v>
          </cell>
          <cell r="B32" t="str">
            <v>Oromia</v>
          </cell>
          <cell r="C32">
            <v>28.949451872282825</v>
          </cell>
          <cell r="D32">
            <v>28.938876700221371</v>
          </cell>
        </row>
        <row r="33">
          <cell r="A33" t="str">
            <v>Maize</v>
          </cell>
          <cell r="B33" t="str">
            <v>Somali</v>
          </cell>
          <cell r="C33">
            <v>27.075580907291659</v>
          </cell>
          <cell r="D33">
            <v>27.903018457861478</v>
          </cell>
        </row>
        <row r="34">
          <cell r="A34" t="str">
            <v>Maize</v>
          </cell>
          <cell r="B34" t="str">
            <v>SNNPR</v>
          </cell>
          <cell r="C34">
            <v>31.598137452491653</v>
          </cell>
          <cell r="D34">
            <v>33.968708411977182</v>
          </cell>
        </row>
        <row r="35">
          <cell r="A35" t="str">
            <v>Maize</v>
          </cell>
          <cell r="B35" t="str">
            <v>Tigray</v>
          </cell>
          <cell r="C35">
            <v>30.614474822506192</v>
          </cell>
          <cell r="D35">
            <v>33.645063690535949</v>
          </cell>
        </row>
        <row r="36">
          <cell r="A36" t="str">
            <v>Lentils</v>
          </cell>
          <cell r="B36" t="str">
            <v>AddisAbaba</v>
          </cell>
          <cell r="C36">
            <v>33.916661628394429</v>
          </cell>
          <cell r="D36">
            <v>32.902719925294186</v>
          </cell>
        </row>
        <row r="37">
          <cell r="A37" t="str">
            <v>Lentils</v>
          </cell>
          <cell r="B37" t="str">
            <v>Afar</v>
          </cell>
          <cell r="C37">
            <v>30.393377844628798</v>
          </cell>
          <cell r="D37">
            <v>27.551597916108889</v>
          </cell>
        </row>
        <row r="38">
          <cell r="A38" t="str">
            <v>Lentils</v>
          </cell>
          <cell r="B38" t="str">
            <v>Amhara</v>
          </cell>
          <cell r="C38">
            <v>34.995563657670161</v>
          </cell>
          <cell r="D38">
            <v>32.286228826395686</v>
          </cell>
        </row>
        <row r="39">
          <cell r="A39" t="str">
            <v>Lentils</v>
          </cell>
          <cell r="B39" t="str">
            <v>Gumuz</v>
          </cell>
          <cell r="C39">
            <v>28.124079200937636</v>
          </cell>
          <cell r="D39">
            <v>27.810747094285844</v>
          </cell>
        </row>
        <row r="40">
          <cell r="A40" t="str">
            <v>Lentils</v>
          </cell>
          <cell r="B40" t="str">
            <v>DireDawa</v>
          </cell>
          <cell r="C40">
            <v>34.584641262448947</v>
          </cell>
          <cell r="D40">
            <v>27.843296310273789</v>
          </cell>
        </row>
        <row r="41">
          <cell r="A41" t="str">
            <v>Lentils</v>
          </cell>
          <cell r="B41" t="str">
            <v>Gambela</v>
          </cell>
          <cell r="C41">
            <v>33.076962113020187</v>
          </cell>
          <cell r="D41">
            <v>29.927627549220137</v>
          </cell>
        </row>
        <row r="42">
          <cell r="A42" t="str">
            <v>Lentils</v>
          </cell>
          <cell r="B42" t="str">
            <v>Harari</v>
          </cell>
          <cell r="C42">
            <v>34.257261219180457</v>
          </cell>
          <cell r="D42">
            <v>26.540161034746419</v>
          </cell>
        </row>
        <row r="43">
          <cell r="A43" t="str">
            <v>Lentils</v>
          </cell>
          <cell r="B43" t="str">
            <v>Oromia</v>
          </cell>
          <cell r="C43">
            <v>34.648589533989139</v>
          </cell>
          <cell r="D43">
            <v>27.961988701854345</v>
          </cell>
        </row>
        <row r="44">
          <cell r="A44" t="str">
            <v>Lentils</v>
          </cell>
          <cell r="B44" t="str">
            <v>Somali</v>
          </cell>
          <cell r="C44">
            <v>25.454026497891086</v>
          </cell>
          <cell r="D44">
            <v>34.016997889025362</v>
          </cell>
        </row>
        <row r="45">
          <cell r="A45" t="str">
            <v>Lentils</v>
          </cell>
          <cell r="B45" t="str">
            <v>SNNPR</v>
          </cell>
          <cell r="C45">
            <v>34.73582641550999</v>
          </cell>
          <cell r="D45">
            <v>27.388930327622376</v>
          </cell>
        </row>
        <row r="46">
          <cell r="A46" t="str">
            <v>Lentils</v>
          </cell>
          <cell r="B46" t="str">
            <v>Tigray</v>
          </cell>
          <cell r="C46">
            <v>25.55968479871305</v>
          </cell>
          <cell r="D46">
            <v>28.978217736933523</v>
          </cell>
        </row>
        <row r="47">
          <cell r="A47" t="str">
            <v>Vegetables</v>
          </cell>
          <cell r="B47" t="str">
            <v>AddisAbaba</v>
          </cell>
          <cell r="C47">
            <v>25.820851403783522</v>
          </cell>
          <cell r="D47">
            <v>27.018306650588585</v>
          </cell>
        </row>
        <row r="48">
          <cell r="A48" t="str">
            <v>Vegetables</v>
          </cell>
          <cell r="B48" t="str">
            <v>Afar</v>
          </cell>
          <cell r="C48">
            <v>29.423946342504795</v>
          </cell>
          <cell r="D48">
            <v>31.446357351375202</v>
          </cell>
        </row>
        <row r="49">
          <cell r="A49" t="str">
            <v>Vegetables</v>
          </cell>
          <cell r="B49" t="str">
            <v>Amhara</v>
          </cell>
          <cell r="C49">
            <v>32.769846645305208</v>
          </cell>
          <cell r="D49">
            <v>27.909996341092786</v>
          </cell>
        </row>
        <row r="50">
          <cell r="A50" t="str">
            <v>Vegetables</v>
          </cell>
          <cell r="B50" t="str">
            <v>Gumuz</v>
          </cell>
          <cell r="C50">
            <v>27.284008029156848</v>
          </cell>
          <cell r="D50">
            <v>29.410604658664102</v>
          </cell>
        </row>
        <row r="51">
          <cell r="A51" t="str">
            <v>Vegetables</v>
          </cell>
          <cell r="B51" t="str">
            <v>DireDawa</v>
          </cell>
          <cell r="C51">
            <v>26.017059069830893</v>
          </cell>
          <cell r="D51">
            <v>29.677876926921503</v>
          </cell>
        </row>
        <row r="52">
          <cell r="A52" t="str">
            <v>Vegetables</v>
          </cell>
          <cell r="B52" t="str">
            <v>Gambela</v>
          </cell>
          <cell r="C52">
            <v>29.521476051687607</v>
          </cell>
          <cell r="D52">
            <v>33.745080373799873</v>
          </cell>
        </row>
        <row r="53">
          <cell r="A53" t="str">
            <v>Vegetables</v>
          </cell>
          <cell r="B53" t="str">
            <v>Harari</v>
          </cell>
          <cell r="C53">
            <v>33.416896740553845</v>
          </cell>
          <cell r="D53">
            <v>25.674613721605812</v>
          </cell>
        </row>
        <row r="54">
          <cell r="A54" t="str">
            <v>Vegetables</v>
          </cell>
          <cell r="B54" t="str">
            <v>Oromia</v>
          </cell>
          <cell r="C54">
            <v>33.739942928228203</v>
          </cell>
          <cell r="D54">
            <v>26.132472046946219</v>
          </cell>
        </row>
        <row r="55">
          <cell r="A55" t="str">
            <v>Vegetables</v>
          </cell>
          <cell r="B55" t="str">
            <v>Somali</v>
          </cell>
          <cell r="C55">
            <v>27.572446741656282</v>
          </cell>
          <cell r="D55">
            <v>34.313340286202219</v>
          </cell>
        </row>
        <row r="56">
          <cell r="A56" t="str">
            <v>Vegetables</v>
          </cell>
          <cell r="B56" t="str">
            <v>SNNPR</v>
          </cell>
          <cell r="C56">
            <v>30.129838723323807</v>
          </cell>
          <cell r="D56">
            <v>33.686175381058433</v>
          </cell>
        </row>
        <row r="57">
          <cell r="A57" t="str">
            <v>Vegetables</v>
          </cell>
          <cell r="B57" t="str">
            <v>Tigray</v>
          </cell>
          <cell r="C57">
            <v>34.444554951624852</v>
          </cell>
          <cell r="D57">
            <v>26.838440422300764</v>
          </cell>
        </row>
        <row r="58">
          <cell r="A58" t="str">
            <v>Coffee</v>
          </cell>
          <cell r="B58" t="str">
            <v>AddisAbaba</v>
          </cell>
          <cell r="C58">
            <v>25.419829457333041</v>
          </cell>
          <cell r="D58">
            <v>27.884561118304894</v>
          </cell>
        </row>
        <row r="59">
          <cell r="A59" t="str">
            <v>Coffee</v>
          </cell>
          <cell r="B59" t="str">
            <v>Afar</v>
          </cell>
          <cell r="C59">
            <v>31.877478316873425</v>
          </cell>
          <cell r="D59">
            <v>32.008324487543163</v>
          </cell>
        </row>
        <row r="60">
          <cell r="A60" t="str">
            <v>Coffee</v>
          </cell>
          <cell r="B60" t="str">
            <v>Amhara</v>
          </cell>
          <cell r="C60">
            <v>27.35666570543545</v>
          </cell>
          <cell r="D60">
            <v>34.63734499393847</v>
          </cell>
        </row>
        <row r="61">
          <cell r="A61" t="str">
            <v>Coffee</v>
          </cell>
          <cell r="B61" t="str">
            <v>Gumuz</v>
          </cell>
          <cell r="C61">
            <v>28.174091736756218</v>
          </cell>
          <cell r="D61">
            <v>34.171910755408646</v>
          </cell>
        </row>
        <row r="62">
          <cell r="A62" t="str">
            <v>Coffee</v>
          </cell>
          <cell r="B62" t="str">
            <v>DireDawa</v>
          </cell>
          <cell r="C62">
            <v>26.43129853032594</v>
          </cell>
          <cell r="D62">
            <v>29.723941955337313</v>
          </cell>
        </row>
        <row r="63">
          <cell r="A63" t="str">
            <v>Coffee</v>
          </cell>
          <cell r="B63" t="str">
            <v>Gambela</v>
          </cell>
          <cell r="C63">
            <v>31.163674613987805</v>
          </cell>
          <cell r="D63">
            <v>33.558244651789686</v>
          </cell>
        </row>
        <row r="64">
          <cell r="A64" t="str">
            <v>Coffee</v>
          </cell>
          <cell r="B64" t="str">
            <v>Harari</v>
          </cell>
          <cell r="C64">
            <v>25.297137182170076</v>
          </cell>
          <cell r="D64">
            <v>32.553569175349679</v>
          </cell>
        </row>
        <row r="65">
          <cell r="A65" t="str">
            <v>Coffee</v>
          </cell>
          <cell r="B65" t="str">
            <v>Oromia</v>
          </cell>
          <cell r="C65">
            <v>30.292509734249435</v>
          </cell>
          <cell r="D65">
            <v>25.861079429090847</v>
          </cell>
        </row>
        <row r="66">
          <cell r="A66" t="str">
            <v>Coffee</v>
          </cell>
          <cell r="B66" t="str">
            <v>Somali</v>
          </cell>
          <cell r="C66">
            <v>33.307449955960521</v>
          </cell>
          <cell r="D66">
            <v>27.261316275822487</v>
          </cell>
        </row>
        <row r="67">
          <cell r="A67" t="str">
            <v>Coffee</v>
          </cell>
          <cell r="B67" t="str">
            <v>SNNPR</v>
          </cell>
          <cell r="C67">
            <v>29.938045825724039</v>
          </cell>
          <cell r="D67">
            <v>33.166167828990609</v>
          </cell>
        </row>
        <row r="68">
          <cell r="A68" t="str">
            <v>Coffee</v>
          </cell>
          <cell r="B68" t="str">
            <v>Tigray</v>
          </cell>
          <cell r="C68">
            <v>29.822531954805875</v>
          </cell>
          <cell r="D68">
            <v>29.540868335132817</v>
          </cell>
        </row>
      </sheetData>
      <sheetData sheetId="11">
        <row r="1">
          <cell r="B1" t="str">
            <v>Belg</v>
          </cell>
          <cell r="C1" t="str">
            <v>Kremt</v>
          </cell>
        </row>
        <row r="2">
          <cell r="B2">
            <v>2015</v>
          </cell>
          <cell r="C2">
            <v>2015</v>
          </cell>
        </row>
        <row r="3">
          <cell r="A3" t="str">
            <v>AddisAbaba</v>
          </cell>
          <cell r="B3">
            <v>502.83740947898048</v>
          </cell>
          <cell r="C3">
            <v>412.16288769145348</v>
          </cell>
        </row>
        <row r="4">
          <cell r="A4" t="str">
            <v>Afar</v>
          </cell>
          <cell r="B4">
            <v>50.643328883326383</v>
          </cell>
          <cell r="C4">
            <v>41.267157891648509</v>
          </cell>
        </row>
        <row r="5">
          <cell r="A5" t="str">
            <v>Amhara</v>
          </cell>
          <cell r="B5">
            <v>50.51293660465987</v>
          </cell>
          <cell r="C5">
            <v>44.871039298997403</v>
          </cell>
        </row>
        <row r="6">
          <cell r="A6" t="str">
            <v>Gumuz</v>
          </cell>
          <cell r="B6">
            <v>54.818360695559967</v>
          </cell>
          <cell r="C6">
            <v>42.559439609920837</v>
          </cell>
        </row>
        <row r="7">
          <cell r="A7" t="str">
            <v>DireDawa</v>
          </cell>
          <cell r="B7">
            <v>55.058970514203153</v>
          </cell>
          <cell r="C7">
            <v>40.660869489016065</v>
          </cell>
        </row>
        <row r="8">
          <cell r="A8" t="str">
            <v>Gambela</v>
          </cell>
          <cell r="B8">
            <v>52.328743549530778</v>
          </cell>
          <cell r="C8">
            <v>41.173254390453813</v>
          </cell>
        </row>
        <row r="9">
          <cell r="A9" t="str">
            <v>Harari</v>
          </cell>
          <cell r="B9">
            <v>55.761639753017803</v>
          </cell>
          <cell r="C9">
            <v>44.903358273932149</v>
          </cell>
        </row>
        <row r="10">
          <cell r="A10" t="str">
            <v>Oromia</v>
          </cell>
          <cell r="B10">
            <v>54.090468816472786</v>
          </cell>
          <cell r="C10">
            <v>43.725141652674154</v>
          </cell>
        </row>
        <row r="11">
          <cell r="A11" t="str">
            <v>Somali</v>
          </cell>
          <cell r="B11">
            <v>56.864819931232837</v>
          </cell>
          <cell r="C11">
            <v>42.864524548297737</v>
          </cell>
        </row>
        <row r="12">
          <cell r="A12" t="str">
            <v>SNNPR</v>
          </cell>
          <cell r="B12">
            <v>50.375015862955166</v>
          </cell>
          <cell r="C12">
            <v>40.140738913733202</v>
          </cell>
        </row>
        <row r="13">
          <cell r="A13" t="str">
            <v>Tigray</v>
          </cell>
          <cell r="B13">
            <v>51.74171476187054</v>
          </cell>
          <cell r="C13">
            <v>41.277298228569919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2"/>
  <sheetViews>
    <sheetView zoomScale="85" zoomScaleNormal="85" workbookViewId="0">
      <selection activeCell="C19" sqref="C19"/>
    </sheetView>
  </sheetViews>
  <sheetFormatPr defaultColWidth="11" defaultRowHeight="15.75" x14ac:dyDescent="0.25"/>
  <cols>
    <col min="2" max="2" width="14.5" bestFit="1" customWidth="1"/>
    <col min="3" max="3" width="12.375" bestFit="1" customWidth="1"/>
  </cols>
  <sheetData>
    <row r="1" spans="1:5" x14ac:dyDescent="0.25">
      <c r="D1" t="s">
        <v>21</v>
      </c>
      <c r="E1" t="s">
        <v>22</v>
      </c>
    </row>
    <row r="2" spans="1:5" x14ac:dyDescent="0.25">
      <c r="A2" t="s">
        <v>23</v>
      </c>
      <c r="B2" s="4" t="s">
        <v>68</v>
      </c>
      <c r="C2" t="s">
        <v>69</v>
      </c>
      <c r="D2">
        <v>2</v>
      </c>
      <c r="E2">
        <v>2</v>
      </c>
    </row>
    <row r="3" spans="1:5" x14ac:dyDescent="0.25">
      <c r="A3" t="s">
        <v>23</v>
      </c>
      <c r="B3" t="s">
        <v>35</v>
      </c>
      <c r="C3" t="s">
        <v>36</v>
      </c>
      <c r="D3">
        <v>1</v>
      </c>
      <c r="E3">
        <v>1</v>
      </c>
    </row>
    <row r="4" spans="1:5" x14ac:dyDescent="0.25">
      <c r="A4" t="s">
        <v>23</v>
      </c>
      <c r="B4" t="s">
        <v>37</v>
      </c>
      <c r="C4" t="s">
        <v>38</v>
      </c>
      <c r="D4">
        <v>1</v>
      </c>
      <c r="E4">
        <v>1</v>
      </c>
    </row>
    <row r="5" spans="1:5" x14ac:dyDescent="0.25">
      <c r="A5" t="s">
        <v>23</v>
      </c>
      <c r="B5" t="s">
        <v>39</v>
      </c>
      <c r="C5" t="s">
        <v>41</v>
      </c>
      <c r="D5">
        <v>1</v>
      </c>
      <c r="E5">
        <v>1</v>
      </c>
    </row>
    <row r="6" spans="1:5" x14ac:dyDescent="0.25">
      <c r="A6" t="s">
        <v>23</v>
      </c>
      <c r="B6" t="s">
        <v>40</v>
      </c>
      <c r="C6" t="s">
        <v>42</v>
      </c>
      <c r="D6">
        <v>1</v>
      </c>
      <c r="E6">
        <v>1</v>
      </c>
    </row>
    <row r="7" spans="1:5" x14ac:dyDescent="0.25">
      <c r="A7" t="s">
        <v>23</v>
      </c>
      <c r="B7" t="s">
        <v>43</v>
      </c>
      <c r="C7" t="s">
        <v>44</v>
      </c>
      <c r="D7">
        <v>1</v>
      </c>
      <c r="E7">
        <v>1</v>
      </c>
    </row>
    <row r="8" spans="1:5" x14ac:dyDescent="0.25">
      <c r="A8" t="s">
        <v>23</v>
      </c>
      <c r="B8" t="s">
        <v>45</v>
      </c>
      <c r="C8" t="s">
        <v>46</v>
      </c>
      <c r="D8">
        <v>1</v>
      </c>
      <c r="E8">
        <v>1</v>
      </c>
    </row>
    <row r="9" spans="1:5" x14ac:dyDescent="0.25">
      <c r="A9" t="s">
        <v>23</v>
      </c>
      <c r="B9" t="s">
        <v>48</v>
      </c>
      <c r="C9" t="s">
        <v>47</v>
      </c>
      <c r="D9">
        <v>1</v>
      </c>
      <c r="E9">
        <v>0</v>
      </c>
    </row>
    <row r="10" spans="1:5" x14ac:dyDescent="0.25">
      <c r="A10" t="s">
        <v>23</v>
      </c>
      <c r="B10" t="s">
        <v>49</v>
      </c>
      <c r="C10" t="s">
        <v>53</v>
      </c>
      <c r="D10">
        <v>1</v>
      </c>
      <c r="E10">
        <v>0</v>
      </c>
    </row>
    <row r="11" spans="1:5" x14ac:dyDescent="0.25">
      <c r="A11" t="s">
        <v>23</v>
      </c>
      <c r="B11" t="s">
        <v>50</v>
      </c>
      <c r="C11" t="s">
        <v>54</v>
      </c>
      <c r="D11">
        <v>1</v>
      </c>
      <c r="E11">
        <v>0</v>
      </c>
    </row>
    <row r="12" spans="1:5" x14ac:dyDescent="0.25">
      <c r="A12" t="s">
        <v>23</v>
      </c>
      <c r="B12" s="4" t="s">
        <v>78</v>
      </c>
      <c r="C12" t="s">
        <v>79</v>
      </c>
      <c r="D12">
        <v>1</v>
      </c>
      <c r="E12">
        <v>1</v>
      </c>
    </row>
    <row r="13" spans="1:5" x14ac:dyDescent="0.25">
      <c r="A13" t="s">
        <v>23</v>
      </c>
      <c r="B13" s="4" t="s">
        <v>77</v>
      </c>
      <c r="C13" t="s">
        <v>80</v>
      </c>
      <c r="D13">
        <v>1</v>
      </c>
      <c r="E13">
        <v>1</v>
      </c>
    </row>
    <row r="14" spans="1:5" x14ac:dyDescent="0.25">
      <c r="A14" t="s">
        <v>23</v>
      </c>
      <c r="B14" t="s">
        <v>70</v>
      </c>
      <c r="C14" t="s">
        <v>81</v>
      </c>
      <c r="D14">
        <v>2</v>
      </c>
      <c r="E14">
        <v>2</v>
      </c>
    </row>
    <row r="15" spans="1:5" x14ac:dyDescent="0.25">
      <c r="A15" t="s">
        <v>23</v>
      </c>
      <c r="B15" t="s">
        <v>29</v>
      </c>
      <c r="C15" t="s">
        <v>31</v>
      </c>
      <c r="D15">
        <v>1</v>
      </c>
      <c r="E15">
        <v>1</v>
      </c>
    </row>
    <row r="16" spans="1:5" x14ac:dyDescent="0.25">
      <c r="A16" t="s">
        <v>23</v>
      </c>
      <c r="B16" t="s">
        <v>30</v>
      </c>
      <c r="C16" t="s">
        <v>32</v>
      </c>
      <c r="D16">
        <v>1</v>
      </c>
      <c r="E16">
        <v>1</v>
      </c>
    </row>
    <row r="17" spans="1:5" x14ac:dyDescent="0.25">
      <c r="A17" t="s">
        <v>23</v>
      </c>
      <c r="B17" s="4" t="s">
        <v>51</v>
      </c>
      <c r="C17" t="s">
        <v>33</v>
      </c>
      <c r="D17">
        <v>1</v>
      </c>
      <c r="E17">
        <v>0</v>
      </c>
    </row>
    <row r="18" spans="1:5" x14ac:dyDescent="0.25">
      <c r="A18" t="s">
        <v>23</v>
      </c>
      <c r="B18" s="4" t="s">
        <v>52</v>
      </c>
      <c r="C18" t="s">
        <v>34</v>
      </c>
      <c r="D18">
        <v>1</v>
      </c>
      <c r="E18">
        <v>1</v>
      </c>
    </row>
    <row r="19" spans="1:5" x14ac:dyDescent="0.25">
      <c r="A19" t="s">
        <v>23</v>
      </c>
      <c r="B19" s="4" t="s">
        <v>24</v>
      </c>
      <c r="C19" s="4" t="s">
        <v>25</v>
      </c>
      <c r="D19">
        <v>2</v>
      </c>
      <c r="E19">
        <v>2</v>
      </c>
    </row>
    <row r="20" spans="1:5" x14ac:dyDescent="0.25">
      <c r="A20" t="s">
        <v>23</v>
      </c>
      <c r="B20" s="4" t="s">
        <v>27</v>
      </c>
      <c r="C20" t="s">
        <v>28</v>
      </c>
      <c r="D20">
        <v>1</v>
      </c>
      <c r="E20">
        <v>0</v>
      </c>
    </row>
    <row r="21" spans="1:5" x14ac:dyDescent="0.25">
      <c r="A21" t="s">
        <v>15</v>
      </c>
      <c r="B21" s="4" t="s">
        <v>55</v>
      </c>
      <c r="C21" t="s">
        <v>56</v>
      </c>
      <c r="D21">
        <v>1</v>
      </c>
      <c r="E21">
        <v>1</v>
      </c>
    </row>
    <row r="22" spans="1:5" x14ac:dyDescent="0.25">
      <c r="A22" t="s">
        <v>15</v>
      </c>
      <c r="B22" s="4" t="s">
        <v>67</v>
      </c>
      <c r="C22" t="s">
        <v>26</v>
      </c>
      <c r="D22">
        <v>1</v>
      </c>
      <c r="E22">
        <v>1</v>
      </c>
    </row>
    <row r="23" spans="1:5" x14ac:dyDescent="0.25">
      <c r="A23" t="s">
        <v>23</v>
      </c>
      <c r="B23" t="s">
        <v>59</v>
      </c>
      <c r="C23" t="s">
        <v>60</v>
      </c>
      <c r="D23">
        <v>1</v>
      </c>
      <c r="E23">
        <v>1</v>
      </c>
    </row>
    <row r="24" spans="1:5" x14ac:dyDescent="0.25">
      <c r="A24" t="s">
        <v>23</v>
      </c>
      <c r="B24" t="s">
        <v>57</v>
      </c>
      <c r="C24" t="s">
        <v>58</v>
      </c>
      <c r="D24">
        <v>1</v>
      </c>
      <c r="E24">
        <v>1</v>
      </c>
    </row>
    <row r="25" spans="1:5" x14ac:dyDescent="0.25">
      <c r="A25" t="s">
        <v>15</v>
      </c>
      <c r="B25" s="4" t="s">
        <v>61</v>
      </c>
      <c r="C25" t="s">
        <v>16</v>
      </c>
      <c r="D25">
        <v>1</v>
      </c>
      <c r="E25">
        <v>0</v>
      </c>
    </row>
    <row r="26" spans="1:5" x14ac:dyDescent="0.25">
      <c r="A26" t="s">
        <v>15</v>
      </c>
      <c r="B26" s="4" t="s">
        <v>62</v>
      </c>
      <c r="C26" t="s">
        <v>17</v>
      </c>
      <c r="D26">
        <v>1</v>
      </c>
      <c r="E26">
        <v>0</v>
      </c>
    </row>
    <row r="27" spans="1:5" x14ac:dyDescent="0.25">
      <c r="A27" t="s">
        <v>15</v>
      </c>
      <c r="B27" s="4" t="s">
        <v>63</v>
      </c>
      <c r="C27" t="s">
        <v>18</v>
      </c>
      <c r="D27">
        <v>1</v>
      </c>
      <c r="E27">
        <v>0</v>
      </c>
    </row>
    <row r="28" spans="1:5" x14ac:dyDescent="0.25">
      <c r="A28" t="s">
        <v>15</v>
      </c>
      <c r="B28" s="4" t="s">
        <v>64</v>
      </c>
      <c r="C28" t="s">
        <v>19</v>
      </c>
      <c r="D28">
        <v>1</v>
      </c>
      <c r="E28">
        <v>0</v>
      </c>
    </row>
    <row r="29" spans="1:5" x14ac:dyDescent="0.25">
      <c r="A29" t="s">
        <v>15</v>
      </c>
      <c r="B29" s="4" t="s">
        <v>65</v>
      </c>
      <c r="C29" t="s">
        <v>66</v>
      </c>
      <c r="D29">
        <v>1</v>
      </c>
      <c r="E29">
        <v>0</v>
      </c>
    </row>
    <row r="30" spans="1:5" x14ac:dyDescent="0.25">
      <c r="A30" t="s">
        <v>23</v>
      </c>
      <c r="B30" s="4" t="s">
        <v>71</v>
      </c>
      <c r="C30" t="s">
        <v>73</v>
      </c>
      <c r="D30">
        <v>2</v>
      </c>
      <c r="E30">
        <v>2</v>
      </c>
    </row>
    <row r="31" spans="1:5" x14ac:dyDescent="0.25">
      <c r="A31" t="s">
        <v>23</v>
      </c>
      <c r="B31" s="4" t="s">
        <v>72</v>
      </c>
      <c r="C31" t="s">
        <v>74</v>
      </c>
      <c r="D31">
        <v>2</v>
      </c>
      <c r="E31">
        <v>2</v>
      </c>
    </row>
    <row r="32" spans="1:5" x14ac:dyDescent="0.25">
      <c r="A32" t="s">
        <v>23</v>
      </c>
      <c r="B32" s="4" t="s">
        <v>75</v>
      </c>
      <c r="C32" t="s">
        <v>76</v>
      </c>
      <c r="D32">
        <v>1</v>
      </c>
      <c r="E32">
        <v>2</v>
      </c>
    </row>
  </sheetData>
  <autoFilter ref="A1:E29">
    <sortState ref="A2:E28">
      <sortCondition ref="C1:C28"/>
    </sortState>
  </autoFilter>
  <pageMargins left="0.75" right="0.75" top="1" bottom="1" header="0.3" footer="0.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13"/>
  <sheetViews>
    <sheetView zoomScale="85" zoomScaleNormal="85" workbookViewId="0">
      <selection activeCell="J3" sqref="J3:J8"/>
    </sheetView>
  </sheetViews>
  <sheetFormatPr defaultColWidth="11" defaultRowHeight="15.75" x14ac:dyDescent="0.25"/>
  <sheetData>
    <row r="2" spans="2:10" s="1" customFormat="1" x14ac:dyDescent="0.25">
      <c r="B2" s="1" t="s">
        <v>0</v>
      </c>
      <c r="D2" s="1" t="s">
        <v>1</v>
      </c>
      <c r="F2" s="1" t="s">
        <v>2</v>
      </c>
      <c r="H2" s="1" t="s">
        <v>20</v>
      </c>
      <c r="J2" s="1" t="s">
        <v>13</v>
      </c>
    </row>
    <row r="3" spans="2:10" x14ac:dyDescent="0.25">
      <c r="B3">
        <f>[1]sets!B3</f>
        <v>2015</v>
      </c>
      <c r="D3" t="str">
        <f>[1]sets!D3</f>
        <v>Belg</v>
      </c>
      <c r="F3" t="str">
        <f>[1]sets!F3</f>
        <v>AddisAbaba</v>
      </c>
      <c r="H3" t="str">
        <f>[1]sets!H3</f>
        <v>Teff</v>
      </c>
      <c r="J3" t="str">
        <f>[1]sets!J3</f>
        <v>Teff</v>
      </c>
    </row>
    <row r="4" spans="2:10" x14ac:dyDescent="0.25">
      <c r="D4" t="str">
        <f>[1]sets!D4</f>
        <v>Kremt</v>
      </c>
      <c r="F4" t="str">
        <f>[1]sets!F4</f>
        <v>Afar</v>
      </c>
      <c r="H4" t="str">
        <f>[1]sets!H4</f>
        <v>Sorghum</v>
      </c>
      <c r="J4" t="str">
        <f>[1]sets!J4</f>
        <v>Sorghum</v>
      </c>
    </row>
    <row r="5" spans="2:10" x14ac:dyDescent="0.25">
      <c r="F5" t="str">
        <f>[1]sets!F5</f>
        <v>Amhara</v>
      </c>
      <c r="H5" t="str">
        <f>[1]sets!H5</f>
        <v>Maize</v>
      </c>
      <c r="J5" t="str">
        <f>[1]sets!J5</f>
        <v>Maize</v>
      </c>
    </row>
    <row r="6" spans="2:10" x14ac:dyDescent="0.25">
      <c r="F6" t="str">
        <f>[1]sets!F6</f>
        <v>Gumuz</v>
      </c>
      <c r="H6" t="str">
        <f>[1]sets!H6</f>
        <v>Lentils</v>
      </c>
      <c r="J6" t="str">
        <f>[1]sets!J6</f>
        <v>Lentils</v>
      </c>
    </row>
    <row r="7" spans="2:10" x14ac:dyDescent="0.25">
      <c r="F7" t="str">
        <f>[1]sets!F7</f>
        <v>DireDawa</v>
      </c>
      <c r="H7" t="str">
        <f>[1]sets!H7</f>
        <v>Vegetables</v>
      </c>
      <c r="J7" t="str">
        <f>[1]sets!J7</f>
        <v>Vegetables</v>
      </c>
    </row>
    <row r="8" spans="2:10" x14ac:dyDescent="0.25">
      <c r="F8" t="str">
        <f>[1]sets!F8</f>
        <v>Gambela</v>
      </c>
      <c r="H8" t="str">
        <f>[1]sets!H8</f>
        <v>Coffee</v>
      </c>
      <c r="J8" t="str">
        <f>[1]sets!J8</f>
        <v>Coffee</v>
      </c>
    </row>
    <row r="9" spans="2:10" x14ac:dyDescent="0.25">
      <c r="F9" t="str">
        <f>[1]sets!F9</f>
        <v>Harari</v>
      </c>
      <c r="H9" t="str">
        <f>[1]sets!H9</f>
        <v>Beef</v>
      </c>
    </row>
    <row r="10" spans="2:10" x14ac:dyDescent="0.25">
      <c r="F10" t="str">
        <f>[1]sets!F10</f>
        <v>Oromia</v>
      </c>
      <c r="H10" t="str">
        <f>[1]sets!H10</f>
        <v>Milk</v>
      </c>
    </row>
    <row r="11" spans="2:10" x14ac:dyDescent="0.25">
      <c r="F11" t="str">
        <f>[1]sets!F11</f>
        <v>Somali</v>
      </c>
    </row>
    <row r="12" spans="2:10" x14ac:dyDescent="0.25">
      <c r="F12" t="str">
        <f>[1]sets!F12</f>
        <v>SNNPR</v>
      </c>
    </row>
    <row r="13" spans="2:10" x14ac:dyDescent="0.25">
      <c r="F13" t="str">
        <f>[1]sets!F13</f>
        <v>Tigray</v>
      </c>
    </row>
  </sheetData>
  <pageMargins left="0.75" right="0.75" top="1" bottom="1" header="0.3" footer="0.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72"/>
  <sheetViews>
    <sheetView tabSelected="1" zoomScale="85" zoomScaleNormal="85" workbookViewId="0">
      <selection activeCell="B6" sqref="B6"/>
    </sheetView>
  </sheetViews>
  <sheetFormatPr defaultColWidth="8.875" defaultRowHeight="15.75" x14ac:dyDescent="0.25"/>
  <cols>
    <col min="1" max="2" width="10.625" bestFit="1" customWidth="1"/>
    <col min="6" max="6" width="10.625" bestFit="1" customWidth="1"/>
    <col min="11" max="11" width="10.625" bestFit="1" customWidth="1"/>
  </cols>
  <sheetData>
    <row r="1" spans="1:2" x14ac:dyDescent="0.25">
      <c r="B1">
        <f t="array" ref="B1">TRANSPOSE(Years)</f>
        <v>2015</v>
      </c>
    </row>
    <row r="2" spans="1:2" x14ac:dyDescent="0.25">
      <c r="A2" t="str">
        <f>[1]Cattle!A2</f>
        <v>AddisAbaba</v>
      </c>
      <c r="B2">
        <f>[1]Cattle!B2</f>
        <v>0</v>
      </c>
    </row>
    <row r="3" spans="1:2" x14ac:dyDescent="0.25">
      <c r="A3" t="str">
        <f>[1]Cattle!A3</f>
        <v>Afar</v>
      </c>
      <c r="B3">
        <f>[1]Cattle!B3</f>
        <v>0</v>
      </c>
    </row>
    <row r="4" spans="1:2" x14ac:dyDescent="0.25">
      <c r="A4" t="str">
        <f>[1]Cattle!A4</f>
        <v>Amhara</v>
      </c>
      <c r="B4">
        <f>[1]Cattle!B4</f>
        <v>0</v>
      </c>
    </row>
    <row r="5" spans="1:2" x14ac:dyDescent="0.25">
      <c r="A5" t="str">
        <f>[1]Cattle!A5</f>
        <v>Gumuz</v>
      </c>
      <c r="B5">
        <f>[1]Cattle!B5</f>
        <v>0</v>
      </c>
    </row>
    <row r="6" spans="1:2" x14ac:dyDescent="0.25">
      <c r="A6" t="str">
        <f>[1]Cattle!A6</f>
        <v>DireDawa</v>
      </c>
      <c r="B6">
        <f>[1]Cattle!B6</f>
        <v>0</v>
      </c>
    </row>
    <row r="7" spans="1:2" x14ac:dyDescent="0.25">
      <c r="A7" t="str">
        <f>[1]Cattle!A7</f>
        <v>Gambela</v>
      </c>
      <c r="B7">
        <f>[1]Cattle!B7</f>
        <v>0</v>
      </c>
    </row>
    <row r="8" spans="1:2" x14ac:dyDescent="0.25">
      <c r="A8" t="str">
        <f>[1]Cattle!A8</f>
        <v>Harari</v>
      </c>
      <c r="B8">
        <f>[1]Cattle!B8</f>
        <v>0</v>
      </c>
    </row>
    <row r="9" spans="1:2" x14ac:dyDescent="0.25">
      <c r="A9" t="str">
        <f>[1]Cattle!A9</f>
        <v>Oromia</v>
      </c>
      <c r="B9">
        <f>[1]Cattle!B9</f>
        <v>0</v>
      </c>
    </row>
    <row r="10" spans="1:2" x14ac:dyDescent="0.25">
      <c r="A10" t="str">
        <f>[1]Cattle!A10</f>
        <v>Somali</v>
      </c>
      <c r="B10">
        <f>[1]Cattle!B10</f>
        <v>0</v>
      </c>
    </row>
    <row r="11" spans="1:2" x14ac:dyDescent="0.25">
      <c r="A11" t="str">
        <f>[1]Cattle!A11</f>
        <v>SNNPR</v>
      </c>
      <c r="B11">
        <f>[1]Cattle!B11</f>
        <v>0</v>
      </c>
    </row>
    <row r="12" spans="1:2" x14ac:dyDescent="0.25">
      <c r="A12" t="str">
        <f>[1]Cattle!A12</f>
        <v>Tigray</v>
      </c>
      <c r="B12">
        <f>[1]Cattle!B12</f>
        <v>0</v>
      </c>
    </row>
    <row r="21" spans="1:2" x14ac:dyDescent="0.25">
      <c r="B21">
        <f t="array" ref="B21">TRANSPOSE(Years)</f>
        <v>2015</v>
      </c>
    </row>
    <row r="22" spans="1:2" x14ac:dyDescent="0.25">
      <c r="A22" t="str">
        <f t="array" ref="A22:A32">Nodes</f>
        <v>AddisAbaba</v>
      </c>
      <c r="B22">
        <f>[1]Cattle!B22</f>
        <v>0</v>
      </c>
    </row>
    <row r="23" spans="1:2" x14ac:dyDescent="0.25">
      <c r="A23" t="str">
        <v>Afar</v>
      </c>
      <c r="B23">
        <f>[1]Cattle!B23</f>
        <v>0</v>
      </c>
    </row>
    <row r="24" spans="1:2" x14ac:dyDescent="0.25">
      <c r="A24" t="str">
        <v>Amhara</v>
      </c>
      <c r="B24">
        <f>[1]Cattle!B24</f>
        <v>0</v>
      </c>
    </row>
    <row r="25" spans="1:2" x14ac:dyDescent="0.25">
      <c r="A25" t="str">
        <v>Gumuz</v>
      </c>
      <c r="B25">
        <f>[1]Cattle!B25</f>
        <v>0</v>
      </c>
    </row>
    <row r="26" spans="1:2" x14ac:dyDescent="0.25">
      <c r="A26" t="str">
        <v>DireDawa</v>
      </c>
      <c r="B26">
        <f>[1]Cattle!B26</f>
        <v>0</v>
      </c>
    </row>
    <row r="27" spans="1:2" x14ac:dyDescent="0.25">
      <c r="A27" t="str">
        <v>Gambela</v>
      </c>
      <c r="B27">
        <f>[1]Cattle!B27</f>
        <v>0</v>
      </c>
    </row>
    <row r="28" spans="1:2" x14ac:dyDescent="0.25">
      <c r="A28" t="str">
        <v>Harari</v>
      </c>
      <c r="B28">
        <f>[1]Cattle!B28</f>
        <v>0</v>
      </c>
    </row>
    <row r="29" spans="1:2" x14ac:dyDescent="0.25">
      <c r="A29" t="str">
        <v>Oromia</v>
      </c>
      <c r="B29">
        <f>[1]Cattle!B29</f>
        <v>0</v>
      </c>
    </row>
    <row r="30" spans="1:2" x14ac:dyDescent="0.25">
      <c r="A30" t="str">
        <v>Somali</v>
      </c>
      <c r="B30">
        <f>[1]Cattle!B30</f>
        <v>0</v>
      </c>
    </row>
    <row r="31" spans="1:2" x14ac:dyDescent="0.25">
      <c r="A31" t="str">
        <v>SNNPR</v>
      </c>
      <c r="B31">
        <f>[1]Cattle!B31</f>
        <v>0</v>
      </c>
    </row>
    <row r="32" spans="1:2" x14ac:dyDescent="0.25">
      <c r="A32" t="str">
        <v>Tigray</v>
      </c>
      <c r="B32">
        <f>[1]Cattle!B32</f>
        <v>0</v>
      </c>
    </row>
    <row r="41" spans="1:2" x14ac:dyDescent="0.25">
      <c r="B41">
        <f t="array" ref="B41">TRANSPOSE(Years)</f>
        <v>2015</v>
      </c>
    </row>
    <row r="42" spans="1:2" x14ac:dyDescent="0.25">
      <c r="A42" t="str">
        <f>[1]Cattle!A42</f>
        <v>AddisAbaba</v>
      </c>
      <c r="B42">
        <f>[1]Cattle!B42</f>
        <v>1</v>
      </c>
    </row>
    <row r="43" spans="1:2" x14ac:dyDescent="0.25">
      <c r="A43" t="str">
        <f>[1]Cattle!A43</f>
        <v>Afar</v>
      </c>
      <c r="B43">
        <f>[1]Cattle!B43</f>
        <v>1</v>
      </c>
    </row>
    <row r="44" spans="1:2" x14ac:dyDescent="0.25">
      <c r="A44" t="str">
        <f>[1]Cattle!A44</f>
        <v>Amhara</v>
      </c>
      <c r="B44">
        <f>[1]Cattle!B44</f>
        <v>1</v>
      </c>
    </row>
    <row r="45" spans="1:2" x14ac:dyDescent="0.25">
      <c r="A45" t="str">
        <f>[1]Cattle!A45</f>
        <v>Gumuz</v>
      </c>
      <c r="B45">
        <f>[1]Cattle!B45</f>
        <v>1</v>
      </c>
    </row>
    <row r="46" spans="1:2" x14ac:dyDescent="0.25">
      <c r="A46" t="str">
        <f>[1]Cattle!A46</f>
        <v>DireDawa</v>
      </c>
      <c r="B46">
        <f>[1]Cattle!B46</f>
        <v>1</v>
      </c>
    </row>
    <row r="47" spans="1:2" x14ac:dyDescent="0.25">
      <c r="A47" t="str">
        <f>[1]Cattle!A47</f>
        <v>Gambela</v>
      </c>
      <c r="B47">
        <f>[1]Cattle!B47</f>
        <v>1</v>
      </c>
    </row>
    <row r="48" spans="1:2" x14ac:dyDescent="0.25">
      <c r="A48" t="str">
        <f>[1]Cattle!A48</f>
        <v>Harari</v>
      </c>
      <c r="B48">
        <f>[1]Cattle!B48</f>
        <v>1</v>
      </c>
    </row>
    <row r="49" spans="1:2" x14ac:dyDescent="0.25">
      <c r="A49" t="str">
        <f>[1]Cattle!A49</f>
        <v>Oromia</v>
      </c>
      <c r="B49">
        <f>[1]Cattle!B49</f>
        <v>1</v>
      </c>
    </row>
    <row r="50" spans="1:2" x14ac:dyDescent="0.25">
      <c r="A50" t="str">
        <f>[1]Cattle!A50</f>
        <v>Somali</v>
      </c>
      <c r="B50">
        <f>[1]Cattle!B50</f>
        <v>1</v>
      </c>
    </row>
    <row r="51" spans="1:2" x14ac:dyDescent="0.25">
      <c r="A51" t="str">
        <f>[1]Cattle!A51</f>
        <v>SNNPR</v>
      </c>
      <c r="B51">
        <f>[1]Cattle!B51</f>
        <v>1</v>
      </c>
    </row>
    <row r="52" spans="1:2" x14ac:dyDescent="0.25">
      <c r="A52" t="str">
        <f>[1]Cattle!A52</f>
        <v>Tigray</v>
      </c>
      <c r="B52">
        <f>[1]Cattle!B52</f>
        <v>1</v>
      </c>
    </row>
    <row r="61" spans="1:2" x14ac:dyDescent="0.25">
      <c r="B61">
        <v>2015</v>
      </c>
    </row>
    <row r="62" spans="1:2" x14ac:dyDescent="0.25">
      <c r="A62" t="str">
        <f>[1]Cattle!A62</f>
        <v>AddisAbaba</v>
      </c>
      <c r="B62">
        <f>[1]Cattle!B62</f>
        <v>0.7</v>
      </c>
    </row>
    <row r="63" spans="1:2" x14ac:dyDescent="0.25">
      <c r="A63" t="str">
        <f>[1]Cattle!A63</f>
        <v>Afar</v>
      </c>
      <c r="B63">
        <f>[1]Cattle!B63</f>
        <v>0.7</v>
      </c>
    </row>
    <row r="64" spans="1:2" x14ac:dyDescent="0.25">
      <c r="A64" t="str">
        <f>[1]Cattle!A64</f>
        <v>Amhara</v>
      </c>
      <c r="B64">
        <f>[1]Cattle!B64</f>
        <v>0.7</v>
      </c>
    </row>
    <row r="65" spans="1:2" x14ac:dyDescent="0.25">
      <c r="A65" t="str">
        <f>[1]Cattle!A65</f>
        <v>Gumuz</v>
      </c>
      <c r="B65">
        <f>[1]Cattle!B65</f>
        <v>0.7</v>
      </c>
    </row>
    <row r="66" spans="1:2" x14ac:dyDescent="0.25">
      <c r="A66" t="str">
        <f>[1]Cattle!A66</f>
        <v>DireDawa</v>
      </c>
      <c r="B66">
        <f>[1]Cattle!B66</f>
        <v>0.7</v>
      </c>
    </row>
    <row r="67" spans="1:2" x14ac:dyDescent="0.25">
      <c r="A67" t="str">
        <f>[1]Cattle!A67</f>
        <v>Gambela</v>
      </c>
      <c r="B67">
        <f>[1]Cattle!B67</f>
        <v>0.7</v>
      </c>
    </row>
    <row r="68" spans="1:2" x14ac:dyDescent="0.25">
      <c r="A68" t="str">
        <f>[1]Cattle!A68</f>
        <v>Harari</v>
      </c>
      <c r="B68">
        <f>[1]Cattle!B68</f>
        <v>0.7</v>
      </c>
    </row>
    <row r="69" spans="1:2" x14ac:dyDescent="0.25">
      <c r="A69" t="str">
        <f>[1]Cattle!A69</f>
        <v>Oromia</v>
      </c>
      <c r="B69">
        <f>[1]Cattle!B69</f>
        <v>0.7</v>
      </c>
    </row>
    <row r="70" spans="1:2" x14ac:dyDescent="0.25">
      <c r="A70" t="str">
        <f>[1]Cattle!A70</f>
        <v>Somali</v>
      </c>
      <c r="B70">
        <f>[1]Cattle!B70</f>
        <v>0.7</v>
      </c>
    </row>
    <row r="71" spans="1:2" x14ac:dyDescent="0.25">
      <c r="A71" t="str">
        <f>[1]Cattle!A71</f>
        <v>SNNPR</v>
      </c>
      <c r="B71">
        <f>[1]Cattle!B71</f>
        <v>0.7</v>
      </c>
    </row>
    <row r="72" spans="1:2" x14ac:dyDescent="0.25">
      <c r="A72" t="str">
        <f>[1]Cattle!A72</f>
        <v>Tigray</v>
      </c>
      <c r="B72">
        <f>[1]Cattle!B72</f>
        <v>0.7</v>
      </c>
    </row>
    <row r="81" spans="1:2" x14ac:dyDescent="0.25">
      <c r="B81">
        <v>2015</v>
      </c>
    </row>
    <row r="82" spans="1:2" x14ac:dyDescent="0.25">
      <c r="A82" t="str">
        <f>[1]Cattle!A82</f>
        <v>AddisAbaba</v>
      </c>
      <c r="B82">
        <f>[1]Cattle!B82</f>
        <v>10</v>
      </c>
    </row>
    <row r="83" spans="1:2" x14ac:dyDescent="0.25">
      <c r="A83" t="str">
        <f>[1]Cattle!A83</f>
        <v>Afar</v>
      </c>
      <c r="B83">
        <f>[1]Cattle!B83</f>
        <v>10</v>
      </c>
    </row>
    <row r="84" spans="1:2" x14ac:dyDescent="0.25">
      <c r="A84" t="str">
        <f>[1]Cattle!A84</f>
        <v>Amhara</v>
      </c>
      <c r="B84">
        <f>[1]Cattle!B84</f>
        <v>10</v>
      </c>
    </row>
    <row r="85" spans="1:2" x14ac:dyDescent="0.25">
      <c r="A85" t="str">
        <f>[1]Cattle!A85</f>
        <v>Gumuz</v>
      </c>
      <c r="B85">
        <f>[1]Cattle!B85</f>
        <v>10</v>
      </c>
    </row>
    <row r="86" spans="1:2" x14ac:dyDescent="0.25">
      <c r="A86" t="str">
        <f>[1]Cattle!A86</f>
        <v>DireDawa</v>
      </c>
      <c r="B86">
        <f>[1]Cattle!B86</f>
        <v>10</v>
      </c>
    </row>
    <row r="87" spans="1:2" x14ac:dyDescent="0.25">
      <c r="A87" t="str">
        <f>[1]Cattle!A87</f>
        <v>Gambela</v>
      </c>
      <c r="B87">
        <f>[1]Cattle!B87</f>
        <v>10</v>
      </c>
    </row>
    <row r="88" spans="1:2" x14ac:dyDescent="0.25">
      <c r="A88" t="str">
        <f>[1]Cattle!A88</f>
        <v>Harari</v>
      </c>
      <c r="B88">
        <f>[1]Cattle!B88</f>
        <v>10</v>
      </c>
    </row>
    <row r="89" spans="1:2" x14ac:dyDescent="0.25">
      <c r="A89" t="str">
        <f>[1]Cattle!A89</f>
        <v>Oromia</v>
      </c>
      <c r="B89">
        <f>[1]Cattle!B89</f>
        <v>10</v>
      </c>
    </row>
    <row r="90" spans="1:2" x14ac:dyDescent="0.25">
      <c r="A90" t="str">
        <f>[1]Cattle!A90</f>
        <v>Somali</v>
      </c>
      <c r="B90">
        <f>[1]Cattle!B90</f>
        <v>10</v>
      </c>
    </row>
    <row r="91" spans="1:2" x14ac:dyDescent="0.25">
      <c r="A91" t="str">
        <f>[1]Cattle!A91</f>
        <v>SNNPR</v>
      </c>
      <c r="B91">
        <f>[1]Cattle!B91</f>
        <v>10</v>
      </c>
    </row>
    <row r="92" spans="1:2" x14ac:dyDescent="0.25">
      <c r="A92" t="str">
        <f>[1]Cattle!A92</f>
        <v>Tigray</v>
      </c>
      <c r="B92">
        <f>[1]Cattle!B92</f>
        <v>10</v>
      </c>
    </row>
    <row r="101" spans="1:12" x14ac:dyDescent="0.25">
      <c r="B101" t="str">
        <f>[1]Cattle!B101</f>
        <v>AddisAbaba</v>
      </c>
      <c r="C101" t="str">
        <f>[1]Cattle!C101</f>
        <v>Afar</v>
      </c>
      <c r="D101" t="str">
        <f>[1]Cattle!D101</f>
        <v>Amhara</v>
      </c>
      <c r="E101" t="str">
        <f>[1]Cattle!E101</f>
        <v>Gumuz</v>
      </c>
      <c r="F101" t="str">
        <f>[1]Cattle!F101</f>
        <v>DireDawa</v>
      </c>
      <c r="G101" t="str">
        <f>[1]Cattle!G101</f>
        <v>Gambela</v>
      </c>
      <c r="H101" t="str">
        <f>[1]Cattle!H101</f>
        <v>Harari</v>
      </c>
      <c r="I101" t="str">
        <f>[1]Cattle!I101</f>
        <v>Oromia</v>
      </c>
      <c r="J101" t="str">
        <f>[1]Cattle!J101</f>
        <v>Somali</v>
      </c>
      <c r="K101" t="str">
        <f>[1]Cattle!K101</f>
        <v>SNNPR</v>
      </c>
      <c r="L101" t="str">
        <f>[1]Cattle!L101</f>
        <v>Tigray</v>
      </c>
    </row>
    <row r="102" spans="1:12" x14ac:dyDescent="0.25">
      <c r="A102" t="str">
        <f>[1]Cattle!A102</f>
        <v>AddisAbaba</v>
      </c>
      <c r="B102">
        <f>[1]Cattle!B102</f>
        <v>0.1</v>
      </c>
      <c r="C102">
        <f>[1]Cattle!C102</f>
        <v>0.1</v>
      </c>
      <c r="D102">
        <f>[1]Cattle!D102</f>
        <v>0.1</v>
      </c>
      <c r="E102">
        <f>[1]Cattle!E102</f>
        <v>0.1</v>
      </c>
      <c r="F102">
        <f>[1]Cattle!F102</f>
        <v>0.1</v>
      </c>
      <c r="G102">
        <f>[1]Cattle!G102</f>
        <v>0.1</v>
      </c>
      <c r="H102">
        <f>[1]Cattle!H102</f>
        <v>0.1</v>
      </c>
      <c r="I102">
        <f>[1]Cattle!I102</f>
        <v>0.1</v>
      </c>
      <c r="J102">
        <f>[1]Cattle!J102</f>
        <v>0.1</v>
      </c>
      <c r="K102">
        <f>[1]Cattle!K102</f>
        <v>0.1</v>
      </c>
      <c r="L102">
        <f>[1]Cattle!L102</f>
        <v>0.1</v>
      </c>
    </row>
    <row r="103" spans="1:12" x14ac:dyDescent="0.25">
      <c r="A103" t="str">
        <f>[1]Cattle!A103</f>
        <v>Afar</v>
      </c>
      <c r="B103">
        <f>[1]Cattle!B103</f>
        <v>0.1</v>
      </c>
      <c r="C103">
        <f>[1]Cattle!C103</f>
        <v>0.1</v>
      </c>
      <c r="D103">
        <f>[1]Cattle!D103</f>
        <v>0.1</v>
      </c>
      <c r="E103">
        <f>[1]Cattle!E103</f>
        <v>0.1</v>
      </c>
      <c r="F103">
        <f>[1]Cattle!F103</f>
        <v>0.1</v>
      </c>
      <c r="G103">
        <f>[1]Cattle!G103</f>
        <v>0.1</v>
      </c>
      <c r="H103">
        <f>[1]Cattle!H103</f>
        <v>0.1</v>
      </c>
      <c r="I103">
        <f>[1]Cattle!I103</f>
        <v>0.1</v>
      </c>
      <c r="J103">
        <f>[1]Cattle!J103</f>
        <v>0.1</v>
      </c>
      <c r="K103">
        <f>[1]Cattle!K103</f>
        <v>0.1</v>
      </c>
      <c r="L103">
        <f>[1]Cattle!L103</f>
        <v>0.1</v>
      </c>
    </row>
    <row r="104" spans="1:12" x14ac:dyDescent="0.25">
      <c r="A104" t="str">
        <f>[1]Cattle!A104</f>
        <v>Amhara</v>
      </c>
      <c r="B104">
        <f>[1]Cattle!B104</f>
        <v>0.1</v>
      </c>
      <c r="C104">
        <f>[1]Cattle!C104</f>
        <v>0.1</v>
      </c>
      <c r="D104">
        <f>[1]Cattle!D104</f>
        <v>0.1</v>
      </c>
      <c r="E104">
        <f>[1]Cattle!E104</f>
        <v>0.1</v>
      </c>
      <c r="F104">
        <f>[1]Cattle!F104</f>
        <v>0.1</v>
      </c>
      <c r="G104">
        <f>[1]Cattle!G104</f>
        <v>0.1</v>
      </c>
      <c r="H104">
        <f>[1]Cattle!H104</f>
        <v>0.1</v>
      </c>
      <c r="I104">
        <f>[1]Cattle!I104</f>
        <v>0.1</v>
      </c>
      <c r="J104">
        <f>[1]Cattle!J104</f>
        <v>0.1</v>
      </c>
      <c r="K104">
        <f>[1]Cattle!K104</f>
        <v>0.1</v>
      </c>
      <c r="L104">
        <f>[1]Cattle!L104</f>
        <v>0.1</v>
      </c>
    </row>
    <row r="105" spans="1:12" x14ac:dyDescent="0.25">
      <c r="A105" t="str">
        <f>[1]Cattle!A105</f>
        <v>Gumuz</v>
      </c>
      <c r="B105">
        <f>[1]Cattle!B105</f>
        <v>0.1</v>
      </c>
      <c r="C105">
        <f>[1]Cattle!C105</f>
        <v>0.1</v>
      </c>
      <c r="D105">
        <f>[1]Cattle!D105</f>
        <v>0.1</v>
      </c>
      <c r="E105">
        <f>[1]Cattle!E105</f>
        <v>0.1</v>
      </c>
      <c r="F105">
        <f>[1]Cattle!F105</f>
        <v>0.1</v>
      </c>
      <c r="G105">
        <f>[1]Cattle!G105</f>
        <v>0.1</v>
      </c>
      <c r="H105">
        <f>[1]Cattle!H105</f>
        <v>0.1</v>
      </c>
      <c r="I105">
        <f>[1]Cattle!I105</f>
        <v>0.1</v>
      </c>
      <c r="J105">
        <f>[1]Cattle!J105</f>
        <v>0.1</v>
      </c>
      <c r="K105">
        <f>[1]Cattle!K105</f>
        <v>0.1</v>
      </c>
      <c r="L105">
        <f>[1]Cattle!L105</f>
        <v>0.1</v>
      </c>
    </row>
    <row r="106" spans="1:12" x14ac:dyDescent="0.25">
      <c r="A106" t="str">
        <f>[1]Cattle!A106</f>
        <v>DireDawa</v>
      </c>
      <c r="B106">
        <f>[1]Cattle!B106</f>
        <v>0.1</v>
      </c>
      <c r="C106">
        <f>[1]Cattle!C106</f>
        <v>0.1</v>
      </c>
      <c r="D106">
        <f>[1]Cattle!D106</f>
        <v>0.1</v>
      </c>
      <c r="E106">
        <f>[1]Cattle!E106</f>
        <v>0.1</v>
      </c>
      <c r="F106">
        <f>[1]Cattle!F106</f>
        <v>0.1</v>
      </c>
      <c r="G106">
        <f>[1]Cattle!G106</f>
        <v>0.1</v>
      </c>
      <c r="H106">
        <f>[1]Cattle!H106</f>
        <v>0.1</v>
      </c>
      <c r="I106">
        <f>[1]Cattle!I106</f>
        <v>0.1</v>
      </c>
      <c r="J106">
        <f>[1]Cattle!J106</f>
        <v>0.1</v>
      </c>
      <c r="K106">
        <f>[1]Cattle!K106</f>
        <v>0.1</v>
      </c>
      <c r="L106">
        <f>[1]Cattle!L106</f>
        <v>0.1</v>
      </c>
    </row>
    <row r="107" spans="1:12" x14ac:dyDescent="0.25">
      <c r="A107" t="str">
        <f>[1]Cattle!A107</f>
        <v>Gambela</v>
      </c>
      <c r="B107">
        <f>[1]Cattle!B107</f>
        <v>0.1</v>
      </c>
      <c r="C107">
        <f>[1]Cattle!C107</f>
        <v>0.1</v>
      </c>
      <c r="D107">
        <f>[1]Cattle!D107</f>
        <v>0.1</v>
      </c>
      <c r="E107">
        <f>[1]Cattle!E107</f>
        <v>0.1</v>
      </c>
      <c r="F107">
        <f>[1]Cattle!F107</f>
        <v>0.1</v>
      </c>
      <c r="G107">
        <f>[1]Cattle!G107</f>
        <v>0.1</v>
      </c>
      <c r="H107">
        <f>[1]Cattle!H107</f>
        <v>0.1</v>
      </c>
      <c r="I107">
        <f>[1]Cattle!I107</f>
        <v>0.1</v>
      </c>
      <c r="J107">
        <f>[1]Cattle!J107</f>
        <v>0.1</v>
      </c>
      <c r="K107">
        <f>[1]Cattle!K107</f>
        <v>0.1</v>
      </c>
      <c r="L107">
        <f>[1]Cattle!L107</f>
        <v>0.1</v>
      </c>
    </row>
    <row r="108" spans="1:12" x14ac:dyDescent="0.25">
      <c r="A108" t="str">
        <f>[1]Cattle!A108</f>
        <v>Harari</v>
      </c>
      <c r="B108">
        <f>[1]Cattle!B108</f>
        <v>0.1</v>
      </c>
      <c r="C108">
        <f>[1]Cattle!C108</f>
        <v>0.1</v>
      </c>
      <c r="D108">
        <f>[1]Cattle!D108</f>
        <v>0.1</v>
      </c>
      <c r="E108">
        <f>[1]Cattle!E108</f>
        <v>0.1</v>
      </c>
      <c r="F108">
        <f>[1]Cattle!F108</f>
        <v>0.1</v>
      </c>
      <c r="G108">
        <f>[1]Cattle!G108</f>
        <v>0.1</v>
      </c>
      <c r="H108">
        <f>[1]Cattle!H108</f>
        <v>0.1</v>
      </c>
      <c r="I108">
        <f>[1]Cattle!I108</f>
        <v>0.1</v>
      </c>
      <c r="J108">
        <f>[1]Cattle!J108</f>
        <v>0.1</v>
      </c>
      <c r="K108">
        <f>[1]Cattle!K108</f>
        <v>0.1</v>
      </c>
      <c r="L108">
        <f>[1]Cattle!L108</f>
        <v>0.1</v>
      </c>
    </row>
    <row r="109" spans="1:12" x14ac:dyDescent="0.25">
      <c r="A109" t="str">
        <f>[1]Cattle!A109</f>
        <v>Oromia</v>
      </c>
      <c r="B109">
        <f>[1]Cattle!B109</f>
        <v>0.1</v>
      </c>
      <c r="C109">
        <f>[1]Cattle!C109</f>
        <v>0.1</v>
      </c>
      <c r="D109">
        <f>[1]Cattle!D109</f>
        <v>0.1</v>
      </c>
      <c r="E109">
        <f>[1]Cattle!E109</f>
        <v>0.1</v>
      </c>
      <c r="F109">
        <f>[1]Cattle!F109</f>
        <v>0.1</v>
      </c>
      <c r="G109">
        <f>[1]Cattle!G109</f>
        <v>0.1</v>
      </c>
      <c r="H109">
        <f>[1]Cattle!H109</f>
        <v>0.1</v>
      </c>
      <c r="I109">
        <f>[1]Cattle!I109</f>
        <v>0.1</v>
      </c>
      <c r="J109">
        <f>[1]Cattle!J109</f>
        <v>0.1</v>
      </c>
      <c r="K109">
        <f>[1]Cattle!K109</f>
        <v>0.1</v>
      </c>
      <c r="L109">
        <f>[1]Cattle!L109</f>
        <v>0.1</v>
      </c>
    </row>
    <row r="110" spans="1:12" x14ac:dyDescent="0.25">
      <c r="A110" t="str">
        <f>[1]Cattle!A110</f>
        <v>Somali</v>
      </c>
      <c r="B110">
        <f>[1]Cattle!B110</f>
        <v>0.1</v>
      </c>
      <c r="C110">
        <f>[1]Cattle!C110</f>
        <v>0.1</v>
      </c>
      <c r="D110">
        <f>[1]Cattle!D110</f>
        <v>0.1</v>
      </c>
      <c r="E110">
        <f>[1]Cattle!E110</f>
        <v>0.1</v>
      </c>
      <c r="F110">
        <f>[1]Cattle!F110</f>
        <v>0.1</v>
      </c>
      <c r="G110">
        <f>[1]Cattle!G110</f>
        <v>0.1</v>
      </c>
      <c r="H110">
        <f>[1]Cattle!H110</f>
        <v>0.1</v>
      </c>
      <c r="I110">
        <f>[1]Cattle!I110</f>
        <v>0.1</v>
      </c>
      <c r="J110">
        <f>[1]Cattle!J110</f>
        <v>0.1</v>
      </c>
      <c r="K110">
        <f>[1]Cattle!K110</f>
        <v>0.1</v>
      </c>
      <c r="L110">
        <f>[1]Cattle!L110</f>
        <v>0.1</v>
      </c>
    </row>
    <row r="111" spans="1:12" x14ac:dyDescent="0.25">
      <c r="A111" t="str">
        <f>[1]Cattle!A111</f>
        <v>SNNPR</v>
      </c>
      <c r="B111">
        <f>[1]Cattle!B111</f>
        <v>0.1</v>
      </c>
      <c r="C111">
        <f>[1]Cattle!C111</f>
        <v>0.1</v>
      </c>
      <c r="D111">
        <f>[1]Cattle!D111</f>
        <v>0.1</v>
      </c>
      <c r="E111">
        <f>[1]Cattle!E111</f>
        <v>0.1</v>
      </c>
      <c r="F111">
        <f>[1]Cattle!F111</f>
        <v>0.1</v>
      </c>
      <c r="G111">
        <f>[1]Cattle!G111</f>
        <v>0.1</v>
      </c>
      <c r="H111">
        <f>[1]Cattle!H111</f>
        <v>0.1</v>
      </c>
      <c r="I111">
        <f>[1]Cattle!I111</f>
        <v>0.1</v>
      </c>
      <c r="J111">
        <f>[1]Cattle!J111</f>
        <v>0.1</v>
      </c>
      <c r="K111">
        <f>[1]Cattle!K111</f>
        <v>0.1</v>
      </c>
      <c r="L111">
        <f>[1]Cattle!L111</f>
        <v>0.1</v>
      </c>
    </row>
    <row r="112" spans="1:12" x14ac:dyDescent="0.25">
      <c r="A112" t="str">
        <f>[1]Cattle!A112</f>
        <v>Tigray</v>
      </c>
      <c r="B112">
        <f>[1]Cattle!B112</f>
        <v>0.1</v>
      </c>
      <c r="C112">
        <f>[1]Cattle!C112</f>
        <v>0.1</v>
      </c>
      <c r="D112">
        <f>[1]Cattle!D112</f>
        <v>0.1</v>
      </c>
      <c r="E112">
        <f>[1]Cattle!E112</f>
        <v>0.1</v>
      </c>
      <c r="F112">
        <f>[1]Cattle!F112</f>
        <v>0.1</v>
      </c>
      <c r="G112">
        <f>[1]Cattle!G112</f>
        <v>0.1</v>
      </c>
      <c r="H112">
        <f>[1]Cattle!H112</f>
        <v>0.1</v>
      </c>
      <c r="I112">
        <f>[1]Cattle!I112</f>
        <v>0.1</v>
      </c>
      <c r="J112">
        <f>[1]Cattle!J112</f>
        <v>0.1</v>
      </c>
      <c r="K112">
        <f>[1]Cattle!K112</f>
        <v>0.1</v>
      </c>
      <c r="L112">
        <f>[1]Cattle!L112</f>
        <v>0.1</v>
      </c>
    </row>
    <row r="121" spans="1:12" x14ac:dyDescent="0.25">
      <c r="A121" t="str">
        <f>[1]Cattle!A121</f>
        <v>AddisAbaba</v>
      </c>
      <c r="B121">
        <f>[1]Cattle!B121</f>
        <v>10</v>
      </c>
      <c r="F121" t="str">
        <f>[1]Cattle!F121</f>
        <v>AddisAbaba</v>
      </c>
      <c r="G121">
        <f>[1]Cattle!G121</f>
        <v>9</v>
      </c>
      <c r="K121" t="str">
        <f>[1]Cattle!K121</f>
        <v>AddisAbaba</v>
      </c>
      <c r="L121">
        <f>[1]Cattle!L121</f>
        <v>0.3</v>
      </c>
    </row>
    <row r="122" spans="1:12" x14ac:dyDescent="0.25">
      <c r="A122" t="str">
        <f>[1]Cattle!A122</f>
        <v>Afar</v>
      </c>
      <c r="B122">
        <f>[1]Cattle!B122</f>
        <v>10.5</v>
      </c>
      <c r="F122" t="str">
        <f>[1]Cattle!F122</f>
        <v>Afar</v>
      </c>
      <c r="G122">
        <f>[1]Cattle!G122</f>
        <v>9.5</v>
      </c>
      <c r="K122" t="str">
        <f>[1]Cattle!K122</f>
        <v>Afar</v>
      </c>
      <c r="L122">
        <f>[1]Cattle!L122</f>
        <v>0.3</v>
      </c>
    </row>
    <row r="123" spans="1:12" x14ac:dyDescent="0.25">
      <c r="A123" t="str">
        <f>[1]Cattle!A123</f>
        <v>Amhara</v>
      </c>
      <c r="B123">
        <f>[1]Cattle!B123</f>
        <v>11</v>
      </c>
      <c r="F123" t="str">
        <f>[1]Cattle!F123</f>
        <v>Amhara</v>
      </c>
      <c r="G123">
        <f>[1]Cattle!G123</f>
        <v>10</v>
      </c>
      <c r="K123" t="str">
        <f>[1]Cattle!K123</f>
        <v>Amhara</v>
      </c>
      <c r="L123">
        <f>[1]Cattle!L123</f>
        <v>0.3</v>
      </c>
    </row>
    <row r="124" spans="1:12" x14ac:dyDescent="0.25">
      <c r="A124" t="str">
        <f>[1]Cattle!A124</f>
        <v>Gumuz</v>
      </c>
      <c r="B124">
        <f>[1]Cattle!B124</f>
        <v>11.5</v>
      </c>
      <c r="F124" t="str">
        <f>[1]Cattle!F124</f>
        <v>Gumuz</v>
      </c>
      <c r="G124">
        <f>[1]Cattle!G124</f>
        <v>10.5</v>
      </c>
      <c r="K124" t="str">
        <f>[1]Cattle!K124</f>
        <v>Gumuz</v>
      </c>
      <c r="L124">
        <f>[1]Cattle!L124</f>
        <v>0.3</v>
      </c>
    </row>
    <row r="125" spans="1:12" x14ac:dyDescent="0.25">
      <c r="A125" t="str">
        <f>[1]Cattle!A125</f>
        <v>DireDawa</v>
      </c>
      <c r="B125">
        <f>[1]Cattle!B125</f>
        <v>12</v>
      </c>
      <c r="F125" t="str">
        <f>[1]Cattle!F125</f>
        <v>DireDawa</v>
      </c>
      <c r="G125">
        <f>[1]Cattle!G125</f>
        <v>11</v>
      </c>
      <c r="K125" t="str">
        <f>[1]Cattle!K125</f>
        <v>DireDawa</v>
      </c>
      <c r="L125">
        <f>[1]Cattle!L125</f>
        <v>0.3</v>
      </c>
    </row>
    <row r="126" spans="1:12" x14ac:dyDescent="0.25">
      <c r="A126" t="str">
        <f>[1]Cattle!A126</f>
        <v>Gambela</v>
      </c>
      <c r="B126">
        <f>[1]Cattle!B126</f>
        <v>12.5</v>
      </c>
      <c r="F126" t="str">
        <f>[1]Cattle!F126</f>
        <v>Gambela</v>
      </c>
      <c r="G126">
        <f>[1]Cattle!G126</f>
        <v>11.5</v>
      </c>
      <c r="K126" t="str">
        <f>[1]Cattle!K126</f>
        <v>Gambela</v>
      </c>
      <c r="L126">
        <f>[1]Cattle!L126</f>
        <v>0.3</v>
      </c>
    </row>
    <row r="127" spans="1:12" x14ac:dyDescent="0.25">
      <c r="A127" t="str">
        <f>[1]Cattle!A127</f>
        <v>Harari</v>
      </c>
      <c r="B127">
        <f>[1]Cattle!B127</f>
        <v>13</v>
      </c>
      <c r="F127" t="str">
        <f>[1]Cattle!F127</f>
        <v>Harari</v>
      </c>
      <c r="G127">
        <f>[1]Cattle!G127</f>
        <v>12</v>
      </c>
      <c r="K127" t="str">
        <f>[1]Cattle!K127</f>
        <v>Harari</v>
      </c>
      <c r="L127">
        <f>[1]Cattle!L127</f>
        <v>0.3</v>
      </c>
    </row>
    <row r="128" spans="1:12" x14ac:dyDescent="0.25">
      <c r="A128" t="str">
        <f>[1]Cattle!A128</f>
        <v>Oromia</v>
      </c>
      <c r="B128">
        <f>[1]Cattle!B128</f>
        <v>13.5</v>
      </c>
      <c r="F128" t="str">
        <f>[1]Cattle!F128</f>
        <v>Oromia</v>
      </c>
      <c r="G128">
        <f>[1]Cattle!G128</f>
        <v>12.5</v>
      </c>
      <c r="K128" t="str">
        <f>[1]Cattle!K128</f>
        <v>Oromia</v>
      </c>
      <c r="L128">
        <f>[1]Cattle!L128</f>
        <v>0.3</v>
      </c>
    </row>
    <row r="129" spans="1:17" x14ac:dyDescent="0.25">
      <c r="A129" t="str">
        <f>[1]Cattle!A129</f>
        <v>Somali</v>
      </c>
      <c r="B129">
        <f>[1]Cattle!B129</f>
        <v>14</v>
      </c>
      <c r="F129" t="str">
        <f>[1]Cattle!F129</f>
        <v>Somali</v>
      </c>
      <c r="G129">
        <f>[1]Cattle!G129</f>
        <v>13</v>
      </c>
      <c r="K129" t="str">
        <f>[1]Cattle!K129</f>
        <v>Somali</v>
      </c>
      <c r="L129">
        <f>[1]Cattle!L129</f>
        <v>0.3</v>
      </c>
    </row>
    <row r="130" spans="1:17" x14ac:dyDescent="0.25">
      <c r="A130" t="str">
        <f>[1]Cattle!A130</f>
        <v>SNNPR</v>
      </c>
      <c r="B130">
        <f>[1]Cattle!B130</f>
        <v>14.5</v>
      </c>
      <c r="F130" t="str">
        <f>[1]Cattle!F130</f>
        <v>SNNPR</v>
      </c>
      <c r="G130">
        <f>[1]Cattle!G130</f>
        <v>13.5</v>
      </c>
      <c r="K130" t="str">
        <f>[1]Cattle!K130</f>
        <v>SNNPR</v>
      </c>
      <c r="L130">
        <f>[1]Cattle!L130</f>
        <v>0.3</v>
      </c>
    </row>
    <row r="131" spans="1:17" x14ac:dyDescent="0.25">
      <c r="A131" t="str">
        <f>[1]Cattle!A131</f>
        <v>Tigray</v>
      </c>
      <c r="B131">
        <f>[1]Cattle!B131</f>
        <v>15</v>
      </c>
      <c r="F131" t="str">
        <f>[1]Cattle!F131</f>
        <v>Tigray</v>
      </c>
      <c r="G131">
        <f>[1]Cattle!G131</f>
        <v>14</v>
      </c>
      <c r="K131" t="str">
        <f>[1]Cattle!K131</f>
        <v>Tigray</v>
      </c>
      <c r="L131">
        <f>[1]Cattle!L131</f>
        <v>0.3</v>
      </c>
    </row>
    <row r="141" spans="1:17" x14ac:dyDescent="0.25">
      <c r="B141">
        <v>2015</v>
      </c>
    </row>
    <row r="142" spans="1:17" x14ac:dyDescent="0.25">
      <c r="A142" t="str">
        <f t="array" ref="A142:A152">Nodes</f>
        <v>AddisAbaba</v>
      </c>
      <c r="B142" s="2">
        <f ca="1">5+RAND()*3</f>
        <v>7.4434118445117985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</row>
    <row r="143" spans="1:17" x14ac:dyDescent="0.25">
      <c r="A143" t="str">
        <v>Afar</v>
      </c>
      <c r="B143" s="2">
        <f t="shared" ref="B143:B152" ca="1" si="0">5+RAND()*3</f>
        <v>6.4763085372561227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</row>
    <row r="144" spans="1:17" x14ac:dyDescent="0.25">
      <c r="A144" t="str">
        <v>Amhara</v>
      </c>
      <c r="B144" s="2">
        <f t="shared" ca="1" si="0"/>
        <v>6.8620905601785278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</row>
    <row r="145" spans="1:17" x14ac:dyDescent="0.25">
      <c r="A145" t="str">
        <v>Gumuz</v>
      </c>
      <c r="B145" s="2">
        <f t="shared" ca="1" si="0"/>
        <v>7.127820330436883</v>
      </c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</row>
    <row r="146" spans="1:17" x14ac:dyDescent="0.25">
      <c r="A146" t="str">
        <v>DireDawa</v>
      </c>
      <c r="B146" s="2">
        <f t="shared" ca="1" si="0"/>
        <v>5.2746584230424336</v>
      </c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</row>
    <row r="147" spans="1:17" x14ac:dyDescent="0.25">
      <c r="A147" t="str">
        <v>Gambela</v>
      </c>
      <c r="B147" s="2">
        <f t="shared" ca="1" si="0"/>
        <v>6.3516430719679846</v>
      </c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</row>
    <row r="148" spans="1:17" x14ac:dyDescent="0.25">
      <c r="A148" t="str">
        <v>Harari</v>
      </c>
      <c r="B148" s="2">
        <f t="shared" ca="1" si="0"/>
        <v>5.577048123472891</v>
      </c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</row>
    <row r="149" spans="1:17" x14ac:dyDescent="0.25">
      <c r="A149" t="str">
        <v>Oromia</v>
      </c>
      <c r="B149" s="2">
        <f t="shared" ca="1" si="0"/>
        <v>5.0664728980333633</v>
      </c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</row>
    <row r="150" spans="1:17" x14ac:dyDescent="0.25">
      <c r="A150" t="str">
        <v>Somali</v>
      </c>
      <c r="B150" s="2">
        <f t="shared" ca="1" si="0"/>
        <v>7.8479533943951738</v>
      </c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</row>
    <row r="151" spans="1:17" x14ac:dyDescent="0.25">
      <c r="A151" t="str">
        <v>SNNPR</v>
      </c>
      <c r="B151" s="2">
        <f t="shared" ca="1" si="0"/>
        <v>7.4164884323292455</v>
      </c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</row>
    <row r="152" spans="1:17" x14ac:dyDescent="0.25">
      <c r="A152" t="str">
        <v>Tigray</v>
      </c>
      <c r="B152" s="2">
        <f t="shared" ca="1" si="0"/>
        <v>6.364648576649139</v>
      </c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</row>
    <row r="161" spans="1:17" x14ac:dyDescent="0.25">
      <c r="B161">
        <v>2015</v>
      </c>
    </row>
    <row r="162" spans="1:17" x14ac:dyDescent="0.25">
      <c r="A162" t="str">
        <f t="array" ref="A162:A172">Nodes</f>
        <v>AddisAbaba</v>
      </c>
      <c r="B162" s="2">
        <f ca="1">2+COLUMN()*2 + ROW()/4-40 +RAND()*2</f>
        <v>8.4202083769793088</v>
      </c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</row>
    <row r="163" spans="1:17" x14ac:dyDescent="0.25">
      <c r="A163" t="str">
        <v>Afar</v>
      </c>
      <c r="B163" s="2">
        <f t="shared" ref="B163:B172" ca="1" si="1">2+COLUMN()*2 + ROW()/4-40 +RAND()*2</f>
        <v>7.6281586382268003</v>
      </c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</row>
    <row r="164" spans="1:17" x14ac:dyDescent="0.25">
      <c r="A164" t="str">
        <v>Amhara</v>
      </c>
      <c r="B164" s="2">
        <f t="shared" ca="1" si="1"/>
        <v>8.4306856403363479</v>
      </c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</row>
    <row r="165" spans="1:17" x14ac:dyDescent="0.25">
      <c r="A165" t="str">
        <v>Gumuz</v>
      </c>
      <c r="B165" s="2">
        <f t="shared" ca="1" si="1"/>
        <v>8.5012373654892919</v>
      </c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</row>
    <row r="166" spans="1:17" x14ac:dyDescent="0.25">
      <c r="A166" t="str">
        <v>DireDawa</v>
      </c>
      <c r="B166" s="2">
        <f t="shared" ca="1" si="1"/>
        <v>8.1441514853970354</v>
      </c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</row>
    <row r="167" spans="1:17" x14ac:dyDescent="0.25">
      <c r="A167" t="str">
        <v>Gambela</v>
      </c>
      <c r="B167" s="2">
        <f t="shared" ca="1" si="1"/>
        <v>8.1724508163479594</v>
      </c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</row>
    <row r="168" spans="1:17" x14ac:dyDescent="0.25">
      <c r="A168" t="str">
        <v>Harari</v>
      </c>
      <c r="B168" s="2">
        <f t="shared" ca="1" si="1"/>
        <v>8.9683793856736678</v>
      </c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</row>
    <row r="169" spans="1:17" x14ac:dyDescent="0.25">
      <c r="A169" t="str">
        <v>Oromia</v>
      </c>
      <c r="B169" s="2">
        <f t="shared" ca="1" si="1"/>
        <v>9.2783868623782908</v>
      </c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</row>
    <row r="170" spans="1:17" x14ac:dyDescent="0.25">
      <c r="A170" t="str">
        <v>Somali</v>
      </c>
      <c r="B170" s="2">
        <f t="shared" ca="1" si="1"/>
        <v>8.683895088257783</v>
      </c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</row>
    <row r="171" spans="1:17" x14ac:dyDescent="0.25">
      <c r="A171" t="str">
        <v>SNNPR</v>
      </c>
      <c r="B171" s="2">
        <f t="shared" ca="1" si="1"/>
        <v>8.8641005317493242</v>
      </c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</row>
    <row r="172" spans="1:17" x14ac:dyDescent="0.25">
      <c r="A172" t="str">
        <v>Tigray</v>
      </c>
      <c r="B172" s="2">
        <f t="shared" ca="1" si="1"/>
        <v>10.921027902429984</v>
      </c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</row>
  </sheetData>
  <pageMargins left="0.75" right="0.75" top="1" bottom="1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12"/>
  <sheetViews>
    <sheetView zoomScale="85" zoomScaleNormal="85" workbookViewId="0"/>
  </sheetViews>
  <sheetFormatPr defaultColWidth="8.875" defaultRowHeight="15.75" x14ac:dyDescent="0.25"/>
  <cols>
    <col min="1" max="2" width="11.5" bestFit="1" customWidth="1"/>
  </cols>
  <sheetData>
    <row r="1" spans="1:38" s="1" customFormat="1" x14ac:dyDescent="0.25"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10</v>
      </c>
      <c r="J1" s="1" t="s">
        <v>11</v>
      </c>
      <c r="K1" s="1" t="s">
        <v>14</v>
      </c>
      <c r="L1" s="1" t="s">
        <v>12</v>
      </c>
      <c r="O1" s="1" t="s">
        <v>3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9</v>
      </c>
      <c r="V1" s="1" t="s">
        <v>10</v>
      </c>
      <c r="W1" s="1" t="s">
        <v>11</v>
      </c>
      <c r="X1" s="1" t="s">
        <v>14</v>
      </c>
      <c r="Y1" s="1" t="s">
        <v>12</v>
      </c>
      <c r="AB1" s="1" t="s">
        <v>3</v>
      </c>
      <c r="AC1" s="1" t="s">
        <v>4</v>
      </c>
      <c r="AD1" s="1" t="s">
        <v>5</v>
      </c>
      <c r="AE1" s="1" t="s">
        <v>6</v>
      </c>
      <c r="AF1" s="1" t="s">
        <v>7</v>
      </c>
      <c r="AG1" s="1" t="s">
        <v>8</v>
      </c>
      <c r="AH1" s="1" t="s">
        <v>9</v>
      </c>
      <c r="AI1" s="1" t="s">
        <v>10</v>
      </c>
      <c r="AJ1" s="1" t="s">
        <v>11</v>
      </c>
      <c r="AK1" s="1" t="s">
        <v>14</v>
      </c>
      <c r="AL1" s="1" t="s">
        <v>12</v>
      </c>
    </row>
    <row r="2" spans="1:38" x14ac:dyDescent="0.25">
      <c r="A2" s="1" t="s">
        <v>3</v>
      </c>
      <c r="B2" s="3" t="str">
        <f>[1]Roads!B2</f>
        <v>No</v>
      </c>
      <c r="C2" s="3" t="str">
        <f>[1]Roads!C2</f>
        <v>Yes</v>
      </c>
      <c r="D2" s="3" t="str">
        <f>[1]Roads!D2</f>
        <v>Yes</v>
      </c>
      <c r="E2" s="3" t="str">
        <f>[1]Roads!E2</f>
        <v>Yes</v>
      </c>
      <c r="F2" s="3" t="str">
        <f>[1]Roads!F2</f>
        <v>Yes</v>
      </c>
      <c r="G2" s="3" t="str">
        <f>[1]Roads!G2</f>
        <v>Yes</v>
      </c>
      <c r="H2" s="3" t="str">
        <f>[1]Roads!H2</f>
        <v>Yes</v>
      </c>
      <c r="I2" s="3" t="str">
        <f>[1]Roads!I2</f>
        <v>Yes</v>
      </c>
      <c r="J2" s="3" t="str">
        <f>[1]Roads!J2</f>
        <v>Yes</v>
      </c>
      <c r="K2" s="3" t="str">
        <f>[1]Roads!K2</f>
        <v>Yes</v>
      </c>
      <c r="L2" s="3" t="str">
        <f>[1]Roads!L2</f>
        <v>Yes</v>
      </c>
      <c r="N2" s="1" t="s">
        <v>3</v>
      </c>
      <c r="O2">
        <f>[1]Roads!O2</f>
        <v>0</v>
      </c>
      <c r="P2">
        <f>[1]Roads!P2</f>
        <v>10</v>
      </c>
      <c r="Q2">
        <f>[1]Roads!Q2</f>
        <v>10</v>
      </c>
      <c r="R2">
        <f>[1]Roads!R2</f>
        <v>10</v>
      </c>
      <c r="S2">
        <f>[1]Roads!S2</f>
        <v>10</v>
      </c>
      <c r="T2">
        <f>[1]Roads!T2</f>
        <v>10</v>
      </c>
      <c r="U2">
        <f>[1]Roads!U2</f>
        <v>10</v>
      </c>
      <c r="V2">
        <f>[1]Roads!V2</f>
        <v>10</v>
      </c>
      <c r="W2">
        <f>[1]Roads!W2</f>
        <v>10</v>
      </c>
      <c r="X2">
        <f>[1]Roads!X2</f>
        <v>10</v>
      </c>
      <c r="Y2">
        <f>[1]Roads!Y2</f>
        <v>10</v>
      </c>
      <c r="AA2" s="1" t="s">
        <v>3</v>
      </c>
      <c r="AB2">
        <f>[1]Roads!AB2</f>
        <v>0</v>
      </c>
      <c r="AC2">
        <f>[1]Roads!AC2</f>
        <v>500</v>
      </c>
      <c r="AD2">
        <f>[1]Roads!AD2</f>
        <v>500</v>
      </c>
      <c r="AE2">
        <f>[1]Roads!AE2</f>
        <v>500</v>
      </c>
      <c r="AF2">
        <f>[1]Roads!AF2</f>
        <v>500</v>
      </c>
      <c r="AG2">
        <f>[1]Roads!AG2</f>
        <v>500</v>
      </c>
      <c r="AH2">
        <f>[1]Roads!AH2</f>
        <v>500</v>
      </c>
      <c r="AI2">
        <f>[1]Roads!AI2</f>
        <v>500</v>
      </c>
      <c r="AJ2">
        <f>[1]Roads!AJ2</f>
        <v>500</v>
      </c>
      <c r="AK2">
        <f>[1]Roads!AK2</f>
        <v>500</v>
      </c>
      <c r="AL2">
        <f>[1]Roads!AL2</f>
        <v>500</v>
      </c>
    </row>
    <row r="3" spans="1:38" x14ac:dyDescent="0.25">
      <c r="A3" s="1" t="s">
        <v>4</v>
      </c>
      <c r="B3" s="3" t="str">
        <f>[1]Roads!B3</f>
        <v>Yes</v>
      </c>
      <c r="C3" s="3" t="str">
        <f>[1]Roads!C3</f>
        <v>No</v>
      </c>
      <c r="D3" s="3" t="str">
        <f>[1]Roads!D3</f>
        <v>No</v>
      </c>
      <c r="E3" s="3" t="str">
        <f>[1]Roads!E3</f>
        <v>Yes</v>
      </c>
      <c r="F3" s="3" t="str">
        <f>[1]Roads!F3</f>
        <v>No</v>
      </c>
      <c r="G3" s="3" t="str">
        <f>[1]Roads!G3</f>
        <v>Yes</v>
      </c>
      <c r="H3" s="3" t="str">
        <f>[1]Roads!H3</f>
        <v>Yes</v>
      </c>
      <c r="I3" s="3" t="str">
        <f>[1]Roads!I3</f>
        <v>Yes</v>
      </c>
      <c r="J3" s="3" t="str">
        <f>[1]Roads!J3</f>
        <v>No</v>
      </c>
      <c r="K3" s="3" t="str">
        <f>[1]Roads!K3</f>
        <v>Yes</v>
      </c>
      <c r="L3" s="3" t="str">
        <f>[1]Roads!L3</f>
        <v>No</v>
      </c>
      <c r="N3" s="1" t="s">
        <v>4</v>
      </c>
      <c r="O3">
        <f>[1]Roads!O3</f>
        <v>10</v>
      </c>
      <c r="P3">
        <f>[1]Roads!P3</f>
        <v>0</v>
      </c>
      <c r="Q3">
        <f ca="1">[1]Roads!Q3</f>
        <v>10.663028858434071</v>
      </c>
      <c r="R3">
        <f ca="1">[1]Roads!R3</f>
        <v>14.289315261695798</v>
      </c>
      <c r="S3">
        <f ca="1">[1]Roads!S3</f>
        <v>14.348151121154606</v>
      </c>
      <c r="T3">
        <f ca="1">[1]Roads!T3</f>
        <v>13.292190859099618</v>
      </c>
      <c r="U3">
        <f ca="1">[1]Roads!U3</f>
        <v>12.236969836947772</v>
      </c>
      <c r="V3">
        <f ca="1">[1]Roads!V3</f>
        <v>13.433927701980338</v>
      </c>
      <c r="W3">
        <f ca="1">[1]Roads!W3</f>
        <v>14.627435121552541</v>
      </c>
      <c r="X3">
        <f ca="1">[1]Roads!X3</f>
        <v>12.269520462800156</v>
      </c>
      <c r="Y3">
        <f ca="1">[1]Roads!Y3</f>
        <v>14.642214007362208</v>
      </c>
      <c r="AA3" s="1" t="s">
        <v>4</v>
      </c>
      <c r="AB3">
        <f>[1]Roads!AB3</f>
        <v>500</v>
      </c>
      <c r="AC3">
        <f>[1]Roads!AC3</f>
        <v>0</v>
      </c>
      <c r="AD3">
        <f ca="1">[1]Roads!AD3</f>
        <v>278.90486797089716</v>
      </c>
      <c r="AE3">
        <f ca="1">[1]Roads!AE3</f>
        <v>250.66607435570785</v>
      </c>
      <c r="AF3">
        <f ca="1">[1]Roads!AF3</f>
        <v>268.86323048584046</v>
      </c>
      <c r="AG3">
        <f ca="1">[1]Roads!AG3</f>
        <v>262.77961922000031</v>
      </c>
      <c r="AH3">
        <f ca="1">[1]Roads!AH3</f>
        <v>253.92982883855714</v>
      </c>
      <c r="AI3">
        <f ca="1">[1]Roads!AI3</f>
        <v>296.0714317464886</v>
      </c>
      <c r="AJ3">
        <f ca="1">[1]Roads!AJ3</f>
        <v>281.52320968955178</v>
      </c>
      <c r="AK3">
        <f ca="1">[1]Roads!AK3</f>
        <v>277.11579756283555</v>
      </c>
      <c r="AL3">
        <f ca="1">[1]Roads!AL3</f>
        <v>255.18662479102767</v>
      </c>
    </row>
    <row r="4" spans="1:38" x14ac:dyDescent="0.25">
      <c r="A4" s="1" t="s">
        <v>5</v>
      </c>
      <c r="B4" s="3" t="str">
        <f>[1]Roads!B4</f>
        <v>Yes</v>
      </c>
      <c r="C4" s="3" t="str">
        <f>[1]Roads!C4</f>
        <v>No</v>
      </c>
      <c r="D4" s="3" t="str">
        <f>[1]Roads!D4</f>
        <v>No</v>
      </c>
      <c r="E4" s="3" t="str">
        <f>[1]Roads!E4</f>
        <v>Yes</v>
      </c>
      <c r="F4" s="3" t="str">
        <f>[1]Roads!F4</f>
        <v>No</v>
      </c>
      <c r="G4" s="3" t="str">
        <f>[1]Roads!G4</f>
        <v>No</v>
      </c>
      <c r="H4" s="3" t="str">
        <f>[1]Roads!H4</f>
        <v>Yes</v>
      </c>
      <c r="I4" s="3" t="str">
        <f>[1]Roads!I4</f>
        <v>No</v>
      </c>
      <c r="J4" s="3" t="str">
        <f>[1]Roads!J4</f>
        <v>Yes</v>
      </c>
      <c r="K4" s="3" t="str">
        <f>[1]Roads!K4</f>
        <v>Yes</v>
      </c>
      <c r="L4" s="3" t="str">
        <f>[1]Roads!L4</f>
        <v>Yes</v>
      </c>
      <c r="N4" s="1" t="s">
        <v>5</v>
      </c>
      <c r="O4">
        <f>[1]Roads!O4</f>
        <v>10</v>
      </c>
      <c r="P4">
        <f ca="1">[1]Roads!P4</f>
        <v>12.211815006025347</v>
      </c>
      <c r="Q4">
        <f>[1]Roads!Q4</f>
        <v>0</v>
      </c>
      <c r="R4">
        <f ca="1">[1]Roads!R4</f>
        <v>10.494456782558215</v>
      </c>
      <c r="S4">
        <f ca="1">[1]Roads!S4</f>
        <v>11.023936499909491</v>
      </c>
      <c r="T4">
        <f ca="1">[1]Roads!T4</f>
        <v>11.920682112276866</v>
      </c>
      <c r="U4">
        <f ca="1">[1]Roads!U4</f>
        <v>13.00720848214552</v>
      </c>
      <c r="V4">
        <f ca="1">[1]Roads!V4</f>
        <v>12.841404219898074</v>
      </c>
      <c r="W4">
        <f ca="1">[1]Roads!W4</f>
        <v>13.687722555926038</v>
      </c>
      <c r="X4">
        <f ca="1">[1]Roads!X4</f>
        <v>14.539969891731253</v>
      </c>
      <c r="Y4">
        <f ca="1">[1]Roads!Y4</f>
        <v>13.880336316175832</v>
      </c>
      <c r="AA4" s="1" t="s">
        <v>5</v>
      </c>
      <c r="AB4">
        <f>[1]Roads!AB4</f>
        <v>500</v>
      </c>
      <c r="AC4">
        <f ca="1">[1]Roads!AC4</f>
        <v>277.24966071022448</v>
      </c>
      <c r="AD4">
        <f>[1]Roads!AD4</f>
        <v>0</v>
      </c>
      <c r="AE4">
        <f ca="1">[1]Roads!AE4</f>
        <v>255.30825915153579</v>
      </c>
      <c r="AF4">
        <f ca="1">[1]Roads!AF4</f>
        <v>285.24173211190447</v>
      </c>
      <c r="AG4">
        <f ca="1">[1]Roads!AG4</f>
        <v>258.88871794700151</v>
      </c>
      <c r="AH4">
        <f ca="1">[1]Roads!AH4</f>
        <v>288.12349627672791</v>
      </c>
      <c r="AI4">
        <f ca="1">[1]Roads!AI4</f>
        <v>291.76938057092377</v>
      </c>
      <c r="AJ4">
        <f ca="1">[1]Roads!AJ4</f>
        <v>291.72645349122348</v>
      </c>
      <c r="AK4">
        <f ca="1">[1]Roads!AK4</f>
        <v>261.64279735794668</v>
      </c>
      <c r="AL4">
        <f ca="1">[1]Roads!AL4</f>
        <v>290.98930639184209</v>
      </c>
    </row>
    <row r="5" spans="1:38" x14ac:dyDescent="0.25">
      <c r="A5" s="1" t="s">
        <v>6</v>
      </c>
      <c r="B5" s="3" t="str">
        <f>[1]Roads!B5</f>
        <v>Yes</v>
      </c>
      <c r="C5" s="3" t="str">
        <f>[1]Roads!C5</f>
        <v>Yes</v>
      </c>
      <c r="D5" s="3" t="str">
        <f>[1]Roads!D5</f>
        <v>Yes</v>
      </c>
      <c r="E5" s="3" t="str">
        <f>[1]Roads!E5</f>
        <v>No</v>
      </c>
      <c r="F5" s="3" t="str">
        <f>[1]Roads!F5</f>
        <v>Yes</v>
      </c>
      <c r="G5" s="3" t="str">
        <f>[1]Roads!G5</f>
        <v>No</v>
      </c>
      <c r="H5" s="3" t="str">
        <f>[1]Roads!H5</f>
        <v>No</v>
      </c>
      <c r="I5" s="3" t="str">
        <f>[1]Roads!I5</f>
        <v>Yes</v>
      </c>
      <c r="J5" s="3" t="str">
        <f>[1]Roads!J5</f>
        <v>No</v>
      </c>
      <c r="K5" s="3" t="str">
        <f>[1]Roads!K5</f>
        <v>No</v>
      </c>
      <c r="L5" s="3" t="str">
        <f>[1]Roads!L5</f>
        <v>Yes</v>
      </c>
      <c r="N5" s="1" t="s">
        <v>6</v>
      </c>
      <c r="O5">
        <f>[1]Roads!O5</f>
        <v>10</v>
      </c>
      <c r="P5">
        <f ca="1">[1]Roads!P5</f>
        <v>14.265504453699407</v>
      </c>
      <c r="Q5">
        <f ca="1">[1]Roads!Q5</f>
        <v>14.422402798953538</v>
      </c>
      <c r="R5">
        <f>[1]Roads!R5</f>
        <v>0</v>
      </c>
      <c r="S5">
        <f ca="1">[1]Roads!S5</f>
        <v>12.883657033557547</v>
      </c>
      <c r="T5">
        <f ca="1">[1]Roads!T5</f>
        <v>10.067799747235789</v>
      </c>
      <c r="U5">
        <f ca="1">[1]Roads!U5</f>
        <v>11.896759378171932</v>
      </c>
      <c r="V5">
        <f ca="1">[1]Roads!V5</f>
        <v>12.197080691077868</v>
      </c>
      <c r="W5">
        <f ca="1">[1]Roads!W5</f>
        <v>12.732307988578201</v>
      </c>
      <c r="X5">
        <f ca="1">[1]Roads!X5</f>
        <v>11.447441784828941</v>
      </c>
      <c r="Y5">
        <f ca="1">[1]Roads!Y5</f>
        <v>10.21399199240566</v>
      </c>
      <c r="AA5" s="1" t="s">
        <v>6</v>
      </c>
      <c r="AB5">
        <f>[1]Roads!AB5</f>
        <v>500</v>
      </c>
      <c r="AC5">
        <f ca="1">[1]Roads!AC5</f>
        <v>287.14656474345304</v>
      </c>
      <c r="AD5">
        <f ca="1">[1]Roads!AD5</f>
        <v>297.77620616439702</v>
      </c>
      <c r="AE5">
        <f>[1]Roads!AE5</f>
        <v>0</v>
      </c>
      <c r="AF5">
        <f ca="1">[1]Roads!AF5</f>
        <v>299.46743122004898</v>
      </c>
      <c r="AG5">
        <f ca="1">[1]Roads!AG5</f>
        <v>278.1153306300285</v>
      </c>
      <c r="AH5">
        <f ca="1">[1]Roads!AH5</f>
        <v>287.96123846294034</v>
      </c>
      <c r="AI5">
        <f ca="1">[1]Roads!AI5</f>
        <v>257.22811989648204</v>
      </c>
      <c r="AJ5">
        <f ca="1">[1]Roads!AJ5</f>
        <v>276.11702722760134</v>
      </c>
      <c r="AK5">
        <f ca="1">[1]Roads!AK5</f>
        <v>283.86772610647824</v>
      </c>
      <c r="AL5">
        <f ca="1">[1]Roads!AL5</f>
        <v>286.97320041730359</v>
      </c>
    </row>
    <row r="6" spans="1:38" x14ac:dyDescent="0.25">
      <c r="A6" s="1" t="s">
        <v>7</v>
      </c>
      <c r="B6" s="3" t="str">
        <f>[1]Roads!B6</f>
        <v>Yes</v>
      </c>
      <c r="C6" s="3" t="str">
        <f>[1]Roads!C6</f>
        <v>No</v>
      </c>
      <c r="D6" s="3" t="str">
        <f>[1]Roads!D6</f>
        <v>No</v>
      </c>
      <c r="E6" s="3" t="str">
        <f>[1]Roads!E6</f>
        <v>Yes</v>
      </c>
      <c r="F6" s="3" t="str">
        <f>[1]Roads!F6</f>
        <v>No</v>
      </c>
      <c r="G6" s="3" t="str">
        <f>[1]Roads!G6</f>
        <v>Yes</v>
      </c>
      <c r="H6" s="3" t="str">
        <f>[1]Roads!H6</f>
        <v>Yes</v>
      </c>
      <c r="I6" s="3" t="str">
        <f>[1]Roads!I6</f>
        <v>Yes</v>
      </c>
      <c r="J6" s="3" t="str">
        <f>[1]Roads!J6</f>
        <v>No</v>
      </c>
      <c r="K6" s="3" t="str">
        <f>[1]Roads!K6</f>
        <v>No</v>
      </c>
      <c r="L6" s="3" t="str">
        <f>[1]Roads!L6</f>
        <v>Yes</v>
      </c>
      <c r="N6" s="1" t="s">
        <v>7</v>
      </c>
      <c r="O6">
        <f>[1]Roads!O6</f>
        <v>10</v>
      </c>
      <c r="P6">
        <f ca="1">[1]Roads!P6</f>
        <v>10.414777163510362</v>
      </c>
      <c r="Q6">
        <f ca="1">[1]Roads!Q6</f>
        <v>14.259748279778551</v>
      </c>
      <c r="R6">
        <f ca="1">[1]Roads!R6</f>
        <v>13.228876277632997</v>
      </c>
      <c r="S6">
        <f>[1]Roads!S6</f>
        <v>0</v>
      </c>
      <c r="T6">
        <f ca="1">[1]Roads!T6</f>
        <v>12.485562467680545</v>
      </c>
      <c r="U6">
        <f ca="1">[1]Roads!U6</f>
        <v>14.160009586460815</v>
      </c>
      <c r="V6">
        <f ca="1">[1]Roads!V6</f>
        <v>14.920526691429991</v>
      </c>
      <c r="W6">
        <f ca="1">[1]Roads!W6</f>
        <v>14.275245474778124</v>
      </c>
      <c r="X6">
        <f ca="1">[1]Roads!X6</f>
        <v>10.207327194363044</v>
      </c>
      <c r="Y6">
        <f ca="1">[1]Roads!Y6</f>
        <v>14.029507387782457</v>
      </c>
      <c r="AA6" s="1" t="s">
        <v>7</v>
      </c>
      <c r="AB6">
        <f>[1]Roads!AB6</f>
        <v>500</v>
      </c>
      <c r="AC6">
        <f ca="1">[1]Roads!AC6</f>
        <v>290.29719038995722</v>
      </c>
      <c r="AD6">
        <f ca="1">[1]Roads!AD6</f>
        <v>250.91747324645527</v>
      </c>
      <c r="AE6">
        <f ca="1">[1]Roads!AE6</f>
        <v>271.03995928564484</v>
      </c>
      <c r="AF6">
        <f>[1]Roads!AF6</f>
        <v>0</v>
      </c>
      <c r="AG6">
        <f ca="1">[1]Roads!AG6</f>
        <v>277.86022750610272</v>
      </c>
      <c r="AH6">
        <f ca="1">[1]Roads!AH6</f>
        <v>278.26162719681338</v>
      </c>
      <c r="AI6">
        <f ca="1">[1]Roads!AI6</f>
        <v>276.0653458129546</v>
      </c>
      <c r="AJ6">
        <f ca="1">[1]Roads!AJ6</f>
        <v>258.17219050195018</v>
      </c>
      <c r="AK6">
        <f ca="1">[1]Roads!AK6</f>
        <v>294.85934219947734</v>
      </c>
      <c r="AL6">
        <f ca="1">[1]Roads!AL6</f>
        <v>262.54654974814918</v>
      </c>
    </row>
    <row r="7" spans="1:38" x14ac:dyDescent="0.25">
      <c r="A7" s="1" t="s">
        <v>8</v>
      </c>
      <c r="B7" s="3" t="str">
        <f>[1]Roads!B7</f>
        <v>Yes</v>
      </c>
      <c r="C7" s="3" t="str">
        <f>[1]Roads!C7</f>
        <v>Yes</v>
      </c>
      <c r="D7" s="3" t="str">
        <f>[1]Roads!D7</f>
        <v>No</v>
      </c>
      <c r="E7" s="3" t="str">
        <f>[1]Roads!E7</f>
        <v>No</v>
      </c>
      <c r="F7" s="3" t="str">
        <f>[1]Roads!F7</f>
        <v>Yes</v>
      </c>
      <c r="G7" s="3" t="str">
        <f>[1]Roads!G7</f>
        <v>No</v>
      </c>
      <c r="H7" s="3" t="str">
        <f>[1]Roads!H7</f>
        <v>No</v>
      </c>
      <c r="I7" s="3" t="str">
        <f>[1]Roads!I7</f>
        <v>Yes</v>
      </c>
      <c r="J7" s="3" t="str">
        <f>[1]Roads!J7</f>
        <v>Yes</v>
      </c>
      <c r="K7" s="3" t="str">
        <f>[1]Roads!K7</f>
        <v>Yes</v>
      </c>
      <c r="L7" s="3" t="str">
        <f>[1]Roads!L7</f>
        <v>Yes</v>
      </c>
      <c r="N7" s="1" t="s">
        <v>8</v>
      </c>
      <c r="O7">
        <f>[1]Roads!O7</f>
        <v>10</v>
      </c>
      <c r="P7">
        <f ca="1">[1]Roads!P7</f>
        <v>12.419942702212825</v>
      </c>
      <c r="Q7">
        <f ca="1">[1]Roads!Q7</f>
        <v>14.37490043765944</v>
      </c>
      <c r="R7">
        <f ca="1">[1]Roads!R7</f>
        <v>13.603793589731492</v>
      </c>
      <c r="S7">
        <f ca="1">[1]Roads!S7</f>
        <v>13.542365507710509</v>
      </c>
      <c r="T7">
        <f>[1]Roads!T7</f>
        <v>0</v>
      </c>
      <c r="U7">
        <f ca="1">[1]Roads!U7</f>
        <v>13.005993607960038</v>
      </c>
      <c r="V7">
        <f ca="1">[1]Roads!V7</f>
        <v>10.956129909674706</v>
      </c>
      <c r="W7">
        <f ca="1">[1]Roads!W7</f>
        <v>12.178230975461787</v>
      </c>
      <c r="X7">
        <f ca="1">[1]Roads!X7</f>
        <v>11.215377377077576</v>
      </c>
      <c r="Y7">
        <f ca="1">[1]Roads!Y7</f>
        <v>14.882145988287039</v>
      </c>
      <c r="AA7" s="1" t="s">
        <v>8</v>
      </c>
      <c r="AB7">
        <f>[1]Roads!AB7</f>
        <v>500</v>
      </c>
      <c r="AC7">
        <f ca="1">[1]Roads!AC7</f>
        <v>292.21874408057982</v>
      </c>
      <c r="AD7">
        <f ca="1">[1]Roads!AD7</f>
        <v>292.52839088308957</v>
      </c>
      <c r="AE7">
        <f ca="1">[1]Roads!AE7</f>
        <v>277.67314079571327</v>
      </c>
      <c r="AF7">
        <f ca="1">[1]Roads!AF7</f>
        <v>252.2563955020297</v>
      </c>
      <c r="AG7">
        <f>[1]Roads!AG7</f>
        <v>0</v>
      </c>
      <c r="AH7">
        <f ca="1">[1]Roads!AH7</f>
        <v>271.83036387097337</v>
      </c>
      <c r="AI7">
        <f ca="1">[1]Roads!AI7</f>
        <v>254.03054815601675</v>
      </c>
      <c r="AJ7">
        <f ca="1">[1]Roads!AJ7</f>
        <v>282.64752635363317</v>
      </c>
      <c r="AK7">
        <f ca="1">[1]Roads!AK7</f>
        <v>264.37419330471243</v>
      </c>
      <c r="AL7">
        <f ca="1">[1]Roads!AL7</f>
        <v>261.97630814627695</v>
      </c>
    </row>
    <row r="8" spans="1:38" x14ac:dyDescent="0.25">
      <c r="A8" s="1" t="s">
        <v>9</v>
      </c>
      <c r="B8" s="3" t="str">
        <f>[1]Roads!B8</f>
        <v>Yes</v>
      </c>
      <c r="C8" s="3" t="str">
        <f>[1]Roads!C8</f>
        <v>Yes</v>
      </c>
      <c r="D8" s="3" t="str">
        <f>[1]Roads!D8</f>
        <v>Yes</v>
      </c>
      <c r="E8" s="3" t="str">
        <f>[1]Roads!E8</f>
        <v>No</v>
      </c>
      <c r="F8" s="3" t="str">
        <f>[1]Roads!F8</f>
        <v>Yes</v>
      </c>
      <c r="G8" s="3" t="str">
        <f>[1]Roads!G8</f>
        <v>No</v>
      </c>
      <c r="H8" s="3" t="str">
        <f>[1]Roads!H8</f>
        <v>No</v>
      </c>
      <c r="I8" s="3" t="str">
        <f>[1]Roads!I8</f>
        <v>No</v>
      </c>
      <c r="J8" s="3" t="str">
        <f>[1]Roads!J8</f>
        <v>Yes</v>
      </c>
      <c r="K8" s="3" t="str">
        <f>[1]Roads!K8</f>
        <v>Yes</v>
      </c>
      <c r="L8" s="3" t="str">
        <f>[1]Roads!L8</f>
        <v>Yes</v>
      </c>
      <c r="N8" s="1" t="s">
        <v>9</v>
      </c>
      <c r="O8">
        <f>[1]Roads!O8</f>
        <v>10</v>
      </c>
      <c r="P8">
        <f ca="1">[1]Roads!P8</f>
        <v>12.645458192181444</v>
      </c>
      <c r="Q8">
        <f ca="1">[1]Roads!Q8</f>
        <v>10.322429698238016</v>
      </c>
      <c r="R8">
        <f ca="1">[1]Roads!R8</f>
        <v>10.879058659264398</v>
      </c>
      <c r="S8">
        <f ca="1">[1]Roads!S8</f>
        <v>11.069941815276762</v>
      </c>
      <c r="T8">
        <f ca="1">[1]Roads!T8</f>
        <v>13.773421926580916</v>
      </c>
      <c r="U8">
        <f>[1]Roads!U8</f>
        <v>0</v>
      </c>
      <c r="V8">
        <f ca="1">[1]Roads!V8</f>
        <v>10.245199149801534</v>
      </c>
      <c r="W8">
        <f ca="1">[1]Roads!W8</f>
        <v>13.113174418537358</v>
      </c>
      <c r="X8">
        <f ca="1">[1]Roads!X8</f>
        <v>11.008658846922621</v>
      </c>
      <c r="Y8">
        <f ca="1">[1]Roads!Y8</f>
        <v>14.912778638616206</v>
      </c>
      <c r="AA8" s="1" t="s">
        <v>9</v>
      </c>
      <c r="AB8">
        <f>[1]Roads!AB8</f>
        <v>500</v>
      </c>
      <c r="AC8">
        <f ca="1">[1]Roads!AC8</f>
        <v>299.46672535177106</v>
      </c>
      <c r="AD8">
        <f ca="1">[1]Roads!AD8</f>
        <v>257.32211102362157</v>
      </c>
      <c r="AE8">
        <f ca="1">[1]Roads!AE8</f>
        <v>290.72123946664578</v>
      </c>
      <c r="AF8">
        <f ca="1">[1]Roads!AF8</f>
        <v>264.59510668862919</v>
      </c>
      <c r="AG8">
        <f ca="1">[1]Roads!AG8</f>
        <v>291.06853609998547</v>
      </c>
      <c r="AH8">
        <f>[1]Roads!AH8</f>
        <v>0</v>
      </c>
      <c r="AI8">
        <f ca="1">[1]Roads!AI8</f>
        <v>294.21674785246756</v>
      </c>
      <c r="AJ8">
        <f ca="1">[1]Roads!AJ8</f>
        <v>298.38844511476367</v>
      </c>
      <c r="AK8">
        <f ca="1">[1]Roads!AK8</f>
        <v>288.91702545686007</v>
      </c>
      <c r="AL8">
        <f ca="1">[1]Roads!AL8</f>
        <v>287.23816263996383</v>
      </c>
    </row>
    <row r="9" spans="1:38" x14ac:dyDescent="0.25">
      <c r="A9" s="1" t="s">
        <v>10</v>
      </c>
      <c r="B9" s="3" t="str">
        <f>[1]Roads!B9</f>
        <v>Yes</v>
      </c>
      <c r="C9" s="3" t="str">
        <f>[1]Roads!C9</f>
        <v>Yes</v>
      </c>
      <c r="D9" s="3" t="str">
        <f>[1]Roads!D9</f>
        <v>No</v>
      </c>
      <c r="E9" s="3" t="str">
        <f>[1]Roads!E9</f>
        <v>Yes</v>
      </c>
      <c r="F9" s="3" t="str">
        <f>[1]Roads!F9</f>
        <v>Yes</v>
      </c>
      <c r="G9" s="3" t="str">
        <f>[1]Roads!G9</f>
        <v>Yes</v>
      </c>
      <c r="H9" s="3" t="str">
        <f>[1]Roads!H9</f>
        <v>No</v>
      </c>
      <c r="I9" s="3" t="str">
        <f>[1]Roads!I9</f>
        <v>No</v>
      </c>
      <c r="J9" s="3" t="str">
        <f>[1]Roads!J9</f>
        <v>Yes</v>
      </c>
      <c r="K9" s="3" t="str">
        <f>[1]Roads!K9</f>
        <v>No</v>
      </c>
      <c r="L9" s="3" t="str">
        <f>[1]Roads!L9</f>
        <v>No</v>
      </c>
      <c r="N9" s="1" t="s">
        <v>10</v>
      </c>
      <c r="O9">
        <f>[1]Roads!O9</f>
        <v>10</v>
      </c>
      <c r="P9">
        <f ca="1">[1]Roads!P9</f>
        <v>11.098733751552174</v>
      </c>
      <c r="Q9">
        <f ca="1">[1]Roads!Q9</f>
        <v>12.057219829426886</v>
      </c>
      <c r="R9">
        <f ca="1">[1]Roads!R9</f>
        <v>14.171047650395501</v>
      </c>
      <c r="S9">
        <f ca="1">[1]Roads!S9</f>
        <v>14.397953634812033</v>
      </c>
      <c r="T9">
        <f ca="1">[1]Roads!T9</f>
        <v>11.828413982072343</v>
      </c>
      <c r="U9">
        <f ca="1">[1]Roads!U9</f>
        <v>12.857153908264209</v>
      </c>
      <c r="V9">
        <f>[1]Roads!V9</f>
        <v>0</v>
      </c>
      <c r="W9">
        <f ca="1">[1]Roads!W9</f>
        <v>10.514584021844087</v>
      </c>
      <c r="X9">
        <f ca="1">[1]Roads!X9</f>
        <v>12.080649265229596</v>
      </c>
      <c r="Y9">
        <f ca="1">[1]Roads!Y9</f>
        <v>10.59099632843729</v>
      </c>
      <c r="AA9" s="1" t="s">
        <v>10</v>
      </c>
      <c r="AB9">
        <f>[1]Roads!AB9</f>
        <v>500</v>
      </c>
      <c r="AC9">
        <f ca="1">[1]Roads!AC9</f>
        <v>283.46931484364279</v>
      </c>
      <c r="AD9">
        <f ca="1">[1]Roads!AD9</f>
        <v>271.40610585829614</v>
      </c>
      <c r="AE9">
        <f ca="1">[1]Roads!AE9</f>
        <v>281.55662953894262</v>
      </c>
      <c r="AF9">
        <f ca="1">[1]Roads!AF9</f>
        <v>270.09759883454461</v>
      </c>
      <c r="AG9">
        <f ca="1">[1]Roads!AG9</f>
        <v>256.4017951271515</v>
      </c>
      <c r="AH9">
        <f ca="1">[1]Roads!AH9</f>
        <v>254.96503082245411</v>
      </c>
      <c r="AI9">
        <f>[1]Roads!AI9</f>
        <v>0</v>
      </c>
      <c r="AJ9">
        <f ca="1">[1]Roads!AJ9</f>
        <v>292.26386096779743</v>
      </c>
      <c r="AK9">
        <f ca="1">[1]Roads!AK9</f>
        <v>280.9407850375805</v>
      </c>
      <c r="AL9">
        <f ca="1">[1]Roads!AL9</f>
        <v>282.94316738131823</v>
      </c>
    </row>
    <row r="10" spans="1:38" x14ac:dyDescent="0.25">
      <c r="A10" s="1" t="s">
        <v>11</v>
      </c>
      <c r="B10" s="3" t="str">
        <f>[1]Roads!B10</f>
        <v>Yes</v>
      </c>
      <c r="C10" s="3" t="str">
        <f>[1]Roads!C10</f>
        <v>No</v>
      </c>
      <c r="D10" s="3" t="str">
        <f>[1]Roads!D10</f>
        <v>Yes</v>
      </c>
      <c r="E10" s="3" t="str">
        <f>[1]Roads!E10</f>
        <v>No</v>
      </c>
      <c r="F10" s="3" t="str">
        <f>[1]Roads!F10</f>
        <v>No</v>
      </c>
      <c r="G10" s="3" t="str">
        <f>[1]Roads!G10</f>
        <v>Yes</v>
      </c>
      <c r="H10" s="3" t="str">
        <f>[1]Roads!H10</f>
        <v>Yes</v>
      </c>
      <c r="I10" s="3" t="str">
        <f>[1]Roads!I10</f>
        <v>Yes</v>
      </c>
      <c r="J10" s="3" t="str">
        <f>[1]Roads!J10</f>
        <v>No</v>
      </c>
      <c r="K10" s="3" t="str">
        <f>[1]Roads!K10</f>
        <v>Yes</v>
      </c>
      <c r="L10" s="3" t="str">
        <f>[1]Roads!L10</f>
        <v>No</v>
      </c>
      <c r="N10" s="1" t="s">
        <v>11</v>
      </c>
      <c r="O10">
        <f>[1]Roads!O10</f>
        <v>10</v>
      </c>
      <c r="P10">
        <f ca="1">[1]Roads!P10</f>
        <v>10.220297317422741</v>
      </c>
      <c r="Q10">
        <f ca="1">[1]Roads!Q10</f>
        <v>12.771216421356915</v>
      </c>
      <c r="R10">
        <f ca="1">[1]Roads!R10</f>
        <v>12.717575546043083</v>
      </c>
      <c r="S10">
        <f ca="1">[1]Roads!S10</f>
        <v>10.445902745666091</v>
      </c>
      <c r="T10">
        <f ca="1">[1]Roads!T10</f>
        <v>11.443601295640253</v>
      </c>
      <c r="U10">
        <f ca="1">[1]Roads!U10</f>
        <v>11.720980834362173</v>
      </c>
      <c r="V10">
        <f ca="1">[1]Roads!V10</f>
        <v>13.013105156820451</v>
      </c>
      <c r="W10">
        <f>[1]Roads!W10</f>
        <v>0</v>
      </c>
      <c r="X10">
        <f ca="1">[1]Roads!X10</f>
        <v>14.340039108422044</v>
      </c>
      <c r="Y10">
        <f ca="1">[1]Roads!Y10</f>
        <v>14.107218799184846</v>
      </c>
      <c r="AA10" s="1" t="s">
        <v>11</v>
      </c>
      <c r="AB10">
        <f>[1]Roads!AB10</f>
        <v>500</v>
      </c>
      <c r="AC10">
        <f ca="1">[1]Roads!AC10</f>
        <v>259.12439290040749</v>
      </c>
      <c r="AD10">
        <f ca="1">[1]Roads!AD10</f>
        <v>279.70792875245201</v>
      </c>
      <c r="AE10">
        <f ca="1">[1]Roads!AE10</f>
        <v>283.8870671311239</v>
      </c>
      <c r="AF10">
        <f ca="1">[1]Roads!AF10</f>
        <v>250.62596411163133</v>
      </c>
      <c r="AG10">
        <f ca="1">[1]Roads!AG10</f>
        <v>258.9195087867389</v>
      </c>
      <c r="AH10">
        <f ca="1">[1]Roads!AH10</f>
        <v>296.58607533011212</v>
      </c>
      <c r="AI10">
        <f ca="1">[1]Roads!AI10</f>
        <v>259.26506828341951</v>
      </c>
      <c r="AJ10">
        <f>[1]Roads!AJ10</f>
        <v>0</v>
      </c>
      <c r="AK10">
        <f ca="1">[1]Roads!AK10</f>
        <v>275.96322759583711</v>
      </c>
      <c r="AL10">
        <f ca="1">[1]Roads!AL10</f>
        <v>278.00676993468375</v>
      </c>
    </row>
    <row r="11" spans="1:38" x14ac:dyDescent="0.25">
      <c r="A11" s="1" t="s">
        <v>14</v>
      </c>
      <c r="B11" s="3" t="str">
        <f>[1]Roads!B11</f>
        <v>Yes</v>
      </c>
      <c r="C11" s="3" t="str">
        <f>[1]Roads!C11</f>
        <v>Yes</v>
      </c>
      <c r="D11" s="3" t="str">
        <f>[1]Roads!D11</f>
        <v>Yes</v>
      </c>
      <c r="E11" s="3" t="str">
        <f>[1]Roads!E11</f>
        <v>No</v>
      </c>
      <c r="F11" s="3" t="str">
        <f>[1]Roads!F11</f>
        <v>No</v>
      </c>
      <c r="G11" s="3" t="str">
        <f>[1]Roads!G11</f>
        <v>Yes</v>
      </c>
      <c r="H11" s="3" t="str">
        <f>[1]Roads!H11</f>
        <v>Yes</v>
      </c>
      <c r="I11" s="3" t="str">
        <f>[1]Roads!I11</f>
        <v>No</v>
      </c>
      <c r="J11" s="3" t="str">
        <f>[1]Roads!J11</f>
        <v>Yes</v>
      </c>
      <c r="K11" s="3" t="str">
        <f>[1]Roads!K11</f>
        <v>No</v>
      </c>
      <c r="L11" s="3" t="str">
        <f>[1]Roads!L11</f>
        <v>Yes</v>
      </c>
      <c r="N11" s="1" t="s">
        <v>14</v>
      </c>
      <c r="O11">
        <f>[1]Roads!O11</f>
        <v>10</v>
      </c>
      <c r="P11">
        <f ca="1">[1]Roads!P11</f>
        <v>12.136583499824484</v>
      </c>
      <c r="Q11">
        <f ca="1">[1]Roads!Q11</f>
        <v>10.308410589680484</v>
      </c>
      <c r="R11">
        <f ca="1">[1]Roads!R11</f>
        <v>13.625638416241289</v>
      </c>
      <c r="S11">
        <f ca="1">[1]Roads!S11</f>
        <v>14.0094721830156</v>
      </c>
      <c r="T11">
        <f ca="1">[1]Roads!T11</f>
        <v>11.620521081158518</v>
      </c>
      <c r="U11">
        <f ca="1">[1]Roads!U11</f>
        <v>13.563073250978146</v>
      </c>
      <c r="V11">
        <f ca="1">[1]Roads!V11</f>
        <v>14.193112257153633</v>
      </c>
      <c r="W11">
        <f ca="1">[1]Roads!W11</f>
        <v>10.57003733053976</v>
      </c>
      <c r="X11">
        <f>[1]Roads!X11</f>
        <v>0</v>
      </c>
      <c r="Y11">
        <f ca="1">[1]Roads!Y11</f>
        <v>10.543497391317675</v>
      </c>
      <c r="AA11" s="1" t="s">
        <v>14</v>
      </c>
      <c r="AB11">
        <f>[1]Roads!AB11</f>
        <v>500</v>
      </c>
      <c r="AC11">
        <f ca="1">[1]Roads!AC11</f>
        <v>296.22294857867922</v>
      </c>
      <c r="AD11">
        <f ca="1">[1]Roads!AD11</f>
        <v>278.88015176782318</v>
      </c>
      <c r="AE11">
        <f ca="1">[1]Roads!AE11</f>
        <v>264.60697722521479</v>
      </c>
      <c r="AF11">
        <f ca="1">[1]Roads!AF11</f>
        <v>266.00955943938118</v>
      </c>
      <c r="AG11">
        <f ca="1">[1]Roads!AG11</f>
        <v>257.20110363685393</v>
      </c>
      <c r="AH11">
        <f ca="1">[1]Roads!AH11</f>
        <v>250.62301991384663</v>
      </c>
      <c r="AI11">
        <f ca="1">[1]Roads!AI11</f>
        <v>252.88526760027639</v>
      </c>
      <c r="AJ11">
        <f ca="1">[1]Roads!AJ11</f>
        <v>252.39579736144213</v>
      </c>
      <c r="AK11">
        <f>[1]Roads!AK11</f>
        <v>0</v>
      </c>
      <c r="AL11">
        <f ca="1">[1]Roads!AL11</f>
        <v>257.68490962825496</v>
      </c>
    </row>
    <row r="12" spans="1:38" x14ac:dyDescent="0.25">
      <c r="A12" s="1" t="s">
        <v>12</v>
      </c>
      <c r="B12" s="3" t="str">
        <f>[1]Roads!B12</f>
        <v>Yes</v>
      </c>
      <c r="C12" s="3" t="str">
        <f>[1]Roads!C12</f>
        <v>No</v>
      </c>
      <c r="D12" s="3" t="str">
        <f>[1]Roads!D12</f>
        <v>Yes</v>
      </c>
      <c r="E12" s="3" t="str">
        <f>[1]Roads!E12</f>
        <v>Yes</v>
      </c>
      <c r="F12" s="3" t="str">
        <f>[1]Roads!F12</f>
        <v>Yes</v>
      </c>
      <c r="G12" s="3" t="str">
        <f>[1]Roads!G12</f>
        <v>Yes</v>
      </c>
      <c r="H12" s="3" t="str">
        <f>[1]Roads!H12</f>
        <v>No</v>
      </c>
      <c r="I12" s="3" t="str">
        <f>[1]Roads!I12</f>
        <v>No</v>
      </c>
      <c r="J12" s="3" t="str">
        <f>[1]Roads!J12</f>
        <v>No</v>
      </c>
      <c r="K12" s="3" t="str">
        <f>[1]Roads!K12</f>
        <v>Yes</v>
      </c>
      <c r="L12" s="3" t="str">
        <f>[1]Roads!L12</f>
        <v>No</v>
      </c>
      <c r="N12" s="1" t="s">
        <v>12</v>
      </c>
      <c r="O12">
        <f>[1]Roads!O12</f>
        <v>10</v>
      </c>
      <c r="P12">
        <f ca="1">[1]Roads!P12</f>
        <v>10.475859907752234</v>
      </c>
      <c r="Q12">
        <f ca="1">[1]Roads!Q12</f>
        <v>13.73191236793981</v>
      </c>
      <c r="R12">
        <f ca="1">[1]Roads!R12</f>
        <v>12.011643832633567</v>
      </c>
      <c r="S12">
        <f ca="1">[1]Roads!S12</f>
        <v>12.254748648420421</v>
      </c>
      <c r="T12">
        <f ca="1">[1]Roads!T12</f>
        <v>13.71169250569443</v>
      </c>
      <c r="U12">
        <f ca="1">[1]Roads!U12</f>
        <v>10.824761550519735</v>
      </c>
      <c r="V12">
        <f ca="1">[1]Roads!V12</f>
        <v>10.997534793716856</v>
      </c>
      <c r="W12">
        <f ca="1">[1]Roads!W12</f>
        <v>13.602951624782921</v>
      </c>
      <c r="X12">
        <f ca="1">[1]Roads!X12</f>
        <v>12.908966551315503</v>
      </c>
      <c r="Y12">
        <f>[1]Roads!Y12</f>
        <v>0</v>
      </c>
      <c r="AA12" s="1" t="s">
        <v>12</v>
      </c>
      <c r="AB12">
        <f>[1]Roads!AB12</f>
        <v>500</v>
      </c>
      <c r="AC12">
        <f ca="1">[1]Roads!AC12</f>
        <v>251.67989711900771</v>
      </c>
      <c r="AD12">
        <f ca="1">[1]Roads!AD12</f>
        <v>250.71611579300946</v>
      </c>
      <c r="AE12">
        <f ca="1">[1]Roads!AE12</f>
        <v>291.69151893903876</v>
      </c>
      <c r="AF12">
        <f ca="1">[1]Roads!AF12</f>
        <v>271.9681040227868</v>
      </c>
      <c r="AG12">
        <f ca="1">[1]Roads!AG12</f>
        <v>292.05096578741791</v>
      </c>
      <c r="AH12">
        <f ca="1">[1]Roads!AH12</f>
        <v>258.52473939202957</v>
      </c>
      <c r="AI12">
        <f ca="1">[1]Roads!AI12</f>
        <v>293.25490761981132</v>
      </c>
      <c r="AJ12">
        <f ca="1">[1]Roads!AJ12</f>
        <v>292.96630846863064</v>
      </c>
      <c r="AK12">
        <f ca="1">[1]Roads!AK12</f>
        <v>275.9943700631556</v>
      </c>
      <c r="AL12">
        <f>[1]Roads!AL12</f>
        <v>0</v>
      </c>
    </row>
  </sheetData>
  <conditionalFormatting sqref="B2:L12">
    <cfRule type="containsText" dxfId="1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12"/>
  <sheetViews>
    <sheetView zoomScale="85" zoomScaleNormal="85" workbookViewId="0">
      <selection activeCell="AB2" sqref="AB2"/>
    </sheetView>
  </sheetViews>
  <sheetFormatPr defaultColWidth="8.875" defaultRowHeight="15.75" x14ac:dyDescent="0.25"/>
  <cols>
    <col min="1" max="2" width="11.5" bestFit="1" customWidth="1"/>
  </cols>
  <sheetData>
    <row r="1" spans="1:38" x14ac:dyDescent="0.25"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10</v>
      </c>
      <c r="J1" s="1" t="s">
        <v>11</v>
      </c>
      <c r="K1" s="1" t="s">
        <v>14</v>
      </c>
      <c r="L1" s="1" t="s">
        <v>12</v>
      </c>
      <c r="N1" s="1"/>
      <c r="O1" s="1" t="s">
        <v>3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9</v>
      </c>
      <c r="V1" s="1" t="s">
        <v>10</v>
      </c>
      <c r="W1" s="1" t="s">
        <v>11</v>
      </c>
      <c r="X1" s="1" t="s">
        <v>14</v>
      </c>
      <c r="Y1" s="1" t="s">
        <v>12</v>
      </c>
      <c r="Z1" s="1"/>
      <c r="AA1" s="1"/>
      <c r="AB1" s="1" t="s">
        <v>3</v>
      </c>
      <c r="AC1" s="1" t="s">
        <v>4</v>
      </c>
      <c r="AD1" s="1" t="s">
        <v>5</v>
      </c>
      <c r="AE1" s="1" t="s">
        <v>6</v>
      </c>
      <c r="AF1" s="1" t="s">
        <v>7</v>
      </c>
      <c r="AG1" s="1" t="s">
        <v>8</v>
      </c>
      <c r="AH1" s="1" t="s">
        <v>9</v>
      </c>
      <c r="AI1" s="1" t="s">
        <v>10</v>
      </c>
      <c r="AJ1" s="1" t="s">
        <v>11</v>
      </c>
      <c r="AK1" s="1" t="s">
        <v>14</v>
      </c>
      <c r="AL1" s="1" t="s">
        <v>12</v>
      </c>
    </row>
    <row r="2" spans="1:38" x14ac:dyDescent="0.25">
      <c r="A2" s="1" t="s">
        <v>3</v>
      </c>
      <c r="B2" s="3" t="str">
        <f>[1]ElecLine!B2</f>
        <v>No</v>
      </c>
      <c r="C2" s="3" t="str">
        <f>[1]ElecLine!C2</f>
        <v>Yes</v>
      </c>
      <c r="D2" s="3" t="str">
        <f>[1]ElecLine!D2</f>
        <v>Yes</v>
      </c>
      <c r="E2" s="3" t="str">
        <f>[1]ElecLine!E2</f>
        <v>Yes</v>
      </c>
      <c r="F2" s="3" t="str">
        <f>[1]ElecLine!F2</f>
        <v>Yes</v>
      </c>
      <c r="G2" s="3" t="str">
        <f>[1]ElecLine!G2</f>
        <v>Yes</v>
      </c>
      <c r="H2" s="3" t="str">
        <f>[1]ElecLine!H2</f>
        <v>Yes</v>
      </c>
      <c r="I2" s="3" t="str">
        <f>[1]ElecLine!I2</f>
        <v>Yes</v>
      </c>
      <c r="J2" s="3" t="str">
        <f>[1]ElecLine!J2</f>
        <v>Yes</v>
      </c>
      <c r="K2" s="3" t="str">
        <f>[1]ElecLine!K2</f>
        <v>Yes</v>
      </c>
      <c r="L2" s="3" t="str">
        <f>[1]ElecLine!L2</f>
        <v>Yes</v>
      </c>
      <c r="N2" s="1" t="s">
        <v>3</v>
      </c>
      <c r="O2">
        <f>[1]ElecLine!O2</f>
        <v>0</v>
      </c>
      <c r="P2">
        <v>10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10</v>
      </c>
      <c r="Y2">
        <v>10</v>
      </c>
      <c r="AA2" s="1" t="s">
        <v>3</v>
      </c>
      <c r="AB2">
        <f>[1]ElecLine!AB2</f>
        <v>0</v>
      </c>
      <c r="AC2">
        <v>500</v>
      </c>
      <c r="AD2">
        <v>500</v>
      </c>
      <c r="AE2">
        <v>500</v>
      </c>
      <c r="AF2">
        <v>500</v>
      </c>
      <c r="AG2">
        <v>500</v>
      </c>
      <c r="AH2">
        <v>500</v>
      </c>
      <c r="AI2">
        <v>500</v>
      </c>
      <c r="AJ2">
        <v>500</v>
      </c>
      <c r="AK2">
        <v>500</v>
      </c>
      <c r="AL2">
        <v>500</v>
      </c>
    </row>
    <row r="3" spans="1:38" x14ac:dyDescent="0.25">
      <c r="A3" s="1" t="s">
        <v>4</v>
      </c>
      <c r="B3" s="3" t="str">
        <f>[1]ElecLine!B3</f>
        <v>Yes</v>
      </c>
      <c r="C3" s="3" t="str">
        <f>[1]ElecLine!C3</f>
        <v>No</v>
      </c>
      <c r="D3" s="3" t="str">
        <f>[1]ElecLine!D3</f>
        <v>No</v>
      </c>
      <c r="E3" s="3" t="str">
        <f>[1]ElecLine!E3</f>
        <v>Yes</v>
      </c>
      <c r="F3" s="3" t="str">
        <f>[1]ElecLine!F3</f>
        <v>No</v>
      </c>
      <c r="G3" s="3" t="str">
        <f>[1]ElecLine!G3</f>
        <v>Yes</v>
      </c>
      <c r="H3" s="3" t="str">
        <f>[1]ElecLine!H3</f>
        <v>Yes</v>
      </c>
      <c r="I3" s="3" t="str">
        <f>[1]ElecLine!I3</f>
        <v>Yes</v>
      </c>
      <c r="J3" s="3" t="str">
        <f>[1]ElecLine!J3</f>
        <v>No</v>
      </c>
      <c r="K3" s="3" t="str">
        <f>[1]ElecLine!K3</f>
        <v>Yes</v>
      </c>
      <c r="L3" s="3" t="str">
        <f>[1]ElecLine!L3</f>
        <v>No</v>
      </c>
      <c r="N3" s="1" t="s">
        <v>4</v>
      </c>
      <c r="O3">
        <v>10</v>
      </c>
      <c r="Q3">
        <f t="shared" ref="P3:Y12" ca="1" si="0">10+5*RAND()</f>
        <v>11.426375792607679</v>
      </c>
      <c r="R3">
        <f t="shared" ca="1" si="0"/>
        <v>11.52197514901278</v>
      </c>
      <c r="S3">
        <f t="shared" ca="1" si="0"/>
        <v>11.998640959248847</v>
      </c>
      <c r="T3">
        <f t="shared" ca="1" si="0"/>
        <v>12.798134865311592</v>
      </c>
      <c r="U3">
        <f t="shared" ca="1" si="0"/>
        <v>12.451525041892417</v>
      </c>
      <c r="V3">
        <f t="shared" ca="1" si="0"/>
        <v>10.727293150719655</v>
      </c>
      <c r="W3">
        <f t="shared" ca="1" si="0"/>
        <v>10.052033777339252</v>
      </c>
      <c r="X3">
        <f t="shared" ca="1" si="0"/>
        <v>14.918078295070362</v>
      </c>
      <c r="Y3">
        <f t="shared" ca="1" si="0"/>
        <v>10.563263720478345</v>
      </c>
      <c r="AA3" s="1" t="s">
        <v>4</v>
      </c>
      <c r="AB3">
        <v>500</v>
      </c>
      <c r="AD3">
        <f t="shared" ref="AC3:AL12" ca="1" si="1">300-50*RAND()</f>
        <v>253.81588926325651</v>
      </c>
      <c r="AE3">
        <f t="shared" ca="1" si="1"/>
        <v>253.91260155371975</v>
      </c>
      <c r="AF3">
        <f t="shared" ca="1" si="1"/>
        <v>278.27745264730896</v>
      </c>
      <c r="AG3">
        <f t="shared" ca="1" si="1"/>
        <v>291.46605050986699</v>
      </c>
      <c r="AH3">
        <f t="shared" ca="1" si="1"/>
        <v>278.36347311202144</v>
      </c>
      <c r="AI3">
        <f t="shared" ca="1" si="1"/>
        <v>263.02415187343121</v>
      </c>
      <c r="AJ3">
        <f t="shared" ca="1" si="1"/>
        <v>274.38921712021448</v>
      </c>
      <c r="AK3">
        <f t="shared" ca="1" si="1"/>
        <v>298.76153236963393</v>
      </c>
      <c r="AL3">
        <f t="shared" ca="1" si="1"/>
        <v>299.79419611114804</v>
      </c>
    </row>
    <row r="4" spans="1:38" x14ac:dyDescent="0.25">
      <c r="A4" s="1" t="s">
        <v>5</v>
      </c>
      <c r="B4" s="3" t="str">
        <f>[1]ElecLine!B4</f>
        <v>Yes</v>
      </c>
      <c r="C4" s="3" t="str">
        <f>[1]ElecLine!C4</f>
        <v>No</v>
      </c>
      <c r="D4" s="3" t="str">
        <f>[1]ElecLine!D4</f>
        <v>No</v>
      </c>
      <c r="E4" s="3" t="str">
        <f>[1]ElecLine!E4</f>
        <v>Yes</v>
      </c>
      <c r="F4" s="3" t="str">
        <f>[1]ElecLine!F4</f>
        <v>No</v>
      </c>
      <c r="G4" s="3" t="str">
        <f>[1]ElecLine!G4</f>
        <v>No</v>
      </c>
      <c r="H4" s="3" t="str">
        <f>[1]ElecLine!H4</f>
        <v>Yes</v>
      </c>
      <c r="I4" s="3" t="str">
        <f>[1]ElecLine!I4</f>
        <v>No</v>
      </c>
      <c r="J4" s="3" t="str">
        <f>[1]ElecLine!J4</f>
        <v>Yes</v>
      </c>
      <c r="K4" s="3" t="str">
        <f>[1]ElecLine!K4</f>
        <v>Yes</v>
      </c>
      <c r="L4" s="3" t="str">
        <f>[1]ElecLine!L4</f>
        <v>No</v>
      </c>
      <c r="N4" s="1" t="s">
        <v>5</v>
      </c>
      <c r="O4">
        <v>10</v>
      </c>
      <c r="P4">
        <f t="shared" ca="1" si="0"/>
        <v>13.256326153042099</v>
      </c>
      <c r="R4">
        <f t="shared" ca="1" si="0"/>
        <v>14.767164265357543</v>
      </c>
      <c r="S4">
        <f t="shared" ca="1" si="0"/>
        <v>13.343911132374416</v>
      </c>
      <c r="T4">
        <f t="shared" ca="1" si="0"/>
        <v>10.730075022745453</v>
      </c>
      <c r="U4">
        <f t="shared" ca="1" si="0"/>
        <v>11.008693456469459</v>
      </c>
      <c r="V4">
        <f t="shared" ca="1" si="0"/>
        <v>13.175081281982553</v>
      </c>
      <c r="W4">
        <f t="shared" ca="1" si="0"/>
        <v>10.457077015549959</v>
      </c>
      <c r="X4">
        <f t="shared" ca="1" si="0"/>
        <v>12.988451887863198</v>
      </c>
      <c r="Y4">
        <f t="shared" ca="1" si="0"/>
        <v>13.642869363448739</v>
      </c>
      <c r="AA4" s="1" t="s">
        <v>5</v>
      </c>
      <c r="AB4">
        <v>500</v>
      </c>
      <c r="AC4">
        <f t="shared" ca="1" si="1"/>
        <v>277.47777126227345</v>
      </c>
      <c r="AE4">
        <f t="shared" ca="1" si="1"/>
        <v>281.90426437503191</v>
      </c>
      <c r="AF4">
        <f t="shared" ca="1" si="1"/>
        <v>261.70766068489411</v>
      </c>
      <c r="AG4">
        <f t="shared" ca="1" si="1"/>
        <v>258.09043919585179</v>
      </c>
      <c r="AH4">
        <f t="shared" ca="1" si="1"/>
        <v>265.62559073459227</v>
      </c>
      <c r="AI4">
        <f t="shared" ca="1" si="1"/>
        <v>261.87601437129223</v>
      </c>
      <c r="AJ4">
        <f t="shared" ca="1" si="1"/>
        <v>290.00400155527126</v>
      </c>
      <c r="AK4">
        <f t="shared" ca="1" si="1"/>
        <v>292.02625507569593</v>
      </c>
      <c r="AL4">
        <f t="shared" ca="1" si="1"/>
        <v>294.29257812239734</v>
      </c>
    </row>
    <row r="5" spans="1:38" x14ac:dyDescent="0.25">
      <c r="A5" s="1" t="s">
        <v>6</v>
      </c>
      <c r="B5" s="3" t="str">
        <f>[1]ElecLine!B5</f>
        <v>Yes</v>
      </c>
      <c r="C5" s="3" t="str">
        <f>[1]ElecLine!C5</f>
        <v>Yes</v>
      </c>
      <c r="D5" s="3" t="str">
        <f>[1]ElecLine!D5</f>
        <v>No</v>
      </c>
      <c r="E5" s="3" t="str">
        <f>[1]ElecLine!E5</f>
        <v>No</v>
      </c>
      <c r="F5" s="3" t="str">
        <f>[1]ElecLine!F5</f>
        <v>Yes</v>
      </c>
      <c r="G5" s="3" t="str">
        <f>[1]ElecLine!G5</f>
        <v>No</v>
      </c>
      <c r="H5" s="3" t="str">
        <f>[1]ElecLine!H5</f>
        <v>No</v>
      </c>
      <c r="I5" s="3" t="str">
        <f>[1]ElecLine!I5</f>
        <v>Yes</v>
      </c>
      <c r="J5" s="3" t="str">
        <f>[1]ElecLine!J5</f>
        <v>No</v>
      </c>
      <c r="K5" s="3" t="str">
        <f>[1]ElecLine!K5</f>
        <v>No</v>
      </c>
      <c r="L5" s="3" t="str">
        <f>[1]ElecLine!L5</f>
        <v>Yes</v>
      </c>
      <c r="N5" s="1" t="s">
        <v>6</v>
      </c>
      <c r="O5">
        <v>10</v>
      </c>
      <c r="P5">
        <f t="shared" ca="1" si="0"/>
        <v>14.214504562493774</v>
      </c>
      <c r="Q5">
        <f t="shared" ca="1" si="0"/>
        <v>13.909067276481535</v>
      </c>
      <c r="S5">
        <f t="shared" ca="1" si="0"/>
        <v>13.578232163597422</v>
      </c>
      <c r="T5">
        <f t="shared" ca="1" si="0"/>
        <v>13.21368620182195</v>
      </c>
      <c r="U5">
        <f t="shared" ca="1" si="0"/>
        <v>14.816859922419603</v>
      </c>
      <c r="V5">
        <f t="shared" ca="1" si="0"/>
        <v>11.005566367670477</v>
      </c>
      <c r="W5">
        <f t="shared" ca="1" si="0"/>
        <v>13.957994046433541</v>
      </c>
      <c r="X5">
        <f t="shared" ca="1" si="0"/>
        <v>11.353320134335512</v>
      </c>
      <c r="Y5">
        <f t="shared" ca="1" si="0"/>
        <v>14.220077181654462</v>
      </c>
      <c r="AA5" s="1" t="s">
        <v>6</v>
      </c>
      <c r="AB5">
        <v>500</v>
      </c>
      <c r="AC5">
        <f t="shared" ca="1" si="1"/>
        <v>289.23809890210555</v>
      </c>
      <c r="AD5">
        <f t="shared" ca="1" si="1"/>
        <v>256.57809643030077</v>
      </c>
      <c r="AF5">
        <f t="shared" ca="1" si="1"/>
        <v>252.63280406015747</v>
      </c>
      <c r="AG5">
        <f t="shared" ca="1" si="1"/>
        <v>288.11456007398886</v>
      </c>
      <c r="AH5">
        <f t="shared" ca="1" si="1"/>
        <v>286.55388154393108</v>
      </c>
      <c r="AI5">
        <f t="shared" ca="1" si="1"/>
        <v>262.91321755314686</v>
      </c>
      <c r="AJ5">
        <f t="shared" ca="1" si="1"/>
        <v>298.55456025925253</v>
      </c>
      <c r="AK5">
        <f t="shared" ca="1" si="1"/>
        <v>262.88872201955007</v>
      </c>
      <c r="AL5">
        <f t="shared" ca="1" si="1"/>
        <v>286.78898611631752</v>
      </c>
    </row>
    <row r="6" spans="1:38" x14ac:dyDescent="0.25">
      <c r="A6" s="1" t="s">
        <v>7</v>
      </c>
      <c r="B6" s="3" t="str">
        <f>[1]ElecLine!B6</f>
        <v>Yes</v>
      </c>
      <c r="C6" s="3" t="str">
        <f>[1]ElecLine!C6</f>
        <v>No</v>
      </c>
      <c r="D6" s="3" t="str">
        <f>[1]ElecLine!D6</f>
        <v>No</v>
      </c>
      <c r="E6" s="3" t="str">
        <f>[1]ElecLine!E6</f>
        <v>Yes</v>
      </c>
      <c r="F6" s="3" t="str">
        <f>[1]ElecLine!F6</f>
        <v>No</v>
      </c>
      <c r="G6" s="3" t="str">
        <f>[1]ElecLine!G6</f>
        <v>Yes</v>
      </c>
      <c r="H6" s="3" t="str">
        <f>[1]ElecLine!H6</f>
        <v>Yes</v>
      </c>
      <c r="I6" s="3" t="str">
        <f>[1]ElecLine!I6</f>
        <v>Yes</v>
      </c>
      <c r="J6" s="3" t="str">
        <f>[1]ElecLine!J6</f>
        <v>No</v>
      </c>
      <c r="K6" s="3" t="str">
        <f>[1]ElecLine!K6</f>
        <v>No</v>
      </c>
      <c r="L6" s="3" t="str">
        <f>[1]ElecLine!L6</f>
        <v>Yes</v>
      </c>
      <c r="N6" s="1" t="s">
        <v>7</v>
      </c>
      <c r="O6">
        <v>10</v>
      </c>
      <c r="P6">
        <f t="shared" ca="1" si="0"/>
        <v>13.456741757231798</v>
      </c>
      <c r="Q6">
        <f t="shared" ca="1" si="0"/>
        <v>14.660930869403066</v>
      </c>
      <c r="R6">
        <f t="shared" ca="1" si="0"/>
        <v>14.19292109110636</v>
      </c>
      <c r="T6">
        <f t="shared" ca="1" si="0"/>
        <v>14.595633439902382</v>
      </c>
      <c r="U6">
        <f t="shared" ca="1" si="0"/>
        <v>12.991147429569576</v>
      </c>
      <c r="V6">
        <f t="shared" ca="1" si="0"/>
        <v>10.53136483948353</v>
      </c>
      <c r="W6">
        <f t="shared" ca="1" si="0"/>
        <v>14.067639329949957</v>
      </c>
      <c r="X6">
        <f t="shared" ca="1" si="0"/>
        <v>13.314077708142824</v>
      </c>
      <c r="Y6">
        <f t="shared" ca="1" si="0"/>
        <v>11.015394716939854</v>
      </c>
      <c r="AA6" s="1" t="s">
        <v>7</v>
      </c>
      <c r="AB6">
        <v>500</v>
      </c>
      <c r="AC6">
        <f t="shared" ca="1" si="1"/>
        <v>292.74164377786985</v>
      </c>
      <c r="AD6">
        <f t="shared" ca="1" si="1"/>
        <v>290.3452154782812</v>
      </c>
      <c r="AE6">
        <f t="shared" ca="1" si="1"/>
        <v>290.60297304154489</v>
      </c>
      <c r="AG6">
        <f t="shared" ca="1" si="1"/>
        <v>260.29616660408823</v>
      </c>
      <c r="AH6">
        <f t="shared" ca="1" si="1"/>
        <v>265.0009033871753</v>
      </c>
      <c r="AI6">
        <f t="shared" ca="1" si="1"/>
        <v>275.43143565515641</v>
      </c>
      <c r="AJ6">
        <f t="shared" ca="1" si="1"/>
        <v>261.06741811704796</v>
      </c>
      <c r="AK6">
        <f t="shared" ca="1" si="1"/>
        <v>287.75520945115312</v>
      </c>
      <c r="AL6">
        <f t="shared" ca="1" si="1"/>
        <v>292.29550145423661</v>
      </c>
    </row>
    <row r="7" spans="1:38" x14ac:dyDescent="0.25">
      <c r="A7" s="1" t="s">
        <v>8</v>
      </c>
      <c r="B7" s="3" t="str">
        <f>[1]ElecLine!B7</f>
        <v>Yes</v>
      </c>
      <c r="C7" s="3" t="str">
        <f>[1]ElecLine!C7</f>
        <v>No</v>
      </c>
      <c r="D7" s="3" t="str">
        <f>[1]ElecLine!D7</f>
        <v>No</v>
      </c>
      <c r="E7" s="3" t="str">
        <f>[1]ElecLine!E7</f>
        <v>No</v>
      </c>
      <c r="F7" s="3" t="str">
        <f>[1]ElecLine!F7</f>
        <v>Yes</v>
      </c>
      <c r="G7" s="3" t="str">
        <f>[1]ElecLine!G7</f>
        <v>No</v>
      </c>
      <c r="H7" s="3" t="str">
        <f>[1]ElecLine!H7</f>
        <v>No</v>
      </c>
      <c r="I7" s="3" t="str">
        <f>[1]ElecLine!I7</f>
        <v>Yes</v>
      </c>
      <c r="J7" s="3" t="str">
        <f>[1]ElecLine!J7</f>
        <v>Yes</v>
      </c>
      <c r="K7" s="3" t="str">
        <f>[1]ElecLine!K7</f>
        <v>Yes</v>
      </c>
      <c r="L7" s="3" t="str">
        <f>[1]ElecLine!L7</f>
        <v>Yes</v>
      </c>
      <c r="N7" s="1" t="s">
        <v>8</v>
      </c>
      <c r="O7">
        <v>10</v>
      </c>
      <c r="P7">
        <f t="shared" ca="1" si="0"/>
        <v>12.666166638427274</v>
      </c>
      <c r="Q7">
        <f t="shared" ca="1" si="0"/>
        <v>11.983809867927786</v>
      </c>
      <c r="R7">
        <f t="shared" ca="1" si="0"/>
        <v>11.09041195935281</v>
      </c>
      <c r="S7">
        <f t="shared" ca="1" si="0"/>
        <v>14.321680439829251</v>
      </c>
      <c r="U7">
        <f t="shared" ca="1" si="0"/>
        <v>14.696577806170762</v>
      </c>
      <c r="V7">
        <f t="shared" ca="1" si="0"/>
        <v>13.893357086591541</v>
      </c>
      <c r="W7">
        <f t="shared" ca="1" si="0"/>
        <v>13.671806089533069</v>
      </c>
      <c r="X7">
        <f t="shared" ca="1" si="0"/>
        <v>10.656624649131144</v>
      </c>
      <c r="Y7">
        <f t="shared" ca="1" si="0"/>
        <v>10.691997904387351</v>
      </c>
      <c r="AA7" s="1" t="s">
        <v>8</v>
      </c>
      <c r="AB7">
        <v>500</v>
      </c>
      <c r="AC7">
        <f t="shared" ca="1" si="1"/>
        <v>283.95875669329951</v>
      </c>
      <c r="AD7">
        <f t="shared" ca="1" si="1"/>
        <v>272.01707610129915</v>
      </c>
      <c r="AE7">
        <f t="shared" ca="1" si="1"/>
        <v>297.97018094182044</v>
      </c>
      <c r="AF7">
        <f t="shared" ca="1" si="1"/>
        <v>290.7479469534116</v>
      </c>
      <c r="AH7">
        <f t="shared" ca="1" si="1"/>
        <v>272.92628252667635</v>
      </c>
      <c r="AI7">
        <f t="shared" ca="1" si="1"/>
        <v>287.55485657550099</v>
      </c>
      <c r="AJ7">
        <f t="shared" ca="1" si="1"/>
        <v>284.02264205442242</v>
      </c>
      <c r="AK7">
        <f t="shared" ca="1" si="1"/>
        <v>265.58954274772657</v>
      </c>
      <c r="AL7">
        <f t="shared" ca="1" si="1"/>
        <v>265.60208565323313</v>
      </c>
    </row>
    <row r="8" spans="1:38" x14ac:dyDescent="0.25">
      <c r="A8" s="1" t="s">
        <v>9</v>
      </c>
      <c r="B8" s="3" t="str">
        <f>[1]ElecLine!B8</f>
        <v>Yes</v>
      </c>
      <c r="C8" s="3" t="str">
        <f>[1]ElecLine!C8</f>
        <v>Yes</v>
      </c>
      <c r="D8" s="3" t="str">
        <f>[1]ElecLine!D8</f>
        <v>Yes</v>
      </c>
      <c r="E8" s="3" t="str">
        <f>[1]ElecLine!E8</f>
        <v>No</v>
      </c>
      <c r="F8" s="3" t="str">
        <f>[1]ElecLine!F8</f>
        <v>No</v>
      </c>
      <c r="G8" s="3" t="str">
        <f>[1]ElecLine!G8</f>
        <v>No</v>
      </c>
      <c r="H8" s="3" t="str">
        <f>[1]ElecLine!H8</f>
        <v>No</v>
      </c>
      <c r="I8" s="3" t="str">
        <f>[1]ElecLine!I8</f>
        <v>No</v>
      </c>
      <c r="J8" s="3" t="str">
        <f>[1]ElecLine!J8</f>
        <v>Yes</v>
      </c>
      <c r="K8" s="3" t="str">
        <f>[1]ElecLine!K8</f>
        <v>Yes</v>
      </c>
      <c r="L8" s="3" t="str">
        <f>[1]ElecLine!L8</f>
        <v>Yes</v>
      </c>
      <c r="N8" s="1" t="s">
        <v>9</v>
      </c>
      <c r="O8">
        <v>10</v>
      </c>
      <c r="P8">
        <f t="shared" ca="1" si="0"/>
        <v>13.534563986304562</v>
      </c>
      <c r="Q8">
        <f t="shared" ca="1" si="0"/>
        <v>10.16214886762735</v>
      </c>
      <c r="R8">
        <f t="shared" ca="1" si="0"/>
        <v>12.938240011926698</v>
      </c>
      <c r="S8">
        <f t="shared" ca="1" si="0"/>
        <v>10.480351264666089</v>
      </c>
      <c r="T8">
        <f t="shared" ca="1" si="0"/>
        <v>14.747530763082175</v>
      </c>
      <c r="V8">
        <f t="shared" ca="1" si="0"/>
        <v>11.677919729753937</v>
      </c>
      <c r="W8">
        <f t="shared" ca="1" si="0"/>
        <v>13.411348020274016</v>
      </c>
      <c r="X8">
        <f t="shared" ca="1" si="0"/>
        <v>11.622098155151278</v>
      </c>
      <c r="Y8">
        <f t="shared" ca="1" si="0"/>
        <v>13.371369101313327</v>
      </c>
      <c r="AA8" s="1" t="s">
        <v>9</v>
      </c>
      <c r="AB8">
        <v>500</v>
      </c>
      <c r="AC8">
        <f t="shared" ca="1" si="1"/>
        <v>250.97836659575736</v>
      </c>
      <c r="AD8">
        <f t="shared" ca="1" si="1"/>
        <v>267.46904783023933</v>
      </c>
      <c r="AE8">
        <f t="shared" ca="1" si="1"/>
        <v>297.56088505371741</v>
      </c>
      <c r="AF8">
        <f t="shared" ca="1" si="1"/>
        <v>280.39966841357369</v>
      </c>
      <c r="AG8">
        <f t="shared" ca="1" si="1"/>
        <v>284.62132028045261</v>
      </c>
      <c r="AI8">
        <f t="shared" ca="1" si="1"/>
        <v>260.30777406728868</v>
      </c>
      <c r="AJ8">
        <f t="shared" ca="1" si="1"/>
        <v>250.78908817738341</v>
      </c>
      <c r="AK8">
        <f t="shared" ca="1" si="1"/>
        <v>279.52442072023427</v>
      </c>
      <c r="AL8">
        <f t="shared" ca="1" si="1"/>
        <v>289.05285591497847</v>
      </c>
    </row>
    <row r="9" spans="1:38" x14ac:dyDescent="0.25">
      <c r="A9" s="1" t="s">
        <v>10</v>
      </c>
      <c r="B9" s="3" t="str">
        <f>[1]ElecLine!B9</f>
        <v>Yes</v>
      </c>
      <c r="C9" s="3" t="str">
        <f>[1]ElecLine!C9</f>
        <v>Yes</v>
      </c>
      <c r="D9" s="3" t="str">
        <f>[1]ElecLine!D9</f>
        <v>No</v>
      </c>
      <c r="E9" s="3" t="str">
        <f>[1]ElecLine!E9</f>
        <v>Yes</v>
      </c>
      <c r="F9" s="3" t="str">
        <f>[1]ElecLine!F9</f>
        <v>Yes</v>
      </c>
      <c r="G9" s="3" t="str">
        <f>[1]ElecLine!G9</f>
        <v>No</v>
      </c>
      <c r="H9" s="3" t="str">
        <f>[1]ElecLine!H9</f>
        <v>No</v>
      </c>
      <c r="I9" s="3" t="str">
        <f>[1]ElecLine!I9</f>
        <v>No</v>
      </c>
      <c r="J9" s="3" t="str">
        <f>[1]ElecLine!J9</f>
        <v>Yes</v>
      </c>
      <c r="K9" s="3" t="str">
        <f>[1]ElecLine!K9</f>
        <v>No</v>
      </c>
      <c r="L9" s="3" t="str">
        <f>[1]ElecLine!L9</f>
        <v>No</v>
      </c>
      <c r="N9" s="1" t="s">
        <v>10</v>
      </c>
      <c r="O9">
        <v>10</v>
      </c>
      <c r="P9">
        <f t="shared" ca="1" si="0"/>
        <v>13.741389348176213</v>
      </c>
      <c r="Q9">
        <f t="shared" ca="1" si="0"/>
        <v>13.244132179278722</v>
      </c>
      <c r="R9">
        <f t="shared" ca="1" si="0"/>
        <v>14.863544951889466</v>
      </c>
      <c r="S9">
        <f t="shared" ca="1" si="0"/>
        <v>13.08008810843905</v>
      </c>
      <c r="T9">
        <f t="shared" ca="1" si="0"/>
        <v>10.170335756710124</v>
      </c>
      <c r="U9">
        <f t="shared" ca="1" si="0"/>
        <v>14.711994243077589</v>
      </c>
      <c r="W9">
        <f t="shared" ca="1" si="0"/>
        <v>13.551005208551363</v>
      </c>
      <c r="X9">
        <f t="shared" ca="1" si="0"/>
        <v>11.259465797613606</v>
      </c>
      <c r="Y9">
        <f t="shared" ca="1" si="0"/>
        <v>13.9794532366158</v>
      </c>
      <c r="AA9" s="1" t="s">
        <v>10</v>
      </c>
      <c r="AB9">
        <v>500</v>
      </c>
      <c r="AC9">
        <f t="shared" ca="1" si="1"/>
        <v>262.41418752443491</v>
      </c>
      <c r="AD9">
        <f t="shared" ca="1" si="1"/>
        <v>261.74162728901678</v>
      </c>
      <c r="AE9">
        <f t="shared" ca="1" si="1"/>
        <v>287.11830737538628</v>
      </c>
      <c r="AF9">
        <f t="shared" ca="1" si="1"/>
        <v>279.00407258749948</v>
      </c>
      <c r="AG9">
        <f t="shared" ca="1" si="1"/>
        <v>268.55959974980675</v>
      </c>
      <c r="AH9">
        <f t="shared" ca="1" si="1"/>
        <v>294.64357774783946</v>
      </c>
      <c r="AJ9">
        <f t="shared" ca="1" si="1"/>
        <v>271.40199446743742</v>
      </c>
      <c r="AK9">
        <f t="shared" ca="1" si="1"/>
        <v>294.4586421244731</v>
      </c>
      <c r="AL9">
        <f t="shared" ca="1" si="1"/>
        <v>262.443526024042</v>
      </c>
    </row>
    <row r="10" spans="1:38" x14ac:dyDescent="0.25">
      <c r="A10" s="1" t="s">
        <v>11</v>
      </c>
      <c r="B10" s="3" t="str">
        <f>[1]ElecLine!B10</f>
        <v>Yes</v>
      </c>
      <c r="C10" s="3" t="str">
        <f>[1]ElecLine!C10</f>
        <v>No</v>
      </c>
      <c r="D10" s="3" t="str">
        <f>[1]ElecLine!D10</f>
        <v>Yes</v>
      </c>
      <c r="E10" s="3" t="str">
        <f>[1]ElecLine!E10</f>
        <v>No</v>
      </c>
      <c r="F10" s="3" t="str">
        <f>[1]ElecLine!F10</f>
        <v>No</v>
      </c>
      <c r="G10" s="3" t="str">
        <f>[1]ElecLine!G10</f>
        <v>Yes</v>
      </c>
      <c r="H10" s="3" t="str">
        <f>[1]ElecLine!H10</f>
        <v>Yes</v>
      </c>
      <c r="I10" s="3" t="str">
        <f>[1]ElecLine!I10</f>
        <v>Yes</v>
      </c>
      <c r="J10" s="3" t="str">
        <f>[1]ElecLine!J10</f>
        <v>No</v>
      </c>
      <c r="K10" s="3" t="str">
        <f>[1]ElecLine!K10</f>
        <v>No</v>
      </c>
      <c r="L10" s="3" t="str">
        <f>[1]ElecLine!L10</f>
        <v>No</v>
      </c>
      <c r="N10" s="1" t="s">
        <v>11</v>
      </c>
      <c r="O10">
        <v>10</v>
      </c>
      <c r="P10">
        <f t="shared" ca="1" si="0"/>
        <v>10.002065623367839</v>
      </c>
      <c r="Q10">
        <f t="shared" ca="1" si="0"/>
        <v>10.492868848548882</v>
      </c>
      <c r="R10">
        <f t="shared" ca="1" si="0"/>
        <v>10.909691443914895</v>
      </c>
      <c r="S10">
        <f t="shared" ca="1" si="0"/>
        <v>13.362770362738903</v>
      </c>
      <c r="T10">
        <f t="shared" ca="1" si="0"/>
        <v>10.68912608390681</v>
      </c>
      <c r="U10">
        <f t="shared" ca="1" si="0"/>
        <v>10.368127554637253</v>
      </c>
      <c r="V10">
        <f t="shared" ca="1" si="0"/>
        <v>10.340281807673058</v>
      </c>
      <c r="X10">
        <f t="shared" ca="1" si="0"/>
        <v>14.00814941311377</v>
      </c>
      <c r="Y10">
        <f t="shared" ca="1" si="0"/>
        <v>10.67778366789018</v>
      </c>
      <c r="AA10" s="1" t="s">
        <v>11</v>
      </c>
      <c r="AB10">
        <v>500</v>
      </c>
      <c r="AC10">
        <f t="shared" ca="1" si="1"/>
        <v>278.54063074177628</v>
      </c>
      <c r="AD10">
        <f t="shared" ca="1" si="1"/>
        <v>253.38685950041832</v>
      </c>
      <c r="AE10">
        <f t="shared" ca="1" si="1"/>
        <v>275.46480260020951</v>
      </c>
      <c r="AF10">
        <f t="shared" ca="1" si="1"/>
        <v>251.1252921865036</v>
      </c>
      <c r="AG10">
        <f t="shared" ca="1" si="1"/>
        <v>262.82438701403521</v>
      </c>
      <c r="AH10">
        <f t="shared" ca="1" si="1"/>
        <v>280.43656980417995</v>
      </c>
      <c r="AI10">
        <f t="shared" ca="1" si="1"/>
        <v>286.19471803204334</v>
      </c>
      <c r="AK10">
        <f t="shared" ca="1" si="1"/>
        <v>277.7642740932788</v>
      </c>
      <c r="AL10">
        <f t="shared" ca="1" si="1"/>
        <v>258.15117209421925</v>
      </c>
    </row>
    <row r="11" spans="1:38" x14ac:dyDescent="0.25">
      <c r="A11" s="1" t="s">
        <v>14</v>
      </c>
      <c r="B11" s="3" t="str">
        <f>[1]ElecLine!B11</f>
        <v>Yes</v>
      </c>
      <c r="C11" s="3" t="str">
        <f>[1]ElecLine!C11</f>
        <v>Yes</v>
      </c>
      <c r="D11" s="3" t="str">
        <f>[1]ElecLine!D11</f>
        <v>Yes</v>
      </c>
      <c r="E11" s="3" t="str">
        <f>[1]ElecLine!E11</f>
        <v>No</v>
      </c>
      <c r="F11" s="3" t="str">
        <f>[1]ElecLine!F11</f>
        <v>No</v>
      </c>
      <c r="G11" s="3" t="str">
        <f>[1]ElecLine!G11</f>
        <v>Yes</v>
      </c>
      <c r="H11" s="3" t="str">
        <f>[1]ElecLine!H11</f>
        <v>No</v>
      </c>
      <c r="I11" s="3" t="str">
        <f>[1]ElecLine!I11</f>
        <v>No</v>
      </c>
      <c r="J11" s="3" t="str">
        <f>[1]ElecLine!J11</f>
        <v>Yes</v>
      </c>
      <c r="K11" s="3" t="str">
        <f>[1]ElecLine!K11</f>
        <v>No</v>
      </c>
      <c r="L11" s="3" t="str">
        <f>[1]ElecLine!L11</f>
        <v>Yes</v>
      </c>
      <c r="N11" s="1" t="s">
        <v>14</v>
      </c>
      <c r="O11">
        <v>10</v>
      </c>
      <c r="P11">
        <f t="shared" ca="1" si="0"/>
        <v>10.783865315631523</v>
      </c>
      <c r="Q11">
        <f t="shared" ca="1" si="0"/>
        <v>12.628659716139625</v>
      </c>
      <c r="R11">
        <f t="shared" ca="1" si="0"/>
        <v>13.111923105952162</v>
      </c>
      <c r="S11">
        <f t="shared" ca="1" si="0"/>
        <v>11.635707761657804</v>
      </c>
      <c r="T11">
        <f t="shared" ca="1" si="0"/>
        <v>12.873668732535796</v>
      </c>
      <c r="U11">
        <f t="shared" ca="1" si="0"/>
        <v>12.675597803798169</v>
      </c>
      <c r="V11">
        <f t="shared" ca="1" si="0"/>
        <v>13.057462714790585</v>
      </c>
      <c r="W11">
        <f t="shared" ca="1" si="0"/>
        <v>13.134345975575949</v>
      </c>
      <c r="Y11">
        <f t="shared" ca="1" si="0"/>
        <v>10.091078827532199</v>
      </c>
      <c r="AA11" s="1" t="s">
        <v>14</v>
      </c>
      <c r="AB11">
        <v>500</v>
      </c>
      <c r="AC11">
        <f t="shared" ca="1" si="1"/>
        <v>299.12668782647268</v>
      </c>
      <c r="AD11">
        <f t="shared" ca="1" si="1"/>
        <v>285.90037755946292</v>
      </c>
      <c r="AE11">
        <f t="shared" ca="1" si="1"/>
        <v>287.18154141422622</v>
      </c>
      <c r="AF11">
        <f t="shared" ca="1" si="1"/>
        <v>274.25033667774176</v>
      </c>
      <c r="AG11">
        <f t="shared" ca="1" si="1"/>
        <v>286.21560894817907</v>
      </c>
      <c r="AH11">
        <f t="shared" ca="1" si="1"/>
        <v>264.55345176004056</v>
      </c>
      <c r="AI11">
        <f t="shared" ca="1" si="1"/>
        <v>293.56959761176222</v>
      </c>
      <c r="AJ11">
        <f t="shared" ca="1" si="1"/>
        <v>298.32168645252847</v>
      </c>
      <c r="AL11">
        <f t="shared" ca="1" si="1"/>
        <v>260.509772772681</v>
      </c>
    </row>
    <row r="12" spans="1:38" x14ac:dyDescent="0.25">
      <c r="A12" s="1" t="s">
        <v>12</v>
      </c>
      <c r="B12" s="3" t="str">
        <f>[1]ElecLine!B12</f>
        <v>Yes</v>
      </c>
      <c r="C12" s="3" t="str">
        <f>[1]ElecLine!C12</f>
        <v>No</v>
      </c>
      <c r="D12" s="3" t="str">
        <f>[1]ElecLine!D12</f>
        <v>Yes</v>
      </c>
      <c r="E12" s="3" t="str">
        <f>[1]ElecLine!E12</f>
        <v>No</v>
      </c>
      <c r="F12" s="3" t="str">
        <f>[1]ElecLine!F12</f>
        <v>Yes</v>
      </c>
      <c r="G12" s="3" t="str">
        <f>[1]ElecLine!G12</f>
        <v>Yes</v>
      </c>
      <c r="H12" s="3" t="str">
        <f>[1]ElecLine!H12</f>
        <v>No</v>
      </c>
      <c r="I12" s="3" t="str">
        <f>[1]ElecLine!I12</f>
        <v>No</v>
      </c>
      <c r="J12" s="3" t="str">
        <f>[1]ElecLine!J12</f>
        <v>No</v>
      </c>
      <c r="K12" s="3" t="str">
        <f>[1]ElecLine!K12</f>
        <v>Yes</v>
      </c>
      <c r="L12" s="3" t="str">
        <f>[1]ElecLine!L12</f>
        <v>No</v>
      </c>
      <c r="N12" s="1" t="s">
        <v>12</v>
      </c>
      <c r="O12">
        <v>10</v>
      </c>
      <c r="P12">
        <f t="shared" ca="1" si="0"/>
        <v>10.869803503732133</v>
      </c>
      <c r="Q12">
        <f t="shared" ca="1" si="0"/>
        <v>12.871846965980716</v>
      </c>
      <c r="R12">
        <f t="shared" ca="1" si="0"/>
        <v>11.305845805876618</v>
      </c>
      <c r="S12">
        <f t="shared" ca="1" si="0"/>
        <v>14.749032069185173</v>
      </c>
      <c r="T12">
        <f t="shared" ca="1" si="0"/>
        <v>12.384817358339388</v>
      </c>
      <c r="U12">
        <f t="shared" ca="1" si="0"/>
        <v>14.246741453763835</v>
      </c>
      <c r="V12">
        <f t="shared" ca="1" si="0"/>
        <v>13.555398846579205</v>
      </c>
      <c r="W12">
        <f t="shared" ca="1" si="0"/>
        <v>10.548945627934025</v>
      </c>
      <c r="X12">
        <f t="shared" ca="1" si="0"/>
        <v>11.133639242205039</v>
      </c>
      <c r="AA12" s="1" t="s">
        <v>12</v>
      </c>
      <c r="AB12">
        <v>500</v>
      </c>
      <c r="AC12">
        <f t="shared" ca="1" si="1"/>
        <v>273.14107090889758</v>
      </c>
      <c r="AD12">
        <f t="shared" ca="1" si="1"/>
        <v>251.11463669124586</v>
      </c>
      <c r="AE12">
        <f t="shared" ca="1" si="1"/>
        <v>278.93089861722348</v>
      </c>
      <c r="AF12">
        <f t="shared" ca="1" si="1"/>
        <v>256.61226668036568</v>
      </c>
      <c r="AG12">
        <f t="shared" ca="1" si="1"/>
        <v>266.65641658722319</v>
      </c>
      <c r="AH12">
        <f t="shared" ca="1" si="1"/>
        <v>261.51209352275134</v>
      </c>
      <c r="AI12">
        <f t="shared" ca="1" si="1"/>
        <v>276.46814641199279</v>
      </c>
      <c r="AJ12">
        <f t="shared" ca="1" si="1"/>
        <v>269.84530941142606</v>
      </c>
      <c r="AK12">
        <f t="shared" ca="1" si="1"/>
        <v>281.9549883936765</v>
      </c>
    </row>
  </sheetData>
  <conditionalFormatting sqref="B2:L12">
    <cfRule type="containsText" dxfId="0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6"/>
  <sheetViews>
    <sheetView workbookViewId="0">
      <selection activeCell="B1" sqref="B1"/>
    </sheetView>
  </sheetViews>
  <sheetFormatPr defaultColWidth="8.875" defaultRowHeight="15.75" x14ac:dyDescent="0.25"/>
  <sheetData>
    <row r="1" spans="1:2" x14ac:dyDescent="0.25">
      <c r="A1">
        <v>2015</v>
      </c>
      <c r="B1">
        <f>[1]DiscFact!B1</f>
        <v>1</v>
      </c>
    </row>
    <row r="2" spans="1:2" x14ac:dyDescent="0.25">
      <c r="B2" s="2"/>
    </row>
    <row r="3" spans="1:2" x14ac:dyDescent="0.25">
      <c r="B3" s="2"/>
    </row>
    <row r="4" spans="1:2" x14ac:dyDescent="0.25">
      <c r="B4" s="2"/>
    </row>
    <row r="5" spans="1:2" x14ac:dyDescent="0.25">
      <c r="B5" s="2"/>
    </row>
    <row r="6" spans="1:2" x14ac:dyDescent="0.25">
      <c r="B6" s="2"/>
    </row>
    <row r="7" spans="1:2" x14ac:dyDescent="0.25">
      <c r="B7" s="2"/>
    </row>
    <row r="8" spans="1:2" x14ac:dyDescent="0.25">
      <c r="B8" s="2"/>
    </row>
    <row r="9" spans="1:2" x14ac:dyDescent="0.25">
      <c r="B9" s="2"/>
    </row>
    <row r="10" spans="1:2" x14ac:dyDescent="0.25">
      <c r="B10" s="2"/>
    </row>
    <row r="11" spans="1:2" x14ac:dyDescent="0.25">
      <c r="B11" s="2"/>
    </row>
    <row r="12" spans="1:2" x14ac:dyDescent="0.25">
      <c r="B12" s="2"/>
    </row>
    <row r="13" spans="1:2" x14ac:dyDescent="0.25">
      <c r="B13" s="2"/>
    </row>
    <row r="14" spans="1:2" x14ac:dyDescent="0.25">
      <c r="B14" s="2"/>
    </row>
    <row r="15" spans="1:2" x14ac:dyDescent="0.25">
      <c r="B15" s="2"/>
    </row>
    <row r="16" spans="1:2" x14ac:dyDescent="0.25">
      <c r="B16" s="2"/>
    </row>
  </sheetData>
  <pageMargins left="0.75" right="0.75" top="1" bottom="1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72"/>
  <sheetViews>
    <sheetView topLeftCell="A63" zoomScale="85" zoomScaleNormal="85" workbookViewId="0">
      <selection activeCell="A161" sqref="A161:L174"/>
    </sheetView>
  </sheetViews>
  <sheetFormatPr defaultColWidth="8.875" defaultRowHeight="15.75" x14ac:dyDescent="0.25"/>
  <cols>
    <col min="1" max="1" width="10.625" bestFit="1" customWidth="1"/>
    <col min="2" max="2" width="10.5" bestFit="1" customWidth="1"/>
  </cols>
  <sheetData>
    <row r="1" spans="1:4" x14ac:dyDescent="0.25">
      <c r="C1" t="str">
        <f>[1]Crop!C1</f>
        <v>Belg</v>
      </c>
      <c r="D1" t="str">
        <f>[1]Crop!D1</f>
        <v>Kremt</v>
      </c>
    </row>
    <row r="2" spans="1:4" x14ac:dyDescent="0.25">
      <c r="C2">
        <f>[1]Crop!C2</f>
        <v>2015</v>
      </c>
      <c r="D2">
        <f>[1]Crop!D2</f>
        <v>2015</v>
      </c>
    </row>
    <row r="3" spans="1:4" x14ac:dyDescent="0.25">
      <c r="A3" t="str">
        <f>[1]Crop!A3</f>
        <v>Teff</v>
      </c>
      <c r="B3" t="str">
        <f>[1]Crop!B3</f>
        <v>AddisAbaba</v>
      </c>
      <c r="C3">
        <f ca="1">[1]Crop!C3</f>
        <v>12.458487145059665</v>
      </c>
      <c r="D3">
        <f ca="1">[1]Crop!D3</f>
        <v>17.400408949789437</v>
      </c>
    </row>
    <row r="4" spans="1:4" x14ac:dyDescent="0.25">
      <c r="A4" t="str">
        <f>[1]Crop!A4</f>
        <v>Teff</v>
      </c>
      <c r="B4" t="str">
        <f>[1]Crop!B4</f>
        <v>Afar</v>
      </c>
      <c r="C4">
        <f ca="1">[1]Crop!C4</f>
        <v>11.455438689058436</v>
      </c>
      <c r="D4">
        <f ca="1">[1]Crop!D4</f>
        <v>16.905529394899904</v>
      </c>
    </row>
    <row r="5" spans="1:4" x14ac:dyDescent="0.25">
      <c r="A5" t="str">
        <f>[1]Crop!A5</f>
        <v>Teff</v>
      </c>
      <c r="B5" t="str">
        <f>[1]Crop!B5</f>
        <v>Amhara</v>
      </c>
      <c r="C5">
        <f ca="1">[1]Crop!C5</f>
        <v>14.619381674918465</v>
      </c>
      <c r="D5">
        <f ca="1">[1]Crop!D5</f>
        <v>17.005856432635515</v>
      </c>
    </row>
    <row r="6" spans="1:4" x14ac:dyDescent="0.25">
      <c r="A6" t="str">
        <f>[1]Crop!A6</f>
        <v>Teff</v>
      </c>
      <c r="B6" t="str">
        <f>[1]Crop!B6</f>
        <v>Gumuz</v>
      </c>
      <c r="C6">
        <f ca="1">[1]Crop!C6</f>
        <v>14.233221222021239</v>
      </c>
      <c r="D6">
        <f ca="1">[1]Crop!D6</f>
        <v>16.820094497147775</v>
      </c>
    </row>
    <row r="7" spans="1:4" x14ac:dyDescent="0.25">
      <c r="A7" t="str">
        <f>[1]Crop!A7</f>
        <v>Teff</v>
      </c>
      <c r="B7" t="str">
        <f>[1]Crop!B7</f>
        <v>DireDawa</v>
      </c>
      <c r="C7">
        <f ca="1">[1]Crop!C7</f>
        <v>13.59527026648172</v>
      </c>
      <c r="D7">
        <f ca="1">[1]Crop!D7</f>
        <v>16.265304238984367</v>
      </c>
    </row>
    <row r="8" spans="1:4" x14ac:dyDescent="0.25">
      <c r="A8" t="str">
        <f>[1]Crop!A8</f>
        <v>Teff</v>
      </c>
      <c r="B8" t="str">
        <f>[1]Crop!B8</f>
        <v>Gambela</v>
      </c>
      <c r="C8">
        <f ca="1">[1]Crop!C8</f>
        <v>11.679882184786269</v>
      </c>
      <c r="D8">
        <f ca="1">[1]Crop!D8</f>
        <v>15.324832906104355</v>
      </c>
    </row>
    <row r="9" spans="1:4" x14ac:dyDescent="0.25">
      <c r="A9" t="str">
        <f>[1]Crop!A9</f>
        <v>Teff</v>
      </c>
      <c r="B9" t="str">
        <f>[1]Crop!B9</f>
        <v>Harari</v>
      </c>
      <c r="C9">
        <f ca="1">[1]Crop!C9</f>
        <v>13.98495342604679</v>
      </c>
      <c r="D9">
        <f ca="1">[1]Crop!D9</f>
        <v>17.55117735948544</v>
      </c>
    </row>
    <row r="10" spans="1:4" x14ac:dyDescent="0.25">
      <c r="A10" t="str">
        <f>[1]Crop!A10</f>
        <v>Teff</v>
      </c>
      <c r="B10" t="str">
        <f>[1]Crop!B10</f>
        <v>Oromia</v>
      </c>
      <c r="C10">
        <f ca="1">[1]Crop!C10</f>
        <v>12.102248469211927</v>
      </c>
      <c r="D10">
        <f ca="1">[1]Crop!D10</f>
        <v>16.955614918561377</v>
      </c>
    </row>
    <row r="11" spans="1:4" x14ac:dyDescent="0.25">
      <c r="A11" t="str">
        <f>[1]Crop!A11</f>
        <v>Teff</v>
      </c>
      <c r="B11" t="str">
        <f>[1]Crop!B11</f>
        <v>Somali</v>
      </c>
      <c r="C11">
        <f ca="1">[1]Crop!C11</f>
        <v>13.369163434291991</v>
      </c>
      <c r="D11">
        <f ca="1">[1]Crop!D11</f>
        <v>17.961023671478642</v>
      </c>
    </row>
    <row r="12" spans="1:4" x14ac:dyDescent="0.25">
      <c r="A12" t="str">
        <f>[1]Crop!A12</f>
        <v>Teff</v>
      </c>
      <c r="B12" t="str">
        <f>[1]Crop!B12</f>
        <v>SNNPR</v>
      </c>
      <c r="C12">
        <f ca="1">[1]Crop!C12</f>
        <v>13.06930753096867</v>
      </c>
      <c r="D12">
        <f ca="1">[1]Crop!D12</f>
        <v>15.269730676846802</v>
      </c>
    </row>
    <row r="13" spans="1:4" x14ac:dyDescent="0.25">
      <c r="A13" t="str">
        <f>[1]Crop!A13</f>
        <v>Teff</v>
      </c>
      <c r="B13" t="str">
        <f>[1]Crop!B13</f>
        <v>Tigray</v>
      </c>
      <c r="C13">
        <f ca="1">[1]Crop!C13</f>
        <v>11.554223963514191</v>
      </c>
      <c r="D13">
        <f ca="1">[1]Crop!D13</f>
        <v>15.66314227708088</v>
      </c>
    </row>
    <row r="14" spans="1:4" x14ac:dyDescent="0.25">
      <c r="A14" t="str">
        <f>[1]Crop!A14</f>
        <v>Sorghum</v>
      </c>
      <c r="B14" t="str">
        <f>[1]Crop!B14</f>
        <v>AddisAbaba</v>
      </c>
      <c r="C14">
        <f ca="1">[1]Crop!C14</f>
        <v>18.024984607334741</v>
      </c>
      <c r="D14">
        <f ca="1">[1]Crop!D14</f>
        <v>23.416356264473158</v>
      </c>
    </row>
    <row r="15" spans="1:4" x14ac:dyDescent="0.25">
      <c r="A15" t="str">
        <f>[1]Crop!A15</f>
        <v>Sorghum</v>
      </c>
      <c r="B15" t="str">
        <f>[1]Crop!B15</f>
        <v>Afar</v>
      </c>
      <c r="C15">
        <f ca="1">[1]Crop!C15</f>
        <v>20.454636973068975</v>
      </c>
      <c r="D15">
        <f ca="1">[1]Crop!D15</f>
        <v>22.676412663444403</v>
      </c>
    </row>
    <row r="16" spans="1:4" x14ac:dyDescent="0.25">
      <c r="A16" t="str">
        <f>[1]Crop!A16</f>
        <v>Sorghum</v>
      </c>
      <c r="B16" t="str">
        <f>[1]Crop!B16</f>
        <v>Amhara</v>
      </c>
      <c r="C16">
        <f ca="1">[1]Crop!C16</f>
        <v>19.325869692359781</v>
      </c>
      <c r="D16">
        <f ca="1">[1]Crop!D16</f>
        <v>24.294950973139287</v>
      </c>
    </row>
    <row r="17" spans="1:4" x14ac:dyDescent="0.25">
      <c r="A17" t="str">
        <f>[1]Crop!A17</f>
        <v>Sorghum</v>
      </c>
      <c r="B17" t="str">
        <f>[1]Crop!B17</f>
        <v>Gumuz</v>
      </c>
      <c r="C17">
        <f ca="1">[1]Crop!C17</f>
        <v>20.52859185275851</v>
      </c>
      <c r="D17">
        <f ca="1">[1]Crop!D17</f>
        <v>23.696628122507079</v>
      </c>
    </row>
    <row r="18" spans="1:4" x14ac:dyDescent="0.25">
      <c r="A18" t="str">
        <f>[1]Crop!A18</f>
        <v>Sorghum</v>
      </c>
      <c r="B18" t="str">
        <f>[1]Crop!B18</f>
        <v>DireDawa</v>
      </c>
      <c r="C18">
        <f ca="1">[1]Crop!C18</f>
        <v>21.12478462455028</v>
      </c>
      <c r="D18">
        <f ca="1">[1]Crop!D18</f>
        <v>23.543465199128658</v>
      </c>
    </row>
    <row r="19" spans="1:4" x14ac:dyDescent="0.25">
      <c r="A19" t="str">
        <f>[1]Crop!A19</f>
        <v>Sorghum</v>
      </c>
      <c r="B19" t="str">
        <f>[1]Crop!B19</f>
        <v>Gambela</v>
      </c>
      <c r="C19">
        <f ca="1">[1]Crop!C19</f>
        <v>22.73987802986062</v>
      </c>
      <c r="D19">
        <f ca="1">[1]Crop!D19</f>
        <v>22.101564655673876</v>
      </c>
    </row>
    <row r="20" spans="1:4" x14ac:dyDescent="0.25">
      <c r="A20" t="str">
        <f>[1]Crop!A20</f>
        <v>Sorghum</v>
      </c>
      <c r="B20" t="str">
        <f>[1]Crop!B20</f>
        <v>Harari</v>
      </c>
      <c r="C20">
        <f ca="1">[1]Crop!C20</f>
        <v>20.495727694964835</v>
      </c>
      <c r="D20">
        <f ca="1">[1]Crop!D20</f>
        <v>22.919197444636779</v>
      </c>
    </row>
    <row r="21" spans="1:4" x14ac:dyDescent="0.25">
      <c r="A21" t="str">
        <f>[1]Crop!A21</f>
        <v>Sorghum</v>
      </c>
      <c r="B21" t="str">
        <f>[1]Crop!B21</f>
        <v>Oromia</v>
      </c>
      <c r="C21">
        <f ca="1">[1]Crop!C21</f>
        <v>20.141293313284827</v>
      </c>
      <c r="D21">
        <f ca="1">[1]Crop!D21</f>
        <v>22.099781838541574</v>
      </c>
    </row>
    <row r="22" spans="1:4" x14ac:dyDescent="0.25">
      <c r="A22" t="str">
        <f>[1]Crop!A22</f>
        <v>Sorghum</v>
      </c>
      <c r="B22" t="str">
        <f>[1]Crop!B22</f>
        <v>Somali</v>
      </c>
      <c r="C22">
        <f ca="1">[1]Crop!C22</f>
        <v>19.236429978801734</v>
      </c>
      <c r="D22">
        <f ca="1">[1]Crop!D22</f>
        <v>23.491340276220708</v>
      </c>
    </row>
    <row r="23" spans="1:4" x14ac:dyDescent="0.25">
      <c r="A23" t="str">
        <f>[1]Crop!A23</f>
        <v>Sorghum</v>
      </c>
      <c r="B23" t="str">
        <f>[1]Crop!B23</f>
        <v>SNNPR</v>
      </c>
      <c r="C23">
        <f ca="1">[1]Crop!C23</f>
        <v>19.552957024920218</v>
      </c>
      <c r="D23">
        <f ca="1">[1]Crop!D23</f>
        <v>23.322675365043104</v>
      </c>
    </row>
    <row r="24" spans="1:4" x14ac:dyDescent="0.25">
      <c r="A24" t="str">
        <f>[1]Crop!A24</f>
        <v>Sorghum</v>
      </c>
      <c r="B24" t="str">
        <f>[1]Crop!B24</f>
        <v>Tigray</v>
      </c>
      <c r="C24">
        <f ca="1">[1]Crop!C24</f>
        <v>20.695269218575266</v>
      </c>
      <c r="D24">
        <f ca="1">[1]Crop!D24</f>
        <v>24.277874914917341</v>
      </c>
    </row>
    <row r="25" spans="1:4" x14ac:dyDescent="0.25">
      <c r="A25" t="str">
        <f>[1]Crop!A25</f>
        <v>Maize</v>
      </c>
      <c r="B25" t="str">
        <f>[1]Crop!B25</f>
        <v>AddisAbaba</v>
      </c>
      <c r="C25">
        <f ca="1">[1]Crop!C25</f>
        <v>20.018063228088486</v>
      </c>
      <c r="D25">
        <f ca="1">[1]Crop!D25</f>
        <v>22.048463170322155</v>
      </c>
    </row>
    <row r="26" spans="1:4" x14ac:dyDescent="0.25">
      <c r="A26" t="str">
        <f>[1]Crop!A26</f>
        <v>Maize</v>
      </c>
      <c r="B26" t="str">
        <f>[1]Crop!B26</f>
        <v>Afar</v>
      </c>
      <c r="C26">
        <f ca="1">[1]Crop!C26</f>
        <v>20.342612689131251</v>
      </c>
      <c r="D26">
        <f ca="1">[1]Crop!D26</f>
        <v>23.098854465730721</v>
      </c>
    </row>
    <row r="27" spans="1:4" x14ac:dyDescent="0.25">
      <c r="A27" t="str">
        <f>[1]Crop!A27</f>
        <v>Maize</v>
      </c>
      <c r="B27" t="str">
        <f>[1]Crop!B27</f>
        <v>Amhara</v>
      </c>
      <c r="C27">
        <f ca="1">[1]Crop!C27</f>
        <v>19.752239478053948</v>
      </c>
      <c r="D27">
        <f ca="1">[1]Crop!D27</f>
        <v>23.134755723837397</v>
      </c>
    </row>
    <row r="28" spans="1:4" x14ac:dyDescent="0.25">
      <c r="A28" t="str">
        <f>[1]Crop!A28</f>
        <v>Maize</v>
      </c>
      <c r="B28" t="str">
        <f>[1]Crop!B28</f>
        <v>Gumuz</v>
      </c>
      <c r="C28">
        <f ca="1">[1]Crop!C28</f>
        <v>20.992594391266589</v>
      </c>
      <c r="D28">
        <f ca="1">[1]Crop!D28</f>
        <v>22.671578778800264</v>
      </c>
    </row>
    <row r="29" spans="1:4" x14ac:dyDescent="0.25">
      <c r="A29" t="str">
        <f>[1]Crop!A29</f>
        <v>Maize</v>
      </c>
      <c r="B29" t="str">
        <f>[1]Crop!B29</f>
        <v>DireDawa</v>
      </c>
      <c r="C29">
        <f ca="1">[1]Crop!C29</f>
        <v>21.928291307813527</v>
      </c>
      <c r="D29">
        <f ca="1">[1]Crop!D29</f>
        <v>23.623270967036497</v>
      </c>
    </row>
    <row r="30" spans="1:4" x14ac:dyDescent="0.25">
      <c r="A30" t="str">
        <f>[1]Crop!A30</f>
        <v>Maize</v>
      </c>
      <c r="B30" t="str">
        <f>[1]Crop!B30</f>
        <v>Gambela</v>
      </c>
      <c r="C30">
        <f ca="1">[1]Crop!C30</f>
        <v>22.983755675228075</v>
      </c>
      <c r="D30">
        <f ca="1">[1]Crop!D30</f>
        <v>23.393813010578938</v>
      </c>
    </row>
    <row r="31" spans="1:4" x14ac:dyDescent="0.25">
      <c r="A31" t="str">
        <f>[1]Crop!A31</f>
        <v>Maize</v>
      </c>
      <c r="B31" t="str">
        <f>[1]Crop!B31</f>
        <v>Harari</v>
      </c>
      <c r="C31">
        <f ca="1">[1]Crop!C31</f>
        <v>19.016983983252914</v>
      </c>
      <c r="D31">
        <f ca="1">[1]Crop!D31</f>
        <v>22.422665656735933</v>
      </c>
    </row>
    <row r="32" spans="1:4" x14ac:dyDescent="0.25">
      <c r="A32" t="str">
        <f>[1]Crop!A32</f>
        <v>Maize</v>
      </c>
      <c r="B32" t="str">
        <f>[1]Crop!B32</f>
        <v>Oromia</v>
      </c>
      <c r="C32">
        <f ca="1">[1]Crop!C32</f>
        <v>19.129842402575321</v>
      </c>
      <c r="D32">
        <f ca="1">[1]Crop!D32</f>
        <v>23.367872634419889</v>
      </c>
    </row>
    <row r="33" spans="1:4" x14ac:dyDescent="0.25">
      <c r="A33" t="str">
        <f>[1]Crop!A33</f>
        <v>Maize</v>
      </c>
      <c r="B33" t="str">
        <f>[1]Crop!B33</f>
        <v>Somali</v>
      </c>
      <c r="C33">
        <f ca="1">[1]Crop!C33</f>
        <v>22.36953279420068</v>
      </c>
      <c r="D33">
        <f ca="1">[1]Crop!D33</f>
        <v>24.715248397333511</v>
      </c>
    </row>
    <row r="34" spans="1:4" x14ac:dyDescent="0.25">
      <c r="A34" t="str">
        <f>[1]Crop!A34</f>
        <v>Maize</v>
      </c>
      <c r="B34" t="str">
        <f>[1]Crop!B34</f>
        <v>SNNPR</v>
      </c>
      <c r="C34">
        <f ca="1">[1]Crop!C34</f>
        <v>22.264301864776499</v>
      </c>
      <c r="D34">
        <f ca="1">[1]Crop!D34</f>
        <v>23.669898976498679</v>
      </c>
    </row>
    <row r="35" spans="1:4" x14ac:dyDescent="0.25">
      <c r="A35" t="str">
        <f>[1]Crop!A35</f>
        <v>Maize</v>
      </c>
      <c r="B35" t="str">
        <f>[1]Crop!B35</f>
        <v>Tigray</v>
      </c>
      <c r="C35">
        <f ca="1">[1]Crop!C35</f>
        <v>22.863887269017287</v>
      </c>
      <c r="D35">
        <f ca="1">[1]Crop!D35</f>
        <v>22.215436998068238</v>
      </c>
    </row>
    <row r="36" spans="1:4" x14ac:dyDescent="0.25">
      <c r="A36" t="str">
        <f>[1]Crop!A36</f>
        <v>Lentils</v>
      </c>
      <c r="B36" t="str">
        <f>[1]Crop!B36</f>
        <v>AddisAbaba</v>
      </c>
      <c r="C36">
        <f ca="1">[1]Crop!C36</f>
        <v>22.203011258141203</v>
      </c>
      <c r="D36">
        <f ca="1">[1]Crop!D36</f>
        <v>22.389164955787447</v>
      </c>
    </row>
    <row r="37" spans="1:4" x14ac:dyDescent="0.25">
      <c r="A37" t="str">
        <f>[1]Crop!A37</f>
        <v>Lentils</v>
      </c>
      <c r="B37" t="str">
        <f>[1]Crop!B37</f>
        <v>Afar</v>
      </c>
      <c r="C37">
        <f ca="1">[1]Crop!C37</f>
        <v>22.745689641493165</v>
      </c>
      <c r="D37">
        <f ca="1">[1]Crop!D37</f>
        <v>24.127901858951518</v>
      </c>
    </row>
    <row r="38" spans="1:4" x14ac:dyDescent="0.25">
      <c r="A38" t="str">
        <f>[1]Crop!A38</f>
        <v>Lentils</v>
      </c>
      <c r="B38" t="str">
        <f>[1]Crop!B38</f>
        <v>Amhara</v>
      </c>
      <c r="C38">
        <f ca="1">[1]Crop!C38</f>
        <v>19.724875303223651</v>
      </c>
      <c r="D38">
        <f ca="1">[1]Crop!D38</f>
        <v>22.311985338049915</v>
      </c>
    </row>
    <row r="39" spans="1:4" x14ac:dyDescent="0.25">
      <c r="A39" t="str">
        <f>[1]Crop!A39</f>
        <v>Lentils</v>
      </c>
      <c r="B39" t="str">
        <f>[1]Crop!B39</f>
        <v>Gumuz</v>
      </c>
      <c r="C39">
        <f ca="1">[1]Crop!C39</f>
        <v>19.56451854141476</v>
      </c>
      <c r="D39">
        <f ca="1">[1]Crop!D39</f>
        <v>22.638617928179393</v>
      </c>
    </row>
    <row r="40" spans="1:4" x14ac:dyDescent="0.25">
      <c r="A40" t="str">
        <f>[1]Crop!A40</f>
        <v>Lentils</v>
      </c>
      <c r="B40" t="str">
        <f>[1]Crop!B40</f>
        <v>DireDawa</v>
      </c>
      <c r="C40">
        <f ca="1">[1]Crop!C40</f>
        <v>18.846874622996051</v>
      </c>
      <c r="D40">
        <f ca="1">[1]Crop!D40</f>
        <v>22.84976271652144</v>
      </c>
    </row>
    <row r="41" spans="1:4" x14ac:dyDescent="0.25">
      <c r="A41" t="str">
        <f>[1]Crop!A41</f>
        <v>Lentils</v>
      </c>
      <c r="B41" t="str">
        <f>[1]Crop!B41</f>
        <v>Gambela</v>
      </c>
      <c r="C41">
        <f ca="1">[1]Crop!C41</f>
        <v>18.058169508735563</v>
      </c>
      <c r="D41">
        <f ca="1">[1]Crop!D41</f>
        <v>23.746638775373469</v>
      </c>
    </row>
    <row r="42" spans="1:4" x14ac:dyDescent="0.25">
      <c r="A42" t="str">
        <f>[1]Crop!A42</f>
        <v>Lentils</v>
      </c>
      <c r="B42" t="str">
        <f>[1]Crop!B42</f>
        <v>Harari</v>
      </c>
      <c r="C42">
        <f ca="1">[1]Crop!C42</f>
        <v>22.474927193235509</v>
      </c>
      <c r="D42">
        <f ca="1">[1]Crop!D42</f>
        <v>24.551846592135455</v>
      </c>
    </row>
    <row r="43" spans="1:4" x14ac:dyDescent="0.25">
      <c r="A43" t="str">
        <f>[1]Crop!A43</f>
        <v>Lentils</v>
      </c>
      <c r="B43" t="str">
        <f>[1]Crop!B43</f>
        <v>Oromia</v>
      </c>
      <c r="C43">
        <f ca="1">[1]Crop!C43</f>
        <v>21.923000418545865</v>
      </c>
      <c r="D43">
        <f ca="1">[1]Crop!D43</f>
        <v>24.582740501491717</v>
      </c>
    </row>
    <row r="44" spans="1:4" x14ac:dyDescent="0.25">
      <c r="A44" t="str">
        <f>[1]Crop!A44</f>
        <v>Lentils</v>
      </c>
      <c r="B44" t="str">
        <f>[1]Crop!B44</f>
        <v>Somali</v>
      </c>
      <c r="C44">
        <f ca="1">[1]Crop!C44</f>
        <v>22.439065906469935</v>
      </c>
      <c r="D44">
        <f ca="1">[1]Crop!D44</f>
        <v>24.336427535404297</v>
      </c>
    </row>
    <row r="45" spans="1:4" x14ac:dyDescent="0.25">
      <c r="A45" t="str">
        <f>[1]Crop!A45</f>
        <v>Lentils</v>
      </c>
      <c r="B45" t="str">
        <f>[1]Crop!B45</f>
        <v>SNNPR</v>
      </c>
      <c r="C45">
        <f ca="1">[1]Crop!C45</f>
        <v>22.534838709803843</v>
      </c>
      <c r="D45">
        <f ca="1">[1]Crop!D45</f>
        <v>22.5157596876026</v>
      </c>
    </row>
    <row r="46" spans="1:4" x14ac:dyDescent="0.25">
      <c r="A46" t="str">
        <f>[1]Crop!A46</f>
        <v>Lentils</v>
      </c>
      <c r="B46" t="str">
        <f>[1]Crop!B46</f>
        <v>Tigray</v>
      </c>
      <c r="C46">
        <f ca="1">[1]Crop!C46</f>
        <v>21.341058148659169</v>
      </c>
      <c r="D46">
        <f ca="1">[1]Crop!D46</f>
        <v>23.452214115176627</v>
      </c>
    </row>
    <row r="47" spans="1:4" x14ac:dyDescent="0.25">
      <c r="A47" t="str">
        <f>[1]Crop!A47</f>
        <v>Vegetables</v>
      </c>
      <c r="B47" t="str">
        <f>[1]Crop!B47</f>
        <v>AddisAbaba</v>
      </c>
      <c r="C47">
        <f ca="1">[1]Crop!C47</f>
        <v>18.908012784571039</v>
      </c>
      <c r="D47">
        <f ca="1">[1]Crop!D47</f>
        <v>24.865684595412965</v>
      </c>
    </row>
    <row r="48" spans="1:4" x14ac:dyDescent="0.25">
      <c r="A48" t="str">
        <f>[1]Crop!A48</f>
        <v>Vegetables</v>
      </c>
      <c r="B48" t="str">
        <f>[1]Crop!B48</f>
        <v>Afar</v>
      </c>
      <c r="C48">
        <f ca="1">[1]Crop!C48</f>
        <v>18.87623872018159</v>
      </c>
      <c r="D48">
        <f ca="1">[1]Crop!D48</f>
        <v>24.932950459072913</v>
      </c>
    </row>
    <row r="49" spans="1:4" x14ac:dyDescent="0.25">
      <c r="A49" t="str">
        <f>[1]Crop!A49</f>
        <v>Vegetables</v>
      </c>
      <c r="B49" t="str">
        <f>[1]Crop!B49</f>
        <v>Amhara</v>
      </c>
      <c r="C49">
        <f ca="1">[1]Crop!C49</f>
        <v>21.513612339227983</v>
      </c>
      <c r="D49">
        <f ca="1">[1]Crop!D49</f>
        <v>22.033673739282605</v>
      </c>
    </row>
    <row r="50" spans="1:4" x14ac:dyDescent="0.25">
      <c r="A50" t="str">
        <f>[1]Crop!A50</f>
        <v>Vegetables</v>
      </c>
      <c r="B50" t="str">
        <f>[1]Crop!B50</f>
        <v>Gumuz</v>
      </c>
      <c r="C50">
        <f ca="1">[1]Crop!C50</f>
        <v>20.322625546300234</v>
      </c>
      <c r="D50">
        <f ca="1">[1]Crop!D50</f>
        <v>22.531789073941145</v>
      </c>
    </row>
    <row r="51" spans="1:4" x14ac:dyDescent="0.25">
      <c r="A51" t="str">
        <f>[1]Crop!A51</f>
        <v>Vegetables</v>
      </c>
      <c r="B51" t="str">
        <f>[1]Crop!B51</f>
        <v>DireDawa</v>
      </c>
      <c r="C51">
        <f ca="1">[1]Crop!C51</f>
        <v>19.350717984331158</v>
      </c>
      <c r="D51">
        <f ca="1">[1]Crop!D51</f>
        <v>23.358722127351033</v>
      </c>
    </row>
    <row r="52" spans="1:4" x14ac:dyDescent="0.25">
      <c r="A52" t="str">
        <f>[1]Crop!A52</f>
        <v>Vegetables</v>
      </c>
      <c r="B52" t="str">
        <f>[1]Crop!B52</f>
        <v>Gambela</v>
      </c>
      <c r="C52">
        <f ca="1">[1]Crop!C52</f>
        <v>19.045099884083466</v>
      </c>
      <c r="D52">
        <f ca="1">[1]Crop!D52</f>
        <v>24.282855596055086</v>
      </c>
    </row>
    <row r="53" spans="1:4" x14ac:dyDescent="0.25">
      <c r="A53" t="str">
        <f>[1]Crop!A53</f>
        <v>Vegetables</v>
      </c>
      <c r="B53" t="str">
        <f>[1]Crop!B53</f>
        <v>Harari</v>
      </c>
      <c r="C53">
        <f ca="1">[1]Crop!C53</f>
        <v>22.335036567874901</v>
      </c>
      <c r="D53">
        <f ca="1">[1]Crop!D53</f>
        <v>24.140160159491504</v>
      </c>
    </row>
    <row r="54" spans="1:4" x14ac:dyDescent="0.25">
      <c r="A54" t="str">
        <f>[1]Crop!A54</f>
        <v>Vegetables</v>
      </c>
      <c r="B54" t="str">
        <f>[1]Crop!B54</f>
        <v>Oromia</v>
      </c>
      <c r="C54">
        <f ca="1">[1]Crop!C54</f>
        <v>18.659990127262155</v>
      </c>
      <c r="D54">
        <f ca="1">[1]Crop!D54</f>
        <v>23.872603823498498</v>
      </c>
    </row>
    <row r="55" spans="1:4" x14ac:dyDescent="0.25">
      <c r="A55" t="str">
        <f>[1]Crop!A55</f>
        <v>Vegetables</v>
      </c>
      <c r="B55" t="str">
        <f>[1]Crop!B55</f>
        <v>Somali</v>
      </c>
      <c r="C55">
        <f ca="1">[1]Crop!C55</f>
        <v>20.521380077285141</v>
      </c>
      <c r="D55">
        <f ca="1">[1]Crop!D55</f>
        <v>24.858388184983372</v>
      </c>
    </row>
    <row r="56" spans="1:4" x14ac:dyDescent="0.25">
      <c r="A56" t="str">
        <f>[1]Crop!A56</f>
        <v>Vegetables</v>
      </c>
      <c r="B56" t="str">
        <f>[1]Crop!B56</f>
        <v>SNNPR</v>
      </c>
      <c r="C56">
        <f ca="1">[1]Crop!C56</f>
        <v>19.231241510182464</v>
      </c>
      <c r="D56">
        <f ca="1">[1]Crop!D56</f>
        <v>24.294914110297043</v>
      </c>
    </row>
    <row r="57" spans="1:4" x14ac:dyDescent="0.25">
      <c r="A57" t="str">
        <f>[1]Crop!A57</f>
        <v>Vegetables</v>
      </c>
      <c r="B57" t="str">
        <f>[1]Crop!B57</f>
        <v>Tigray</v>
      </c>
      <c r="C57">
        <f ca="1">[1]Crop!C57</f>
        <v>18.182755628485733</v>
      </c>
      <c r="D57">
        <f ca="1">[1]Crop!D57</f>
        <v>24.612547857490469</v>
      </c>
    </row>
    <row r="58" spans="1:4" x14ac:dyDescent="0.25">
      <c r="A58" t="str">
        <f>[1]Crop!A58</f>
        <v>Coffee</v>
      </c>
      <c r="B58" t="str">
        <f>[1]Crop!B58</f>
        <v>AddisAbaba</v>
      </c>
      <c r="C58">
        <f ca="1">[1]Crop!C58</f>
        <v>19.019029822125194</v>
      </c>
      <c r="D58">
        <f ca="1">[1]Crop!D58</f>
        <v>22.591307423856488</v>
      </c>
    </row>
    <row r="59" spans="1:4" x14ac:dyDescent="0.25">
      <c r="A59" t="str">
        <f>[1]Crop!A59</f>
        <v>Coffee</v>
      </c>
      <c r="B59" t="str">
        <f>[1]Crop!B59</f>
        <v>Afar</v>
      </c>
      <c r="C59">
        <f ca="1">[1]Crop!C59</f>
        <v>21.951916334564334</v>
      </c>
      <c r="D59">
        <f ca="1">[1]Crop!D59</f>
        <v>22.59700242269934</v>
      </c>
    </row>
    <row r="60" spans="1:4" x14ac:dyDescent="0.25">
      <c r="A60" t="str">
        <f>[1]Crop!A60</f>
        <v>Coffee</v>
      </c>
      <c r="B60" t="str">
        <f>[1]Crop!B60</f>
        <v>Amhara</v>
      </c>
      <c r="C60">
        <f ca="1">[1]Crop!C60</f>
        <v>22.826403445829399</v>
      </c>
      <c r="D60">
        <f ca="1">[1]Crop!D60</f>
        <v>23.68239684543914</v>
      </c>
    </row>
    <row r="61" spans="1:4" x14ac:dyDescent="0.25">
      <c r="A61" t="str">
        <f>[1]Crop!A61</f>
        <v>Coffee</v>
      </c>
      <c r="B61" t="str">
        <f>[1]Crop!B61</f>
        <v>Gumuz</v>
      </c>
      <c r="C61">
        <f ca="1">[1]Crop!C61</f>
        <v>21.405023755488834</v>
      </c>
      <c r="D61">
        <f ca="1">[1]Crop!D61</f>
        <v>23.468599819587102</v>
      </c>
    </row>
    <row r="62" spans="1:4" x14ac:dyDescent="0.25">
      <c r="A62" t="str">
        <f>[1]Crop!A62</f>
        <v>Coffee</v>
      </c>
      <c r="B62" t="str">
        <f>[1]Crop!B62</f>
        <v>DireDawa</v>
      </c>
      <c r="C62">
        <f ca="1">[1]Crop!C62</f>
        <v>20.224172723730767</v>
      </c>
      <c r="D62">
        <f ca="1">[1]Crop!D62</f>
        <v>24.847620333954993</v>
      </c>
    </row>
    <row r="63" spans="1:4" x14ac:dyDescent="0.25">
      <c r="A63" t="str">
        <f>[1]Crop!A63</f>
        <v>Coffee</v>
      </c>
      <c r="B63" t="str">
        <f>[1]Crop!B63</f>
        <v>Gambela</v>
      </c>
      <c r="C63">
        <f ca="1">[1]Crop!C63</f>
        <v>20.021128916373446</v>
      </c>
      <c r="D63">
        <f ca="1">[1]Crop!D63</f>
        <v>22.300668058300747</v>
      </c>
    </row>
    <row r="64" spans="1:4" x14ac:dyDescent="0.25">
      <c r="A64" t="str">
        <f>[1]Crop!A64</f>
        <v>Coffee</v>
      </c>
      <c r="B64" t="str">
        <f>[1]Crop!B64</f>
        <v>Harari</v>
      </c>
      <c r="C64">
        <f ca="1">[1]Crop!C64</f>
        <v>19.892532796493615</v>
      </c>
      <c r="D64">
        <f ca="1">[1]Crop!D64</f>
        <v>22.369571557177252</v>
      </c>
    </row>
    <row r="65" spans="1:4" x14ac:dyDescent="0.25">
      <c r="A65" t="str">
        <f>[1]Crop!A65</f>
        <v>Coffee</v>
      </c>
      <c r="B65" t="str">
        <f>[1]Crop!B65</f>
        <v>Oromia</v>
      </c>
      <c r="C65">
        <f ca="1">[1]Crop!C65</f>
        <v>18.661599554411858</v>
      </c>
      <c r="D65">
        <f ca="1">[1]Crop!D65</f>
        <v>24.138738561341558</v>
      </c>
    </row>
    <row r="66" spans="1:4" x14ac:dyDescent="0.25">
      <c r="A66" t="str">
        <f>[1]Crop!A66</f>
        <v>Coffee</v>
      </c>
      <c r="B66" t="str">
        <f>[1]Crop!B66</f>
        <v>Somali</v>
      </c>
      <c r="C66">
        <f ca="1">[1]Crop!C66</f>
        <v>19.10593375407802</v>
      </c>
      <c r="D66">
        <f ca="1">[1]Crop!D66</f>
        <v>23.331827465179515</v>
      </c>
    </row>
    <row r="67" spans="1:4" x14ac:dyDescent="0.25">
      <c r="A67" t="str">
        <f>[1]Crop!A67</f>
        <v>Coffee</v>
      </c>
      <c r="B67" t="str">
        <f>[1]Crop!B67</f>
        <v>SNNPR</v>
      </c>
      <c r="C67">
        <f ca="1">[1]Crop!C67</f>
        <v>21.440662644165453</v>
      </c>
      <c r="D67">
        <f ca="1">[1]Crop!D67</f>
        <v>22.166042593687035</v>
      </c>
    </row>
    <row r="68" spans="1:4" x14ac:dyDescent="0.25">
      <c r="A68" t="str">
        <f>[1]Crop!A68</f>
        <v>Coffee</v>
      </c>
      <c r="B68" t="str">
        <f>[1]Crop!B68</f>
        <v>Tigray</v>
      </c>
      <c r="C68">
        <f ca="1">[1]Crop!C68</f>
        <v>21.78119031813409</v>
      </c>
      <c r="D68">
        <f ca="1">[1]Crop!D68</f>
        <v>24.712092877388617</v>
      </c>
    </row>
    <row r="101" spans="1:2" x14ac:dyDescent="0.25">
      <c r="B101">
        <f>[1]Crop!B101</f>
        <v>2015</v>
      </c>
    </row>
    <row r="102" spans="1:2" x14ac:dyDescent="0.25">
      <c r="A102" t="str">
        <f>[1]Crop!A102</f>
        <v>AddisAbaba</v>
      </c>
      <c r="B102">
        <f>[1]Crop!B102</f>
        <v>1000</v>
      </c>
    </row>
    <row r="103" spans="1:2" x14ac:dyDescent="0.25">
      <c r="A103" t="str">
        <f>[1]Crop!A103</f>
        <v>Afar</v>
      </c>
      <c r="B103">
        <f>[1]Crop!B103</f>
        <v>1000</v>
      </c>
    </row>
    <row r="104" spans="1:2" x14ac:dyDescent="0.25">
      <c r="A104" t="str">
        <f>[1]Crop!A104</f>
        <v>Amhara</v>
      </c>
      <c r="B104">
        <f>[1]Crop!B104</f>
        <v>1000</v>
      </c>
    </row>
    <row r="105" spans="1:2" x14ac:dyDescent="0.25">
      <c r="A105" t="str">
        <f>[1]Crop!A105</f>
        <v>Gumuz</v>
      </c>
      <c r="B105">
        <f>[1]Crop!B105</f>
        <v>1000</v>
      </c>
    </row>
    <row r="106" spans="1:2" x14ac:dyDescent="0.25">
      <c r="A106" t="str">
        <f>[1]Crop!A106</f>
        <v>DireDawa</v>
      </c>
      <c r="B106">
        <f>[1]Crop!B106</f>
        <v>1000</v>
      </c>
    </row>
    <row r="107" spans="1:2" x14ac:dyDescent="0.25">
      <c r="A107" t="str">
        <f>[1]Crop!A107</f>
        <v>Gambela</v>
      </c>
      <c r="B107">
        <f>[1]Crop!B107</f>
        <v>1000</v>
      </c>
    </row>
    <row r="108" spans="1:2" x14ac:dyDescent="0.25">
      <c r="A108" t="str">
        <f>[1]Crop!A108</f>
        <v>Harari</v>
      </c>
      <c r="B108">
        <f>[1]Crop!B108</f>
        <v>1000</v>
      </c>
    </row>
    <row r="109" spans="1:2" x14ac:dyDescent="0.25">
      <c r="A109" t="str">
        <f>[1]Crop!A109</f>
        <v>Oromia</v>
      </c>
      <c r="B109">
        <f>[1]Crop!B109</f>
        <v>1000</v>
      </c>
    </row>
    <row r="110" spans="1:2" x14ac:dyDescent="0.25">
      <c r="A110" t="str">
        <f>[1]Crop!A110</f>
        <v>Somali</v>
      </c>
      <c r="B110">
        <f>[1]Crop!B110</f>
        <v>1000</v>
      </c>
    </row>
    <row r="111" spans="1:2" x14ac:dyDescent="0.25">
      <c r="A111" t="str">
        <f>[1]Crop!A111</f>
        <v>SNNPR</v>
      </c>
      <c r="B111">
        <f>[1]Crop!B111</f>
        <v>1000</v>
      </c>
    </row>
    <row r="112" spans="1:2" x14ac:dyDescent="0.25">
      <c r="A112" t="str">
        <f>[1]Crop!A112</f>
        <v>Tigray</v>
      </c>
      <c r="B112">
        <f>[1]Crop!B112</f>
        <v>1000</v>
      </c>
    </row>
    <row r="121" spans="1:2" x14ac:dyDescent="0.25">
      <c r="B121">
        <f>[1]Crop!B121</f>
        <v>2015</v>
      </c>
    </row>
    <row r="122" spans="1:2" x14ac:dyDescent="0.25">
      <c r="A122" t="str">
        <f>[1]Crop!A122</f>
        <v>AddisAbaba</v>
      </c>
      <c r="B122">
        <f>[1]Crop!B122</f>
        <v>0</v>
      </c>
    </row>
    <row r="123" spans="1:2" x14ac:dyDescent="0.25">
      <c r="A123" t="str">
        <f>[1]Crop!A123</f>
        <v>Afar</v>
      </c>
      <c r="B123">
        <f>[1]Crop!B123</f>
        <v>0</v>
      </c>
    </row>
    <row r="124" spans="1:2" x14ac:dyDescent="0.25">
      <c r="A124" t="str">
        <f>[1]Crop!A124</f>
        <v>Amhara</v>
      </c>
      <c r="B124">
        <f>[1]Crop!B124</f>
        <v>0</v>
      </c>
    </row>
    <row r="125" spans="1:2" x14ac:dyDescent="0.25">
      <c r="A125" t="str">
        <f>[1]Crop!A125</f>
        <v>Gumuz</v>
      </c>
      <c r="B125">
        <f>[1]Crop!B125</f>
        <v>0</v>
      </c>
    </row>
    <row r="126" spans="1:2" x14ac:dyDescent="0.25">
      <c r="A126" t="str">
        <f>[1]Crop!A126</f>
        <v>DireDawa</v>
      </c>
      <c r="B126">
        <f>[1]Crop!B126</f>
        <v>0</v>
      </c>
    </row>
    <row r="127" spans="1:2" x14ac:dyDescent="0.25">
      <c r="A127" t="str">
        <f>[1]Crop!A127</f>
        <v>Gambela</v>
      </c>
      <c r="B127">
        <f>[1]Crop!B127</f>
        <v>0</v>
      </c>
    </row>
    <row r="128" spans="1:2" x14ac:dyDescent="0.25">
      <c r="A128" t="str">
        <f>[1]Crop!A128</f>
        <v>Harari</v>
      </c>
      <c r="B128">
        <f>[1]Crop!B128</f>
        <v>0</v>
      </c>
    </row>
    <row r="129" spans="1:2" x14ac:dyDescent="0.25">
      <c r="A129" t="str">
        <f>[1]Crop!A129</f>
        <v>Oromia</v>
      </c>
      <c r="B129">
        <f>[1]Crop!B129</f>
        <v>0</v>
      </c>
    </row>
    <row r="130" spans="1:2" x14ac:dyDescent="0.25">
      <c r="A130" t="str">
        <f>[1]Crop!A130</f>
        <v>Somali</v>
      </c>
      <c r="B130">
        <f>[1]Crop!B130</f>
        <v>0</v>
      </c>
    </row>
    <row r="131" spans="1:2" x14ac:dyDescent="0.25">
      <c r="A131" t="str">
        <f>[1]Crop!A131</f>
        <v>SNNPR</v>
      </c>
      <c r="B131">
        <f>[1]Crop!B131</f>
        <v>0</v>
      </c>
    </row>
    <row r="132" spans="1:2" x14ac:dyDescent="0.25">
      <c r="A132" t="str">
        <f>[1]Crop!A132</f>
        <v>Tigray</v>
      </c>
      <c r="B132">
        <f>[1]Crop!B132</f>
        <v>0</v>
      </c>
    </row>
    <row r="141" spans="1:2" x14ac:dyDescent="0.25">
      <c r="A141" t="str">
        <f>[1]Crop!A141</f>
        <v>AddisAbaba</v>
      </c>
      <c r="B141">
        <f>[1]Crop!B141</f>
        <v>120</v>
      </c>
    </row>
    <row r="142" spans="1:2" x14ac:dyDescent="0.25">
      <c r="A142" t="str">
        <f>[1]Crop!A142</f>
        <v>Afar</v>
      </c>
      <c r="B142">
        <f>[1]Crop!B142</f>
        <v>100</v>
      </c>
    </row>
    <row r="143" spans="1:2" x14ac:dyDescent="0.25">
      <c r="A143" t="str">
        <f>[1]Crop!A143</f>
        <v>Amhara</v>
      </c>
      <c r="B143">
        <f>[1]Crop!B143</f>
        <v>100</v>
      </c>
    </row>
    <row r="144" spans="1:2" x14ac:dyDescent="0.25">
      <c r="A144" t="str">
        <f>[1]Crop!A144</f>
        <v>Gumuz</v>
      </c>
      <c r="B144">
        <f>[1]Crop!B144</f>
        <v>100</v>
      </c>
    </row>
    <row r="145" spans="1:2" x14ac:dyDescent="0.25">
      <c r="A145" t="str">
        <f>[1]Crop!A145</f>
        <v>DireDawa</v>
      </c>
      <c r="B145">
        <f>[1]Crop!B145</f>
        <v>100</v>
      </c>
    </row>
    <row r="146" spans="1:2" x14ac:dyDescent="0.25">
      <c r="A146" t="str">
        <f>[1]Crop!A146</f>
        <v>Gambela</v>
      </c>
      <c r="B146">
        <f>[1]Crop!B146</f>
        <v>100</v>
      </c>
    </row>
    <row r="147" spans="1:2" x14ac:dyDescent="0.25">
      <c r="A147" t="str">
        <f>[1]Crop!A147</f>
        <v>Harari</v>
      </c>
      <c r="B147">
        <f>[1]Crop!B147</f>
        <v>100</v>
      </c>
    </row>
    <row r="148" spans="1:2" x14ac:dyDescent="0.25">
      <c r="A148" t="str">
        <f>[1]Crop!A148</f>
        <v>Oromia</v>
      </c>
      <c r="B148">
        <f>[1]Crop!B148</f>
        <v>100</v>
      </c>
    </row>
    <row r="149" spans="1:2" x14ac:dyDescent="0.25">
      <c r="A149" t="str">
        <f>[1]Crop!A149</f>
        <v>Somali</v>
      </c>
      <c r="B149">
        <f>[1]Crop!B149</f>
        <v>100</v>
      </c>
    </row>
    <row r="150" spans="1:2" x14ac:dyDescent="0.25">
      <c r="A150" t="str">
        <f>[1]Crop!A150</f>
        <v>SNNPR</v>
      </c>
      <c r="B150">
        <f>[1]Crop!B150</f>
        <v>100</v>
      </c>
    </row>
    <row r="151" spans="1:2" x14ac:dyDescent="0.25">
      <c r="A151" t="str">
        <f>[1]Crop!A151</f>
        <v>Tigray</v>
      </c>
      <c r="B151">
        <f>[1]Crop!B151</f>
        <v>100</v>
      </c>
    </row>
    <row r="161" spans="1:7" x14ac:dyDescent="0.25">
      <c r="B161" t="str">
        <f>[1]Crop!B161</f>
        <v>Teff</v>
      </c>
      <c r="C161" t="str">
        <f>[1]Crop!C161</f>
        <v>Sorghum</v>
      </c>
      <c r="D161" t="str">
        <f>[1]Crop!D161</f>
        <v>Maize</v>
      </c>
      <c r="E161" t="str">
        <f>[1]Crop!E161</f>
        <v>Lentils</v>
      </c>
      <c r="F161" t="str">
        <f>[1]Crop!F161</f>
        <v>Vegetables</v>
      </c>
      <c r="G161" t="str">
        <f>[1]Crop!G161</f>
        <v>Coffee</v>
      </c>
    </row>
    <row r="162" spans="1:7" x14ac:dyDescent="0.25">
      <c r="A162" t="str">
        <f>[1]Crop!A162</f>
        <v>AddisAbaba</v>
      </c>
      <c r="B162">
        <f>[1]Crop!B162</f>
        <v>60</v>
      </c>
      <c r="C162">
        <f>[1]Crop!C162</f>
        <v>24</v>
      </c>
      <c r="D162">
        <f>[1]Crop!D162</f>
        <v>12</v>
      </c>
      <c r="E162">
        <f>[1]Crop!E162</f>
        <v>6</v>
      </c>
      <c r="F162">
        <f>[1]Crop!F162</f>
        <v>3.5999999999999996</v>
      </c>
      <c r="G162">
        <f>[1]Crop!G162</f>
        <v>3.5999999999999996</v>
      </c>
    </row>
    <row r="163" spans="1:7" x14ac:dyDescent="0.25">
      <c r="A163" t="str">
        <f>[1]Crop!A163</f>
        <v>Afar</v>
      </c>
      <c r="B163">
        <f>[1]Crop!B163</f>
        <v>50</v>
      </c>
      <c r="C163">
        <f>[1]Crop!C163</f>
        <v>20</v>
      </c>
      <c r="D163">
        <f>[1]Crop!D163</f>
        <v>10</v>
      </c>
      <c r="E163">
        <f>[1]Crop!E163</f>
        <v>5</v>
      </c>
      <c r="F163">
        <f>[1]Crop!F163</f>
        <v>3</v>
      </c>
      <c r="G163">
        <f>[1]Crop!G163</f>
        <v>3</v>
      </c>
    </row>
    <row r="164" spans="1:7" x14ac:dyDescent="0.25">
      <c r="A164" t="str">
        <f>[1]Crop!A164</f>
        <v>Amhara</v>
      </c>
      <c r="B164">
        <f>[1]Crop!B164</f>
        <v>50</v>
      </c>
      <c r="C164">
        <f>[1]Crop!C164</f>
        <v>20</v>
      </c>
      <c r="D164">
        <f>[1]Crop!D164</f>
        <v>10</v>
      </c>
      <c r="E164">
        <f>[1]Crop!E164</f>
        <v>5</v>
      </c>
      <c r="F164">
        <f>[1]Crop!F164</f>
        <v>3</v>
      </c>
      <c r="G164">
        <f>[1]Crop!G164</f>
        <v>3</v>
      </c>
    </row>
    <row r="165" spans="1:7" x14ac:dyDescent="0.25">
      <c r="A165" t="str">
        <f>[1]Crop!A165</f>
        <v>Gumuz</v>
      </c>
      <c r="B165">
        <f>[1]Crop!B165</f>
        <v>50</v>
      </c>
      <c r="C165">
        <f>[1]Crop!C165</f>
        <v>20</v>
      </c>
      <c r="D165">
        <f>[1]Crop!D165</f>
        <v>10</v>
      </c>
      <c r="E165">
        <f>[1]Crop!E165</f>
        <v>5</v>
      </c>
      <c r="F165">
        <f>[1]Crop!F165</f>
        <v>3</v>
      </c>
      <c r="G165">
        <f>[1]Crop!G165</f>
        <v>3</v>
      </c>
    </row>
    <row r="166" spans="1:7" x14ac:dyDescent="0.25">
      <c r="A166" t="str">
        <f>[1]Crop!A166</f>
        <v>DireDawa</v>
      </c>
      <c r="B166">
        <f>[1]Crop!B166</f>
        <v>50</v>
      </c>
      <c r="C166">
        <f>[1]Crop!C166</f>
        <v>20</v>
      </c>
      <c r="D166">
        <f>[1]Crop!D166</f>
        <v>10</v>
      </c>
      <c r="E166">
        <f>[1]Crop!E166</f>
        <v>5</v>
      </c>
      <c r="F166">
        <f>[1]Crop!F166</f>
        <v>3</v>
      </c>
      <c r="G166">
        <f>[1]Crop!G166</f>
        <v>3</v>
      </c>
    </row>
    <row r="167" spans="1:7" x14ac:dyDescent="0.25">
      <c r="A167" t="str">
        <f>[1]Crop!A167</f>
        <v>Gambela</v>
      </c>
      <c r="B167">
        <f>[1]Crop!B167</f>
        <v>50</v>
      </c>
      <c r="C167">
        <f>[1]Crop!C167</f>
        <v>20</v>
      </c>
      <c r="D167">
        <f>[1]Crop!D167</f>
        <v>10</v>
      </c>
      <c r="E167">
        <f>[1]Crop!E167</f>
        <v>5</v>
      </c>
      <c r="F167">
        <f>[1]Crop!F167</f>
        <v>3</v>
      </c>
      <c r="G167">
        <f>[1]Crop!G167</f>
        <v>3</v>
      </c>
    </row>
    <row r="168" spans="1:7" x14ac:dyDescent="0.25">
      <c r="A168" t="str">
        <f>[1]Crop!A168</f>
        <v>Harari</v>
      </c>
      <c r="B168">
        <f>[1]Crop!B168</f>
        <v>50</v>
      </c>
      <c r="C168">
        <f>[1]Crop!C168</f>
        <v>20</v>
      </c>
      <c r="D168">
        <f>[1]Crop!D168</f>
        <v>10</v>
      </c>
      <c r="E168">
        <f>[1]Crop!E168</f>
        <v>5</v>
      </c>
      <c r="F168">
        <f>[1]Crop!F168</f>
        <v>3</v>
      </c>
      <c r="G168">
        <f>[1]Crop!G168</f>
        <v>3</v>
      </c>
    </row>
    <row r="169" spans="1:7" x14ac:dyDescent="0.25">
      <c r="A169" t="str">
        <f>[1]Crop!A169</f>
        <v>Oromia</v>
      </c>
      <c r="B169">
        <f>[1]Crop!B169</f>
        <v>50</v>
      </c>
      <c r="C169">
        <f>[1]Crop!C169</f>
        <v>20</v>
      </c>
      <c r="D169">
        <f>[1]Crop!D169</f>
        <v>10</v>
      </c>
      <c r="E169">
        <f>[1]Crop!E169</f>
        <v>5</v>
      </c>
      <c r="F169">
        <f>[1]Crop!F169</f>
        <v>3</v>
      </c>
      <c r="G169">
        <f>[1]Crop!G169</f>
        <v>3</v>
      </c>
    </row>
    <row r="170" spans="1:7" x14ac:dyDescent="0.25">
      <c r="A170" t="str">
        <f>[1]Crop!A170</f>
        <v>Somali</v>
      </c>
      <c r="B170">
        <f>[1]Crop!B170</f>
        <v>50</v>
      </c>
      <c r="C170">
        <f>[1]Crop!C170</f>
        <v>20</v>
      </c>
      <c r="D170">
        <f>[1]Crop!D170</f>
        <v>10</v>
      </c>
      <c r="E170">
        <f>[1]Crop!E170</f>
        <v>5</v>
      </c>
      <c r="F170">
        <f>[1]Crop!F170</f>
        <v>3</v>
      </c>
      <c r="G170">
        <f>[1]Crop!G170</f>
        <v>3</v>
      </c>
    </row>
    <row r="171" spans="1:7" x14ac:dyDescent="0.25">
      <c r="A171" t="str">
        <f>[1]Crop!A171</f>
        <v>SNNPR</v>
      </c>
      <c r="B171">
        <f>[1]Crop!B171</f>
        <v>50</v>
      </c>
      <c r="C171">
        <f>[1]Crop!C171</f>
        <v>20</v>
      </c>
      <c r="D171">
        <f>[1]Crop!D171</f>
        <v>10</v>
      </c>
      <c r="E171">
        <f>[1]Crop!E171</f>
        <v>5</v>
      </c>
      <c r="F171">
        <f>[1]Crop!F171</f>
        <v>3</v>
      </c>
      <c r="G171">
        <f>[1]Crop!G171</f>
        <v>3</v>
      </c>
    </row>
    <row r="172" spans="1:7" x14ac:dyDescent="0.25">
      <c r="A172" t="str">
        <f>[1]Crop!A172</f>
        <v>Tigray</v>
      </c>
      <c r="B172">
        <f>[1]Crop!B172</f>
        <v>50</v>
      </c>
      <c r="C172">
        <f>[1]Crop!C172</f>
        <v>20</v>
      </c>
      <c r="D172">
        <f>[1]Crop!D172</f>
        <v>10</v>
      </c>
      <c r="E172">
        <f>[1]Crop!E172</f>
        <v>5</v>
      </c>
      <c r="F172">
        <f>[1]Crop!F172</f>
        <v>3</v>
      </c>
      <c r="G172">
        <f>[1]Crop!G172</f>
        <v>3</v>
      </c>
    </row>
  </sheetData>
  <pageMargins left="0.75" right="0.75" top="1" bottom="1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68"/>
  <sheetViews>
    <sheetView zoomScale="85" zoomScaleNormal="85" workbookViewId="0">
      <selection activeCell="B2" sqref="B2"/>
    </sheetView>
  </sheetViews>
  <sheetFormatPr defaultColWidth="8.875" defaultRowHeight="15.75" x14ac:dyDescent="0.25"/>
  <cols>
    <col min="1" max="1" width="10.125" bestFit="1" customWidth="1"/>
    <col min="2" max="2" width="10.625" bestFit="1" customWidth="1"/>
  </cols>
  <sheetData>
    <row r="1" spans="1:34" x14ac:dyDescent="0.25">
      <c r="C1" t="str">
        <f>[1]CYF!C1</f>
        <v>Belg</v>
      </c>
      <c r="D1" t="str">
        <f>[1]CYF!D1</f>
        <v>Kremt</v>
      </c>
    </row>
    <row r="2" spans="1:34" x14ac:dyDescent="0.25">
      <c r="C2">
        <f>[1]CYF!C2</f>
        <v>2015</v>
      </c>
      <c r="D2">
        <f>[1]CYF!D2</f>
        <v>2015</v>
      </c>
    </row>
    <row r="3" spans="1:34" x14ac:dyDescent="0.25">
      <c r="A3" t="str">
        <f>[1]CYF!A3</f>
        <v>Teff</v>
      </c>
      <c r="B3" t="str">
        <f>[1]CYF!B3</f>
        <v>AddisAbaba</v>
      </c>
      <c r="C3" s="2">
        <f>[1]CYF!C3</f>
        <v>0.2</v>
      </c>
      <c r="D3" s="2">
        <f>[1]CYF!D3</f>
        <v>0.2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x14ac:dyDescent="0.25">
      <c r="A4" t="str">
        <f>[1]CYF!A4</f>
        <v>Teff</v>
      </c>
      <c r="B4" t="str">
        <f>[1]CYF!B4</f>
        <v>Afar</v>
      </c>
      <c r="C4" s="2">
        <f>[1]CYF!C4</f>
        <v>0.2</v>
      </c>
      <c r="D4" s="2">
        <f>[1]CYF!D4</f>
        <v>0.2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x14ac:dyDescent="0.25">
      <c r="A5" t="str">
        <f>[1]CYF!A5</f>
        <v>Teff</v>
      </c>
      <c r="B5" t="str">
        <f>[1]CYF!B5</f>
        <v>Amhara</v>
      </c>
      <c r="C5" s="2">
        <f>[1]CYF!C5</f>
        <v>0.2</v>
      </c>
      <c r="D5" s="2">
        <f>[1]CYF!D5</f>
        <v>0.2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x14ac:dyDescent="0.25">
      <c r="A6" t="str">
        <f>[1]CYF!A6</f>
        <v>Teff</v>
      </c>
      <c r="B6" t="str">
        <f>[1]CYF!B6</f>
        <v>Gumuz</v>
      </c>
      <c r="C6" s="2">
        <f>[1]CYF!C6</f>
        <v>0.2</v>
      </c>
      <c r="D6" s="2">
        <f>[1]CYF!D6</f>
        <v>0.2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x14ac:dyDescent="0.25">
      <c r="A7" t="str">
        <f>[1]CYF!A7</f>
        <v>Teff</v>
      </c>
      <c r="B7" t="str">
        <f>[1]CYF!B7</f>
        <v>DireDawa</v>
      </c>
      <c r="C7" s="2">
        <f>[1]CYF!C7</f>
        <v>0.2</v>
      </c>
      <c r="D7" s="2">
        <f>[1]CYF!D7</f>
        <v>0.2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x14ac:dyDescent="0.25">
      <c r="A8" t="str">
        <f>[1]CYF!A8</f>
        <v>Teff</v>
      </c>
      <c r="B8" t="str">
        <f>[1]CYF!B8</f>
        <v>Gambela</v>
      </c>
      <c r="C8" s="2">
        <f>[1]CYF!C8</f>
        <v>0.2</v>
      </c>
      <c r="D8" s="2">
        <f>[1]CYF!D8</f>
        <v>0.2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x14ac:dyDescent="0.25">
      <c r="A9" t="str">
        <f>[1]CYF!A9</f>
        <v>Teff</v>
      </c>
      <c r="B9" t="str">
        <f>[1]CYF!B9</f>
        <v>Harari</v>
      </c>
      <c r="C9" s="2">
        <f>[1]CYF!C9</f>
        <v>0.2</v>
      </c>
      <c r="D9" s="2">
        <f>[1]CYF!D9</f>
        <v>0.2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x14ac:dyDescent="0.25">
      <c r="A10" t="str">
        <f>[1]CYF!A10</f>
        <v>Teff</v>
      </c>
      <c r="B10" t="str">
        <f>[1]CYF!B10</f>
        <v>Oromia</v>
      </c>
      <c r="C10" s="2">
        <f>[1]CYF!C10</f>
        <v>0.2</v>
      </c>
      <c r="D10" s="2">
        <f>[1]CYF!D10</f>
        <v>0.2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 x14ac:dyDescent="0.25">
      <c r="A11" t="str">
        <f>[1]CYF!A11</f>
        <v>Teff</v>
      </c>
      <c r="B11" t="str">
        <f>[1]CYF!B11</f>
        <v>Somali</v>
      </c>
      <c r="C11" s="2">
        <f>[1]CYF!C11</f>
        <v>0.2</v>
      </c>
      <c r="D11" s="2">
        <f>[1]CYF!D11</f>
        <v>0.2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 x14ac:dyDescent="0.25">
      <c r="A12" t="str">
        <f>[1]CYF!A12</f>
        <v>Teff</v>
      </c>
      <c r="B12" t="str">
        <f>[1]CYF!B12</f>
        <v>SNNPR</v>
      </c>
      <c r="C12" s="2">
        <f>[1]CYF!C12</f>
        <v>0.2</v>
      </c>
      <c r="D12" s="2">
        <f>[1]CYF!D12</f>
        <v>0.2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 x14ac:dyDescent="0.25">
      <c r="A13" t="str">
        <f>[1]CYF!A13</f>
        <v>Teff</v>
      </c>
      <c r="B13" t="str">
        <f>[1]CYF!B13</f>
        <v>Tigray</v>
      </c>
      <c r="C13" s="2">
        <f>[1]CYF!C13</f>
        <v>0.2</v>
      </c>
      <c r="D13" s="2">
        <f>[1]CYF!D13</f>
        <v>0.2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x14ac:dyDescent="0.25">
      <c r="A14" t="str">
        <f>[1]CYF!A14</f>
        <v>Sorghum</v>
      </c>
      <c r="B14" t="str">
        <f>[1]CYF!B14</f>
        <v>AddisAbaba</v>
      </c>
      <c r="C14" s="2">
        <f>[1]CYF!C14</f>
        <v>0.2</v>
      </c>
      <c r="D14" s="2">
        <f>[1]CYF!D14</f>
        <v>0.2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 x14ac:dyDescent="0.25">
      <c r="A15" t="str">
        <f>[1]CYF!A15</f>
        <v>Sorghum</v>
      </c>
      <c r="B15" t="str">
        <f>[1]CYF!B15</f>
        <v>Afar</v>
      </c>
      <c r="C15" s="2">
        <f>[1]CYF!C15</f>
        <v>0.2</v>
      </c>
      <c r="D15" s="2">
        <f>[1]CYF!D15</f>
        <v>0.2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x14ac:dyDescent="0.25">
      <c r="A16" t="str">
        <f>[1]CYF!A16</f>
        <v>Sorghum</v>
      </c>
      <c r="B16" t="str">
        <f>[1]CYF!B16</f>
        <v>Amhara</v>
      </c>
      <c r="C16" s="2">
        <f>[1]CYF!C16</f>
        <v>0.2</v>
      </c>
      <c r="D16" s="2">
        <f>[1]CYF!D16</f>
        <v>0.2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x14ac:dyDescent="0.25">
      <c r="A17" t="str">
        <f>[1]CYF!A17</f>
        <v>Sorghum</v>
      </c>
      <c r="B17" t="str">
        <f>[1]CYF!B17</f>
        <v>Gumuz</v>
      </c>
      <c r="C17" s="2">
        <f>[1]CYF!C17</f>
        <v>0.2</v>
      </c>
      <c r="D17" s="2">
        <f>[1]CYF!D17</f>
        <v>0.2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x14ac:dyDescent="0.25">
      <c r="A18" t="str">
        <f>[1]CYF!A18</f>
        <v>Sorghum</v>
      </c>
      <c r="B18" t="str">
        <f>[1]CYF!B18</f>
        <v>DireDawa</v>
      </c>
      <c r="C18" s="2">
        <f>[1]CYF!C18</f>
        <v>0.2</v>
      </c>
      <c r="D18" s="2">
        <f>[1]CYF!D18</f>
        <v>0.2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x14ac:dyDescent="0.25">
      <c r="A19" t="str">
        <f>[1]CYF!A19</f>
        <v>Sorghum</v>
      </c>
      <c r="B19" t="str">
        <f>[1]CYF!B19</f>
        <v>Gambela</v>
      </c>
      <c r="C19" s="2">
        <f>[1]CYF!C19</f>
        <v>0.2</v>
      </c>
      <c r="D19" s="2">
        <f>[1]CYF!D19</f>
        <v>0.2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x14ac:dyDescent="0.25">
      <c r="A20" t="str">
        <f>[1]CYF!A20</f>
        <v>Sorghum</v>
      </c>
      <c r="B20" t="str">
        <f>[1]CYF!B20</f>
        <v>Harari</v>
      </c>
      <c r="C20" s="2">
        <f>[1]CYF!C20</f>
        <v>0.2</v>
      </c>
      <c r="D20" s="2">
        <f>[1]CYF!D20</f>
        <v>0.2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x14ac:dyDescent="0.25">
      <c r="A21" t="str">
        <f>[1]CYF!A21</f>
        <v>Sorghum</v>
      </c>
      <c r="B21" t="str">
        <f>[1]CYF!B21</f>
        <v>Oromia</v>
      </c>
      <c r="C21" s="2">
        <f>[1]CYF!C21</f>
        <v>0.2</v>
      </c>
      <c r="D21" s="2">
        <f>[1]CYF!D21</f>
        <v>0.2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x14ac:dyDescent="0.25">
      <c r="A22" t="str">
        <f>[1]CYF!A22</f>
        <v>Sorghum</v>
      </c>
      <c r="B22" t="str">
        <f>[1]CYF!B22</f>
        <v>Somali</v>
      </c>
      <c r="C22" s="2">
        <f>[1]CYF!C22</f>
        <v>0.2</v>
      </c>
      <c r="D22" s="2">
        <f>[1]CYF!D22</f>
        <v>0.2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x14ac:dyDescent="0.25">
      <c r="A23" t="str">
        <f>[1]CYF!A23</f>
        <v>Sorghum</v>
      </c>
      <c r="B23" t="str">
        <f>[1]CYF!B23</f>
        <v>SNNPR</v>
      </c>
      <c r="C23" s="2">
        <f>[1]CYF!C23</f>
        <v>0.2</v>
      </c>
      <c r="D23" s="2">
        <f>[1]CYF!D23</f>
        <v>0.2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x14ac:dyDescent="0.25">
      <c r="A24" t="str">
        <f>[1]CYF!A24</f>
        <v>Sorghum</v>
      </c>
      <c r="B24" t="str">
        <f>[1]CYF!B24</f>
        <v>Tigray</v>
      </c>
      <c r="C24" s="2">
        <f>[1]CYF!C24</f>
        <v>0.2</v>
      </c>
      <c r="D24" s="2">
        <f>[1]CYF!D24</f>
        <v>0.2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x14ac:dyDescent="0.25">
      <c r="A25" t="str">
        <f>[1]CYF!A25</f>
        <v>Maize</v>
      </c>
      <c r="B25" t="str">
        <f>[1]CYF!B25</f>
        <v>AddisAbaba</v>
      </c>
      <c r="C25" s="2">
        <f>[1]CYF!C25</f>
        <v>0.2</v>
      </c>
      <c r="D25" s="2">
        <f>[1]CYF!D25</f>
        <v>0.2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t="str">
        <f>[1]CYF!A26</f>
        <v>Maize</v>
      </c>
      <c r="B26" t="str">
        <f>[1]CYF!B26</f>
        <v>Afar</v>
      </c>
      <c r="C26" s="2">
        <f>[1]CYF!C26</f>
        <v>0.2</v>
      </c>
      <c r="D26" s="2">
        <f>[1]CYF!D26</f>
        <v>0.2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t="str">
        <f>[1]CYF!A27</f>
        <v>Maize</v>
      </c>
      <c r="B27" t="str">
        <f>[1]CYF!B27</f>
        <v>Amhara</v>
      </c>
      <c r="C27" s="2">
        <f>[1]CYF!C27</f>
        <v>0.2</v>
      </c>
      <c r="D27" s="2">
        <f>[1]CYF!D27</f>
        <v>0.2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x14ac:dyDescent="0.25">
      <c r="A28" t="str">
        <f>[1]CYF!A28</f>
        <v>Maize</v>
      </c>
      <c r="B28" t="str">
        <f>[1]CYF!B28</f>
        <v>Gumuz</v>
      </c>
      <c r="C28" s="2">
        <f>[1]CYF!C28</f>
        <v>0.2</v>
      </c>
      <c r="D28" s="2">
        <f>[1]CYF!D28</f>
        <v>0.2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x14ac:dyDescent="0.25">
      <c r="A29" t="str">
        <f>[1]CYF!A29</f>
        <v>Maize</v>
      </c>
      <c r="B29" t="str">
        <f>[1]CYF!B29</f>
        <v>DireDawa</v>
      </c>
      <c r="C29" s="2">
        <f>[1]CYF!C29</f>
        <v>0.2</v>
      </c>
      <c r="D29" s="2">
        <f>[1]CYF!D29</f>
        <v>0.2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x14ac:dyDescent="0.25">
      <c r="A30" t="str">
        <f>[1]CYF!A30</f>
        <v>Maize</v>
      </c>
      <c r="B30" t="str">
        <f>[1]CYF!B30</f>
        <v>Gambela</v>
      </c>
      <c r="C30" s="2">
        <f>[1]CYF!C30</f>
        <v>0.2</v>
      </c>
      <c r="D30" s="2">
        <f>[1]CYF!D30</f>
        <v>0.2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x14ac:dyDescent="0.25">
      <c r="A31" t="str">
        <f>[1]CYF!A31</f>
        <v>Maize</v>
      </c>
      <c r="B31" t="str">
        <f>[1]CYF!B31</f>
        <v>Harari</v>
      </c>
      <c r="C31" s="2">
        <f>[1]CYF!C31</f>
        <v>0.2</v>
      </c>
      <c r="D31" s="2">
        <f>[1]CYF!D31</f>
        <v>0.2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x14ac:dyDescent="0.25">
      <c r="A32" t="str">
        <f>[1]CYF!A32</f>
        <v>Maize</v>
      </c>
      <c r="B32" t="str">
        <f>[1]CYF!B32</f>
        <v>Oromia</v>
      </c>
      <c r="C32" s="2">
        <f>[1]CYF!C32</f>
        <v>0.2</v>
      </c>
      <c r="D32" s="2">
        <f>[1]CYF!D32</f>
        <v>0.2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x14ac:dyDescent="0.25">
      <c r="A33" t="str">
        <f>[1]CYF!A33</f>
        <v>Maize</v>
      </c>
      <c r="B33" t="str">
        <f>[1]CYF!B33</f>
        <v>Somali</v>
      </c>
      <c r="C33" s="2">
        <f>[1]CYF!C33</f>
        <v>0.2</v>
      </c>
      <c r="D33" s="2">
        <f>[1]CYF!D33</f>
        <v>0.2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 x14ac:dyDescent="0.25">
      <c r="A34" t="str">
        <f>[1]CYF!A34</f>
        <v>Maize</v>
      </c>
      <c r="B34" t="str">
        <f>[1]CYF!B34</f>
        <v>SNNPR</v>
      </c>
      <c r="C34" s="2">
        <f>[1]CYF!C34</f>
        <v>0.2</v>
      </c>
      <c r="D34" s="2">
        <f>[1]CYF!D34</f>
        <v>0.2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x14ac:dyDescent="0.25">
      <c r="A35" t="str">
        <f>[1]CYF!A35</f>
        <v>Maize</v>
      </c>
      <c r="B35" t="str">
        <f>[1]CYF!B35</f>
        <v>Tigray</v>
      </c>
      <c r="C35" s="2">
        <f>[1]CYF!C35</f>
        <v>0.2</v>
      </c>
      <c r="D35" s="2">
        <f>[1]CYF!D35</f>
        <v>0.2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x14ac:dyDescent="0.25">
      <c r="A36" t="str">
        <f>[1]CYF!A36</f>
        <v>Lentils</v>
      </c>
      <c r="B36" t="str">
        <f>[1]CYF!B36</f>
        <v>AddisAbaba</v>
      </c>
      <c r="C36" s="2">
        <f>[1]CYF!C36</f>
        <v>0.2</v>
      </c>
      <c r="D36" s="2">
        <f>[1]CYF!D36</f>
        <v>0.2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x14ac:dyDescent="0.25">
      <c r="A37" t="str">
        <f>[1]CYF!A37</f>
        <v>Lentils</v>
      </c>
      <c r="B37" t="str">
        <f>[1]CYF!B37</f>
        <v>Afar</v>
      </c>
      <c r="C37" s="2">
        <f>[1]CYF!C37</f>
        <v>0.2</v>
      </c>
      <c r="D37" s="2">
        <f>[1]CYF!D37</f>
        <v>0.2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x14ac:dyDescent="0.25">
      <c r="A38" t="str">
        <f>[1]CYF!A38</f>
        <v>Lentils</v>
      </c>
      <c r="B38" t="str">
        <f>[1]CYF!B38</f>
        <v>Amhara</v>
      </c>
      <c r="C38" s="2">
        <f>[1]CYF!C38</f>
        <v>0.2</v>
      </c>
      <c r="D38" s="2">
        <f>[1]CYF!D38</f>
        <v>0.2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x14ac:dyDescent="0.25">
      <c r="A39" t="str">
        <f>[1]CYF!A39</f>
        <v>Lentils</v>
      </c>
      <c r="B39" t="str">
        <f>[1]CYF!B39</f>
        <v>Gumuz</v>
      </c>
      <c r="C39" s="2">
        <f>[1]CYF!C39</f>
        <v>0.2</v>
      </c>
      <c r="D39" s="2">
        <f>[1]CYF!D39</f>
        <v>0.2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x14ac:dyDescent="0.25">
      <c r="A40" t="str">
        <f>[1]CYF!A40</f>
        <v>Lentils</v>
      </c>
      <c r="B40" t="str">
        <f>[1]CYF!B40</f>
        <v>DireDawa</v>
      </c>
      <c r="C40" s="2">
        <f>[1]CYF!C40</f>
        <v>0.2</v>
      </c>
      <c r="D40" s="2">
        <f>[1]CYF!D40</f>
        <v>0.2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x14ac:dyDescent="0.25">
      <c r="A41" t="str">
        <f>[1]CYF!A41</f>
        <v>Lentils</v>
      </c>
      <c r="B41" t="str">
        <f>[1]CYF!B41</f>
        <v>Gambela</v>
      </c>
      <c r="C41" s="2">
        <f>[1]CYF!C41</f>
        <v>0.2</v>
      </c>
      <c r="D41" s="2">
        <f>[1]CYF!D41</f>
        <v>0.2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x14ac:dyDescent="0.25">
      <c r="A42" t="str">
        <f>[1]CYF!A42</f>
        <v>Lentils</v>
      </c>
      <c r="B42" t="str">
        <f>[1]CYF!B42</f>
        <v>Harari</v>
      </c>
      <c r="C42" s="2">
        <f>[1]CYF!C42</f>
        <v>0.2</v>
      </c>
      <c r="D42" s="2">
        <f>[1]CYF!D42</f>
        <v>0.2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x14ac:dyDescent="0.25">
      <c r="A43" t="str">
        <f>[1]CYF!A43</f>
        <v>Lentils</v>
      </c>
      <c r="B43" t="str">
        <f>[1]CYF!B43</f>
        <v>Oromia</v>
      </c>
      <c r="C43" s="2">
        <f>[1]CYF!C43</f>
        <v>0.2</v>
      </c>
      <c r="D43" s="2">
        <f>[1]CYF!D43</f>
        <v>0.2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x14ac:dyDescent="0.25">
      <c r="A44" t="str">
        <f>[1]CYF!A44</f>
        <v>Lentils</v>
      </c>
      <c r="B44" t="str">
        <f>[1]CYF!B44</f>
        <v>Somali</v>
      </c>
      <c r="C44" s="2">
        <f>[1]CYF!C44</f>
        <v>0.2</v>
      </c>
      <c r="D44" s="2">
        <f>[1]CYF!D44</f>
        <v>0.2</v>
      </c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x14ac:dyDescent="0.25">
      <c r="A45" t="str">
        <f>[1]CYF!A45</f>
        <v>Lentils</v>
      </c>
      <c r="B45" t="str">
        <f>[1]CYF!B45</f>
        <v>SNNPR</v>
      </c>
      <c r="C45" s="2">
        <f>[1]CYF!C45</f>
        <v>0.2</v>
      </c>
      <c r="D45" s="2">
        <f>[1]CYF!D45</f>
        <v>0.2</v>
      </c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x14ac:dyDescent="0.25">
      <c r="A46" t="str">
        <f>[1]CYF!A46</f>
        <v>Lentils</v>
      </c>
      <c r="B46" t="str">
        <f>[1]CYF!B46</f>
        <v>Tigray</v>
      </c>
      <c r="C46" s="2">
        <f>[1]CYF!C46</f>
        <v>0.2</v>
      </c>
      <c r="D46" s="2">
        <f>[1]CYF!D46</f>
        <v>0.2</v>
      </c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x14ac:dyDescent="0.25">
      <c r="A47" t="str">
        <f>[1]CYF!A47</f>
        <v>Vegetables</v>
      </c>
      <c r="B47" t="str">
        <f>[1]CYF!B47</f>
        <v>AddisAbaba</v>
      </c>
      <c r="C47" s="2">
        <f>[1]CYF!C47</f>
        <v>0.2</v>
      </c>
      <c r="D47" s="2">
        <f>[1]CYF!D47</f>
        <v>0.2</v>
      </c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 x14ac:dyDescent="0.25">
      <c r="A48" t="str">
        <f>[1]CYF!A48</f>
        <v>Vegetables</v>
      </c>
      <c r="B48" t="str">
        <f>[1]CYF!B48</f>
        <v>Afar</v>
      </c>
      <c r="C48" s="2">
        <f>[1]CYF!C48</f>
        <v>0.2</v>
      </c>
      <c r="D48" s="2">
        <f>[1]CYF!D48</f>
        <v>0.2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 x14ac:dyDescent="0.25">
      <c r="A49" t="str">
        <f>[1]CYF!A49</f>
        <v>Vegetables</v>
      </c>
      <c r="B49" t="str">
        <f>[1]CYF!B49</f>
        <v>Amhara</v>
      </c>
      <c r="C49" s="2">
        <f>[1]CYF!C49</f>
        <v>0.2</v>
      </c>
      <c r="D49" s="2">
        <f>[1]CYF!D49</f>
        <v>0.2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 x14ac:dyDescent="0.25">
      <c r="A50" t="str">
        <f>[1]CYF!A50</f>
        <v>Vegetables</v>
      </c>
      <c r="B50" t="str">
        <f>[1]CYF!B50</f>
        <v>Gumuz</v>
      </c>
      <c r="C50" s="2">
        <f>[1]CYF!C50</f>
        <v>0.2</v>
      </c>
      <c r="D50" s="2">
        <f>[1]CYF!D50</f>
        <v>0.2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 x14ac:dyDescent="0.25">
      <c r="A51" t="str">
        <f>[1]CYF!A51</f>
        <v>Vegetables</v>
      </c>
      <c r="B51" t="str">
        <f>[1]CYF!B51</f>
        <v>DireDawa</v>
      </c>
      <c r="C51" s="2">
        <f>[1]CYF!C51</f>
        <v>0.2</v>
      </c>
      <c r="D51" s="2">
        <f>[1]CYF!D51</f>
        <v>0.2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 x14ac:dyDescent="0.25">
      <c r="A52" t="str">
        <f>[1]CYF!A52</f>
        <v>Vegetables</v>
      </c>
      <c r="B52" t="str">
        <f>[1]CYF!B52</f>
        <v>Gambela</v>
      </c>
      <c r="C52" s="2">
        <f>[1]CYF!C52</f>
        <v>0.2</v>
      </c>
      <c r="D52" s="2">
        <f>[1]CYF!D52</f>
        <v>0.2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 x14ac:dyDescent="0.25">
      <c r="A53" t="str">
        <f>[1]CYF!A53</f>
        <v>Vegetables</v>
      </c>
      <c r="B53" t="str">
        <f>[1]CYF!B53</f>
        <v>Harari</v>
      </c>
      <c r="C53" s="2">
        <f>[1]CYF!C53</f>
        <v>0.2</v>
      </c>
      <c r="D53" s="2">
        <f>[1]CYF!D53</f>
        <v>0.2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 x14ac:dyDescent="0.25">
      <c r="A54" t="str">
        <f>[1]CYF!A54</f>
        <v>Vegetables</v>
      </c>
      <c r="B54" t="str">
        <f>[1]CYF!B54</f>
        <v>Oromia</v>
      </c>
      <c r="C54" s="2">
        <f>[1]CYF!C54</f>
        <v>0.2</v>
      </c>
      <c r="D54" s="2">
        <f>[1]CYF!D54</f>
        <v>0.2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 x14ac:dyDescent="0.25">
      <c r="A55" t="str">
        <f>[1]CYF!A55</f>
        <v>Vegetables</v>
      </c>
      <c r="B55" t="str">
        <f>[1]CYF!B55</f>
        <v>Somali</v>
      </c>
      <c r="C55" s="2">
        <f>[1]CYF!C55</f>
        <v>0.2</v>
      </c>
      <c r="D55" s="2">
        <f>[1]CYF!D55</f>
        <v>0.2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1:34" x14ac:dyDescent="0.25">
      <c r="A56" t="str">
        <f>[1]CYF!A56</f>
        <v>Vegetables</v>
      </c>
      <c r="B56" t="str">
        <f>[1]CYF!B56</f>
        <v>SNNPR</v>
      </c>
      <c r="C56" s="2">
        <f>[1]CYF!C56</f>
        <v>0.2</v>
      </c>
      <c r="D56" s="2">
        <f>[1]CYF!D56</f>
        <v>0.2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4" x14ac:dyDescent="0.25">
      <c r="A57" t="str">
        <f>[1]CYF!A57</f>
        <v>Vegetables</v>
      </c>
      <c r="B57" t="str">
        <f>[1]CYF!B57</f>
        <v>Tigray</v>
      </c>
      <c r="C57" s="2">
        <f>[1]CYF!C57</f>
        <v>0.2</v>
      </c>
      <c r="D57" s="2">
        <f>[1]CYF!D57</f>
        <v>0.2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 x14ac:dyDescent="0.25">
      <c r="A58" t="str">
        <f>[1]CYF!A58</f>
        <v>Coffee</v>
      </c>
      <c r="B58" t="str">
        <f>[1]CYF!B58</f>
        <v>AddisAbaba</v>
      </c>
      <c r="C58" s="2">
        <f>[1]CYF!C58</f>
        <v>0.2</v>
      </c>
      <c r="D58" s="2">
        <f>[1]CYF!D58</f>
        <v>0.2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 x14ac:dyDescent="0.25">
      <c r="A59" t="str">
        <f>[1]CYF!A59</f>
        <v>Coffee</v>
      </c>
      <c r="B59" t="str">
        <f>[1]CYF!B59</f>
        <v>Afar</v>
      </c>
      <c r="C59" s="2">
        <f>[1]CYF!C59</f>
        <v>0.2</v>
      </c>
      <c r="D59" s="2">
        <f>[1]CYF!D59</f>
        <v>0.2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 x14ac:dyDescent="0.25">
      <c r="A60" t="str">
        <f>[1]CYF!A60</f>
        <v>Coffee</v>
      </c>
      <c r="B60" t="str">
        <f>[1]CYF!B60</f>
        <v>Amhara</v>
      </c>
      <c r="C60" s="2">
        <f>[1]CYF!C60</f>
        <v>0.2</v>
      </c>
      <c r="D60" s="2">
        <f>[1]CYF!D60</f>
        <v>0.2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 x14ac:dyDescent="0.25">
      <c r="A61" t="str">
        <f>[1]CYF!A61</f>
        <v>Coffee</v>
      </c>
      <c r="B61" t="str">
        <f>[1]CYF!B61</f>
        <v>Gumuz</v>
      </c>
      <c r="C61" s="2">
        <f>[1]CYF!C61</f>
        <v>0.2</v>
      </c>
      <c r="D61" s="2">
        <f>[1]CYF!D61</f>
        <v>0.2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x14ac:dyDescent="0.25">
      <c r="A62" t="str">
        <f>[1]CYF!A62</f>
        <v>Coffee</v>
      </c>
      <c r="B62" t="str">
        <f>[1]CYF!B62</f>
        <v>DireDawa</v>
      </c>
      <c r="C62" s="2">
        <f>[1]CYF!C62</f>
        <v>0.2</v>
      </c>
      <c r="D62" s="2">
        <f>[1]CYF!D62</f>
        <v>0.2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x14ac:dyDescent="0.25">
      <c r="A63" t="str">
        <f>[1]CYF!A63</f>
        <v>Coffee</v>
      </c>
      <c r="B63" t="str">
        <f>[1]CYF!B63</f>
        <v>Gambela</v>
      </c>
      <c r="C63" s="2">
        <f>[1]CYF!C63</f>
        <v>0.2</v>
      </c>
      <c r="D63" s="2">
        <f>[1]CYF!D63</f>
        <v>0.2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x14ac:dyDescent="0.25">
      <c r="A64" t="str">
        <f>[1]CYF!A64</f>
        <v>Coffee</v>
      </c>
      <c r="B64" t="str">
        <f>[1]CYF!B64</f>
        <v>Harari</v>
      </c>
      <c r="C64" s="2">
        <f>[1]CYF!C64</f>
        <v>0.2</v>
      </c>
      <c r="D64" s="2">
        <f>[1]CYF!D64</f>
        <v>0.2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x14ac:dyDescent="0.25">
      <c r="A65" t="str">
        <f>[1]CYF!A65</f>
        <v>Coffee</v>
      </c>
      <c r="B65" t="str">
        <f>[1]CYF!B65</f>
        <v>Oromia</v>
      </c>
      <c r="C65" s="2">
        <f>[1]CYF!C65</f>
        <v>0.2</v>
      </c>
      <c r="D65" s="2">
        <f>[1]CYF!D65</f>
        <v>0.2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x14ac:dyDescent="0.25">
      <c r="A66" t="str">
        <f>[1]CYF!A66</f>
        <v>Coffee</v>
      </c>
      <c r="B66" t="str">
        <f>[1]CYF!B66</f>
        <v>Somali</v>
      </c>
      <c r="C66" s="2">
        <f>[1]CYF!C66</f>
        <v>0.2</v>
      </c>
      <c r="D66" s="2">
        <f>[1]CYF!D66</f>
        <v>0.2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x14ac:dyDescent="0.25">
      <c r="A67" t="str">
        <f>[1]CYF!A67</f>
        <v>Coffee</v>
      </c>
      <c r="B67" t="str">
        <f>[1]CYF!B67</f>
        <v>SNNPR</v>
      </c>
      <c r="C67" s="2">
        <f>[1]CYF!C67</f>
        <v>0.2</v>
      </c>
      <c r="D67" s="2">
        <f>[1]CYF!D67</f>
        <v>0.2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x14ac:dyDescent="0.25">
      <c r="A68" t="str">
        <f>[1]CYF!A68</f>
        <v>Coffee</v>
      </c>
      <c r="B68" t="str">
        <f>[1]CYF!B68</f>
        <v>Tigray</v>
      </c>
      <c r="C68" s="2">
        <f>[1]CYF!C68</f>
        <v>0.2</v>
      </c>
      <c r="D68" s="2">
        <f>[1]CYF!D68</f>
        <v>0.2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</sheetData>
  <pageMargins left="0.75" right="0.75" top="1" bottom="1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H68"/>
  <sheetViews>
    <sheetView zoomScale="85" zoomScaleNormal="85" workbookViewId="0">
      <selection activeCell="A3" sqref="A3"/>
    </sheetView>
  </sheetViews>
  <sheetFormatPr defaultColWidth="8.875" defaultRowHeight="15.75" x14ac:dyDescent="0.25"/>
  <cols>
    <col min="1" max="1" width="10.125" bestFit="1" customWidth="1"/>
    <col min="2" max="2" width="10.625" bestFit="1" customWidth="1"/>
  </cols>
  <sheetData>
    <row r="1" spans="1:34" x14ac:dyDescent="0.25">
      <c r="C1" t="str">
        <f>[1]aFAO!C1</f>
        <v>Belg</v>
      </c>
      <c r="D1" t="str">
        <f>[1]aFAO!D1</f>
        <v>Kremt</v>
      </c>
    </row>
    <row r="2" spans="1:34" x14ac:dyDescent="0.25">
      <c r="C2">
        <f>[1]aFAO!C2</f>
        <v>2015</v>
      </c>
      <c r="D2">
        <f>[1]aFAO!D2</f>
        <v>2015</v>
      </c>
    </row>
    <row r="3" spans="1:34" x14ac:dyDescent="0.25">
      <c r="A3" t="str">
        <f>[1]aFAO!A3</f>
        <v>Teff</v>
      </c>
      <c r="B3" t="str">
        <f>[1]aFAO!B3</f>
        <v>AddisAbaba</v>
      </c>
      <c r="C3" s="2">
        <f ca="1">[1]aFAO!C3</f>
        <v>27.285797328897655</v>
      </c>
      <c r="D3" s="2">
        <f ca="1">[1]aFAO!D3</f>
        <v>25.864095140059874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x14ac:dyDescent="0.25">
      <c r="A4" t="str">
        <f>[1]aFAO!A4</f>
        <v>Teff</v>
      </c>
      <c r="B4" t="str">
        <f>[1]aFAO!B4</f>
        <v>Afar</v>
      </c>
      <c r="C4" s="2">
        <f ca="1">[1]aFAO!C4</f>
        <v>21.278100150124136</v>
      </c>
      <c r="D4" s="2">
        <f ca="1">[1]aFAO!D4</f>
        <v>21.700141710029406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x14ac:dyDescent="0.25">
      <c r="A5" t="str">
        <f>[1]aFAO!A5</f>
        <v>Teff</v>
      </c>
      <c r="B5" t="str">
        <f>[1]aFAO!B5</f>
        <v>Amhara</v>
      </c>
      <c r="C5" s="2">
        <f ca="1">[1]aFAO!C5</f>
        <v>23.32418979304769</v>
      </c>
      <c r="D5" s="2">
        <f ca="1">[1]aFAO!D5</f>
        <v>24.338113596979074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x14ac:dyDescent="0.25">
      <c r="A6" t="str">
        <f>[1]aFAO!A6</f>
        <v>Teff</v>
      </c>
      <c r="B6" t="str">
        <f>[1]aFAO!B6</f>
        <v>Gumuz</v>
      </c>
      <c r="C6" s="2">
        <f ca="1">[1]aFAO!C6</f>
        <v>22.679106436608418</v>
      </c>
      <c r="D6" s="2">
        <f ca="1">[1]aFAO!D6</f>
        <v>22.38249047491384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x14ac:dyDescent="0.25">
      <c r="A7" t="str">
        <f>[1]aFAO!A7</f>
        <v>Teff</v>
      </c>
      <c r="B7" t="str">
        <f>[1]aFAO!B7</f>
        <v>DireDawa</v>
      </c>
      <c r="C7" s="2">
        <f ca="1">[1]aFAO!C7</f>
        <v>22.307292276187166</v>
      </c>
      <c r="D7" s="2">
        <f ca="1">[1]aFAO!D7</f>
        <v>29.134519688034178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x14ac:dyDescent="0.25">
      <c r="A8" t="str">
        <f>[1]aFAO!A8</f>
        <v>Teff</v>
      </c>
      <c r="B8" t="str">
        <f>[1]aFAO!B8</f>
        <v>Gambela</v>
      </c>
      <c r="C8" s="2">
        <f ca="1">[1]aFAO!C8</f>
        <v>21.433218242441338</v>
      </c>
      <c r="D8" s="2">
        <f ca="1">[1]aFAO!D8</f>
        <v>21.357246102827837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x14ac:dyDescent="0.25">
      <c r="A9" t="str">
        <f>[1]aFAO!A9</f>
        <v>Teff</v>
      </c>
      <c r="B9" t="str">
        <f>[1]aFAO!B9</f>
        <v>Harari</v>
      </c>
      <c r="C9" s="2">
        <f ca="1">[1]aFAO!C9</f>
        <v>26.891024237563631</v>
      </c>
      <c r="D9" s="2">
        <f ca="1">[1]aFAO!D9</f>
        <v>23.856666060746907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x14ac:dyDescent="0.25">
      <c r="A10" t="str">
        <f>[1]aFAO!A10</f>
        <v>Teff</v>
      </c>
      <c r="B10" t="str">
        <f>[1]aFAO!B10</f>
        <v>Oromia</v>
      </c>
      <c r="C10" s="2">
        <f ca="1">[1]aFAO!C10</f>
        <v>29.504020094723565</v>
      </c>
      <c r="D10" s="2">
        <f ca="1">[1]aFAO!D10</f>
        <v>20.311616188930731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 x14ac:dyDescent="0.25">
      <c r="A11" t="str">
        <f>[1]aFAO!A11</f>
        <v>Teff</v>
      </c>
      <c r="B11" t="str">
        <f>[1]aFAO!B11</f>
        <v>Somali</v>
      </c>
      <c r="C11" s="2">
        <f ca="1">[1]aFAO!C11</f>
        <v>20.186021043855419</v>
      </c>
      <c r="D11" s="2">
        <f ca="1">[1]aFAO!D11</f>
        <v>25.721327719632765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 x14ac:dyDescent="0.25">
      <c r="A12" t="str">
        <f>[1]aFAO!A12</f>
        <v>Teff</v>
      </c>
      <c r="B12" t="str">
        <f>[1]aFAO!B12</f>
        <v>SNNPR</v>
      </c>
      <c r="C12" s="2">
        <f ca="1">[1]aFAO!C12</f>
        <v>26.687528486044521</v>
      </c>
      <c r="D12" s="2">
        <f ca="1">[1]aFAO!D12</f>
        <v>28.495627195561191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 x14ac:dyDescent="0.25">
      <c r="A13" t="str">
        <f>[1]aFAO!A13</f>
        <v>Teff</v>
      </c>
      <c r="B13" t="str">
        <f>[1]aFAO!B13</f>
        <v>Tigray</v>
      </c>
      <c r="C13" s="2">
        <f ca="1">[1]aFAO!C13</f>
        <v>26.165167391852805</v>
      </c>
      <c r="D13" s="2">
        <f ca="1">[1]aFAO!D13</f>
        <v>29.889916662271286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x14ac:dyDescent="0.25">
      <c r="A14" t="str">
        <f>[1]aFAO!A14</f>
        <v>Sorghum</v>
      </c>
      <c r="B14" t="str">
        <f>[1]aFAO!B14</f>
        <v>AddisAbaba</v>
      </c>
      <c r="C14" s="2">
        <f ca="1">[1]aFAO!C14</f>
        <v>25.146880775057628</v>
      </c>
      <c r="D14" s="2">
        <f ca="1">[1]aFAO!D14</f>
        <v>28.422634787847613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 x14ac:dyDescent="0.25">
      <c r="A15" t="str">
        <f>[1]aFAO!A15</f>
        <v>Sorghum</v>
      </c>
      <c r="B15" t="str">
        <f>[1]aFAO!B15</f>
        <v>Afar</v>
      </c>
      <c r="C15" s="2">
        <f ca="1">[1]aFAO!C15</f>
        <v>24.224654294332439</v>
      </c>
      <c r="D15" s="2">
        <f ca="1">[1]aFAO!D15</f>
        <v>23.71229878310108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x14ac:dyDescent="0.25">
      <c r="A16" t="str">
        <f>[1]aFAO!A16</f>
        <v>Sorghum</v>
      </c>
      <c r="B16" t="str">
        <f>[1]aFAO!B16</f>
        <v>Amhara</v>
      </c>
      <c r="C16" s="2">
        <f ca="1">[1]aFAO!C16</f>
        <v>27.936114973801196</v>
      </c>
      <c r="D16" s="2">
        <f ca="1">[1]aFAO!D16</f>
        <v>27.696619856732784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x14ac:dyDescent="0.25">
      <c r="A17" t="str">
        <f>[1]aFAO!A17</f>
        <v>Sorghum</v>
      </c>
      <c r="B17" t="str">
        <f>[1]aFAO!B17</f>
        <v>Gumuz</v>
      </c>
      <c r="C17" s="2">
        <f ca="1">[1]aFAO!C17</f>
        <v>28.628406600016227</v>
      </c>
      <c r="D17" s="2">
        <f ca="1">[1]aFAO!D17</f>
        <v>29.638803948697863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x14ac:dyDescent="0.25">
      <c r="A18" t="str">
        <f>[1]aFAO!A18</f>
        <v>Sorghum</v>
      </c>
      <c r="B18" t="str">
        <f>[1]aFAO!B18</f>
        <v>DireDawa</v>
      </c>
      <c r="C18" s="2">
        <f ca="1">[1]aFAO!C18</f>
        <v>26.091255905118793</v>
      </c>
      <c r="D18" s="2">
        <f ca="1">[1]aFAO!D18</f>
        <v>27.441900894447414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x14ac:dyDescent="0.25">
      <c r="A19" t="str">
        <f>[1]aFAO!A19</f>
        <v>Sorghum</v>
      </c>
      <c r="B19" t="str">
        <f>[1]aFAO!B19</f>
        <v>Gambela</v>
      </c>
      <c r="C19" s="2">
        <f ca="1">[1]aFAO!C19</f>
        <v>28.739484924051347</v>
      </c>
      <c r="D19" s="2">
        <f ca="1">[1]aFAO!D19</f>
        <v>29.145637739267748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x14ac:dyDescent="0.25">
      <c r="A20" t="str">
        <f>[1]aFAO!A20</f>
        <v>Sorghum</v>
      </c>
      <c r="B20" t="str">
        <f>[1]aFAO!B20</f>
        <v>Harari</v>
      </c>
      <c r="C20" s="2">
        <f ca="1">[1]aFAO!C20</f>
        <v>28.913300664573882</v>
      </c>
      <c r="D20" s="2">
        <f ca="1">[1]aFAO!D20</f>
        <v>24.672770647252314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x14ac:dyDescent="0.25">
      <c r="A21" t="str">
        <f>[1]aFAO!A21</f>
        <v>Sorghum</v>
      </c>
      <c r="B21" t="str">
        <f>[1]aFAO!B21</f>
        <v>Oromia</v>
      </c>
      <c r="C21" s="2">
        <f ca="1">[1]aFAO!C21</f>
        <v>25.122120171808053</v>
      </c>
      <c r="D21" s="2">
        <f ca="1">[1]aFAO!D21</f>
        <v>29.773946821901625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x14ac:dyDescent="0.25">
      <c r="A22" t="str">
        <f>[1]aFAO!A22</f>
        <v>Sorghum</v>
      </c>
      <c r="B22" t="str">
        <f>[1]aFAO!B22</f>
        <v>Somali</v>
      </c>
      <c r="C22" s="2">
        <f ca="1">[1]aFAO!C22</f>
        <v>21.450201573006368</v>
      </c>
      <c r="D22" s="2">
        <f ca="1">[1]aFAO!D22</f>
        <v>27.664572131346247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x14ac:dyDescent="0.25">
      <c r="A23" t="str">
        <f>[1]aFAO!A23</f>
        <v>Sorghum</v>
      </c>
      <c r="B23" t="str">
        <f>[1]aFAO!B23</f>
        <v>SNNPR</v>
      </c>
      <c r="C23" s="2">
        <f ca="1">[1]aFAO!C23</f>
        <v>21.502984658518752</v>
      </c>
      <c r="D23" s="2">
        <f ca="1">[1]aFAO!D23</f>
        <v>22.809686107013299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x14ac:dyDescent="0.25">
      <c r="A24" t="str">
        <f>[1]aFAO!A24</f>
        <v>Sorghum</v>
      </c>
      <c r="B24" t="str">
        <f>[1]aFAO!B24</f>
        <v>Tigray</v>
      </c>
      <c r="C24" s="2">
        <f ca="1">[1]aFAO!C24</f>
        <v>29.306916768989201</v>
      </c>
      <c r="D24" s="2">
        <f ca="1">[1]aFAO!D24</f>
        <v>21.850280730800804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x14ac:dyDescent="0.25">
      <c r="A25" t="str">
        <f>[1]aFAO!A25</f>
        <v>Maize</v>
      </c>
      <c r="B25" t="str">
        <f>[1]aFAO!B25</f>
        <v>AddisAbaba</v>
      </c>
      <c r="C25" s="2">
        <f ca="1">[1]aFAO!C25</f>
        <v>29.887199392709302</v>
      </c>
      <c r="D25" s="2">
        <f ca="1">[1]aFAO!D25</f>
        <v>29.923829778886489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t="str">
        <f>[1]aFAO!A26</f>
        <v>Maize</v>
      </c>
      <c r="B26" t="str">
        <f>[1]aFAO!B26</f>
        <v>Afar</v>
      </c>
      <c r="C26" s="2">
        <f ca="1">[1]aFAO!C26</f>
        <v>22.922665092111245</v>
      </c>
      <c r="D26" s="2">
        <f ca="1">[1]aFAO!D26</f>
        <v>21.702949910185605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t="str">
        <f>[1]aFAO!A27</f>
        <v>Maize</v>
      </c>
      <c r="B27" t="str">
        <f>[1]aFAO!B27</f>
        <v>Amhara</v>
      </c>
      <c r="C27" s="2">
        <f ca="1">[1]aFAO!C27</f>
        <v>21.328120976252386</v>
      </c>
      <c r="D27" s="2">
        <f ca="1">[1]aFAO!D27</f>
        <v>21.593061687168792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x14ac:dyDescent="0.25">
      <c r="A28" t="str">
        <f>[1]aFAO!A28</f>
        <v>Maize</v>
      </c>
      <c r="B28" t="str">
        <f>[1]aFAO!B28</f>
        <v>Gumuz</v>
      </c>
      <c r="C28" s="2">
        <f ca="1">[1]aFAO!C28</f>
        <v>29.652547023005116</v>
      </c>
      <c r="D28" s="2">
        <f ca="1">[1]aFAO!D28</f>
        <v>23.187467693599476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x14ac:dyDescent="0.25">
      <c r="A29" t="str">
        <f>[1]aFAO!A29</f>
        <v>Maize</v>
      </c>
      <c r="B29" t="str">
        <f>[1]aFAO!B29</f>
        <v>DireDawa</v>
      </c>
      <c r="C29" s="2">
        <f ca="1">[1]aFAO!C29</f>
        <v>23.941085954322503</v>
      </c>
      <c r="D29" s="2">
        <f ca="1">[1]aFAO!D29</f>
        <v>29.820513871628478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x14ac:dyDescent="0.25">
      <c r="A30" t="str">
        <f>[1]aFAO!A30</f>
        <v>Maize</v>
      </c>
      <c r="B30" t="str">
        <f>[1]aFAO!B30</f>
        <v>Gambela</v>
      </c>
      <c r="C30" s="2">
        <f ca="1">[1]aFAO!C30</f>
        <v>22.592406571622746</v>
      </c>
      <c r="D30" s="2">
        <f ca="1">[1]aFAO!D30</f>
        <v>26.933170165573582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x14ac:dyDescent="0.25">
      <c r="A31" t="str">
        <f>[1]aFAO!A31</f>
        <v>Maize</v>
      </c>
      <c r="B31" t="str">
        <f>[1]aFAO!B31</f>
        <v>Harari</v>
      </c>
      <c r="C31" s="2">
        <f ca="1">[1]aFAO!C31</f>
        <v>29.055796650746512</v>
      </c>
      <c r="D31" s="2">
        <f ca="1">[1]aFAO!D31</f>
        <v>27.327120342613043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x14ac:dyDescent="0.25">
      <c r="A32" t="str">
        <f>[1]aFAO!A32</f>
        <v>Maize</v>
      </c>
      <c r="B32" t="str">
        <f>[1]aFAO!B32</f>
        <v>Oromia</v>
      </c>
      <c r="C32" s="2">
        <f ca="1">[1]aFAO!C32</f>
        <v>21.467605813579819</v>
      </c>
      <c r="D32" s="2">
        <f ca="1">[1]aFAO!D32</f>
        <v>28.550896076401756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x14ac:dyDescent="0.25">
      <c r="A33" t="str">
        <f>[1]aFAO!A33</f>
        <v>Maize</v>
      </c>
      <c r="B33" t="str">
        <f>[1]aFAO!B33</f>
        <v>Somali</v>
      </c>
      <c r="C33" s="2">
        <f ca="1">[1]aFAO!C33</f>
        <v>29.372960682151849</v>
      </c>
      <c r="D33" s="2">
        <f ca="1">[1]aFAO!D33</f>
        <v>23.252630016397248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 x14ac:dyDescent="0.25">
      <c r="A34" t="str">
        <f>[1]aFAO!A34</f>
        <v>Maize</v>
      </c>
      <c r="B34" t="str">
        <f>[1]aFAO!B34</f>
        <v>SNNPR</v>
      </c>
      <c r="C34" s="2">
        <f ca="1">[1]aFAO!C34</f>
        <v>22.851019549787779</v>
      </c>
      <c r="D34" s="2">
        <f ca="1">[1]aFAO!D34</f>
        <v>24.295256261271064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x14ac:dyDescent="0.25">
      <c r="A35" t="str">
        <f>[1]aFAO!A35</f>
        <v>Maize</v>
      </c>
      <c r="B35" t="str">
        <f>[1]aFAO!B35</f>
        <v>Tigray</v>
      </c>
      <c r="C35" s="2">
        <f ca="1">[1]aFAO!C35</f>
        <v>28.869017977503546</v>
      </c>
      <c r="D35" s="2">
        <f ca="1">[1]aFAO!D35</f>
        <v>23.233333073503896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x14ac:dyDescent="0.25">
      <c r="A36" t="str">
        <f>[1]aFAO!A36</f>
        <v>Lentils</v>
      </c>
      <c r="B36" t="str">
        <f>[1]aFAO!B36</f>
        <v>AddisAbaba</v>
      </c>
      <c r="C36" s="2">
        <f ca="1">[1]aFAO!C36</f>
        <v>26.977539684624308</v>
      </c>
      <c r="D36" s="2">
        <f ca="1">[1]aFAO!D36</f>
        <v>24.517367181652947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x14ac:dyDescent="0.25">
      <c r="A37" t="str">
        <f>[1]aFAO!A37</f>
        <v>Lentils</v>
      </c>
      <c r="B37" t="str">
        <f>[1]aFAO!B37</f>
        <v>Afar</v>
      </c>
      <c r="C37" s="2">
        <f ca="1">[1]aFAO!C37</f>
        <v>23.594473286300964</v>
      </c>
      <c r="D37" s="2">
        <f ca="1">[1]aFAO!D37</f>
        <v>24.594868433487431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x14ac:dyDescent="0.25">
      <c r="A38" t="str">
        <f>[1]aFAO!A38</f>
        <v>Lentils</v>
      </c>
      <c r="B38" t="str">
        <f>[1]aFAO!B38</f>
        <v>Amhara</v>
      </c>
      <c r="C38" s="2">
        <f ca="1">[1]aFAO!C38</f>
        <v>21.525858462810021</v>
      </c>
      <c r="D38" s="2">
        <f ca="1">[1]aFAO!D38</f>
        <v>28.110748042721625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x14ac:dyDescent="0.25">
      <c r="A39" t="str">
        <f>[1]aFAO!A39</f>
        <v>Lentils</v>
      </c>
      <c r="B39" t="str">
        <f>[1]aFAO!B39</f>
        <v>Gumuz</v>
      </c>
      <c r="C39" s="2">
        <f ca="1">[1]aFAO!C39</f>
        <v>28.430798455009398</v>
      </c>
      <c r="D39" s="2">
        <f ca="1">[1]aFAO!D39</f>
        <v>25.354948793096838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x14ac:dyDescent="0.25">
      <c r="A40" t="str">
        <f>[1]aFAO!A40</f>
        <v>Lentils</v>
      </c>
      <c r="B40" t="str">
        <f>[1]aFAO!B40</f>
        <v>DireDawa</v>
      </c>
      <c r="C40" s="2">
        <f ca="1">[1]aFAO!C40</f>
        <v>20.929221074988419</v>
      </c>
      <c r="D40" s="2">
        <f ca="1">[1]aFAO!D40</f>
        <v>21.275476604980774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x14ac:dyDescent="0.25">
      <c r="A41" t="str">
        <f>[1]aFAO!A41</f>
        <v>Lentils</v>
      </c>
      <c r="B41" t="str">
        <f>[1]aFAO!B41</f>
        <v>Gambela</v>
      </c>
      <c r="C41" s="2">
        <f ca="1">[1]aFAO!C41</f>
        <v>24.735111424999996</v>
      </c>
      <c r="D41" s="2">
        <f ca="1">[1]aFAO!D41</f>
        <v>28.703196273333951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x14ac:dyDescent="0.25">
      <c r="A42" t="str">
        <f>[1]aFAO!A42</f>
        <v>Lentils</v>
      </c>
      <c r="B42" t="str">
        <f>[1]aFAO!B42</f>
        <v>Harari</v>
      </c>
      <c r="C42" s="2">
        <f ca="1">[1]aFAO!C42</f>
        <v>25.735864147427211</v>
      </c>
      <c r="D42" s="2">
        <f ca="1">[1]aFAO!D42</f>
        <v>28.461372775557436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x14ac:dyDescent="0.25">
      <c r="A43" t="str">
        <f>[1]aFAO!A43</f>
        <v>Lentils</v>
      </c>
      <c r="B43" t="str">
        <f>[1]aFAO!B43</f>
        <v>Oromia</v>
      </c>
      <c r="C43" s="2">
        <f ca="1">[1]aFAO!C43</f>
        <v>23.584917280425184</v>
      </c>
      <c r="D43" s="2">
        <f ca="1">[1]aFAO!D43</f>
        <v>24.19972065731838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x14ac:dyDescent="0.25">
      <c r="A44" t="str">
        <f>[1]aFAO!A44</f>
        <v>Lentils</v>
      </c>
      <c r="B44" t="str">
        <f>[1]aFAO!B44</f>
        <v>Somali</v>
      </c>
      <c r="C44" s="2">
        <f ca="1">[1]aFAO!C44</f>
        <v>26.020770210115906</v>
      </c>
      <c r="D44" s="2">
        <f ca="1">[1]aFAO!D44</f>
        <v>26.635669381608711</v>
      </c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x14ac:dyDescent="0.25">
      <c r="A45" t="str">
        <f>[1]aFAO!A45</f>
        <v>Lentils</v>
      </c>
      <c r="B45" t="str">
        <f>[1]aFAO!B45</f>
        <v>SNNPR</v>
      </c>
      <c r="C45" s="2">
        <f ca="1">[1]aFAO!C45</f>
        <v>26.816782925213889</v>
      </c>
      <c r="D45" s="2">
        <f ca="1">[1]aFAO!D45</f>
        <v>20.906562778950221</v>
      </c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x14ac:dyDescent="0.25">
      <c r="A46" t="str">
        <f>[1]aFAO!A46</f>
        <v>Lentils</v>
      </c>
      <c r="B46" t="str">
        <f>[1]aFAO!B46</f>
        <v>Tigray</v>
      </c>
      <c r="C46" s="2">
        <f ca="1">[1]aFAO!C46</f>
        <v>28.128699663857994</v>
      </c>
      <c r="D46" s="2">
        <f ca="1">[1]aFAO!D46</f>
        <v>26.614843051339793</v>
      </c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x14ac:dyDescent="0.25">
      <c r="A47" t="str">
        <f>[1]aFAO!A47</f>
        <v>Vegetables</v>
      </c>
      <c r="B47" t="str">
        <f>[1]aFAO!B47</f>
        <v>AddisAbaba</v>
      </c>
      <c r="C47" s="2">
        <f ca="1">[1]aFAO!C47</f>
        <v>24.574169877743241</v>
      </c>
      <c r="D47" s="2">
        <f ca="1">[1]aFAO!D47</f>
        <v>26.452275429793399</v>
      </c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 x14ac:dyDescent="0.25">
      <c r="A48" t="str">
        <f>[1]aFAO!A48</f>
        <v>Vegetables</v>
      </c>
      <c r="B48" t="str">
        <f>[1]aFAO!B48</f>
        <v>Afar</v>
      </c>
      <c r="C48" s="2">
        <f ca="1">[1]aFAO!C48</f>
        <v>20.053829550013795</v>
      </c>
      <c r="D48" s="2">
        <f ca="1">[1]aFAO!D48</f>
        <v>24.651675555674089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 x14ac:dyDescent="0.25">
      <c r="A49" t="str">
        <f>[1]aFAO!A49</f>
        <v>Vegetables</v>
      </c>
      <c r="B49" t="str">
        <f>[1]aFAO!B49</f>
        <v>Amhara</v>
      </c>
      <c r="C49" s="2">
        <f ca="1">[1]aFAO!C49</f>
        <v>24.273272160183019</v>
      </c>
      <c r="D49" s="2">
        <f ca="1">[1]aFAO!D49</f>
        <v>23.696533077844443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 x14ac:dyDescent="0.25">
      <c r="A50" t="str">
        <f>[1]aFAO!A50</f>
        <v>Vegetables</v>
      </c>
      <c r="B50" t="str">
        <f>[1]aFAO!B50</f>
        <v>Gumuz</v>
      </c>
      <c r="C50" s="2">
        <f ca="1">[1]aFAO!C50</f>
        <v>22.63141455160655</v>
      </c>
      <c r="D50" s="2">
        <f ca="1">[1]aFAO!D50</f>
        <v>25.597155498470457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 x14ac:dyDescent="0.25">
      <c r="A51" t="str">
        <f>[1]aFAO!A51</f>
        <v>Vegetables</v>
      </c>
      <c r="B51" t="str">
        <f>[1]aFAO!B51</f>
        <v>DireDawa</v>
      </c>
      <c r="C51" s="2">
        <f ca="1">[1]aFAO!C51</f>
        <v>21.400890217426692</v>
      </c>
      <c r="D51" s="2">
        <f ca="1">[1]aFAO!D51</f>
        <v>21.719881818420323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 x14ac:dyDescent="0.25">
      <c r="A52" t="str">
        <f>[1]aFAO!A52</f>
        <v>Vegetables</v>
      </c>
      <c r="B52" t="str">
        <f>[1]aFAO!B52</f>
        <v>Gambela</v>
      </c>
      <c r="C52" s="2">
        <f ca="1">[1]aFAO!C52</f>
        <v>24.342780295039201</v>
      </c>
      <c r="D52" s="2">
        <f ca="1">[1]aFAO!D52</f>
        <v>21.529493058542531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 x14ac:dyDescent="0.25">
      <c r="A53" t="str">
        <f>[1]aFAO!A53</f>
        <v>Vegetables</v>
      </c>
      <c r="B53" t="str">
        <f>[1]aFAO!B53</f>
        <v>Harari</v>
      </c>
      <c r="C53" s="2">
        <f ca="1">[1]aFAO!C53</f>
        <v>27.137175224863451</v>
      </c>
      <c r="D53" s="2">
        <f ca="1">[1]aFAO!D53</f>
        <v>20.95209138506096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 x14ac:dyDescent="0.25">
      <c r="A54" t="str">
        <f>[1]aFAO!A54</f>
        <v>Vegetables</v>
      </c>
      <c r="B54" t="str">
        <f>[1]aFAO!B54</f>
        <v>Oromia</v>
      </c>
      <c r="C54" s="2">
        <f ca="1">[1]aFAO!C54</f>
        <v>27.875812311451497</v>
      </c>
      <c r="D54" s="2">
        <f ca="1">[1]aFAO!D54</f>
        <v>21.54235451183434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 x14ac:dyDescent="0.25">
      <c r="A55" t="str">
        <f>[1]aFAO!A55</f>
        <v>Vegetables</v>
      </c>
      <c r="B55" t="str">
        <f>[1]aFAO!B55</f>
        <v>Somali</v>
      </c>
      <c r="C55" s="2">
        <f ca="1">[1]aFAO!C55</f>
        <v>27.758810988807326</v>
      </c>
      <c r="D55" s="2">
        <f ca="1">[1]aFAO!D55</f>
        <v>23.750666736467227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1:34" x14ac:dyDescent="0.25">
      <c r="A56" t="str">
        <f>[1]aFAO!A56</f>
        <v>Vegetables</v>
      </c>
      <c r="B56" t="str">
        <f>[1]aFAO!B56</f>
        <v>SNNPR</v>
      </c>
      <c r="C56" s="2">
        <f ca="1">[1]aFAO!C56</f>
        <v>25.298501943011185</v>
      </c>
      <c r="D56" s="2">
        <f ca="1">[1]aFAO!D56</f>
        <v>25.245082210532978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4" x14ac:dyDescent="0.25">
      <c r="A57" t="str">
        <f>[1]aFAO!A57</f>
        <v>Vegetables</v>
      </c>
      <c r="B57" t="str">
        <f>[1]aFAO!B57</f>
        <v>Tigray</v>
      </c>
      <c r="C57" s="2">
        <f ca="1">[1]aFAO!C57</f>
        <v>24.345201219845748</v>
      </c>
      <c r="D57" s="2">
        <f ca="1">[1]aFAO!D57</f>
        <v>28.460954138104601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 x14ac:dyDescent="0.25">
      <c r="A58" t="str">
        <f>[1]aFAO!A58</f>
        <v>Coffee</v>
      </c>
      <c r="B58" t="str">
        <f>[1]aFAO!B58</f>
        <v>AddisAbaba</v>
      </c>
      <c r="C58" s="2">
        <f ca="1">[1]aFAO!C58</f>
        <v>20.207113462844468</v>
      </c>
      <c r="D58" s="2">
        <f ca="1">[1]aFAO!D58</f>
        <v>27.415161331460848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 x14ac:dyDescent="0.25">
      <c r="A59" t="str">
        <f>[1]aFAO!A59</f>
        <v>Coffee</v>
      </c>
      <c r="B59" t="str">
        <f>[1]aFAO!B59</f>
        <v>Afar</v>
      </c>
      <c r="C59" s="2">
        <f ca="1">[1]aFAO!C59</f>
        <v>24.180279720742959</v>
      </c>
      <c r="D59" s="2">
        <f ca="1">[1]aFAO!D59</f>
        <v>22.511525132712329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 x14ac:dyDescent="0.25">
      <c r="A60" t="str">
        <f>[1]aFAO!A60</f>
        <v>Coffee</v>
      </c>
      <c r="B60" t="str">
        <f>[1]aFAO!B60</f>
        <v>Amhara</v>
      </c>
      <c r="C60" s="2">
        <f ca="1">[1]aFAO!C60</f>
        <v>27.516739981225193</v>
      </c>
      <c r="D60" s="2">
        <f ca="1">[1]aFAO!D60</f>
        <v>22.753039727601905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 x14ac:dyDescent="0.25">
      <c r="A61" t="str">
        <f>[1]aFAO!A61</f>
        <v>Coffee</v>
      </c>
      <c r="B61" t="str">
        <f>[1]aFAO!B61</f>
        <v>Gumuz</v>
      </c>
      <c r="C61" s="2">
        <f ca="1">[1]aFAO!C61</f>
        <v>28.110889292454733</v>
      </c>
      <c r="D61" s="2">
        <f ca="1">[1]aFAO!D61</f>
        <v>25.886729982493012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x14ac:dyDescent="0.25">
      <c r="A62" t="str">
        <f>[1]aFAO!A62</f>
        <v>Coffee</v>
      </c>
      <c r="B62" t="str">
        <f>[1]aFAO!B62</f>
        <v>DireDawa</v>
      </c>
      <c r="C62" s="2">
        <f ca="1">[1]aFAO!C62</f>
        <v>25.638519725181911</v>
      </c>
      <c r="D62" s="2">
        <f ca="1">[1]aFAO!D62</f>
        <v>26.376997251465458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x14ac:dyDescent="0.25">
      <c r="A63" t="str">
        <f>[1]aFAO!A63</f>
        <v>Coffee</v>
      </c>
      <c r="B63" t="str">
        <f>[1]aFAO!B63</f>
        <v>Gambela</v>
      </c>
      <c r="C63" s="2">
        <f ca="1">[1]aFAO!C63</f>
        <v>24.491114764471341</v>
      </c>
      <c r="D63" s="2">
        <f ca="1">[1]aFAO!D63</f>
        <v>26.554728764304336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x14ac:dyDescent="0.25">
      <c r="A64" t="str">
        <f>[1]aFAO!A64</f>
        <v>Coffee</v>
      </c>
      <c r="B64" t="str">
        <f>[1]aFAO!B64</f>
        <v>Harari</v>
      </c>
      <c r="C64" s="2">
        <f ca="1">[1]aFAO!C64</f>
        <v>25.572518931287462</v>
      </c>
      <c r="D64" s="2">
        <f ca="1">[1]aFAO!D64</f>
        <v>24.410547898230998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x14ac:dyDescent="0.25">
      <c r="A65" t="str">
        <f>[1]aFAO!A65</f>
        <v>Coffee</v>
      </c>
      <c r="B65" t="str">
        <f>[1]aFAO!B65</f>
        <v>Oromia</v>
      </c>
      <c r="C65" s="2">
        <f ca="1">[1]aFAO!C65</f>
        <v>22.636174057228882</v>
      </c>
      <c r="D65" s="2">
        <f ca="1">[1]aFAO!D65</f>
        <v>23.573202401322682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x14ac:dyDescent="0.25">
      <c r="A66" t="str">
        <f>[1]aFAO!A66</f>
        <v>Coffee</v>
      </c>
      <c r="B66" t="str">
        <f>[1]aFAO!B66</f>
        <v>Somali</v>
      </c>
      <c r="C66" s="2">
        <f ca="1">[1]aFAO!C66</f>
        <v>29.914644419890884</v>
      </c>
      <c r="D66" s="2">
        <f ca="1">[1]aFAO!D66</f>
        <v>27.446332310213663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x14ac:dyDescent="0.25">
      <c r="A67" t="str">
        <f>[1]aFAO!A67</f>
        <v>Coffee</v>
      </c>
      <c r="B67" t="str">
        <f>[1]aFAO!B67</f>
        <v>SNNPR</v>
      </c>
      <c r="C67" s="2">
        <f ca="1">[1]aFAO!C67</f>
        <v>26.041945504609288</v>
      </c>
      <c r="D67" s="2">
        <f ca="1">[1]aFAO!D67</f>
        <v>27.547055657707737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x14ac:dyDescent="0.25">
      <c r="A68" t="str">
        <f>[1]aFAO!A68</f>
        <v>Coffee</v>
      </c>
      <c r="B68" t="str">
        <f>[1]aFAO!B68</f>
        <v>Tigray</v>
      </c>
      <c r="C68" s="2">
        <f ca="1">[1]aFAO!C68</f>
        <v>27.058527929442565</v>
      </c>
      <c r="D68" s="2">
        <f ca="1">[1]aFAO!D68</f>
        <v>28.921072776682006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</sheetData>
  <pageMargins left="0.75" right="0.75" top="1" bottom="1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H68"/>
  <sheetViews>
    <sheetView topLeftCell="A55" zoomScale="85" zoomScaleNormal="85" workbookViewId="0">
      <selection activeCell="A66" sqref="A66"/>
    </sheetView>
  </sheetViews>
  <sheetFormatPr defaultColWidth="8.875" defaultRowHeight="15.75" x14ac:dyDescent="0.25"/>
  <cols>
    <col min="1" max="1" width="10.125" customWidth="1"/>
    <col min="2" max="2" width="10.625" customWidth="1"/>
  </cols>
  <sheetData>
    <row r="1" spans="1:34" x14ac:dyDescent="0.25">
      <c r="C1" t="str">
        <f>[1]DemInt!C1</f>
        <v>Belg</v>
      </c>
      <c r="D1" t="str">
        <f>[1]DemInt!D1</f>
        <v>Kremt</v>
      </c>
    </row>
    <row r="2" spans="1:34" x14ac:dyDescent="0.25">
      <c r="C2">
        <f>[1]DemInt!C2</f>
        <v>2015</v>
      </c>
      <c r="D2">
        <f>[1]DemInt!D2</f>
        <v>2015</v>
      </c>
    </row>
    <row r="3" spans="1:34" x14ac:dyDescent="0.25">
      <c r="A3" t="str">
        <f>[1]DemInt!A3</f>
        <v>Teff</v>
      </c>
      <c r="B3" t="str">
        <f>[1]DemInt!B3</f>
        <v>AddisAbaba</v>
      </c>
      <c r="C3" s="2">
        <f ca="1">[1]DemInt!C3</f>
        <v>2397.1891183907574</v>
      </c>
      <c r="D3" s="2">
        <f ca="1">[1]DemInt!D3</f>
        <v>3201.9157259196759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x14ac:dyDescent="0.25">
      <c r="A4" t="str">
        <f>[1]DemInt!A4</f>
        <v>Teff</v>
      </c>
      <c r="B4" t="str">
        <f>[1]DemInt!B4</f>
        <v>Afar</v>
      </c>
      <c r="C4" s="2">
        <f ca="1">[1]DemInt!C4</f>
        <v>2277.3447907876352</v>
      </c>
      <c r="D4" s="2">
        <f ca="1">[1]DemInt!D4</f>
        <v>2974.3709035450415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x14ac:dyDescent="0.25">
      <c r="A5" t="str">
        <f>[1]DemInt!A5</f>
        <v>Teff</v>
      </c>
      <c r="B5" t="str">
        <f>[1]DemInt!B5</f>
        <v>Amhara</v>
      </c>
      <c r="C5" s="2">
        <f ca="1">[1]DemInt!C5</f>
        <v>2261.756504495941</v>
      </c>
      <c r="D5" s="2">
        <f ca="1">[1]DemInt!D5</f>
        <v>2761.3561834535358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x14ac:dyDescent="0.25">
      <c r="A6" t="str">
        <f>[1]DemInt!A6</f>
        <v>Teff</v>
      </c>
      <c r="B6" t="str">
        <f>[1]DemInt!B6</f>
        <v>Gumuz</v>
      </c>
      <c r="C6" s="2">
        <f ca="1">[1]DemInt!C6</f>
        <v>2864.4452520503046</v>
      </c>
      <c r="D6" s="2">
        <f ca="1">[1]DemInt!D6</f>
        <v>2322.2000567385207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x14ac:dyDescent="0.25">
      <c r="A7" t="str">
        <f>[1]DemInt!A7</f>
        <v>Teff</v>
      </c>
      <c r="B7" t="str">
        <f>[1]DemInt!B7</f>
        <v>DireDawa</v>
      </c>
      <c r="C7" s="2">
        <f ca="1">[1]DemInt!C7</f>
        <v>2449.858386502824</v>
      </c>
      <c r="D7" s="2">
        <f ca="1">[1]DemInt!D7</f>
        <v>2557.1138583043803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x14ac:dyDescent="0.25">
      <c r="A8" t="str">
        <f>[1]DemInt!A8</f>
        <v>Teff</v>
      </c>
      <c r="B8" t="str">
        <f>[1]DemInt!B8</f>
        <v>Gambela</v>
      </c>
      <c r="C8" s="2">
        <f ca="1">[1]DemInt!C8</f>
        <v>2294.8633926128509</v>
      </c>
      <c r="D8" s="2">
        <f ca="1">[1]DemInt!D8</f>
        <v>2758.6818588520982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x14ac:dyDescent="0.25">
      <c r="A9" t="str">
        <f>[1]DemInt!A9</f>
        <v>Teff</v>
      </c>
      <c r="B9" t="str">
        <f>[1]DemInt!B9</f>
        <v>Harari</v>
      </c>
      <c r="C9" s="2">
        <f ca="1">[1]DemInt!C9</f>
        <v>2207.4198227013294</v>
      </c>
      <c r="D9" s="2">
        <f ca="1">[1]DemInt!D9</f>
        <v>3007.1838515891436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x14ac:dyDescent="0.25">
      <c r="A10" t="str">
        <f>[1]DemInt!A10</f>
        <v>Teff</v>
      </c>
      <c r="B10" t="str">
        <f>[1]DemInt!B10</f>
        <v>Oromia</v>
      </c>
      <c r="C10" s="2">
        <f ca="1">[1]DemInt!C10</f>
        <v>3260.3248829178692</v>
      </c>
      <c r="D10" s="2">
        <f ca="1">[1]DemInt!D10</f>
        <v>2539.2877189544238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 x14ac:dyDescent="0.25">
      <c r="A11" t="str">
        <f>[1]DemInt!A11</f>
        <v>Teff</v>
      </c>
      <c r="B11" t="str">
        <f>[1]DemInt!B11</f>
        <v>Somali</v>
      </c>
      <c r="C11" s="2">
        <f ca="1">[1]DemInt!C11</f>
        <v>3051.1286615334166</v>
      </c>
      <c r="D11" s="2">
        <f ca="1">[1]DemInt!D11</f>
        <v>2591.4633620088225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 x14ac:dyDescent="0.25">
      <c r="A12" t="str">
        <f>[1]DemInt!A12</f>
        <v>Teff</v>
      </c>
      <c r="B12" t="str">
        <f>[1]DemInt!B12</f>
        <v>SNNPR</v>
      </c>
      <c r="C12" s="2">
        <f ca="1">[1]DemInt!C12</f>
        <v>2483.3903659939087</v>
      </c>
      <c r="D12" s="2">
        <f ca="1">[1]DemInt!D12</f>
        <v>3085.8206599304772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 x14ac:dyDescent="0.25">
      <c r="A13" t="str">
        <f>[1]DemInt!A13</f>
        <v>Teff</v>
      </c>
      <c r="B13" t="str">
        <f>[1]DemInt!B13</f>
        <v>Tigray</v>
      </c>
      <c r="C13" s="2">
        <f ca="1">[1]DemInt!C13</f>
        <v>2486.5309031135998</v>
      </c>
      <c r="D13" s="2">
        <f ca="1">[1]DemInt!D13</f>
        <v>2996.0769236453334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x14ac:dyDescent="0.25">
      <c r="A14" t="str">
        <f>[1]DemInt!A14</f>
        <v>Sorghum</v>
      </c>
      <c r="B14" t="str">
        <f>[1]DemInt!B14</f>
        <v>AddisAbaba</v>
      </c>
      <c r="C14" s="2">
        <f ca="1">[1]DemInt!C14</f>
        <v>2979.6488271029557</v>
      </c>
      <c r="D14" s="2">
        <f ca="1">[1]DemInt!D14</f>
        <v>2981.3477791212786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 x14ac:dyDescent="0.25">
      <c r="A15" t="str">
        <f>[1]DemInt!A15</f>
        <v>Sorghum</v>
      </c>
      <c r="B15" t="str">
        <f>[1]DemInt!B15</f>
        <v>Afar</v>
      </c>
      <c r="C15" s="2">
        <f ca="1">[1]DemInt!C15</f>
        <v>2525.9336289591083</v>
      </c>
      <c r="D15" s="2">
        <f ca="1">[1]DemInt!D15</f>
        <v>2657.8503995438678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x14ac:dyDescent="0.25">
      <c r="A16" t="str">
        <f>[1]DemInt!A16</f>
        <v>Sorghum</v>
      </c>
      <c r="B16" t="str">
        <f>[1]DemInt!B16</f>
        <v>Amhara</v>
      </c>
      <c r="C16" s="2">
        <f ca="1">[1]DemInt!C16</f>
        <v>2209.3004682872843</v>
      </c>
      <c r="D16" s="2">
        <f ca="1">[1]DemInt!D16</f>
        <v>2392.7455974968434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x14ac:dyDescent="0.25">
      <c r="A17" t="str">
        <f>[1]DemInt!A17</f>
        <v>Sorghum</v>
      </c>
      <c r="B17" t="str">
        <f>[1]DemInt!B17</f>
        <v>Gumuz</v>
      </c>
      <c r="C17" s="2">
        <f ca="1">[1]DemInt!C17</f>
        <v>2735.9064110959384</v>
      </c>
      <c r="D17" s="2">
        <f ca="1">[1]DemInt!D17</f>
        <v>2559.2054775121042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x14ac:dyDescent="0.25">
      <c r="A18" t="str">
        <f>[1]DemInt!A18</f>
        <v>Sorghum</v>
      </c>
      <c r="B18" t="str">
        <f>[1]DemInt!B18</f>
        <v>DireDawa</v>
      </c>
      <c r="C18" s="2">
        <f ca="1">[1]DemInt!C18</f>
        <v>2390.1587864476924</v>
      </c>
      <c r="D18" s="2">
        <f ca="1">[1]DemInt!D18</f>
        <v>2738.2186983960173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x14ac:dyDescent="0.25">
      <c r="A19" t="str">
        <f>[1]DemInt!A19</f>
        <v>Sorghum</v>
      </c>
      <c r="B19" t="str">
        <f>[1]DemInt!B19</f>
        <v>Gambela</v>
      </c>
      <c r="C19" s="2">
        <f ca="1">[1]DemInt!C19</f>
        <v>2332.9741940011941</v>
      </c>
      <c r="D19" s="2">
        <f ca="1">[1]DemInt!D19</f>
        <v>2576.5752871169134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x14ac:dyDescent="0.25">
      <c r="A20" t="str">
        <f>[1]DemInt!A20</f>
        <v>Sorghum</v>
      </c>
      <c r="B20" t="str">
        <f>[1]DemInt!B20</f>
        <v>Harari</v>
      </c>
      <c r="C20" s="2">
        <f ca="1">[1]DemInt!C20</f>
        <v>2180.0233545681804</v>
      </c>
      <c r="D20" s="2">
        <f ca="1">[1]DemInt!D20</f>
        <v>2749.0114223471187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x14ac:dyDescent="0.25">
      <c r="A21" t="str">
        <f>[1]DemInt!A21</f>
        <v>Sorghum</v>
      </c>
      <c r="B21" t="str">
        <f>[1]DemInt!B21</f>
        <v>Oromia</v>
      </c>
      <c r="C21" s="2">
        <f ca="1">[1]DemInt!C21</f>
        <v>2628.8095539549427</v>
      </c>
      <c r="D21" s="2">
        <f ca="1">[1]DemInt!D21</f>
        <v>2977.6363858796267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x14ac:dyDescent="0.25">
      <c r="A22" t="str">
        <f>[1]DemInt!A22</f>
        <v>Sorghum</v>
      </c>
      <c r="B22" t="str">
        <f>[1]DemInt!B22</f>
        <v>Somali</v>
      </c>
      <c r="C22" s="2">
        <f ca="1">[1]DemInt!C22</f>
        <v>2423.568836635995</v>
      </c>
      <c r="D22" s="2">
        <f ca="1">[1]DemInt!D22</f>
        <v>2480.1318021034708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x14ac:dyDescent="0.25">
      <c r="A23" t="str">
        <f>[1]DemInt!A23</f>
        <v>Sorghum</v>
      </c>
      <c r="B23" t="str">
        <f>[1]DemInt!B23</f>
        <v>SNNPR</v>
      </c>
      <c r="C23" s="2">
        <f ca="1">[1]DemInt!C23</f>
        <v>2052.6919257620311</v>
      </c>
      <c r="D23" s="2">
        <f ca="1">[1]DemInt!D23</f>
        <v>2044.5397153362974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x14ac:dyDescent="0.25">
      <c r="A24" t="str">
        <f>[1]DemInt!A24</f>
        <v>Sorghum</v>
      </c>
      <c r="B24" t="str">
        <f>[1]DemInt!B24</f>
        <v>Tigray</v>
      </c>
      <c r="C24" s="2">
        <f ca="1">[1]DemInt!C24</f>
        <v>2689.8703041338022</v>
      </c>
      <c r="D24" s="2">
        <f ca="1">[1]DemInt!D24</f>
        <v>2454.0463917191264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x14ac:dyDescent="0.25">
      <c r="A25" t="str">
        <f>[1]DemInt!A25</f>
        <v>Maize</v>
      </c>
      <c r="B25" t="str">
        <f>[1]DemInt!B25</f>
        <v>AddisAbaba</v>
      </c>
      <c r="C25" s="2">
        <f ca="1">[1]DemInt!C25</f>
        <v>2292.2415214868765</v>
      </c>
      <c r="D25" s="2">
        <f ca="1">[1]DemInt!D25</f>
        <v>2269.9499265077943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t="str">
        <f>[1]DemInt!A26</f>
        <v>Maize</v>
      </c>
      <c r="B26" t="str">
        <f>[1]DemInt!B26</f>
        <v>Afar</v>
      </c>
      <c r="C26" s="2">
        <f ca="1">[1]DemInt!C26</f>
        <v>2696.7209653602572</v>
      </c>
      <c r="D26" s="2">
        <f ca="1">[1]DemInt!D26</f>
        <v>2707.0222132289496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t="str">
        <f>[1]DemInt!A27</f>
        <v>Maize</v>
      </c>
      <c r="B27" t="str">
        <f>[1]DemInt!B27</f>
        <v>Amhara</v>
      </c>
      <c r="C27" s="2">
        <f ca="1">[1]DemInt!C27</f>
        <v>2175.3243004915325</v>
      </c>
      <c r="D27" s="2">
        <f ca="1">[1]DemInt!D27</f>
        <v>2650.4031552863166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x14ac:dyDescent="0.25">
      <c r="A28" t="str">
        <f>[1]DemInt!A28</f>
        <v>Maize</v>
      </c>
      <c r="B28" t="str">
        <f>[1]DemInt!B28</f>
        <v>Gumuz</v>
      </c>
      <c r="C28" s="2">
        <f ca="1">[1]DemInt!C28</f>
        <v>2815.2586789513857</v>
      </c>
      <c r="D28" s="2">
        <f ca="1">[1]DemInt!D28</f>
        <v>2060.0655790553283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x14ac:dyDescent="0.25">
      <c r="A29" t="str">
        <f>[1]DemInt!A29</f>
        <v>Maize</v>
      </c>
      <c r="B29" t="str">
        <f>[1]DemInt!B29</f>
        <v>DireDawa</v>
      </c>
      <c r="C29" s="2">
        <f ca="1">[1]DemInt!C29</f>
        <v>2776.8591742043172</v>
      </c>
      <c r="D29" s="2">
        <f ca="1">[1]DemInt!D29</f>
        <v>2084.0683755085597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x14ac:dyDescent="0.25">
      <c r="A30" t="str">
        <f>[1]DemInt!A30</f>
        <v>Maize</v>
      </c>
      <c r="B30" t="str">
        <f>[1]DemInt!B30</f>
        <v>Gambela</v>
      </c>
      <c r="C30" s="2">
        <f ca="1">[1]DemInt!C30</f>
        <v>2765.8957128366455</v>
      </c>
      <c r="D30" s="2">
        <f ca="1">[1]DemInt!D30</f>
        <v>2382.6020589117529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x14ac:dyDescent="0.25">
      <c r="A31" t="str">
        <f>[1]DemInt!A31</f>
        <v>Maize</v>
      </c>
      <c r="B31" t="str">
        <f>[1]DemInt!B31</f>
        <v>Harari</v>
      </c>
      <c r="C31" s="2">
        <f ca="1">[1]DemInt!C31</f>
        <v>2000.2538242627188</v>
      </c>
      <c r="D31" s="2">
        <f ca="1">[1]DemInt!D31</f>
        <v>2251.9934279428521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x14ac:dyDescent="0.25">
      <c r="A32" t="str">
        <f>[1]DemInt!A32</f>
        <v>Maize</v>
      </c>
      <c r="B32" t="str">
        <f>[1]DemInt!B32</f>
        <v>Oromia</v>
      </c>
      <c r="C32" s="2">
        <f ca="1">[1]DemInt!C32</f>
        <v>2466.7709281893221</v>
      </c>
      <c r="D32" s="2">
        <f ca="1">[1]DemInt!D32</f>
        <v>2975.4710091046154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x14ac:dyDescent="0.25">
      <c r="A33" t="str">
        <f>[1]DemInt!A33</f>
        <v>Maize</v>
      </c>
      <c r="B33" t="str">
        <f>[1]DemInt!B33</f>
        <v>Somali</v>
      </c>
      <c r="C33" s="2">
        <f ca="1">[1]DemInt!C33</f>
        <v>2041.5790135993352</v>
      </c>
      <c r="D33" s="2">
        <f ca="1">[1]DemInt!D33</f>
        <v>2101.7818065323663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 x14ac:dyDescent="0.25">
      <c r="A34" t="str">
        <f>[1]DemInt!A34</f>
        <v>Maize</v>
      </c>
      <c r="B34" t="str">
        <f>[1]DemInt!B34</f>
        <v>SNNPR</v>
      </c>
      <c r="C34" s="2">
        <f ca="1">[1]DemInt!C34</f>
        <v>2243.1787611670998</v>
      </c>
      <c r="D34" s="2">
        <f ca="1">[1]DemInt!D34</f>
        <v>2599.1983169007999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x14ac:dyDescent="0.25">
      <c r="A35" t="str">
        <f>[1]DemInt!A35</f>
        <v>Maize</v>
      </c>
      <c r="B35" t="str">
        <f>[1]DemInt!B35</f>
        <v>Tigray</v>
      </c>
      <c r="C35" s="2">
        <f ca="1">[1]DemInt!C35</f>
        <v>2244.5118827824954</v>
      </c>
      <c r="D35" s="2">
        <f ca="1">[1]DemInt!D35</f>
        <v>2276.9638041776998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x14ac:dyDescent="0.25">
      <c r="A36" t="str">
        <f>[1]DemInt!A36</f>
        <v>Lentils</v>
      </c>
      <c r="B36" t="str">
        <f>[1]DemInt!B36</f>
        <v>AddisAbaba</v>
      </c>
      <c r="C36" s="2">
        <f ca="1">[1]DemInt!C36</f>
        <v>2213.7811101987822</v>
      </c>
      <c r="D36" s="2">
        <f ca="1">[1]DemInt!D36</f>
        <v>2450.6778260559554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x14ac:dyDescent="0.25">
      <c r="A37" t="str">
        <f>[1]DemInt!A37</f>
        <v>Lentils</v>
      </c>
      <c r="B37" t="str">
        <f>[1]DemInt!B37</f>
        <v>Afar</v>
      </c>
      <c r="C37" s="2">
        <f ca="1">[1]DemInt!C37</f>
        <v>2101.3448116039076</v>
      </c>
      <c r="D37" s="2">
        <f ca="1">[1]DemInt!D37</f>
        <v>2267.8974248725549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x14ac:dyDescent="0.25">
      <c r="A38" t="str">
        <f>[1]DemInt!A38</f>
        <v>Lentils</v>
      </c>
      <c r="B38" t="str">
        <f>[1]DemInt!B38</f>
        <v>Amhara</v>
      </c>
      <c r="C38" s="2">
        <f ca="1">[1]DemInt!C38</f>
        <v>2959.3904143316486</v>
      </c>
      <c r="D38" s="2">
        <f ca="1">[1]DemInt!D38</f>
        <v>2154.5879505371258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x14ac:dyDescent="0.25">
      <c r="A39" t="str">
        <f>[1]DemInt!A39</f>
        <v>Lentils</v>
      </c>
      <c r="B39" t="str">
        <f>[1]DemInt!B39</f>
        <v>Gumuz</v>
      </c>
      <c r="C39" s="2">
        <f ca="1">[1]DemInt!C39</f>
        <v>2078.7029880157806</v>
      </c>
      <c r="D39" s="2">
        <f ca="1">[1]DemInt!D39</f>
        <v>2378.732508966295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x14ac:dyDescent="0.25">
      <c r="A40" t="str">
        <f>[1]DemInt!A40</f>
        <v>Lentils</v>
      </c>
      <c r="B40" t="str">
        <f>[1]DemInt!B40</f>
        <v>DireDawa</v>
      </c>
      <c r="C40" s="2">
        <f ca="1">[1]DemInt!C40</f>
        <v>2031.9095877903303</v>
      </c>
      <c r="D40" s="2">
        <f ca="1">[1]DemInt!D40</f>
        <v>2927.2891405213495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x14ac:dyDescent="0.25">
      <c r="A41" t="str">
        <f>[1]DemInt!A41</f>
        <v>Lentils</v>
      </c>
      <c r="B41" t="str">
        <f>[1]DemInt!B41</f>
        <v>Gambela</v>
      </c>
      <c r="C41" s="2">
        <f ca="1">[1]DemInt!C41</f>
        <v>2345.1254529053945</v>
      </c>
      <c r="D41" s="2">
        <f ca="1">[1]DemInt!D41</f>
        <v>2580.5678313306958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x14ac:dyDescent="0.25">
      <c r="A42" t="str">
        <f>[1]DemInt!A42</f>
        <v>Lentils</v>
      </c>
      <c r="B42" t="str">
        <f>[1]DemInt!B42</f>
        <v>Harari</v>
      </c>
      <c r="C42" s="2">
        <f ca="1">[1]DemInt!C42</f>
        <v>2470.6926787106404</v>
      </c>
      <c r="D42" s="2">
        <f ca="1">[1]DemInt!D42</f>
        <v>2678.7339275164418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x14ac:dyDescent="0.25">
      <c r="A43" t="str">
        <f>[1]DemInt!A43</f>
        <v>Lentils</v>
      </c>
      <c r="B43" t="str">
        <f>[1]DemInt!B43</f>
        <v>Oromia</v>
      </c>
      <c r="C43" s="2">
        <f ca="1">[1]DemInt!C43</f>
        <v>2994.2603576065831</v>
      </c>
      <c r="D43" s="2">
        <f ca="1">[1]DemInt!D43</f>
        <v>2425.0489285787489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x14ac:dyDescent="0.25">
      <c r="A44" t="str">
        <f>[1]DemInt!A44</f>
        <v>Lentils</v>
      </c>
      <c r="B44" t="str">
        <f>[1]DemInt!B44</f>
        <v>Somali</v>
      </c>
      <c r="C44" s="2">
        <f ca="1">[1]DemInt!C44</f>
        <v>2738.6659362612777</v>
      </c>
      <c r="D44" s="2">
        <f ca="1">[1]DemInt!D44</f>
        <v>2490.5091529449423</v>
      </c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x14ac:dyDescent="0.25">
      <c r="A45" t="str">
        <f>[1]DemInt!A45</f>
        <v>Lentils</v>
      </c>
      <c r="B45" t="str">
        <f>[1]DemInt!B45</f>
        <v>SNNPR</v>
      </c>
      <c r="C45" s="2">
        <f ca="1">[1]DemInt!C45</f>
        <v>2206.1941574399229</v>
      </c>
      <c r="D45" s="2">
        <f ca="1">[1]DemInt!D45</f>
        <v>2770.6737097292721</v>
      </c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x14ac:dyDescent="0.25">
      <c r="A46" t="str">
        <f>[1]DemInt!A46</f>
        <v>Lentils</v>
      </c>
      <c r="B46" t="str">
        <f>[1]DemInt!B46</f>
        <v>Tigray</v>
      </c>
      <c r="C46" s="2">
        <f ca="1">[1]DemInt!C46</f>
        <v>2967.0704790215655</v>
      </c>
      <c r="D46" s="2">
        <f ca="1">[1]DemInt!D46</f>
        <v>2591.5413031222361</v>
      </c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x14ac:dyDescent="0.25">
      <c r="A47" t="str">
        <f>[1]DemInt!A47</f>
        <v>Vegetables</v>
      </c>
      <c r="B47" t="str">
        <f>[1]DemInt!B47</f>
        <v>AddisAbaba</v>
      </c>
      <c r="C47" s="2">
        <f ca="1">[1]DemInt!C47</f>
        <v>2166.3540649603574</v>
      </c>
      <c r="D47" s="2">
        <f ca="1">[1]DemInt!D47</f>
        <v>2292.9895277338042</v>
      </c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 x14ac:dyDescent="0.25">
      <c r="A48" t="str">
        <f>[1]DemInt!A48</f>
        <v>Vegetables</v>
      </c>
      <c r="B48" t="str">
        <f>[1]DemInt!B48</f>
        <v>Afar</v>
      </c>
      <c r="C48" s="2">
        <f ca="1">[1]DemInt!C48</f>
        <v>2121.6537116452819</v>
      </c>
      <c r="D48" s="2">
        <f ca="1">[1]DemInt!D48</f>
        <v>2451.5002339900661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 x14ac:dyDescent="0.25">
      <c r="A49" t="str">
        <f>[1]DemInt!A49</f>
        <v>Vegetables</v>
      </c>
      <c r="B49" t="str">
        <f>[1]DemInt!B49</f>
        <v>Amhara</v>
      </c>
      <c r="C49" s="2">
        <f ca="1">[1]DemInt!C49</f>
        <v>2988.902084064523</v>
      </c>
      <c r="D49" s="2">
        <f ca="1">[1]DemInt!D49</f>
        <v>2895.2417897474966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 x14ac:dyDescent="0.25">
      <c r="A50" t="str">
        <f>[1]DemInt!A50</f>
        <v>Vegetables</v>
      </c>
      <c r="B50" t="str">
        <f>[1]DemInt!B50</f>
        <v>Gumuz</v>
      </c>
      <c r="C50" s="2">
        <f ca="1">[1]DemInt!C50</f>
        <v>2098.0474250745119</v>
      </c>
      <c r="D50" s="2">
        <f ca="1">[1]DemInt!D50</f>
        <v>2138.2259806317797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 x14ac:dyDescent="0.25">
      <c r="A51" t="str">
        <f>[1]DemInt!A51</f>
        <v>Vegetables</v>
      </c>
      <c r="B51" t="str">
        <f>[1]DemInt!B51</f>
        <v>DireDawa</v>
      </c>
      <c r="C51" s="2">
        <f ca="1">[1]DemInt!C51</f>
        <v>2081.8933752837966</v>
      </c>
      <c r="D51" s="2">
        <f ca="1">[1]DemInt!D51</f>
        <v>2126.9404148659387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 x14ac:dyDescent="0.25">
      <c r="A52" t="str">
        <f>[1]DemInt!A52</f>
        <v>Vegetables</v>
      </c>
      <c r="B52" t="str">
        <f>[1]DemInt!B52</f>
        <v>Gambela</v>
      </c>
      <c r="C52" s="2">
        <f ca="1">[1]DemInt!C52</f>
        <v>2064.1533068066719</v>
      </c>
      <c r="D52" s="2">
        <f ca="1">[1]DemInt!D52</f>
        <v>2331.5366680049665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 x14ac:dyDescent="0.25">
      <c r="A53" t="str">
        <f>[1]DemInt!A53</f>
        <v>Vegetables</v>
      </c>
      <c r="B53" t="str">
        <f>[1]DemInt!B53</f>
        <v>Harari</v>
      </c>
      <c r="C53" s="2">
        <f ca="1">[1]DemInt!C53</f>
        <v>2101.9578162891166</v>
      </c>
      <c r="D53" s="2">
        <f ca="1">[1]DemInt!D53</f>
        <v>2247.3857108746829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 x14ac:dyDescent="0.25">
      <c r="A54" t="str">
        <f>[1]DemInt!A54</f>
        <v>Vegetables</v>
      </c>
      <c r="B54" t="str">
        <f>[1]DemInt!B54</f>
        <v>Oromia</v>
      </c>
      <c r="C54" s="2">
        <f ca="1">[1]DemInt!C54</f>
        <v>2992.0622465981742</v>
      </c>
      <c r="D54" s="2">
        <f ca="1">[1]DemInt!D54</f>
        <v>2284.680014731764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 x14ac:dyDescent="0.25">
      <c r="A55" t="str">
        <f>[1]DemInt!A55</f>
        <v>Vegetables</v>
      </c>
      <c r="B55" t="str">
        <f>[1]DemInt!B55</f>
        <v>Somali</v>
      </c>
      <c r="C55" s="2">
        <f ca="1">[1]DemInt!C55</f>
        <v>2188.5469381214398</v>
      </c>
      <c r="D55" s="2">
        <f ca="1">[1]DemInt!D55</f>
        <v>2652.9089589036134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1:34" x14ac:dyDescent="0.25">
      <c r="A56" t="str">
        <f>[1]DemInt!A56</f>
        <v>Vegetables</v>
      </c>
      <c r="B56" t="str">
        <f>[1]DemInt!B56</f>
        <v>SNNPR</v>
      </c>
      <c r="C56" s="2">
        <f ca="1">[1]DemInt!C56</f>
        <v>2533.8325941248954</v>
      </c>
      <c r="D56" s="2">
        <f ca="1">[1]DemInt!D56</f>
        <v>2855.4204776312818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4" x14ac:dyDescent="0.25">
      <c r="A57" t="str">
        <f>[1]DemInt!A57</f>
        <v>Vegetables</v>
      </c>
      <c r="B57" t="str">
        <f>[1]DemInt!B57</f>
        <v>Tigray</v>
      </c>
      <c r="C57" s="2">
        <f ca="1">[1]DemInt!C57</f>
        <v>2720.9180015035486</v>
      </c>
      <c r="D57" s="2">
        <f ca="1">[1]DemInt!D57</f>
        <v>2854.8845489065475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 x14ac:dyDescent="0.25">
      <c r="A58" t="str">
        <f>[1]DemInt!A58</f>
        <v>Coffee</v>
      </c>
      <c r="B58" t="str">
        <f>[1]DemInt!B58</f>
        <v>AddisAbaba</v>
      </c>
      <c r="C58" s="2">
        <f ca="1">[1]DemInt!C58</f>
        <v>2554.3437232616552</v>
      </c>
      <c r="D58" s="2">
        <f ca="1">[1]DemInt!D58</f>
        <v>2461.5660801360368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 x14ac:dyDescent="0.25">
      <c r="A59" t="str">
        <f>[1]DemInt!A59</f>
        <v>Coffee</v>
      </c>
      <c r="B59" t="str">
        <f>[1]DemInt!B59</f>
        <v>Afar</v>
      </c>
      <c r="C59" s="2">
        <f ca="1">[1]DemInt!C59</f>
        <v>2372.9159227053829</v>
      </c>
      <c r="D59" s="2">
        <f ca="1">[1]DemInt!D59</f>
        <v>2915.8833331876099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 x14ac:dyDescent="0.25">
      <c r="A60" t="str">
        <f>[1]DemInt!A60</f>
        <v>Coffee</v>
      </c>
      <c r="B60" t="str">
        <f>[1]DemInt!B60</f>
        <v>Amhara</v>
      </c>
      <c r="C60" s="2">
        <f ca="1">[1]DemInt!C60</f>
        <v>2200.319386643594</v>
      </c>
      <c r="D60" s="2">
        <f ca="1">[1]DemInt!D60</f>
        <v>2377.4890143504617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 x14ac:dyDescent="0.25">
      <c r="A61" t="str">
        <f>[1]DemInt!A61</f>
        <v>Coffee</v>
      </c>
      <c r="B61" t="str">
        <f>[1]DemInt!B61</f>
        <v>Gumuz</v>
      </c>
      <c r="C61" s="2">
        <f ca="1">[1]DemInt!C61</f>
        <v>2641.2993209454244</v>
      </c>
      <c r="D61" s="2">
        <f ca="1">[1]DemInt!D61</f>
        <v>2942.4179684705246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x14ac:dyDescent="0.25">
      <c r="A62" t="str">
        <f>[1]DemInt!A62</f>
        <v>Coffee</v>
      </c>
      <c r="B62" t="str">
        <f>[1]DemInt!B62</f>
        <v>DireDawa</v>
      </c>
      <c r="C62" s="2">
        <f ca="1">[1]DemInt!C62</f>
        <v>2197.8120728593231</v>
      </c>
      <c r="D62" s="2">
        <f ca="1">[1]DemInt!D62</f>
        <v>2297.0131821389482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x14ac:dyDescent="0.25">
      <c r="A63" t="str">
        <f>[1]DemInt!A63</f>
        <v>Coffee</v>
      </c>
      <c r="B63" t="str">
        <f>[1]DemInt!B63</f>
        <v>Gambela</v>
      </c>
      <c r="C63" s="2">
        <f ca="1">[1]DemInt!C63</f>
        <v>2632.4476716614477</v>
      </c>
      <c r="D63" s="2">
        <f ca="1">[1]DemInt!D63</f>
        <v>2046.7211462163264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x14ac:dyDescent="0.25">
      <c r="A64" t="str">
        <f>[1]DemInt!A64</f>
        <v>Coffee</v>
      </c>
      <c r="B64" t="str">
        <f>[1]DemInt!B64</f>
        <v>Harari</v>
      </c>
      <c r="C64" s="2">
        <f ca="1">[1]DemInt!C64</f>
        <v>2962.4335677113786</v>
      </c>
      <c r="D64" s="2">
        <f ca="1">[1]DemInt!D64</f>
        <v>2777.2409983581783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x14ac:dyDescent="0.25">
      <c r="A65" t="str">
        <f>[1]DemInt!A65</f>
        <v>Coffee</v>
      </c>
      <c r="B65" t="str">
        <f>[1]DemInt!B65</f>
        <v>Oromia</v>
      </c>
      <c r="C65" s="2">
        <f ca="1">[1]DemInt!C65</f>
        <v>2886.8484643384782</v>
      </c>
      <c r="D65" s="2">
        <f ca="1">[1]DemInt!D65</f>
        <v>2354.4637072404012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x14ac:dyDescent="0.25">
      <c r="A66" t="str">
        <f>[1]DemInt!A66</f>
        <v>Coffee</v>
      </c>
      <c r="B66" t="str">
        <f>[1]DemInt!B66</f>
        <v>Somali</v>
      </c>
      <c r="C66" s="2">
        <f ca="1">[1]DemInt!C66</f>
        <v>2594.6317758208361</v>
      </c>
      <c r="D66" s="2">
        <f ca="1">[1]DemInt!D66</f>
        <v>2420.2244891000419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x14ac:dyDescent="0.25">
      <c r="A67" t="str">
        <f>[1]DemInt!A67</f>
        <v>Coffee</v>
      </c>
      <c r="B67" t="str">
        <f>[1]DemInt!B67</f>
        <v>SNNPR</v>
      </c>
      <c r="C67" s="2">
        <f ca="1">[1]DemInt!C67</f>
        <v>2427.1110077020207</v>
      </c>
      <c r="D67" s="2">
        <f ca="1">[1]DemInt!D67</f>
        <v>2380.654211876878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x14ac:dyDescent="0.25">
      <c r="A68" t="str">
        <f>[1]DemInt!A68</f>
        <v>Coffee</v>
      </c>
      <c r="B68" t="str">
        <f>[1]DemInt!B68</f>
        <v>Tigray</v>
      </c>
      <c r="C68" s="2">
        <f ca="1">[1]DemInt!C68</f>
        <v>2948.3662166602535</v>
      </c>
      <c r="D68" s="2">
        <f ca="1">[1]DemInt!D68</f>
        <v>2316.2501768944308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</sheetData>
  <pageMargins left="0.75" right="0.75" top="1" bottom="1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H68"/>
  <sheetViews>
    <sheetView topLeftCell="A55" zoomScale="85" zoomScaleNormal="85" workbookViewId="0">
      <selection activeCell="A3" sqref="A3"/>
    </sheetView>
  </sheetViews>
  <sheetFormatPr defaultColWidth="8.875" defaultRowHeight="15.75" x14ac:dyDescent="0.25"/>
  <cols>
    <col min="1" max="1" width="10.125" customWidth="1"/>
    <col min="2" max="2" width="10.625" customWidth="1"/>
  </cols>
  <sheetData>
    <row r="1" spans="1:34" x14ac:dyDescent="0.25">
      <c r="C1" t="str">
        <f>[1]DemSlope!C1</f>
        <v>Belg</v>
      </c>
      <c r="D1" t="str">
        <f>[1]DemSlope!D1</f>
        <v>Kremt</v>
      </c>
    </row>
    <row r="2" spans="1:34" x14ac:dyDescent="0.25">
      <c r="C2">
        <f>[1]DemSlope!C2</f>
        <v>2015</v>
      </c>
      <c r="D2">
        <f>[1]DemSlope!D2</f>
        <v>2015</v>
      </c>
    </row>
    <row r="3" spans="1:34" x14ac:dyDescent="0.25">
      <c r="A3" t="str">
        <f>[1]DemSlope!A3</f>
        <v>Teff</v>
      </c>
      <c r="B3" t="str">
        <f>[1]DemSlope!B3</f>
        <v>AddisAbaba</v>
      </c>
      <c r="C3">
        <f ca="1">[1]DemSlope!C3</f>
        <v>31.650318597310974</v>
      </c>
      <c r="D3">
        <f ca="1">[1]DemSlope!D3</f>
        <v>28.450580832701078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x14ac:dyDescent="0.25">
      <c r="A4" t="str">
        <f>[1]DemSlope!A4</f>
        <v>Teff</v>
      </c>
      <c r="B4" t="str">
        <f>[1]DemSlope!B4</f>
        <v>Afar</v>
      </c>
      <c r="C4">
        <f ca="1">[1]DemSlope!C4</f>
        <v>30.024432411688672</v>
      </c>
      <c r="D4">
        <f ca="1">[1]DemSlope!D4</f>
        <v>27.991818705714273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x14ac:dyDescent="0.25">
      <c r="A5" t="str">
        <f>[1]DemSlope!A5</f>
        <v>Teff</v>
      </c>
      <c r="B5" t="str">
        <f>[1]DemSlope!B5</f>
        <v>Amhara</v>
      </c>
      <c r="C5">
        <f ca="1">[1]DemSlope!C5</f>
        <v>30.796635839698428</v>
      </c>
      <c r="D5">
        <f ca="1">[1]DemSlope!D5</f>
        <v>32.161570118005486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x14ac:dyDescent="0.25">
      <c r="A6" t="str">
        <f>[1]DemSlope!A6</f>
        <v>Teff</v>
      </c>
      <c r="B6" t="str">
        <f>[1]DemSlope!B6</f>
        <v>Gumuz</v>
      </c>
      <c r="C6">
        <f ca="1">[1]DemSlope!C6</f>
        <v>30.88490755317741</v>
      </c>
      <c r="D6">
        <f ca="1">[1]DemSlope!D6</f>
        <v>26.297061498975648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x14ac:dyDescent="0.25">
      <c r="A7" t="str">
        <f>[1]DemSlope!A7</f>
        <v>Teff</v>
      </c>
      <c r="B7" t="str">
        <f>[1]DemSlope!B7</f>
        <v>DireDawa</v>
      </c>
      <c r="C7">
        <f ca="1">[1]DemSlope!C7</f>
        <v>31.113591074346783</v>
      </c>
      <c r="D7">
        <f ca="1">[1]DemSlope!D7</f>
        <v>33.820756860464428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x14ac:dyDescent="0.25">
      <c r="A8" t="str">
        <f>[1]DemSlope!A8</f>
        <v>Teff</v>
      </c>
      <c r="B8" t="str">
        <f>[1]DemSlope!B8</f>
        <v>Gambela</v>
      </c>
      <c r="C8">
        <f ca="1">[1]DemSlope!C8</f>
        <v>28.12368428892561</v>
      </c>
      <c r="D8">
        <f ca="1">[1]DemSlope!D8</f>
        <v>27.781498107956182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x14ac:dyDescent="0.25">
      <c r="A9" t="str">
        <f>[1]DemSlope!A9</f>
        <v>Teff</v>
      </c>
      <c r="B9" t="str">
        <f>[1]DemSlope!B9</f>
        <v>Harari</v>
      </c>
      <c r="C9">
        <f ca="1">[1]DemSlope!C9</f>
        <v>25.917832259241536</v>
      </c>
      <c r="D9">
        <f ca="1">[1]DemSlope!D9</f>
        <v>34.34401369627335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x14ac:dyDescent="0.25">
      <c r="A10" t="str">
        <f>[1]DemSlope!A10</f>
        <v>Teff</v>
      </c>
      <c r="B10" t="str">
        <f>[1]DemSlope!B10</f>
        <v>Oromia</v>
      </c>
      <c r="C10">
        <f ca="1">[1]DemSlope!C10</f>
        <v>26.532740544221497</v>
      </c>
      <c r="D10">
        <f ca="1">[1]DemSlope!D10</f>
        <v>32.111140821731006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 x14ac:dyDescent="0.25">
      <c r="A11" t="str">
        <f>[1]DemSlope!A11</f>
        <v>Teff</v>
      </c>
      <c r="B11" t="str">
        <f>[1]DemSlope!B11</f>
        <v>Somali</v>
      </c>
      <c r="C11">
        <f ca="1">[1]DemSlope!C11</f>
        <v>25.895467953604228</v>
      </c>
      <c r="D11">
        <f ca="1">[1]DemSlope!D11</f>
        <v>25.724138110811108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 x14ac:dyDescent="0.25">
      <c r="A12" t="str">
        <f>[1]DemSlope!A12</f>
        <v>Teff</v>
      </c>
      <c r="B12" t="str">
        <f>[1]DemSlope!B12</f>
        <v>SNNPR</v>
      </c>
      <c r="C12">
        <f ca="1">[1]DemSlope!C12</f>
        <v>34.604124683882787</v>
      </c>
      <c r="D12">
        <f ca="1">[1]DemSlope!D12</f>
        <v>32.517256786696585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 x14ac:dyDescent="0.25">
      <c r="A13" t="str">
        <f>[1]DemSlope!A13</f>
        <v>Teff</v>
      </c>
      <c r="B13" t="str">
        <f>[1]DemSlope!B13</f>
        <v>Tigray</v>
      </c>
      <c r="C13">
        <f ca="1">[1]DemSlope!C13</f>
        <v>26.513745976546272</v>
      </c>
      <c r="D13">
        <f ca="1">[1]DemSlope!D13</f>
        <v>34.46814964862569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x14ac:dyDescent="0.25">
      <c r="A14" t="str">
        <f>[1]DemSlope!A14</f>
        <v>Sorghum</v>
      </c>
      <c r="B14" t="str">
        <f>[1]DemSlope!B14</f>
        <v>AddisAbaba</v>
      </c>
      <c r="C14">
        <f ca="1">[1]DemSlope!C14</f>
        <v>32.547949342199423</v>
      </c>
      <c r="D14">
        <f ca="1">[1]DemSlope!D14</f>
        <v>25.394786390936481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 x14ac:dyDescent="0.25">
      <c r="A15" t="str">
        <f>[1]DemSlope!A15</f>
        <v>Sorghum</v>
      </c>
      <c r="B15" t="str">
        <f>[1]DemSlope!B15</f>
        <v>Afar</v>
      </c>
      <c r="C15">
        <f ca="1">[1]DemSlope!C15</f>
        <v>27.887649748621996</v>
      </c>
      <c r="D15">
        <f ca="1">[1]DemSlope!D15</f>
        <v>26.847977218037403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x14ac:dyDescent="0.25">
      <c r="A16" t="str">
        <f>[1]DemSlope!A16</f>
        <v>Sorghum</v>
      </c>
      <c r="B16" t="str">
        <f>[1]DemSlope!B16</f>
        <v>Amhara</v>
      </c>
      <c r="C16">
        <f ca="1">[1]DemSlope!C16</f>
        <v>32.479257188018437</v>
      </c>
      <c r="D16">
        <f ca="1">[1]DemSlope!D16</f>
        <v>30.883668108696817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x14ac:dyDescent="0.25">
      <c r="A17" t="str">
        <f>[1]DemSlope!A17</f>
        <v>Sorghum</v>
      </c>
      <c r="B17" t="str">
        <f>[1]DemSlope!B17</f>
        <v>Gumuz</v>
      </c>
      <c r="C17">
        <f ca="1">[1]DemSlope!C17</f>
        <v>25.701735134918913</v>
      </c>
      <c r="D17">
        <f ca="1">[1]DemSlope!D17</f>
        <v>26.167197604121775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x14ac:dyDescent="0.25">
      <c r="A18" t="str">
        <f>[1]DemSlope!A18</f>
        <v>Sorghum</v>
      </c>
      <c r="B18" t="str">
        <f>[1]DemSlope!B18</f>
        <v>DireDawa</v>
      </c>
      <c r="C18">
        <f ca="1">[1]DemSlope!C18</f>
        <v>33.271058066277732</v>
      </c>
      <c r="D18">
        <f ca="1">[1]DemSlope!D18</f>
        <v>33.333822308742398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x14ac:dyDescent="0.25">
      <c r="A19" t="str">
        <f>[1]DemSlope!A19</f>
        <v>Sorghum</v>
      </c>
      <c r="B19" t="str">
        <f>[1]DemSlope!B19</f>
        <v>Gambela</v>
      </c>
      <c r="C19">
        <f ca="1">[1]DemSlope!C19</f>
        <v>28.834093463805974</v>
      </c>
      <c r="D19">
        <f ca="1">[1]DemSlope!D19</f>
        <v>32.925601766269537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x14ac:dyDescent="0.25">
      <c r="A20" t="str">
        <f>[1]DemSlope!A20</f>
        <v>Sorghum</v>
      </c>
      <c r="B20" t="str">
        <f>[1]DemSlope!B20</f>
        <v>Harari</v>
      </c>
      <c r="C20">
        <f ca="1">[1]DemSlope!C20</f>
        <v>34.507147283908189</v>
      </c>
      <c r="D20">
        <f ca="1">[1]DemSlope!D20</f>
        <v>27.622751875058572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x14ac:dyDescent="0.25">
      <c r="A21" t="str">
        <f>[1]DemSlope!A21</f>
        <v>Sorghum</v>
      </c>
      <c r="B21" t="str">
        <f>[1]DemSlope!B21</f>
        <v>Oromia</v>
      </c>
      <c r="C21">
        <f ca="1">[1]DemSlope!C21</f>
        <v>26.182032514858129</v>
      </c>
      <c r="D21">
        <f ca="1">[1]DemSlope!D21</f>
        <v>34.597303576827436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x14ac:dyDescent="0.25">
      <c r="A22" t="str">
        <f>[1]DemSlope!A22</f>
        <v>Sorghum</v>
      </c>
      <c r="B22" t="str">
        <f>[1]DemSlope!B22</f>
        <v>Somali</v>
      </c>
      <c r="C22">
        <f ca="1">[1]DemSlope!C22</f>
        <v>31.480872626771756</v>
      </c>
      <c r="D22">
        <f ca="1">[1]DemSlope!D22</f>
        <v>25.007559169063324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x14ac:dyDescent="0.25">
      <c r="A23" t="str">
        <f>[1]DemSlope!A23</f>
        <v>Sorghum</v>
      </c>
      <c r="B23" t="str">
        <f>[1]DemSlope!B23</f>
        <v>SNNPR</v>
      </c>
      <c r="C23">
        <f ca="1">[1]DemSlope!C23</f>
        <v>26.451995099614983</v>
      </c>
      <c r="D23">
        <f ca="1">[1]DemSlope!D23</f>
        <v>28.534676942320552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x14ac:dyDescent="0.25">
      <c r="A24" t="str">
        <f>[1]DemSlope!A24</f>
        <v>Sorghum</v>
      </c>
      <c r="B24" t="str">
        <f>[1]DemSlope!B24</f>
        <v>Tigray</v>
      </c>
      <c r="C24">
        <f ca="1">[1]DemSlope!C24</f>
        <v>28.222465048976872</v>
      </c>
      <c r="D24">
        <f ca="1">[1]DemSlope!D24</f>
        <v>26.786402915101025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x14ac:dyDescent="0.25">
      <c r="A25" t="str">
        <f>[1]DemSlope!A25</f>
        <v>Maize</v>
      </c>
      <c r="B25" t="str">
        <f>[1]DemSlope!B25</f>
        <v>AddisAbaba</v>
      </c>
      <c r="C25">
        <f ca="1">[1]DemSlope!C25</f>
        <v>33.518652707292127</v>
      </c>
      <c r="D25">
        <f ca="1">[1]DemSlope!D25</f>
        <v>32.197365235081364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t="str">
        <f>[1]DemSlope!A26</f>
        <v>Maize</v>
      </c>
      <c r="B26" t="str">
        <f>[1]DemSlope!B26</f>
        <v>Afar</v>
      </c>
      <c r="C26">
        <f ca="1">[1]DemSlope!C26</f>
        <v>28.242971013535112</v>
      </c>
      <c r="D26">
        <f ca="1">[1]DemSlope!D26</f>
        <v>27.483136402397768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t="str">
        <f>[1]DemSlope!A27</f>
        <v>Maize</v>
      </c>
      <c r="B27" t="str">
        <f>[1]DemSlope!B27</f>
        <v>Amhara</v>
      </c>
      <c r="C27">
        <f ca="1">[1]DemSlope!C27</f>
        <v>31.758590514115063</v>
      </c>
      <c r="D27">
        <f ca="1">[1]DemSlope!D27</f>
        <v>30.633719575087035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x14ac:dyDescent="0.25">
      <c r="A28" t="str">
        <f>[1]DemSlope!A28</f>
        <v>Maize</v>
      </c>
      <c r="B28" t="str">
        <f>[1]DemSlope!B28</f>
        <v>Gumuz</v>
      </c>
      <c r="C28">
        <f ca="1">[1]DemSlope!C28</f>
        <v>32.280089665234932</v>
      </c>
      <c r="D28">
        <f ca="1">[1]DemSlope!D28</f>
        <v>31.929639897965252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x14ac:dyDescent="0.25">
      <c r="A29" t="str">
        <f>[1]DemSlope!A29</f>
        <v>Maize</v>
      </c>
      <c r="B29" t="str">
        <f>[1]DemSlope!B29</f>
        <v>DireDawa</v>
      </c>
      <c r="C29">
        <f ca="1">[1]DemSlope!C29</f>
        <v>27.854589666373613</v>
      </c>
      <c r="D29">
        <f ca="1">[1]DemSlope!D29</f>
        <v>29.949408819249584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x14ac:dyDescent="0.25">
      <c r="A30" t="str">
        <f>[1]DemSlope!A30</f>
        <v>Maize</v>
      </c>
      <c r="B30" t="str">
        <f>[1]DemSlope!B30</f>
        <v>Gambela</v>
      </c>
      <c r="C30">
        <f ca="1">[1]DemSlope!C30</f>
        <v>34.773759375038722</v>
      </c>
      <c r="D30">
        <f ca="1">[1]DemSlope!D30</f>
        <v>33.354895536065506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x14ac:dyDescent="0.25">
      <c r="A31" t="str">
        <f>[1]DemSlope!A31</f>
        <v>Maize</v>
      </c>
      <c r="B31" t="str">
        <f>[1]DemSlope!B31</f>
        <v>Harari</v>
      </c>
      <c r="C31">
        <f ca="1">[1]DemSlope!C31</f>
        <v>34.35519719725788</v>
      </c>
      <c r="D31">
        <f ca="1">[1]DemSlope!D31</f>
        <v>31.759483480192145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x14ac:dyDescent="0.25">
      <c r="A32" t="str">
        <f>[1]DemSlope!A32</f>
        <v>Maize</v>
      </c>
      <c r="B32" t="str">
        <f>[1]DemSlope!B32</f>
        <v>Oromia</v>
      </c>
      <c r="C32">
        <f ca="1">[1]DemSlope!C32</f>
        <v>28.949451872282825</v>
      </c>
      <c r="D32">
        <f ca="1">[1]DemSlope!D32</f>
        <v>28.938876700221371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x14ac:dyDescent="0.25">
      <c r="A33" t="str">
        <f>[1]DemSlope!A33</f>
        <v>Maize</v>
      </c>
      <c r="B33" t="str">
        <f>[1]DemSlope!B33</f>
        <v>Somali</v>
      </c>
      <c r="C33">
        <f ca="1">[1]DemSlope!C33</f>
        <v>27.075580907291659</v>
      </c>
      <c r="D33">
        <f ca="1">[1]DemSlope!D33</f>
        <v>27.903018457861478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 x14ac:dyDescent="0.25">
      <c r="A34" t="str">
        <f>[1]DemSlope!A34</f>
        <v>Maize</v>
      </c>
      <c r="B34" t="str">
        <f>[1]DemSlope!B34</f>
        <v>SNNPR</v>
      </c>
      <c r="C34">
        <f ca="1">[1]DemSlope!C34</f>
        <v>31.598137452491653</v>
      </c>
      <c r="D34">
        <f ca="1">[1]DemSlope!D34</f>
        <v>33.968708411977182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x14ac:dyDescent="0.25">
      <c r="A35" t="str">
        <f>[1]DemSlope!A35</f>
        <v>Maize</v>
      </c>
      <c r="B35" t="str">
        <f>[1]DemSlope!B35</f>
        <v>Tigray</v>
      </c>
      <c r="C35">
        <f ca="1">[1]DemSlope!C35</f>
        <v>30.614474822506192</v>
      </c>
      <c r="D35">
        <f ca="1">[1]DemSlope!D35</f>
        <v>33.645063690535949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x14ac:dyDescent="0.25">
      <c r="A36" t="str">
        <f>[1]DemSlope!A36</f>
        <v>Lentils</v>
      </c>
      <c r="B36" t="str">
        <f>[1]DemSlope!B36</f>
        <v>AddisAbaba</v>
      </c>
      <c r="C36">
        <f ca="1">[1]DemSlope!C36</f>
        <v>33.916661628394429</v>
      </c>
      <c r="D36">
        <f ca="1">[1]DemSlope!D36</f>
        <v>32.902719925294186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x14ac:dyDescent="0.25">
      <c r="A37" t="str">
        <f>[1]DemSlope!A37</f>
        <v>Lentils</v>
      </c>
      <c r="B37" t="str">
        <f>[1]DemSlope!B37</f>
        <v>Afar</v>
      </c>
      <c r="C37">
        <f ca="1">[1]DemSlope!C37</f>
        <v>30.393377844628798</v>
      </c>
      <c r="D37">
        <f ca="1">[1]DemSlope!D37</f>
        <v>27.551597916108889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x14ac:dyDescent="0.25">
      <c r="A38" t="str">
        <f>[1]DemSlope!A38</f>
        <v>Lentils</v>
      </c>
      <c r="B38" t="str">
        <f>[1]DemSlope!B38</f>
        <v>Amhara</v>
      </c>
      <c r="C38">
        <f ca="1">[1]DemSlope!C38</f>
        <v>34.995563657670161</v>
      </c>
      <c r="D38">
        <f ca="1">[1]DemSlope!D38</f>
        <v>32.286228826395686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x14ac:dyDescent="0.25">
      <c r="A39" t="str">
        <f>[1]DemSlope!A39</f>
        <v>Lentils</v>
      </c>
      <c r="B39" t="str">
        <f>[1]DemSlope!B39</f>
        <v>Gumuz</v>
      </c>
      <c r="C39">
        <f ca="1">[1]DemSlope!C39</f>
        <v>28.124079200937636</v>
      </c>
      <c r="D39">
        <f ca="1">[1]DemSlope!D39</f>
        <v>27.810747094285844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x14ac:dyDescent="0.25">
      <c r="A40" t="str">
        <f>[1]DemSlope!A40</f>
        <v>Lentils</v>
      </c>
      <c r="B40" t="str">
        <f>[1]DemSlope!B40</f>
        <v>DireDawa</v>
      </c>
      <c r="C40">
        <f ca="1">[1]DemSlope!C40</f>
        <v>34.584641262448947</v>
      </c>
      <c r="D40">
        <f ca="1">[1]DemSlope!D40</f>
        <v>27.843296310273789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x14ac:dyDescent="0.25">
      <c r="A41" t="str">
        <f>[1]DemSlope!A41</f>
        <v>Lentils</v>
      </c>
      <c r="B41" t="str">
        <f>[1]DemSlope!B41</f>
        <v>Gambela</v>
      </c>
      <c r="C41">
        <f ca="1">[1]DemSlope!C41</f>
        <v>33.076962113020187</v>
      </c>
      <c r="D41">
        <f ca="1">[1]DemSlope!D41</f>
        <v>29.927627549220137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x14ac:dyDescent="0.25">
      <c r="A42" t="str">
        <f>[1]DemSlope!A42</f>
        <v>Lentils</v>
      </c>
      <c r="B42" t="str">
        <f>[1]DemSlope!B42</f>
        <v>Harari</v>
      </c>
      <c r="C42">
        <f ca="1">[1]DemSlope!C42</f>
        <v>34.257261219180457</v>
      </c>
      <c r="D42">
        <f ca="1">[1]DemSlope!D42</f>
        <v>26.540161034746419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x14ac:dyDescent="0.25">
      <c r="A43" t="str">
        <f>[1]DemSlope!A43</f>
        <v>Lentils</v>
      </c>
      <c r="B43" t="str">
        <f>[1]DemSlope!B43</f>
        <v>Oromia</v>
      </c>
      <c r="C43">
        <f ca="1">[1]DemSlope!C43</f>
        <v>34.648589533989139</v>
      </c>
      <c r="D43">
        <f ca="1">[1]DemSlope!D43</f>
        <v>27.961988701854345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x14ac:dyDescent="0.25">
      <c r="A44" t="str">
        <f>[1]DemSlope!A44</f>
        <v>Lentils</v>
      </c>
      <c r="B44" t="str">
        <f>[1]DemSlope!B44</f>
        <v>Somali</v>
      </c>
      <c r="C44">
        <f ca="1">[1]DemSlope!C44</f>
        <v>25.454026497891086</v>
      </c>
      <c r="D44">
        <f ca="1">[1]DemSlope!D44</f>
        <v>34.016997889025362</v>
      </c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x14ac:dyDescent="0.25">
      <c r="A45" t="str">
        <f>[1]DemSlope!A45</f>
        <v>Lentils</v>
      </c>
      <c r="B45" t="str">
        <f>[1]DemSlope!B45</f>
        <v>SNNPR</v>
      </c>
      <c r="C45">
        <f ca="1">[1]DemSlope!C45</f>
        <v>34.73582641550999</v>
      </c>
      <c r="D45">
        <f ca="1">[1]DemSlope!D45</f>
        <v>27.388930327622376</v>
      </c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x14ac:dyDescent="0.25">
      <c r="A46" t="str">
        <f>[1]DemSlope!A46</f>
        <v>Lentils</v>
      </c>
      <c r="B46" t="str">
        <f>[1]DemSlope!B46</f>
        <v>Tigray</v>
      </c>
      <c r="C46">
        <f ca="1">[1]DemSlope!C46</f>
        <v>25.55968479871305</v>
      </c>
      <c r="D46">
        <f ca="1">[1]DemSlope!D46</f>
        <v>28.978217736933523</v>
      </c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x14ac:dyDescent="0.25">
      <c r="A47" t="str">
        <f>[1]DemSlope!A47</f>
        <v>Vegetables</v>
      </c>
      <c r="B47" t="str">
        <f>[1]DemSlope!B47</f>
        <v>AddisAbaba</v>
      </c>
      <c r="C47">
        <f ca="1">[1]DemSlope!C47</f>
        <v>25.820851403783522</v>
      </c>
      <c r="D47">
        <f ca="1">[1]DemSlope!D47</f>
        <v>27.018306650588585</v>
      </c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 x14ac:dyDescent="0.25">
      <c r="A48" t="str">
        <f>[1]DemSlope!A48</f>
        <v>Vegetables</v>
      </c>
      <c r="B48" t="str">
        <f>[1]DemSlope!B48</f>
        <v>Afar</v>
      </c>
      <c r="C48">
        <f ca="1">[1]DemSlope!C48</f>
        <v>29.423946342504795</v>
      </c>
      <c r="D48">
        <f ca="1">[1]DemSlope!D48</f>
        <v>31.446357351375202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 x14ac:dyDescent="0.25">
      <c r="A49" t="str">
        <f>[1]DemSlope!A49</f>
        <v>Vegetables</v>
      </c>
      <c r="B49" t="str">
        <f>[1]DemSlope!B49</f>
        <v>Amhara</v>
      </c>
      <c r="C49">
        <f ca="1">[1]DemSlope!C49</f>
        <v>32.769846645305208</v>
      </c>
      <c r="D49">
        <f ca="1">[1]DemSlope!D49</f>
        <v>27.909996341092786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 x14ac:dyDescent="0.25">
      <c r="A50" t="str">
        <f>[1]DemSlope!A50</f>
        <v>Vegetables</v>
      </c>
      <c r="B50" t="str">
        <f>[1]DemSlope!B50</f>
        <v>Gumuz</v>
      </c>
      <c r="C50">
        <f ca="1">[1]DemSlope!C50</f>
        <v>27.284008029156848</v>
      </c>
      <c r="D50">
        <f ca="1">[1]DemSlope!D50</f>
        <v>29.410604658664102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 x14ac:dyDescent="0.25">
      <c r="A51" t="str">
        <f>[1]DemSlope!A51</f>
        <v>Vegetables</v>
      </c>
      <c r="B51" t="str">
        <f>[1]DemSlope!B51</f>
        <v>DireDawa</v>
      </c>
      <c r="C51">
        <f ca="1">[1]DemSlope!C51</f>
        <v>26.017059069830893</v>
      </c>
      <c r="D51">
        <f ca="1">[1]DemSlope!D51</f>
        <v>29.677876926921503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 x14ac:dyDescent="0.25">
      <c r="A52" t="str">
        <f>[1]DemSlope!A52</f>
        <v>Vegetables</v>
      </c>
      <c r="B52" t="str">
        <f>[1]DemSlope!B52</f>
        <v>Gambela</v>
      </c>
      <c r="C52">
        <f ca="1">[1]DemSlope!C52</f>
        <v>29.521476051687607</v>
      </c>
      <c r="D52">
        <f ca="1">[1]DemSlope!D52</f>
        <v>33.745080373799873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 x14ac:dyDescent="0.25">
      <c r="A53" t="str">
        <f>[1]DemSlope!A53</f>
        <v>Vegetables</v>
      </c>
      <c r="B53" t="str">
        <f>[1]DemSlope!B53</f>
        <v>Harari</v>
      </c>
      <c r="C53">
        <f ca="1">[1]DemSlope!C53</f>
        <v>33.416896740553845</v>
      </c>
      <c r="D53">
        <f ca="1">[1]DemSlope!D53</f>
        <v>25.674613721605812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 x14ac:dyDescent="0.25">
      <c r="A54" t="str">
        <f>[1]DemSlope!A54</f>
        <v>Vegetables</v>
      </c>
      <c r="B54" t="str">
        <f>[1]DemSlope!B54</f>
        <v>Oromia</v>
      </c>
      <c r="C54">
        <f ca="1">[1]DemSlope!C54</f>
        <v>33.739942928228203</v>
      </c>
      <c r="D54">
        <f ca="1">[1]DemSlope!D54</f>
        <v>26.132472046946219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 x14ac:dyDescent="0.25">
      <c r="A55" t="str">
        <f>[1]DemSlope!A55</f>
        <v>Vegetables</v>
      </c>
      <c r="B55" t="str">
        <f>[1]DemSlope!B55</f>
        <v>Somali</v>
      </c>
      <c r="C55">
        <f ca="1">[1]DemSlope!C55</f>
        <v>27.572446741656282</v>
      </c>
      <c r="D55">
        <f ca="1">[1]DemSlope!D55</f>
        <v>34.313340286202219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1:34" x14ac:dyDescent="0.25">
      <c r="A56" t="str">
        <f>[1]DemSlope!A56</f>
        <v>Vegetables</v>
      </c>
      <c r="B56" t="str">
        <f>[1]DemSlope!B56</f>
        <v>SNNPR</v>
      </c>
      <c r="C56">
        <f ca="1">[1]DemSlope!C56</f>
        <v>30.129838723323807</v>
      </c>
      <c r="D56">
        <f ca="1">[1]DemSlope!D56</f>
        <v>33.686175381058433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4" x14ac:dyDescent="0.25">
      <c r="A57" t="str">
        <f>[1]DemSlope!A57</f>
        <v>Vegetables</v>
      </c>
      <c r="B57" t="str">
        <f>[1]DemSlope!B57</f>
        <v>Tigray</v>
      </c>
      <c r="C57">
        <f ca="1">[1]DemSlope!C57</f>
        <v>34.444554951624852</v>
      </c>
      <c r="D57">
        <f ca="1">[1]DemSlope!D57</f>
        <v>26.838440422300764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 x14ac:dyDescent="0.25">
      <c r="A58" t="str">
        <f>[1]DemSlope!A58</f>
        <v>Coffee</v>
      </c>
      <c r="B58" t="str">
        <f>[1]DemSlope!B58</f>
        <v>AddisAbaba</v>
      </c>
      <c r="C58">
        <f ca="1">[1]DemSlope!C58</f>
        <v>25.419829457333041</v>
      </c>
      <c r="D58">
        <f ca="1">[1]DemSlope!D58</f>
        <v>27.884561118304894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 x14ac:dyDescent="0.25">
      <c r="A59" t="str">
        <f>[1]DemSlope!A59</f>
        <v>Coffee</v>
      </c>
      <c r="B59" t="str">
        <f>[1]DemSlope!B59</f>
        <v>Afar</v>
      </c>
      <c r="C59">
        <f ca="1">[1]DemSlope!C59</f>
        <v>31.877478316873425</v>
      </c>
      <c r="D59">
        <f ca="1">[1]DemSlope!D59</f>
        <v>32.008324487543163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 x14ac:dyDescent="0.25">
      <c r="A60" t="str">
        <f>[1]DemSlope!A60</f>
        <v>Coffee</v>
      </c>
      <c r="B60" t="str">
        <f>[1]DemSlope!B60</f>
        <v>Amhara</v>
      </c>
      <c r="C60">
        <f ca="1">[1]DemSlope!C60</f>
        <v>27.35666570543545</v>
      </c>
      <c r="D60">
        <f ca="1">[1]DemSlope!D60</f>
        <v>34.63734499393847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 x14ac:dyDescent="0.25">
      <c r="A61" t="str">
        <f>[1]DemSlope!A61</f>
        <v>Coffee</v>
      </c>
      <c r="B61" t="str">
        <f>[1]DemSlope!B61</f>
        <v>Gumuz</v>
      </c>
      <c r="C61">
        <f ca="1">[1]DemSlope!C61</f>
        <v>28.174091736756218</v>
      </c>
      <c r="D61">
        <f ca="1">[1]DemSlope!D61</f>
        <v>34.171910755408646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x14ac:dyDescent="0.25">
      <c r="A62" t="str">
        <f>[1]DemSlope!A62</f>
        <v>Coffee</v>
      </c>
      <c r="B62" t="str">
        <f>[1]DemSlope!B62</f>
        <v>DireDawa</v>
      </c>
      <c r="C62">
        <f ca="1">[1]DemSlope!C62</f>
        <v>26.43129853032594</v>
      </c>
      <c r="D62">
        <f ca="1">[1]DemSlope!D62</f>
        <v>29.723941955337313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x14ac:dyDescent="0.25">
      <c r="A63" t="str">
        <f>[1]DemSlope!A63</f>
        <v>Coffee</v>
      </c>
      <c r="B63" t="str">
        <f>[1]DemSlope!B63</f>
        <v>Gambela</v>
      </c>
      <c r="C63">
        <f ca="1">[1]DemSlope!C63</f>
        <v>31.163674613987805</v>
      </c>
      <c r="D63">
        <f ca="1">[1]DemSlope!D63</f>
        <v>33.558244651789686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x14ac:dyDescent="0.25">
      <c r="A64" t="str">
        <f>[1]DemSlope!A64</f>
        <v>Coffee</v>
      </c>
      <c r="B64" t="str">
        <f>[1]DemSlope!B64</f>
        <v>Harari</v>
      </c>
      <c r="C64">
        <f ca="1">[1]DemSlope!C64</f>
        <v>25.297137182170076</v>
      </c>
      <c r="D64">
        <f ca="1">[1]DemSlope!D64</f>
        <v>32.553569175349679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x14ac:dyDescent="0.25">
      <c r="A65" t="str">
        <f>[1]DemSlope!A65</f>
        <v>Coffee</v>
      </c>
      <c r="B65" t="str">
        <f>[1]DemSlope!B65</f>
        <v>Oromia</v>
      </c>
      <c r="C65">
        <f ca="1">[1]DemSlope!C65</f>
        <v>30.292509734249435</v>
      </c>
      <c r="D65">
        <f ca="1">[1]DemSlope!D65</f>
        <v>25.861079429090847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x14ac:dyDescent="0.25">
      <c r="A66" t="str">
        <f>[1]DemSlope!A66</f>
        <v>Coffee</v>
      </c>
      <c r="B66" t="str">
        <f>[1]DemSlope!B66</f>
        <v>Somali</v>
      </c>
      <c r="C66">
        <f ca="1">[1]DemSlope!C66</f>
        <v>33.307449955960521</v>
      </c>
      <c r="D66">
        <f ca="1">[1]DemSlope!D66</f>
        <v>27.261316275822487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x14ac:dyDescent="0.25">
      <c r="A67" t="str">
        <f>[1]DemSlope!A67</f>
        <v>Coffee</v>
      </c>
      <c r="B67" t="str">
        <f>[1]DemSlope!B67</f>
        <v>SNNPR</v>
      </c>
      <c r="C67">
        <f ca="1">[1]DemSlope!C67</f>
        <v>29.938045825724039</v>
      </c>
      <c r="D67">
        <f ca="1">[1]DemSlope!D67</f>
        <v>33.166167828990609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x14ac:dyDescent="0.25">
      <c r="A68" t="str">
        <f>[1]DemSlope!A68</f>
        <v>Coffee</v>
      </c>
      <c r="B68" t="str">
        <f>[1]DemSlope!B68</f>
        <v>Tigray</v>
      </c>
      <c r="C68">
        <f ca="1">[1]DemSlope!C68</f>
        <v>29.822531954805875</v>
      </c>
      <c r="D68">
        <f ca="1">[1]DemSlope!D68</f>
        <v>29.540868335132817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</sheetData>
  <pageMargins left="0.75" right="0.75" top="1" bottom="1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3"/>
  <sheetViews>
    <sheetView zoomScale="85" zoomScaleNormal="85" workbookViewId="0">
      <selection activeCell="B3" sqref="B3:C13"/>
    </sheetView>
  </sheetViews>
  <sheetFormatPr defaultRowHeight="15.75" x14ac:dyDescent="0.25"/>
  <cols>
    <col min="1" max="1" width="10.75" bestFit="1" customWidth="1"/>
  </cols>
  <sheetData>
    <row r="1" spans="1:3" x14ac:dyDescent="0.25">
      <c r="B1" t="str">
        <f>[1]Elec!B1</f>
        <v>Belg</v>
      </c>
      <c r="C1" t="str">
        <f>[1]Elec!C1</f>
        <v>Kremt</v>
      </c>
    </row>
    <row r="2" spans="1:3" x14ac:dyDescent="0.25">
      <c r="B2">
        <f>[1]Elec!B2</f>
        <v>2015</v>
      </c>
      <c r="C2">
        <f>[1]Elec!C2</f>
        <v>2015</v>
      </c>
    </row>
    <row r="3" spans="1:3" x14ac:dyDescent="0.25">
      <c r="A3" t="str">
        <f>[1]Elec!A3</f>
        <v>AddisAbaba</v>
      </c>
      <c r="B3" s="2">
        <f ca="1">[1]Elec!B3</f>
        <v>502.83740947898048</v>
      </c>
      <c r="C3" s="2">
        <f ca="1">[1]Elec!C3</f>
        <v>412.16288769145348</v>
      </c>
    </row>
    <row r="4" spans="1:3" x14ac:dyDescent="0.25">
      <c r="A4" t="str">
        <f>[1]Elec!A4</f>
        <v>Afar</v>
      </c>
      <c r="B4" s="2">
        <f ca="1">[1]Elec!B4</f>
        <v>50.643328883326383</v>
      </c>
      <c r="C4" s="2">
        <f ca="1">[1]Elec!C4</f>
        <v>41.267157891648509</v>
      </c>
    </row>
    <row r="5" spans="1:3" x14ac:dyDescent="0.25">
      <c r="A5" t="str">
        <f>[1]Elec!A5</f>
        <v>Amhara</v>
      </c>
      <c r="B5" s="2">
        <f ca="1">[1]Elec!B5</f>
        <v>50.51293660465987</v>
      </c>
      <c r="C5" s="2">
        <f ca="1">[1]Elec!C5</f>
        <v>44.871039298997403</v>
      </c>
    </row>
    <row r="6" spans="1:3" x14ac:dyDescent="0.25">
      <c r="A6" t="str">
        <f>[1]Elec!A6</f>
        <v>Gumuz</v>
      </c>
      <c r="B6" s="2">
        <f ca="1">[1]Elec!B6</f>
        <v>54.818360695559967</v>
      </c>
      <c r="C6" s="2">
        <f ca="1">[1]Elec!C6</f>
        <v>42.559439609920837</v>
      </c>
    </row>
    <row r="7" spans="1:3" x14ac:dyDescent="0.25">
      <c r="A7" t="str">
        <f>[1]Elec!A7</f>
        <v>DireDawa</v>
      </c>
      <c r="B7" s="2">
        <f ca="1">[1]Elec!B7</f>
        <v>55.058970514203153</v>
      </c>
      <c r="C7" s="2">
        <f ca="1">[1]Elec!C7</f>
        <v>40.660869489016065</v>
      </c>
    </row>
    <row r="8" spans="1:3" x14ac:dyDescent="0.25">
      <c r="A8" t="str">
        <f>[1]Elec!A8</f>
        <v>Gambela</v>
      </c>
      <c r="B8" s="2">
        <f ca="1">[1]Elec!B8</f>
        <v>52.328743549530778</v>
      </c>
      <c r="C8" s="2">
        <f ca="1">[1]Elec!C8</f>
        <v>41.173254390453813</v>
      </c>
    </row>
    <row r="9" spans="1:3" x14ac:dyDescent="0.25">
      <c r="A9" t="str">
        <f>[1]Elec!A9</f>
        <v>Harari</v>
      </c>
      <c r="B9" s="2">
        <f ca="1">[1]Elec!B9</f>
        <v>55.761639753017803</v>
      </c>
      <c r="C9" s="2">
        <f ca="1">[1]Elec!C9</f>
        <v>44.903358273932149</v>
      </c>
    </row>
    <row r="10" spans="1:3" x14ac:dyDescent="0.25">
      <c r="A10" t="str">
        <f>[1]Elec!A10</f>
        <v>Oromia</v>
      </c>
      <c r="B10" s="2">
        <f ca="1">[1]Elec!B10</f>
        <v>54.090468816472786</v>
      </c>
      <c r="C10" s="2">
        <f ca="1">[1]Elec!C10</f>
        <v>43.725141652674154</v>
      </c>
    </row>
    <row r="11" spans="1:3" x14ac:dyDescent="0.25">
      <c r="A11" t="str">
        <f>[1]Elec!A11</f>
        <v>Somali</v>
      </c>
      <c r="B11" s="2">
        <f ca="1">[1]Elec!B11</f>
        <v>56.864819931232837</v>
      </c>
      <c r="C11" s="2">
        <f ca="1">[1]Elec!C11</f>
        <v>42.864524548297737</v>
      </c>
    </row>
    <row r="12" spans="1:3" x14ac:dyDescent="0.25">
      <c r="A12" t="str">
        <f>[1]Elec!A12</f>
        <v>SNNPR</v>
      </c>
      <c r="B12" s="2">
        <f ca="1">[1]Elec!B12</f>
        <v>50.375015862955166</v>
      </c>
      <c r="C12" s="2">
        <f ca="1">[1]Elec!C12</f>
        <v>40.140738913733202</v>
      </c>
    </row>
    <row r="13" spans="1:3" x14ac:dyDescent="0.25">
      <c r="A13" t="str">
        <f>[1]Elec!A13</f>
        <v>Tigray</v>
      </c>
      <c r="B13" s="2">
        <f ca="1">[1]Elec!B13</f>
        <v>51.74171476187054</v>
      </c>
      <c r="C13" s="2">
        <f ca="1">[1]Elec!C13</f>
        <v>41.277298228569919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index</vt:lpstr>
      <vt:lpstr>sets</vt:lpstr>
      <vt:lpstr>Cattle</vt:lpstr>
      <vt:lpstr>Roads</vt:lpstr>
      <vt:lpstr>ElecLine</vt:lpstr>
      <vt:lpstr>DiscFact</vt:lpstr>
      <vt:lpstr>Crop</vt:lpstr>
      <vt:lpstr>CYF</vt:lpstr>
      <vt:lpstr>aFAO</vt:lpstr>
      <vt:lpstr>DemInt</vt:lpstr>
      <vt:lpstr>DemSlope</vt:lpstr>
      <vt:lpstr>Elec</vt:lpstr>
      <vt:lpstr>Crops</vt:lpstr>
      <vt:lpstr>Food</vt:lpstr>
      <vt:lpstr>Nodes</vt:lpstr>
      <vt:lpstr>ElecLine!RoadList</vt:lpstr>
      <vt:lpstr>RoadList</vt:lpstr>
      <vt:lpstr>Seasons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Sriram Sankaranarayanan</dc:creator>
  <cp:lastModifiedBy>Sriram</cp:lastModifiedBy>
  <dcterms:created xsi:type="dcterms:W3CDTF">2017-04-05T21:54:55Z</dcterms:created>
  <dcterms:modified xsi:type="dcterms:W3CDTF">2017-07-30T20:09:39Z</dcterms:modified>
</cp:coreProperties>
</file>