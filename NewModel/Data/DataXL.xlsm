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riram\GDrive\Work\Research\Code\Food\NewModel\Data\"/>
    </mc:Choice>
  </mc:AlternateContent>
  <bookViews>
    <workbookView xWindow="0" yWindow="465" windowWidth="20220" windowHeight="7065" tabRatio="500" activeTab="7"/>
  </bookViews>
  <sheets>
    <sheet name="index" sheetId="1" r:id="rId1"/>
    <sheet name="sets" sheetId="3" r:id="rId2"/>
    <sheet name="Roads" sheetId="5" r:id="rId3"/>
    <sheet name="ElecLine" sheetId="10" r:id="rId4"/>
    <sheet name="DiscFact" sheetId="6" r:id="rId5"/>
    <sheet name="CYF" sheetId="4" r:id="rId6"/>
    <sheet name="aFAO" sheetId="12" r:id="rId7"/>
    <sheet name="Crop" sheetId="7" r:id="rId8"/>
    <sheet name="Cattle" sheetId="8" r:id="rId9"/>
    <sheet name="Elec" sheetId="9" r:id="rId10"/>
  </sheets>
  <definedNames>
    <definedName name="_xlnm._FilterDatabase" localSheetId="3" hidden="1">ElecLine!$A$21:$B$86</definedName>
    <definedName name="_xlnm._FilterDatabase" localSheetId="0" hidden="1">index!$A$1:$E$27</definedName>
    <definedName name="_xlnm._FilterDatabase" localSheetId="2" hidden="1">Roads!$A$21:$B$86</definedName>
    <definedName name="_xlnm._FilterDatabase" localSheetId="1" hidden="1">sets!$F$2:$F$13</definedName>
    <definedName name="Crops">sets!$J$3:$J$62</definedName>
    <definedName name="Food">sets!$H$3:$H$62</definedName>
    <definedName name="Nodes">sets!$F$3:$F$62</definedName>
    <definedName name="RoadList" localSheetId="3">ElecLine!$A$21</definedName>
    <definedName name="RoadList">Roads!$A$21</definedName>
    <definedName name="Seasons">sets!$D$3:$D$62</definedName>
    <definedName name="Years">sets!$B$3:$B$62</definedName>
  </definedNames>
  <calcPr calcId="171027" concurrentCalc="0"/>
</workbook>
</file>

<file path=xl/calcChain.xml><?xml version="1.0" encoding="utf-8"?>
<calcChain xmlns="http://schemas.openxmlformats.org/spreadsheetml/2006/main">
  <c r="C4" i="12" l="1"/>
  <c r="D4" i="12"/>
  <c r="E4" i="12"/>
  <c r="F4" i="12"/>
  <c r="G4" i="12"/>
  <c r="H4" i="12"/>
  <c r="C5" i="12"/>
  <c r="D5" i="12"/>
  <c r="E5" i="12"/>
  <c r="F5" i="12"/>
  <c r="G5" i="12"/>
  <c r="H5" i="12"/>
  <c r="C6" i="12"/>
  <c r="D6" i="12"/>
  <c r="E6" i="12"/>
  <c r="F6" i="12"/>
  <c r="G6" i="12"/>
  <c r="H6" i="12"/>
  <c r="C7" i="12"/>
  <c r="D7" i="12"/>
  <c r="E7" i="12"/>
  <c r="F7" i="12"/>
  <c r="G7" i="12"/>
  <c r="H7" i="12"/>
  <c r="C8" i="12"/>
  <c r="D8" i="12"/>
  <c r="E8" i="12"/>
  <c r="F8" i="12"/>
  <c r="G8" i="12"/>
  <c r="H8" i="12"/>
  <c r="C9" i="12"/>
  <c r="D9" i="12"/>
  <c r="E9" i="12"/>
  <c r="F9" i="12"/>
  <c r="G9" i="12"/>
  <c r="H9" i="12"/>
  <c r="C10" i="12"/>
  <c r="D10" i="12"/>
  <c r="E10" i="12"/>
  <c r="F10" i="12"/>
  <c r="G10" i="12"/>
  <c r="H10" i="12"/>
  <c r="C11" i="12"/>
  <c r="D11" i="12"/>
  <c r="E11" i="12"/>
  <c r="F11" i="12"/>
  <c r="G11" i="12"/>
  <c r="H11" i="12"/>
  <c r="C12" i="12"/>
  <c r="D12" i="12"/>
  <c r="E12" i="12"/>
  <c r="F12" i="12"/>
  <c r="G12" i="12"/>
  <c r="H12" i="12"/>
  <c r="C13" i="12"/>
  <c r="D13" i="12"/>
  <c r="E13" i="12"/>
  <c r="F13" i="12"/>
  <c r="G13" i="12"/>
  <c r="H13" i="12"/>
  <c r="C14" i="12"/>
  <c r="D14" i="12"/>
  <c r="E14" i="12"/>
  <c r="F14" i="12"/>
  <c r="G14" i="12"/>
  <c r="H14" i="12"/>
  <c r="D3" i="12"/>
  <c r="E3" i="12"/>
  <c r="F3" i="12"/>
  <c r="G3" i="12"/>
  <c r="H3" i="12"/>
  <c r="C3" i="12"/>
  <c r="B3" i="12" a="1"/>
  <c r="B5" i="12"/>
  <c r="B8" i="12"/>
  <c r="B11" i="12"/>
  <c r="B14" i="12"/>
  <c r="A5" i="12"/>
  <c r="A8" i="12"/>
  <c r="A11" i="12"/>
  <c r="A14" i="12"/>
  <c r="B4" i="12"/>
  <c r="B7" i="12"/>
  <c r="B10" i="12"/>
  <c r="B13" i="12"/>
  <c r="A4" i="12"/>
  <c r="A7" i="12"/>
  <c r="A10" i="12"/>
  <c r="A13" i="12"/>
  <c r="B3" i="12"/>
  <c r="B6" i="12"/>
  <c r="B9" i="12"/>
  <c r="B12" i="12"/>
  <c r="A3" i="12"/>
  <c r="A6" i="12"/>
  <c r="A9" i="12"/>
  <c r="A12" i="12"/>
  <c r="C2" i="12" a="1"/>
  <c r="D2" i="12"/>
  <c r="F2" i="12"/>
  <c r="H2" i="12"/>
  <c r="C2" i="12"/>
  <c r="E2" i="12"/>
  <c r="G2" i="12"/>
  <c r="F1" i="12"/>
  <c r="H1" i="12"/>
  <c r="E1" i="12"/>
  <c r="G1" i="12"/>
  <c r="C6" i="4"/>
  <c r="D6" i="4"/>
  <c r="E6" i="4"/>
  <c r="F6" i="4"/>
  <c r="G6" i="4"/>
  <c r="H6" i="4"/>
  <c r="C7" i="4"/>
  <c r="D7" i="4"/>
  <c r="E7" i="4"/>
  <c r="F7" i="4"/>
  <c r="G7" i="4"/>
  <c r="H7" i="4"/>
  <c r="C8" i="4"/>
  <c r="D8" i="4"/>
  <c r="E8" i="4"/>
  <c r="F8" i="4"/>
  <c r="G8" i="4"/>
  <c r="H8" i="4"/>
  <c r="C9" i="4"/>
  <c r="D9" i="4"/>
  <c r="E9" i="4"/>
  <c r="F9" i="4"/>
  <c r="G9" i="4"/>
  <c r="H9" i="4"/>
  <c r="C10" i="4"/>
  <c r="D10" i="4"/>
  <c r="E10" i="4"/>
  <c r="F10" i="4"/>
  <c r="G10" i="4"/>
  <c r="H10" i="4"/>
  <c r="C11" i="4"/>
  <c r="D11" i="4"/>
  <c r="E11" i="4"/>
  <c r="F11" i="4"/>
  <c r="G11" i="4"/>
  <c r="H11" i="4"/>
  <c r="C12" i="4"/>
  <c r="D12" i="4"/>
  <c r="E12" i="4"/>
  <c r="F12" i="4"/>
  <c r="G12" i="4"/>
  <c r="H12" i="4"/>
  <c r="C13" i="4"/>
  <c r="D13" i="4"/>
  <c r="E13" i="4"/>
  <c r="F13" i="4"/>
  <c r="G13" i="4"/>
  <c r="H13" i="4"/>
  <c r="C14" i="4"/>
  <c r="D14" i="4"/>
  <c r="E14" i="4"/>
  <c r="F14" i="4"/>
  <c r="G14" i="4"/>
  <c r="H14" i="4"/>
  <c r="A7" i="4"/>
  <c r="A10" i="4"/>
  <c r="A13" i="4"/>
  <c r="B3" i="4" a="1"/>
  <c r="B4" i="4"/>
  <c r="B7" i="4"/>
  <c r="B10" i="4"/>
  <c r="B13" i="4"/>
  <c r="A8" i="4"/>
  <c r="A11" i="4"/>
  <c r="A14" i="4"/>
  <c r="B5" i="4"/>
  <c r="B8" i="4"/>
  <c r="B11" i="4"/>
  <c r="B14" i="4"/>
  <c r="B3" i="4"/>
  <c r="B6" i="4"/>
  <c r="B9" i="4"/>
  <c r="B12" i="4"/>
  <c r="A6" i="4"/>
  <c r="A9" i="4"/>
  <c r="A12" i="4"/>
  <c r="A1" i="6" a="1"/>
  <c r="A1" i="6"/>
  <c r="A2" i="6"/>
  <c r="A3" i="6"/>
  <c r="AC4" i="10"/>
  <c r="P4" i="10"/>
  <c r="AD3" i="10"/>
  <c r="Q3" i="10"/>
  <c r="AD3" i="5"/>
  <c r="AC4" i="5"/>
  <c r="Q3" i="5"/>
  <c r="P4" i="5"/>
  <c r="I38" i="10" a="1"/>
  <c r="I38" i="10"/>
  <c r="I37" i="10" a="1"/>
  <c r="I37" i="10"/>
  <c r="I36" i="10" a="1"/>
  <c r="I36" i="10"/>
  <c r="I35" i="10" a="1"/>
  <c r="I35" i="10"/>
  <c r="J34" i="10"/>
  <c r="P33" i="10" a="1"/>
  <c r="P33" i="10"/>
  <c r="O33" i="10" a="1"/>
  <c r="O33" i="10"/>
  <c r="N33" i="10" a="1"/>
  <c r="N33" i="10"/>
  <c r="M33" i="10" a="1"/>
  <c r="M33" i="10"/>
  <c r="L33" i="10" a="1"/>
  <c r="L33" i="10"/>
  <c r="K33" i="10" a="1"/>
  <c r="K33" i="10"/>
  <c r="J33" i="10" a="1"/>
  <c r="J33" i="10"/>
  <c r="I33" i="10" a="1"/>
  <c r="I33" i="10"/>
  <c r="H33" i="10" a="1"/>
  <c r="H33" i="10"/>
  <c r="G33" i="10" a="1"/>
  <c r="G33" i="10"/>
  <c r="F33" i="10" a="1"/>
  <c r="F33" i="10"/>
  <c r="E23" i="10"/>
  <c r="E24" i="10"/>
  <c r="E25" i="10"/>
  <c r="E26" i="10"/>
  <c r="E27" i="10"/>
  <c r="E28" i="10"/>
  <c r="E29" i="10"/>
  <c r="E30" i="10"/>
  <c r="E31" i="10"/>
  <c r="E32" i="10"/>
  <c r="P32" i="10" a="1"/>
  <c r="P32" i="10"/>
  <c r="O32" i="10" a="1"/>
  <c r="O32" i="10"/>
  <c r="N32" i="10" a="1"/>
  <c r="N32" i="10"/>
  <c r="M32" i="10" a="1"/>
  <c r="M32" i="10"/>
  <c r="L32" i="10" a="1"/>
  <c r="L32" i="10"/>
  <c r="K32" i="10" a="1"/>
  <c r="K32" i="10"/>
  <c r="J32" i="10" a="1"/>
  <c r="J32" i="10"/>
  <c r="I32" i="10" a="1"/>
  <c r="I32" i="10"/>
  <c r="H32" i="10" a="1"/>
  <c r="H32" i="10"/>
  <c r="G32" i="10" a="1"/>
  <c r="G32" i="10"/>
  <c r="F32" i="10" a="1"/>
  <c r="F32" i="10"/>
  <c r="P31" i="10" a="1"/>
  <c r="P31" i="10"/>
  <c r="O31" i="10" a="1"/>
  <c r="O31" i="10"/>
  <c r="N31" i="10" a="1"/>
  <c r="N31" i="10"/>
  <c r="M31" i="10" a="1"/>
  <c r="M31" i="10"/>
  <c r="L31" i="10" a="1"/>
  <c r="L31" i="10"/>
  <c r="K31" i="10" a="1"/>
  <c r="K31" i="10"/>
  <c r="J31" i="10" a="1"/>
  <c r="J31" i="10"/>
  <c r="I31" i="10" a="1"/>
  <c r="I31" i="10"/>
  <c r="H31" i="10" a="1"/>
  <c r="H31" i="10"/>
  <c r="G31" i="10" a="1"/>
  <c r="G31" i="10"/>
  <c r="F31" i="10" a="1"/>
  <c r="F31" i="10"/>
  <c r="P30" i="10" a="1"/>
  <c r="P30" i="10"/>
  <c r="O30" i="10" a="1"/>
  <c r="O30" i="10"/>
  <c r="N30" i="10" a="1"/>
  <c r="N30" i="10"/>
  <c r="M30" i="10" a="1"/>
  <c r="M30" i="10"/>
  <c r="L30" i="10" a="1"/>
  <c r="L30" i="10"/>
  <c r="K30" i="10" a="1"/>
  <c r="K30" i="10"/>
  <c r="J30" i="10" a="1"/>
  <c r="J30" i="10"/>
  <c r="I30" i="10" a="1"/>
  <c r="I30" i="10"/>
  <c r="H30" i="10" a="1"/>
  <c r="H30" i="10"/>
  <c r="G30" i="10" a="1"/>
  <c r="G30" i="10"/>
  <c r="F30" i="10" a="1"/>
  <c r="F30" i="10"/>
  <c r="P29" i="10" a="1"/>
  <c r="P29" i="10"/>
  <c r="O29" i="10" a="1"/>
  <c r="O29" i="10"/>
  <c r="N29" i="10" a="1"/>
  <c r="N29" i="10"/>
  <c r="M29" i="10" a="1"/>
  <c r="M29" i="10"/>
  <c r="L29" i="10" a="1"/>
  <c r="L29" i="10"/>
  <c r="K29" i="10" a="1"/>
  <c r="K29" i="10"/>
  <c r="J29" i="10" a="1"/>
  <c r="J29" i="10"/>
  <c r="I29" i="10" a="1"/>
  <c r="I29" i="10"/>
  <c r="H29" i="10" a="1"/>
  <c r="H29" i="10"/>
  <c r="G29" i="10" a="1"/>
  <c r="G29" i="10"/>
  <c r="F29" i="10" a="1"/>
  <c r="F29" i="10"/>
  <c r="P28" i="10" a="1"/>
  <c r="P28" i="10"/>
  <c r="O28" i="10" a="1"/>
  <c r="O28" i="10"/>
  <c r="N28" i="10" a="1"/>
  <c r="N28" i="10"/>
  <c r="M28" i="10" a="1"/>
  <c r="M28" i="10"/>
  <c r="L28" i="10" a="1"/>
  <c r="L28" i="10"/>
  <c r="K28" i="10" a="1"/>
  <c r="K28" i="10"/>
  <c r="J28" i="10" a="1"/>
  <c r="J28" i="10"/>
  <c r="I28" i="10" a="1"/>
  <c r="I28" i="10"/>
  <c r="H28" i="10" a="1"/>
  <c r="H28" i="10"/>
  <c r="G28" i="10" a="1"/>
  <c r="G28" i="10"/>
  <c r="F28" i="10" a="1"/>
  <c r="F28" i="10"/>
  <c r="P27" i="10" a="1"/>
  <c r="P27" i="10"/>
  <c r="O27" i="10" a="1"/>
  <c r="O27" i="10"/>
  <c r="N27" i="10" a="1"/>
  <c r="N27" i="10"/>
  <c r="M27" i="10" a="1"/>
  <c r="M27" i="10"/>
  <c r="L27" i="10" a="1"/>
  <c r="L27" i="10"/>
  <c r="K27" i="10" a="1"/>
  <c r="K27" i="10"/>
  <c r="J27" i="10" a="1"/>
  <c r="J27" i="10"/>
  <c r="I27" i="10" a="1"/>
  <c r="I27" i="10"/>
  <c r="H27" i="10" a="1"/>
  <c r="H27" i="10"/>
  <c r="G27" i="10" a="1"/>
  <c r="G27" i="10"/>
  <c r="F27" i="10" a="1"/>
  <c r="F27" i="10"/>
  <c r="P26" i="10" a="1"/>
  <c r="P26" i="10"/>
  <c r="O26" i="10" a="1"/>
  <c r="O26" i="10"/>
  <c r="N26" i="10" a="1"/>
  <c r="N26" i="10"/>
  <c r="M26" i="10" a="1"/>
  <c r="M26" i="10"/>
  <c r="L26" i="10" a="1"/>
  <c r="L26" i="10"/>
  <c r="K26" i="10" a="1"/>
  <c r="K26" i="10"/>
  <c r="J26" i="10" a="1"/>
  <c r="J26" i="10"/>
  <c r="I26" i="10" a="1"/>
  <c r="I26" i="10"/>
  <c r="H26" i="10" a="1"/>
  <c r="H26" i="10"/>
  <c r="G26" i="10" a="1"/>
  <c r="G26" i="10"/>
  <c r="F26" i="10" a="1"/>
  <c r="F26" i="10"/>
  <c r="P25" i="10" a="1"/>
  <c r="P25" i="10"/>
  <c r="O25" i="10" a="1"/>
  <c r="O25" i="10"/>
  <c r="N25" i="10" a="1"/>
  <c r="N25" i="10"/>
  <c r="M25" i="10" a="1"/>
  <c r="M25" i="10"/>
  <c r="L25" i="10" a="1"/>
  <c r="L25" i="10"/>
  <c r="K25" i="10" a="1"/>
  <c r="K25" i="10"/>
  <c r="J25" i="10" a="1"/>
  <c r="J25" i="10"/>
  <c r="I25" i="10" a="1"/>
  <c r="I25" i="10"/>
  <c r="H25" i="10" a="1"/>
  <c r="H25" i="10"/>
  <c r="G25" i="10" a="1"/>
  <c r="G25" i="10"/>
  <c r="F25" i="10" a="1"/>
  <c r="F25" i="10"/>
  <c r="P24" i="10" a="1"/>
  <c r="P24" i="10"/>
  <c r="O24" i="10" a="1"/>
  <c r="O24" i="10"/>
  <c r="N24" i="10" a="1"/>
  <c r="N24" i="10"/>
  <c r="M24" i="10" a="1"/>
  <c r="M24" i="10"/>
  <c r="L24" i="10" a="1"/>
  <c r="L24" i="10"/>
  <c r="K24" i="10" a="1"/>
  <c r="K24" i="10"/>
  <c r="J24" i="10" a="1"/>
  <c r="J24" i="10"/>
  <c r="I24" i="10" a="1"/>
  <c r="I24" i="10"/>
  <c r="H24" i="10" a="1"/>
  <c r="H24" i="10"/>
  <c r="G24" i="10" a="1"/>
  <c r="G24" i="10"/>
  <c r="F24" i="10" a="1"/>
  <c r="F24" i="10"/>
  <c r="P23" i="10" a="1"/>
  <c r="P23" i="10"/>
  <c r="O23" i="10" a="1"/>
  <c r="O23" i="10"/>
  <c r="N23" i="10" a="1"/>
  <c r="N23" i="10"/>
  <c r="M23" i="10" a="1"/>
  <c r="M23" i="10"/>
  <c r="L23" i="10" a="1"/>
  <c r="L23" i="10"/>
  <c r="K23" i="10" a="1"/>
  <c r="K23" i="10"/>
  <c r="J23" i="10" a="1"/>
  <c r="J23" i="10"/>
  <c r="I23" i="10" a="1"/>
  <c r="I23" i="10"/>
  <c r="H23" i="10" a="1"/>
  <c r="H23" i="10"/>
  <c r="G23" i="10" a="1"/>
  <c r="G23" i="10"/>
  <c r="F23" i="10" a="1"/>
  <c r="F23" i="10"/>
  <c r="P22" i="10" a="1"/>
  <c r="P22" i="10"/>
  <c r="O22" i="10" a="1"/>
  <c r="O22" i="10"/>
  <c r="N22" i="10" a="1"/>
  <c r="N22" i="10"/>
  <c r="M22" i="10" a="1"/>
  <c r="M22" i="10"/>
  <c r="L22" i="10" a="1"/>
  <c r="L22" i="10"/>
  <c r="K22" i="10" a="1"/>
  <c r="K22" i="10"/>
  <c r="J22" i="10" a="1"/>
  <c r="J22" i="10"/>
  <c r="I22" i="10" a="1"/>
  <c r="I22" i="10"/>
  <c r="H22" i="10" a="1"/>
  <c r="H22" i="10"/>
  <c r="G22" i="10" a="1"/>
  <c r="G22" i="10"/>
  <c r="F22" i="10" a="1"/>
  <c r="F22" i="10"/>
  <c r="D4" i="10"/>
  <c r="C4" i="10"/>
  <c r="B4" i="10"/>
  <c r="D3" i="10"/>
  <c r="C3" i="10"/>
  <c r="B3" i="10"/>
  <c r="D2" i="10"/>
  <c r="C2" i="10"/>
  <c r="B2" i="10"/>
  <c r="B2" i="6"/>
  <c r="B3" i="6"/>
  <c r="B4" i="3"/>
  <c r="B5" i="3"/>
  <c r="F22" i="5" a="1"/>
  <c r="F22" i="5"/>
  <c r="E23" i="5"/>
  <c r="F23" i="5" a="1"/>
  <c r="F23" i="5"/>
  <c r="E24" i="5"/>
  <c r="F24" i="5" a="1"/>
  <c r="F24" i="5"/>
  <c r="E25" i="5"/>
  <c r="F25" i="5" a="1"/>
  <c r="F25" i="5"/>
  <c r="E26" i="5"/>
  <c r="F26" i="5" a="1"/>
  <c r="E27" i="5"/>
  <c r="F27" i="5" a="1"/>
  <c r="E28" i="5"/>
  <c r="F28" i="5" a="1"/>
  <c r="E29" i="5"/>
  <c r="F29" i="5" a="1"/>
  <c r="E30" i="5"/>
  <c r="F30" i="5" a="1"/>
  <c r="E31" i="5"/>
  <c r="F31" i="5" a="1"/>
  <c r="E32" i="5"/>
  <c r="F32" i="5" a="1"/>
  <c r="F33" i="5" a="1"/>
  <c r="F26" i="5"/>
  <c r="F27" i="5"/>
  <c r="F28" i="5"/>
  <c r="F29" i="5"/>
  <c r="F30" i="5"/>
  <c r="F31" i="5"/>
  <c r="F32" i="5"/>
  <c r="F33" i="5"/>
  <c r="B3" i="5"/>
  <c r="G22" i="5" a="1"/>
  <c r="G22" i="5"/>
  <c r="G23" i="5" a="1"/>
  <c r="G23" i="5"/>
  <c r="G24" i="5" a="1"/>
  <c r="G25" i="5" a="1"/>
  <c r="G26" i="5" a="1"/>
  <c r="G27" i="5" a="1"/>
  <c r="G28" i="5" a="1"/>
  <c r="G29" i="5" a="1"/>
  <c r="G30" i="5" a="1"/>
  <c r="G31" i="5" a="1"/>
  <c r="G32" i="5" a="1"/>
  <c r="G33" i="5" a="1"/>
  <c r="G24" i="5"/>
  <c r="G25" i="5"/>
  <c r="G26" i="5"/>
  <c r="G27" i="5"/>
  <c r="G28" i="5"/>
  <c r="G29" i="5"/>
  <c r="G30" i="5"/>
  <c r="G31" i="5"/>
  <c r="G32" i="5"/>
  <c r="G33" i="5"/>
  <c r="C3" i="5"/>
  <c r="H22" i="5" a="1"/>
  <c r="H22" i="5"/>
  <c r="H23" i="5" a="1"/>
  <c r="H23" i="5"/>
  <c r="H24" i="5" a="1"/>
  <c r="H25" i="5" a="1"/>
  <c r="H26" i="5" a="1"/>
  <c r="H27" i="5" a="1"/>
  <c r="H28" i="5" a="1"/>
  <c r="H29" i="5" a="1"/>
  <c r="H30" i="5" a="1"/>
  <c r="H31" i="5" a="1"/>
  <c r="H32" i="5" a="1"/>
  <c r="H33" i="5" a="1"/>
  <c r="H24" i="5"/>
  <c r="H25" i="5"/>
  <c r="H26" i="5"/>
  <c r="H27" i="5"/>
  <c r="H28" i="5"/>
  <c r="H29" i="5"/>
  <c r="H30" i="5"/>
  <c r="H31" i="5"/>
  <c r="H32" i="5"/>
  <c r="H33" i="5"/>
  <c r="D3" i="5"/>
  <c r="I22" i="5" a="1"/>
  <c r="I22" i="5"/>
  <c r="I23" i="5" a="1"/>
  <c r="I23" i="5"/>
  <c r="J34" i="5"/>
  <c r="J22" i="5" a="1"/>
  <c r="J22" i="5"/>
  <c r="J23" i="5" a="1"/>
  <c r="J23" i="5"/>
  <c r="J24" i="5" a="1"/>
  <c r="J25" i="5" a="1"/>
  <c r="J26" i="5" a="1"/>
  <c r="J27" i="5" a="1"/>
  <c r="J28" i="5" a="1"/>
  <c r="J29" i="5" a="1"/>
  <c r="J30" i="5" a="1"/>
  <c r="J31" i="5" a="1"/>
  <c r="J32" i="5" a="1"/>
  <c r="J33" i="5" a="1"/>
  <c r="J24" i="5"/>
  <c r="J25" i="5"/>
  <c r="J26" i="5"/>
  <c r="J27" i="5"/>
  <c r="J28" i="5"/>
  <c r="J29" i="5"/>
  <c r="J30" i="5"/>
  <c r="J31" i="5"/>
  <c r="J32" i="5"/>
  <c r="J33" i="5"/>
  <c r="K22" i="5" a="1"/>
  <c r="K22" i="5"/>
  <c r="K23" i="5" a="1"/>
  <c r="K23" i="5"/>
  <c r="K24" i="5" a="1"/>
  <c r="K25" i="5" a="1"/>
  <c r="K26" i="5" a="1"/>
  <c r="K27" i="5" a="1"/>
  <c r="K28" i="5" a="1"/>
  <c r="K29" i="5" a="1"/>
  <c r="K30" i="5" a="1"/>
  <c r="K31" i="5" a="1"/>
  <c r="K32" i="5" a="1"/>
  <c r="K33" i="5" a="1"/>
  <c r="K24" i="5"/>
  <c r="K25" i="5"/>
  <c r="K26" i="5"/>
  <c r="K27" i="5"/>
  <c r="K28" i="5"/>
  <c r="K29" i="5"/>
  <c r="K30" i="5"/>
  <c r="K31" i="5"/>
  <c r="K32" i="5"/>
  <c r="K33" i="5"/>
  <c r="L22" i="5" a="1"/>
  <c r="L22" i="5"/>
  <c r="L23" i="5" a="1"/>
  <c r="L23" i="5"/>
  <c r="L24" i="5" a="1"/>
  <c r="L25" i="5" a="1"/>
  <c r="L26" i="5" a="1"/>
  <c r="L27" i="5" a="1"/>
  <c r="L28" i="5" a="1"/>
  <c r="L29" i="5" a="1"/>
  <c r="L30" i="5" a="1"/>
  <c r="L31" i="5" a="1"/>
  <c r="L32" i="5" a="1"/>
  <c r="L33" i="5" a="1"/>
  <c r="L24" i="5"/>
  <c r="L25" i="5"/>
  <c r="L26" i="5"/>
  <c r="L27" i="5"/>
  <c r="L28" i="5"/>
  <c r="L29" i="5"/>
  <c r="L30" i="5"/>
  <c r="L31" i="5"/>
  <c r="L32" i="5"/>
  <c r="L33" i="5"/>
  <c r="M22" i="5" a="1"/>
  <c r="M22" i="5"/>
  <c r="M23" i="5" a="1"/>
  <c r="M23" i="5"/>
  <c r="M24" i="5" a="1"/>
  <c r="M25" i="5" a="1"/>
  <c r="M26" i="5" a="1"/>
  <c r="M27" i="5" a="1"/>
  <c r="M28" i="5" a="1"/>
  <c r="M29" i="5" a="1"/>
  <c r="M30" i="5" a="1"/>
  <c r="M31" i="5" a="1"/>
  <c r="M32" i="5" a="1"/>
  <c r="M33" i="5" a="1"/>
  <c r="M24" i="5"/>
  <c r="M25" i="5"/>
  <c r="M26" i="5"/>
  <c r="M27" i="5"/>
  <c r="M28" i="5"/>
  <c r="M29" i="5"/>
  <c r="M30" i="5"/>
  <c r="M31" i="5"/>
  <c r="M32" i="5"/>
  <c r="M33" i="5"/>
  <c r="N22" i="5" a="1"/>
  <c r="N22" i="5"/>
  <c r="N23" i="5" a="1"/>
  <c r="N23" i="5"/>
  <c r="N24" i="5" a="1"/>
  <c r="N25" i="5" a="1"/>
  <c r="N26" i="5" a="1"/>
  <c r="N27" i="5" a="1"/>
  <c r="N28" i="5" a="1"/>
  <c r="N29" i="5" a="1"/>
  <c r="N30" i="5" a="1"/>
  <c r="N31" i="5" a="1"/>
  <c r="N32" i="5" a="1"/>
  <c r="N33" i="5" a="1"/>
  <c r="N24" i="5"/>
  <c r="N25" i="5"/>
  <c r="N26" i="5"/>
  <c r="N27" i="5"/>
  <c r="N28" i="5"/>
  <c r="N29" i="5"/>
  <c r="N30" i="5"/>
  <c r="N31" i="5"/>
  <c r="N32" i="5"/>
  <c r="N33" i="5"/>
  <c r="O22" i="5" a="1"/>
  <c r="O22" i="5"/>
  <c r="O23" i="5" a="1"/>
  <c r="O23" i="5"/>
  <c r="O24" i="5" a="1"/>
  <c r="O25" i="5" a="1"/>
  <c r="O26" i="5" a="1"/>
  <c r="O27" i="5" a="1"/>
  <c r="O28" i="5" a="1"/>
  <c r="O29" i="5" a="1"/>
  <c r="O30" i="5" a="1"/>
  <c r="O31" i="5" a="1"/>
  <c r="O32" i="5" a="1"/>
  <c r="O33" i="5" a="1"/>
  <c r="O24" i="5"/>
  <c r="O25" i="5"/>
  <c r="O26" i="5"/>
  <c r="O27" i="5"/>
  <c r="O28" i="5"/>
  <c r="O29" i="5"/>
  <c r="O30" i="5"/>
  <c r="O31" i="5"/>
  <c r="O32" i="5"/>
  <c r="O33" i="5"/>
  <c r="P22" i="5" a="1"/>
  <c r="P22" i="5"/>
  <c r="P23" i="5" a="1"/>
  <c r="P23" i="5"/>
  <c r="P24" i="5" a="1"/>
  <c r="P25" i="5" a="1"/>
  <c r="P26" i="5" a="1"/>
  <c r="P27" i="5" a="1"/>
  <c r="P28" i="5" a="1"/>
  <c r="P29" i="5" a="1"/>
  <c r="P30" i="5" a="1"/>
  <c r="P31" i="5" a="1"/>
  <c r="P32" i="5" a="1"/>
  <c r="P33" i="5" a="1"/>
  <c r="P24" i="5"/>
  <c r="P25" i="5"/>
  <c r="P26" i="5"/>
  <c r="P27" i="5"/>
  <c r="P28" i="5"/>
  <c r="P29" i="5"/>
  <c r="P30" i="5"/>
  <c r="P31" i="5"/>
  <c r="P32" i="5"/>
  <c r="P33" i="5"/>
  <c r="B4" i="5"/>
  <c r="C4" i="5"/>
  <c r="D4" i="5"/>
  <c r="I24" i="5" a="1"/>
  <c r="I24" i="5"/>
  <c r="I35" i="5" a="1"/>
  <c r="I35" i="5"/>
  <c r="I36" i="5" a="1"/>
  <c r="I36" i="5"/>
  <c r="I37" i="5" a="1"/>
  <c r="I38" i="5" a="1"/>
  <c r="I37" i="5"/>
  <c r="I38" i="5"/>
  <c r="I25" i="5" a="1"/>
  <c r="I25" i="5"/>
  <c r="I26" i="5" a="1"/>
  <c r="I27" i="5" a="1"/>
  <c r="I28" i="5" a="1"/>
  <c r="I29" i="5" a="1"/>
  <c r="I30" i="5" a="1"/>
  <c r="I31" i="5" a="1"/>
  <c r="I32" i="5" a="1"/>
  <c r="I33" i="5" a="1"/>
  <c r="I26" i="5"/>
  <c r="I27" i="5"/>
  <c r="I28" i="5"/>
  <c r="I29" i="5"/>
  <c r="I30" i="5"/>
  <c r="I31" i="5"/>
  <c r="I32" i="5"/>
  <c r="I33" i="5"/>
  <c r="C2" i="5"/>
  <c r="D2" i="5"/>
  <c r="B2" i="5"/>
  <c r="C2" i="4" a="1"/>
  <c r="C2" i="4"/>
  <c r="C2" i="7"/>
  <c r="D2" i="4"/>
  <c r="D2" i="7"/>
  <c r="E2" i="4"/>
  <c r="E2" i="7"/>
  <c r="F2" i="4"/>
  <c r="F2" i="7"/>
  <c r="G2" i="4"/>
  <c r="G2" i="7"/>
  <c r="H2" i="4"/>
  <c r="H2" i="7"/>
  <c r="D1" i="7"/>
  <c r="E1" i="4"/>
  <c r="E1" i="7"/>
  <c r="F1" i="4"/>
  <c r="F1" i="7"/>
  <c r="G1" i="4"/>
  <c r="G1" i="7"/>
  <c r="H1" i="4"/>
  <c r="H1" i="7"/>
  <c r="C1" i="7"/>
  <c r="B3" i="7"/>
  <c r="B4" i="7"/>
  <c r="B5" i="7"/>
  <c r="B6" i="7"/>
  <c r="B7" i="7"/>
  <c r="B8" i="7"/>
  <c r="B9" i="7"/>
  <c r="B10" i="7"/>
  <c r="B11" i="7"/>
  <c r="B12" i="7"/>
  <c r="B13" i="7"/>
  <c r="A4" i="4"/>
  <c r="A4" i="7"/>
  <c r="A5" i="4"/>
  <c r="A5" i="7"/>
  <c r="A6" i="7"/>
  <c r="A7" i="7"/>
  <c r="A8" i="7"/>
  <c r="A9" i="7"/>
  <c r="A10" i="7"/>
  <c r="A3" i="4"/>
  <c r="A11" i="7"/>
  <c r="A12" i="7"/>
  <c r="A13" i="7"/>
  <c r="A3" i="7"/>
  <c r="C4" i="4"/>
  <c r="D4" i="4"/>
  <c r="E4" i="4"/>
  <c r="F4" i="4"/>
  <c r="G4" i="4"/>
  <c r="H4" i="4"/>
  <c r="C5" i="4"/>
  <c r="D5" i="4"/>
  <c r="E5" i="4"/>
  <c r="F5" i="4"/>
  <c r="G5" i="4"/>
  <c r="H5" i="4"/>
  <c r="D3" i="4"/>
  <c r="E3" i="4"/>
  <c r="F3" i="4"/>
  <c r="G3" i="4"/>
  <c r="H3" i="4"/>
  <c r="C3" i="4"/>
</calcChain>
</file>

<file path=xl/sharedStrings.xml><?xml version="1.0" encoding="utf-8"?>
<sst xmlns="http://schemas.openxmlformats.org/spreadsheetml/2006/main" count="482" uniqueCount="82">
  <si>
    <t>Years</t>
  </si>
  <si>
    <t>Seasons</t>
  </si>
  <si>
    <t>Belg</t>
  </si>
  <si>
    <t>Kremt</t>
  </si>
  <si>
    <t>Nodes</t>
  </si>
  <si>
    <t>AddisAbaba</t>
  </si>
  <si>
    <t>Afar</t>
  </si>
  <si>
    <t>Amhara</t>
  </si>
  <si>
    <t>Gumuz</t>
  </si>
  <si>
    <t>DireDawa</t>
  </si>
  <si>
    <t>Gambela</t>
  </si>
  <si>
    <t>Harari</t>
  </si>
  <si>
    <t>Oromia</t>
  </si>
  <si>
    <t>Somali</t>
  </si>
  <si>
    <t>Tigray</t>
  </si>
  <si>
    <t>Crops</t>
  </si>
  <si>
    <t>Teff</t>
  </si>
  <si>
    <t>SNNPR</t>
  </si>
  <si>
    <t>Sorghum</t>
  </si>
  <si>
    <t>Beef</t>
  </si>
  <si>
    <t>Milk</t>
  </si>
  <si>
    <t>set</t>
  </si>
  <si>
    <t>sets!B3</t>
  </si>
  <si>
    <t>sets!d3</t>
  </si>
  <si>
    <t>sets!f3</t>
  </si>
  <si>
    <t>sets!h3</t>
  </si>
  <si>
    <t>Food</t>
  </si>
  <si>
    <t>rdim</t>
  </si>
  <si>
    <t>cdim</t>
  </si>
  <si>
    <t>par</t>
  </si>
  <si>
    <t>CYF</t>
  </si>
  <si>
    <t>CYF!A1</t>
  </si>
  <si>
    <t>Roads!A1</t>
  </si>
  <si>
    <t>DiscFact</t>
  </si>
  <si>
    <t>DiscFact!A1</t>
  </si>
  <si>
    <t>C_convert</t>
  </si>
  <si>
    <t>C_chg</t>
  </si>
  <si>
    <t>Crop!A101</t>
  </si>
  <si>
    <t>Crop!A121</t>
  </si>
  <si>
    <t>Crop!A141</t>
  </si>
  <si>
    <t>Crop!A161</t>
  </si>
  <si>
    <t>pr_Hide</t>
  </si>
  <si>
    <t>Cattle!A1</t>
  </si>
  <si>
    <t>Yld_H</t>
  </si>
  <si>
    <t>Cattle!A21</t>
  </si>
  <si>
    <t>k</t>
  </si>
  <si>
    <t>kappa</t>
  </si>
  <si>
    <t>Cattle!A41</t>
  </si>
  <si>
    <t>Cattle!A61</t>
  </si>
  <si>
    <t>C_Cow</t>
  </si>
  <si>
    <t>Cattle!A81</t>
  </si>
  <si>
    <t>CowtranYr1</t>
  </si>
  <si>
    <t>Cattle!A101</t>
  </si>
  <si>
    <t>Cattle!A121</t>
  </si>
  <si>
    <t>InitCow</t>
  </si>
  <si>
    <t>Herdsize</t>
  </si>
  <si>
    <t>CowDeath</t>
  </si>
  <si>
    <t>2. Press the button below</t>
  </si>
  <si>
    <t>1. Select the region with the 1 and no's (along with heading)</t>
  </si>
  <si>
    <t>Start</t>
  </si>
  <si>
    <t>End</t>
  </si>
  <si>
    <t>TotArea</t>
  </si>
  <si>
    <t>Area_init</t>
  </si>
  <si>
    <t>Cattle!F121</t>
  </si>
  <si>
    <t>Cattle!K121</t>
  </si>
  <si>
    <t>Eline</t>
  </si>
  <si>
    <t>ElecLine!A1</t>
  </si>
  <si>
    <t>Cap_Road</t>
  </si>
  <si>
    <t>Roads!N1</t>
  </si>
  <si>
    <t>CF_Road_data</t>
  </si>
  <si>
    <t>Roads!AA1</t>
  </si>
  <si>
    <t>Node</t>
  </si>
  <si>
    <t>Year</t>
  </si>
  <si>
    <t>Season</t>
  </si>
  <si>
    <t>Crop</t>
  </si>
  <si>
    <t>Road</t>
  </si>
  <si>
    <t>FoodItem</t>
  </si>
  <si>
    <t>sets!j3</t>
  </si>
  <si>
    <t>aFAO</t>
  </si>
  <si>
    <t>aFAO!A1</t>
  </si>
  <si>
    <t>C_prod</t>
  </si>
  <si>
    <t>Crop!A1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</si>
</sst>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>
    <font>
      <sz val="12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b/>
      <sz val="12"/>
      <color theme="0" tint="-0.34998626667073579"/>
      <name val="Calibri"/>
      <family val="2"/>
      <scheme val="minor"/>
    </font>
    <font>
      <sz val="12"/>
      <color theme="0" tint="-0.34998626667073579"/>
      <name val="Inherit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0">
    <xf numFmtId="0" fontId="0" fillId="0" borderId="0" xfId="0"/>
    <xf numFmtId="0" fontId="2" fillId="0" borderId="0" xfId="0" applyFont="1"/>
    <xf numFmtId="4" fontId="0" fillId="0" borderId="0" xfId="0" applyNumberFormat="1"/>
    <xf numFmtId="3" fontId="0" fillId="0" borderId="0" xfId="0" applyNumberFormat="1"/>
    <xf numFmtId="0" fontId="0" fillId="0" borderId="0" xfId="0" applyFill="1"/>
    <xf numFmtId="0" fontId="1" fillId="2" borderId="1" xfId="1"/>
    <xf numFmtId="0" fontId="3" fillId="0" borderId="0" xfId="0" applyFont="1"/>
    <xf numFmtId="0" fontId="4" fillId="0" borderId="0" xfId="0" applyFont="1"/>
    <xf numFmtId="0" fontId="5" fillId="0" borderId="0" xfId="0" applyFont="1"/>
    <xf numFmtId="0" fontId="0" fillId="3" borderId="0" xfId="0" applyFill="1"/>
  </cellXfs>
  <cellStyles count="2">
    <cellStyle name="Input" xfId="1" builtinId="20"/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27"/>
  <sheetViews>
    <sheetView zoomScale="85" zoomScaleNormal="85" workbookViewId="0">
      <selection activeCell="F12" sqref="F12"/>
    </sheetView>
  </sheetViews>
  <sheetFormatPr defaultColWidth="11" defaultRowHeight="15.75"/>
  <cols>
    <col min="2" max="2" width="13.125" bestFit="1" customWidth="1"/>
  </cols>
  <sheetData>
    <row r="1" spans="1:5">
      <c r="D1" t="s">
        <v>27</v>
      </c>
      <c r="E1" t="s">
        <v>28</v>
      </c>
    </row>
    <row r="2" spans="1:5">
      <c r="A2" t="s">
        <v>29</v>
      </c>
      <c r="B2" s="9" t="s">
        <v>78</v>
      </c>
      <c r="C2" t="s">
        <v>79</v>
      </c>
      <c r="D2">
        <v>2</v>
      </c>
      <c r="E2">
        <v>2</v>
      </c>
    </row>
    <row r="3" spans="1:5">
      <c r="A3" t="s">
        <v>29</v>
      </c>
      <c r="B3" t="s">
        <v>41</v>
      </c>
      <c r="C3" t="s">
        <v>42</v>
      </c>
      <c r="D3">
        <v>1</v>
      </c>
      <c r="E3">
        <v>1</v>
      </c>
    </row>
    <row r="4" spans="1:5">
      <c r="A4" t="s">
        <v>29</v>
      </c>
      <c r="B4" t="s">
        <v>51</v>
      </c>
      <c r="C4" t="s">
        <v>52</v>
      </c>
      <c r="D4">
        <v>1</v>
      </c>
      <c r="E4">
        <v>1</v>
      </c>
    </row>
    <row r="5" spans="1:5">
      <c r="A5" t="s">
        <v>29</v>
      </c>
      <c r="B5" t="s">
        <v>54</v>
      </c>
      <c r="C5" t="s">
        <v>53</v>
      </c>
      <c r="D5">
        <v>1</v>
      </c>
      <c r="E5">
        <v>0</v>
      </c>
    </row>
    <row r="6" spans="1:5">
      <c r="A6" t="s">
        <v>29</v>
      </c>
      <c r="B6" t="s">
        <v>43</v>
      </c>
      <c r="C6" t="s">
        <v>44</v>
      </c>
      <c r="D6">
        <v>1</v>
      </c>
      <c r="E6">
        <v>1</v>
      </c>
    </row>
    <row r="7" spans="1:5">
      <c r="A7" t="s">
        <v>29</v>
      </c>
      <c r="B7" t="s">
        <v>45</v>
      </c>
      <c r="C7" t="s">
        <v>47</v>
      </c>
      <c r="D7">
        <v>1</v>
      </c>
      <c r="E7">
        <v>1</v>
      </c>
    </row>
    <row r="8" spans="1:5">
      <c r="A8" t="s">
        <v>29</v>
      </c>
      <c r="B8" t="s">
        <v>46</v>
      </c>
      <c r="C8" t="s">
        <v>48</v>
      </c>
      <c r="D8">
        <v>1</v>
      </c>
      <c r="E8">
        <v>1</v>
      </c>
    </row>
    <row r="9" spans="1:5">
      <c r="A9" t="s">
        <v>29</v>
      </c>
      <c r="B9" t="s">
        <v>49</v>
      </c>
      <c r="C9" t="s">
        <v>50</v>
      </c>
      <c r="D9">
        <v>1</v>
      </c>
      <c r="E9">
        <v>1</v>
      </c>
    </row>
    <row r="10" spans="1:5">
      <c r="A10" t="s">
        <v>29</v>
      </c>
      <c r="B10" t="s">
        <v>55</v>
      </c>
      <c r="C10" t="s">
        <v>63</v>
      </c>
      <c r="D10">
        <v>1</v>
      </c>
      <c r="E10">
        <v>0</v>
      </c>
    </row>
    <row r="11" spans="1:5">
      <c r="A11" t="s">
        <v>29</v>
      </c>
      <c r="B11" t="s">
        <v>56</v>
      </c>
      <c r="C11" t="s">
        <v>64</v>
      </c>
      <c r="D11">
        <v>1</v>
      </c>
      <c r="E11">
        <v>0</v>
      </c>
    </row>
    <row r="12" spans="1:5">
      <c r="A12" t="s">
        <v>29</v>
      </c>
      <c r="B12" t="s">
        <v>80</v>
      </c>
      <c r="C12" t="s">
        <v>81</v>
      </c>
      <c r="D12">
        <v>2</v>
      </c>
      <c r="E12">
        <v>2</v>
      </c>
    </row>
    <row r="13" spans="1:5">
      <c r="A13" t="s">
        <v>29</v>
      </c>
      <c r="B13" t="s">
        <v>35</v>
      </c>
      <c r="C13" t="s">
        <v>37</v>
      </c>
      <c r="D13">
        <v>1</v>
      </c>
      <c r="E13">
        <v>1</v>
      </c>
    </row>
    <row r="14" spans="1:5">
      <c r="A14" t="s">
        <v>29</v>
      </c>
      <c r="B14" t="s">
        <v>36</v>
      </c>
      <c r="C14" t="s">
        <v>38</v>
      </c>
      <c r="D14">
        <v>1</v>
      </c>
      <c r="E14">
        <v>1</v>
      </c>
    </row>
    <row r="15" spans="1:5">
      <c r="A15" t="s">
        <v>29</v>
      </c>
      <c r="B15" t="s">
        <v>61</v>
      </c>
      <c r="C15" t="s">
        <v>39</v>
      </c>
      <c r="D15">
        <v>1</v>
      </c>
      <c r="E15">
        <v>0</v>
      </c>
    </row>
    <row r="16" spans="1:5">
      <c r="A16" t="s">
        <v>29</v>
      </c>
      <c r="B16" t="s">
        <v>62</v>
      </c>
      <c r="C16" t="s">
        <v>40</v>
      </c>
      <c r="D16">
        <v>1</v>
      </c>
      <c r="E16">
        <v>1</v>
      </c>
    </row>
    <row r="17" spans="1:5">
      <c r="A17" t="s">
        <v>29</v>
      </c>
      <c r="B17" t="s">
        <v>30</v>
      </c>
      <c r="C17" t="s">
        <v>31</v>
      </c>
      <c r="D17">
        <v>2</v>
      </c>
      <c r="E17">
        <v>2</v>
      </c>
    </row>
    <row r="18" spans="1:5">
      <c r="A18" t="s">
        <v>29</v>
      </c>
      <c r="B18" t="s">
        <v>33</v>
      </c>
      <c r="C18" t="s">
        <v>34</v>
      </c>
      <c r="D18">
        <v>1</v>
      </c>
      <c r="E18">
        <v>0</v>
      </c>
    </row>
    <row r="19" spans="1:5">
      <c r="A19" t="s">
        <v>21</v>
      </c>
      <c r="B19" t="s">
        <v>65</v>
      </c>
      <c r="C19" t="s">
        <v>66</v>
      </c>
      <c r="D19">
        <v>1</v>
      </c>
      <c r="E19">
        <v>1</v>
      </c>
    </row>
    <row r="20" spans="1:5">
      <c r="A20" t="s">
        <v>21</v>
      </c>
      <c r="B20" t="s">
        <v>75</v>
      </c>
      <c r="C20" t="s">
        <v>32</v>
      </c>
      <c r="D20">
        <v>1</v>
      </c>
      <c r="E20">
        <v>1</v>
      </c>
    </row>
    <row r="21" spans="1:5">
      <c r="A21" t="s">
        <v>29</v>
      </c>
      <c r="B21" t="s">
        <v>69</v>
      </c>
      <c r="C21" t="s">
        <v>70</v>
      </c>
      <c r="D21">
        <v>1</v>
      </c>
      <c r="E21">
        <v>1</v>
      </c>
    </row>
    <row r="22" spans="1:5">
      <c r="A22" t="s">
        <v>29</v>
      </c>
      <c r="B22" t="s">
        <v>67</v>
      </c>
      <c r="C22" t="s">
        <v>68</v>
      </c>
      <c r="D22">
        <v>1</v>
      </c>
      <c r="E22">
        <v>1</v>
      </c>
    </row>
    <row r="23" spans="1:5">
      <c r="A23" t="s">
        <v>21</v>
      </c>
      <c r="B23" t="s">
        <v>72</v>
      </c>
      <c r="C23" t="s">
        <v>22</v>
      </c>
      <c r="D23">
        <v>1</v>
      </c>
      <c r="E23">
        <v>0</v>
      </c>
    </row>
    <row r="24" spans="1:5">
      <c r="A24" t="s">
        <v>21</v>
      </c>
      <c r="B24" t="s">
        <v>73</v>
      </c>
      <c r="C24" t="s">
        <v>23</v>
      </c>
      <c r="D24">
        <v>1</v>
      </c>
      <c r="E24">
        <v>0</v>
      </c>
    </row>
    <row r="25" spans="1:5">
      <c r="A25" t="s">
        <v>21</v>
      </c>
      <c r="B25" t="s">
        <v>71</v>
      </c>
      <c r="C25" t="s">
        <v>24</v>
      </c>
      <c r="D25">
        <v>1</v>
      </c>
      <c r="E25">
        <v>0</v>
      </c>
    </row>
    <row r="26" spans="1:5">
      <c r="A26" t="s">
        <v>21</v>
      </c>
      <c r="B26" t="s">
        <v>76</v>
      </c>
      <c r="C26" t="s">
        <v>25</v>
      </c>
      <c r="D26">
        <v>1</v>
      </c>
      <c r="E26">
        <v>0</v>
      </c>
    </row>
    <row r="27" spans="1:5">
      <c r="A27" t="s">
        <v>21</v>
      </c>
      <c r="B27" t="s">
        <v>74</v>
      </c>
      <c r="C27" t="s">
        <v>77</v>
      </c>
      <c r="D27">
        <v>1</v>
      </c>
      <c r="E27">
        <v>0</v>
      </c>
    </row>
  </sheetData>
  <autoFilter ref="A1:E27">
    <sortState ref="A2:E25">
      <sortCondition ref="C1:C25"/>
    </sortState>
  </autoFilter>
  <pageMargins left="0.75" right="0.75" top="1" bottom="1" header="0.3" footer="0.3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J6"/>
  <sheetViews>
    <sheetView zoomScale="85" zoomScaleNormal="85" workbookViewId="0">
      <selection activeCell="J5" sqref="J5:J8"/>
    </sheetView>
  </sheetViews>
  <sheetFormatPr defaultColWidth="11" defaultRowHeight="15.75"/>
  <sheetData>
    <row r="2" spans="2:10" s="1" customFormat="1">
      <c r="B2" s="1" t="s">
        <v>0</v>
      </c>
      <c r="D2" s="1" t="s">
        <v>1</v>
      </c>
      <c r="F2" s="1" t="s">
        <v>4</v>
      </c>
      <c r="H2" s="1" t="s">
        <v>26</v>
      </c>
      <c r="J2" s="1" t="s">
        <v>15</v>
      </c>
    </row>
    <row r="3" spans="2:10">
      <c r="B3">
        <v>2015</v>
      </c>
      <c r="D3" t="s">
        <v>2</v>
      </c>
      <c r="F3" t="s">
        <v>5</v>
      </c>
      <c r="H3" t="s">
        <v>16</v>
      </c>
      <c r="J3" t="s">
        <v>16</v>
      </c>
    </row>
    <row r="4" spans="2:10">
      <c r="B4">
        <f>B3+1</f>
        <v>2016</v>
      </c>
      <c r="D4" t="s">
        <v>3</v>
      </c>
      <c r="F4" t="s">
        <v>6</v>
      </c>
      <c r="H4" t="s">
        <v>18</v>
      </c>
      <c r="J4" t="s">
        <v>18</v>
      </c>
    </row>
    <row r="5" spans="2:10">
      <c r="B5">
        <f t="shared" ref="B5" si="0">B4+1</f>
        <v>2017</v>
      </c>
      <c r="F5" t="s">
        <v>7</v>
      </c>
      <c r="H5" t="s">
        <v>20</v>
      </c>
    </row>
    <row r="6" spans="2:10">
      <c r="H6" t="s">
        <v>19</v>
      </c>
    </row>
  </sheetData>
  <pageMargins left="0.75" right="0.75" top="1" bottom="1" header="0.3" footer="0.3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214"/>
  <sheetViews>
    <sheetView zoomScale="85" zoomScaleNormal="85" workbookViewId="0"/>
  </sheetViews>
  <sheetFormatPr defaultColWidth="8.875" defaultRowHeight="15.75"/>
  <cols>
    <col min="1" max="2" width="11.5" bestFit="1" customWidth="1"/>
  </cols>
  <sheetData>
    <row r="1" spans="1:30" s="1" customFormat="1">
      <c r="B1" s="1" t="s">
        <v>5</v>
      </c>
      <c r="C1" s="1" t="s">
        <v>6</v>
      </c>
      <c r="D1" s="1" t="s">
        <v>7</v>
      </c>
      <c r="O1" s="1" t="s">
        <v>5</v>
      </c>
      <c r="P1" s="1" t="s">
        <v>6</v>
      </c>
      <c r="Q1" s="1" t="s">
        <v>7</v>
      </c>
      <c r="AB1" s="1" t="s">
        <v>5</v>
      </c>
      <c r="AC1" s="1" t="s">
        <v>6</v>
      </c>
      <c r="AD1" s="1" t="s">
        <v>7</v>
      </c>
    </row>
    <row r="2" spans="1:30">
      <c r="A2" s="1" t="s">
        <v>5</v>
      </c>
      <c r="B2" s="4" t="str">
        <f>IF(ISERROR(MATCH($A2,F$22:F$330,0)),"No","Yes")</f>
        <v>No</v>
      </c>
      <c r="C2" s="4" t="str">
        <f t="shared" ref="C2:D2" si="0">IF(ISERROR(MATCH($A2,G$22:G$330,0)),"No","Yes")</f>
        <v>Yes</v>
      </c>
      <c r="D2" s="4" t="str">
        <f t="shared" si="0"/>
        <v>Yes</v>
      </c>
      <c r="E2" s="4"/>
      <c r="F2" s="4"/>
      <c r="G2" s="4"/>
      <c r="H2" s="4"/>
      <c r="I2" s="4"/>
      <c r="J2" s="4"/>
      <c r="K2" s="4"/>
      <c r="L2" s="4"/>
      <c r="N2" s="1" t="s">
        <v>5</v>
      </c>
      <c r="P2">
        <v>10</v>
      </c>
      <c r="Q2">
        <v>10</v>
      </c>
      <c r="AA2" s="1" t="s">
        <v>5</v>
      </c>
      <c r="AC2">
        <v>500</v>
      </c>
      <c r="AD2">
        <v>500</v>
      </c>
    </row>
    <row r="3" spans="1:30">
      <c r="A3" s="1" t="s">
        <v>6</v>
      </c>
      <c r="B3" s="4" t="str">
        <f t="shared" ref="B3:B4" si="1">IF(ISERROR(MATCH($A3,F$22:F$330,0)),"No","Yes")</f>
        <v>Yes</v>
      </c>
      <c r="C3" s="4" t="str">
        <f t="shared" ref="C3:C4" si="2">IF(ISERROR(MATCH($A3,G$22:G$330,0)),"No","Yes")</f>
        <v>No</v>
      </c>
      <c r="D3" s="4" t="str">
        <f t="shared" ref="D3:D4" si="3">IF(ISERROR(MATCH($A3,H$22:H$330,0)),"No","Yes")</f>
        <v>No</v>
      </c>
      <c r="E3" s="4"/>
      <c r="F3" s="4"/>
      <c r="G3" s="4"/>
      <c r="H3" s="4"/>
      <c r="I3" s="4"/>
      <c r="J3" s="4"/>
      <c r="K3" s="4"/>
      <c r="L3" s="4"/>
      <c r="N3" s="1" t="s">
        <v>6</v>
      </c>
      <c r="O3">
        <v>10</v>
      </c>
      <c r="Q3">
        <f t="shared" ref="P3:Q4" ca="1" si="4">10+5*RAND()</f>
        <v>10.624179965029157</v>
      </c>
      <c r="AA3" s="1" t="s">
        <v>6</v>
      </c>
      <c r="AB3">
        <v>500</v>
      </c>
      <c r="AD3">
        <f t="shared" ref="AC3:AD4" ca="1" si="5">300-50*RAND()</f>
        <v>281.47578577278784</v>
      </c>
    </row>
    <row r="4" spans="1:30">
      <c r="A4" s="1" t="s">
        <v>7</v>
      </c>
      <c r="B4" s="4" t="str">
        <f t="shared" si="1"/>
        <v>Yes</v>
      </c>
      <c r="C4" s="4" t="str">
        <f t="shared" si="2"/>
        <v>No</v>
      </c>
      <c r="D4" s="4" t="str">
        <f t="shared" si="3"/>
        <v>No</v>
      </c>
      <c r="E4" s="4"/>
      <c r="F4" s="4"/>
      <c r="G4" s="4"/>
      <c r="H4" s="4"/>
      <c r="I4" s="4"/>
      <c r="J4" s="4"/>
      <c r="K4" s="4"/>
      <c r="L4" s="4"/>
      <c r="N4" s="1" t="s">
        <v>7</v>
      </c>
      <c r="O4">
        <v>10</v>
      </c>
      <c r="P4">
        <f t="shared" ca="1" si="4"/>
        <v>10.040355121463197</v>
      </c>
      <c r="AA4" s="1" t="s">
        <v>7</v>
      </c>
      <c r="AB4">
        <v>500</v>
      </c>
      <c r="AC4">
        <f t="shared" ca="1" si="5"/>
        <v>278.49703634639616</v>
      </c>
    </row>
    <row r="5" spans="1:30">
      <c r="A5" s="1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N5" s="1"/>
      <c r="AA5" s="1"/>
    </row>
    <row r="6" spans="1:30">
      <c r="A6" s="1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N6" s="1"/>
      <c r="AA6" s="1"/>
    </row>
    <row r="7" spans="1:30">
      <c r="A7" s="1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N7" s="1"/>
      <c r="AA7" s="1"/>
    </row>
    <row r="8" spans="1:30">
      <c r="A8" s="1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N8" s="1"/>
      <c r="AA8" s="1"/>
    </row>
    <row r="9" spans="1:30">
      <c r="A9" s="1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N9" s="1"/>
      <c r="AA9" s="1"/>
    </row>
    <row r="10" spans="1:30">
      <c r="A10" s="1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N10" s="1"/>
      <c r="AA10" s="1"/>
    </row>
    <row r="11" spans="1:30">
      <c r="A11" s="1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N11" s="1"/>
      <c r="AA11" s="1"/>
    </row>
    <row r="12" spans="1:30">
      <c r="A12" s="1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N12" s="1"/>
      <c r="AA12" s="1"/>
    </row>
    <row r="18" spans="1:21">
      <c r="A18" t="s">
        <v>58</v>
      </c>
    </row>
    <row r="19" spans="1:21">
      <c r="A19" t="s">
        <v>57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</row>
    <row r="20" spans="1:21">
      <c r="J20" s="1"/>
    </row>
    <row r="21" spans="1:21">
      <c r="A21" s="1" t="s">
        <v>59</v>
      </c>
      <c r="B21" s="1" t="s">
        <v>60</v>
      </c>
      <c r="E21" s="6"/>
      <c r="F21" s="7" t="s">
        <v>5</v>
      </c>
      <c r="G21" s="7" t="s">
        <v>6</v>
      </c>
      <c r="H21" s="7" t="s">
        <v>7</v>
      </c>
      <c r="I21" s="7" t="s">
        <v>8</v>
      </c>
      <c r="J21" s="7" t="s">
        <v>9</v>
      </c>
      <c r="K21" s="7" t="s">
        <v>10</v>
      </c>
      <c r="L21" s="7" t="s">
        <v>11</v>
      </c>
      <c r="M21" s="7" t="s">
        <v>12</v>
      </c>
      <c r="N21" s="7" t="s">
        <v>13</v>
      </c>
      <c r="O21" s="7" t="s">
        <v>17</v>
      </c>
      <c r="P21" s="7" t="s">
        <v>14</v>
      </c>
    </row>
    <row r="22" spans="1:21">
      <c r="A22" s="5" t="s">
        <v>5</v>
      </c>
      <c r="B22" s="5" t="s">
        <v>6</v>
      </c>
      <c r="E22" s="6">
        <v>1</v>
      </c>
      <c r="F22" s="6" t="str">
        <f t="array" ref="F22">IFERROR(INDEX($B$22:$B$610,SMALL(IF($A$22:$A$610=F$21,ROW(Roads!$A$22:$A$610)),Roads!$E22)-ROW(RoadList)),"")</f>
        <v>Afar</v>
      </c>
      <c r="G22" s="6" t="str">
        <f t="array" ref="G22">IFERROR(INDEX($B$22:$B$610,SMALL(IF($A$22:$A$610=G$21,ROW(Roads!$A$22:$A$610)),Roads!$E22)-ROW(RoadList)),"")</f>
        <v>AddisAbaba</v>
      </c>
      <c r="H22" s="6" t="str">
        <f t="array" ref="H22">IFERROR(INDEX($B$22:$B$610,SMALL(IF($A$22:$A$610=H$21,ROW(Roads!$A$22:$A$610)),Roads!$E22)-ROW(RoadList)),"")</f>
        <v>AddisAbaba</v>
      </c>
      <c r="I22" s="6" t="str">
        <f t="array" ref="I22">IFERROR(INDEX($B$22:$B$610,SMALL(IF($A$22:$A$610=I$21,ROW(Roads!$A$22:$A$610)),Roads!$E22)-ROW(RoadList)),"")</f>
        <v>AddisAbaba</v>
      </c>
      <c r="J22" s="6" t="str">
        <f t="array" ref="J22">IFERROR(INDEX($B$22:$B$610,SMALL(IF($A$22:$A$610=J$21,ROW(Roads!$A$22:$A$610)),Roads!$E22)-ROW(RoadList)),"")</f>
        <v>AddisAbaba</v>
      </c>
      <c r="K22" s="6" t="str">
        <f t="array" ref="K22">IFERROR(INDEX($B$22:$B$610,SMALL(IF($A$22:$A$610=K$21,ROW(Roads!$A$22:$A$610)),Roads!$E22)-ROW(RoadList)),"")</f>
        <v>AddisAbaba</v>
      </c>
      <c r="L22" s="6" t="str">
        <f t="array" ref="L22">IFERROR(INDEX($B$22:$B$610,SMALL(IF($A$22:$A$610=L$21,ROW(Roads!$A$22:$A$610)),Roads!$E22)-ROW(RoadList)),"")</f>
        <v>AddisAbaba</v>
      </c>
      <c r="M22" s="6" t="str">
        <f t="array" ref="M22">IFERROR(INDEX($B$22:$B$610,SMALL(IF($A$22:$A$610=M$21,ROW(Roads!$A$22:$A$610)),Roads!$E22)-ROW(RoadList)),"")</f>
        <v>AddisAbaba</v>
      </c>
      <c r="N22" s="6" t="str">
        <f t="array" ref="N22">IFERROR(INDEX($B$22:$B$610,SMALL(IF($A$22:$A$610=N$21,ROW(Roads!$A$22:$A$610)),Roads!$E22)-ROW(RoadList)),"")</f>
        <v>AddisAbaba</v>
      </c>
      <c r="O22" s="6" t="str">
        <f t="array" ref="O22">IFERROR(INDEX($B$22:$B$610,SMALL(IF($A$22:$A$610=O$21,ROW(Roads!$A$22:$A$610)),Roads!$E22)-ROW(RoadList)),"")</f>
        <v>AddisAbaba</v>
      </c>
      <c r="P22" s="6" t="str">
        <f t="array" ref="P22">IFERROR(INDEX($B$22:$B$610,SMALL(IF($A$22:$A$610=P$21,ROW(Roads!$A$22:$A$610)),Roads!$E22)-ROW(RoadList)),"")</f>
        <v>AddisAbaba</v>
      </c>
    </row>
    <row r="23" spans="1:21">
      <c r="A23" s="5" t="s">
        <v>5</v>
      </c>
      <c r="B23" s="5" t="s">
        <v>7</v>
      </c>
      <c r="E23" s="6">
        <f>E22+1</f>
        <v>2</v>
      </c>
      <c r="F23" s="6" t="str">
        <f t="array" ref="F23">IFERROR(INDEX($B$22:$B$610,SMALL(IF($A$22:$A$610=F$21,ROW(Roads!$A$22:$A$610)),Roads!$E23)-ROW(RoadList)),"")</f>
        <v>Amhara</v>
      </c>
      <c r="G23" s="6" t="str">
        <f t="array" ref="G23">IFERROR(INDEX($B$22:$B$610,SMALL(IF($A$22:$A$610=G$21,ROW(Roads!$A$22:$A$610)),Roads!$E23)-ROW(RoadList)),"")</f>
        <v>Gambela</v>
      </c>
      <c r="H23" s="6" t="str">
        <f t="array" ref="H23">IFERROR(INDEX($B$22:$B$610,SMALL(IF($A$22:$A$610=H$21,ROW(Roads!$A$22:$A$610)),Roads!$E23)-ROW(RoadList)),"")</f>
        <v>Gumuz</v>
      </c>
      <c r="I23" s="6" t="str">
        <f t="array" ref="I23">IFERROR(INDEX($B$22:$B$610,SMALL(IF($A$22:$A$610=I$21,ROW(Roads!$A$22:$A$610)),Roads!$E23)-ROW(RoadList)),"")</f>
        <v>Afar</v>
      </c>
      <c r="J23" s="6" t="str">
        <f t="array" ref="J23">IFERROR(INDEX($B$22:$B$610,SMALL(IF($A$22:$A$610=J$21,ROW(Roads!$A$22:$A$610)),Roads!$E23)-ROW(RoadList)),"")</f>
        <v>Gambela</v>
      </c>
      <c r="K23" s="6" t="str">
        <f t="array" ref="K23">IFERROR(INDEX($B$22:$B$610,SMALL(IF($A$22:$A$610=K$21,ROW(Roads!$A$22:$A$610)),Roads!$E23)-ROW(RoadList)),"")</f>
        <v>Afar</v>
      </c>
      <c r="L23" s="6" t="str">
        <f t="array" ref="L23">IFERROR(INDEX($B$22:$B$610,SMALL(IF($A$22:$A$610=L$21,ROW(Roads!$A$22:$A$610)),Roads!$E23)-ROW(RoadList)),"")</f>
        <v>Afar</v>
      </c>
      <c r="M23" s="6" t="str">
        <f t="array" ref="M23">IFERROR(INDEX($B$22:$B$610,SMALL(IF($A$22:$A$610=M$21,ROW(Roads!$A$22:$A$610)),Roads!$E23)-ROW(RoadList)),"")</f>
        <v>Afar</v>
      </c>
      <c r="N23" s="6" t="str">
        <f t="array" ref="N23">IFERROR(INDEX($B$22:$B$610,SMALL(IF($A$22:$A$610=N$21,ROW(Roads!$A$22:$A$610)),Roads!$E23)-ROW(RoadList)),"")</f>
        <v>Amhara</v>
      </c>
      <c r="O23" s="6" t="str">
        <f t="array" ref="O23">IFERROR(INDEX($B$22:$B$610,SMALL(IF($A$22:$A$610=O$21,ROW(Roads!$A$22:$A$610)),Roads!$E23)-ROW(RoadList)),"")</f>
        <v>Afar</v>
      </c>
      <c r="P23" s="6" t="str">
        <f t="array" ref="P23">IFERROR(INDEX($B$22:$B$610,SMALL(IF($A$22:$A$610=P$21,ROW(Roads!$A$22:$A$610)),Roads!$E23)-ROW(RoadList)),"")</f>
        <v>Amhara</v>
      </c>
    </row>
    <row r="24" spans="1:21">
      <c r="A24" s="5" t="s">
        <v>5</v>
      </c>
      <c r="B24" s="5" t="s">
        <v>9</v>
      </c>
      <c r="E24" s="6">
        <f t="shared" ref="E24:E32" si="6">E23+1</f>
        <v>3</v>
      </c>
      <c r="F24" s="6" t="str">
        <f t="array" ref="F24">IFERROR(INDEX($B$22:$B$610,SMALL(IF($A$22:$A$610=F$21,ROW(Roads!$A$22:$A$610)),Roads!$E24)-ROW(RoadList)),"")</f>
        <v>DireDawa</v>
      </c>
      <c r="G24" s="6" t="str">
        <f t="array" ref="G24">IFERROR(INDEX($B$22:$B$610,SMALL(IF($A$22:$A$610=G$21,ROW(Roads!$A$22:$A$610)),Roads!$E24)-ROW(RoadList)),"")</f>
        <v>Gumuz</v>
      </c>
      <c r="H24" s="6" t="str">
        <f t="array" ref="H24">IFERROR(INDEX($B$22:$B$610,SMALL(IF($A$22:$A$610=H$21,ROW(Roads!$A$22:$A$610)),Roads!$E24)-ROW(RoadList)),"")</f>
        <v>Harari</v>
      </c>
      <c r="I24" s="6" t="str">
        <f t="array" ref="I24">IFERROR(INDEX($B$22:$B$610,SMALL(IF($A$22:$A$610=I$21,ROW(Roads!$A$22:$A$610)),Roads!$E24)-ROW(RoadList)),"")</f>
        <v>Amhara</v>
      </c>
      <c r="J24" s="6" t="str">
        <f t="array" ref="J24">IFERROR(INDEX($B$22:$B$610,SMALL(IF($A$22:$A$610=J$21,ROW(Roads!$A$22:$A$610)),Roads!$E24)-ROW(RoadList)),"")</f>
        <v>Gumuz</v>
      </c>
      <c r="K24" s="6" t="str">
        <f t="array" ref="K24">IFERROR(INDEX($B$22:$B$610,SMALL(IF($A$22:$A$610=K$21,ROW(Roads!$A$22:$A$610)),Roads!$E24)-ROW(RoadList)),"")</f>
        <v>DireDawa</v>
      </c>
      <c r="L24" s="6" t="str">
        <f t="array" ref="L24">IFERROR(INDEX($B$22:$B$610,SMALL(IF($A$22:$A$610=L$21,ROW(Roads!$A$22:$A$610)),Roads!$E24)-ROW(RoadList)),"")</f>
        <v>Amhara</v>
      </c>
      <c r="M24" s="6" t="str">
        <f t="array" ref="M24">IFERROR(INDEX($B$22:$B$610,SMALL(IF($A$22:$A$610=M$21,ROW(Roads!$A$22:$A$610)),Roads!$E24)-ROW(RoadList)),"")</f>
        <v>DireDawa</v>
      </c>
      <c r="N24" s="6" t="str">
        <f t="array" ref="N24">IFERROR(INDEX($B$22:$B$610,SMALL(IF($A$22:$A$610=N$21,ROW(Roads!$A$22:$A$610)),Roads!$E24)-ROW(RoadList)),"")</f>
        <v>Gambela</v>
      </c>
      <c r="O24" s="6" t="str">
        <f t="array" ref="O24">IFERROR(INDEX($B$22:$B$610,SMALL(IF($A$22:$A$610=O$21,ROW(Roads!$A$22:$A$610)),Roads!$E24)-ROW(RoadList)),"")</f>
        <v>Amhara</v>
      </c>
      <c r="P24" s="6" t="str">
        <f t="array" ref="P24">IFERROR(INDEX($B$22:$B$610,SMALL(IF($A$22:$A$610=P$21,ROW(Roads!$A$22:$A$610)),Roads!$E24)-ROW(RoadList)),"")</f>
        <v>DireDawa</v>
      </c>
    </row>
    <row r="25" spans="1:21">
      <c r="A25" s="5" t="s">
        <v>5</v>
      </c>
      <c r="B25" s="5" t="s">
        <v>10</v>
      </c>
      <c r="E25" s="6">
        <f t="shared" si="6"/>
        <v>4</v>
      </c>
      <c r="F25" s="6" t="str">
        <f t="array" ref="F25">IFERROR(INDEX($B$22:$B$610,SMALL(IF($A$22:$A$610=F$21,ROW(Roads!$A$22:$A$610)),Roads!$E25)-ROW(RoadList)),"")</f>
        <v>Gambela</v>
      </c>
      <c r="G25" s="6" t="str">
        <f t="array" ref="G25">IFERROR(INDEX($B$22:$B$610,SMALL(IF($A$22:$A$610=G$21,ROW(Roads!$A$22:$A$610)),Roads!$E25)-ROW(RoadList)),"")</f>
        <v>Harari</v>
      </c>
      <c r="H25" s="6" t="str">
        <f t="array" ref="H25">IFERROR(INDEX($B$22:$B$610,SMALL(IF($A$22:$A$610=H$21,ROW(Roads!$A$22:$A$610)),Roads!$E25)-ROW(RoadList)),"")</f>
        <v>SNNPR</v>
      </c>
      <c r="I25" s="6" t="str">
        <f t="array" ref="I25">IFERROR(INDEX($B$22:$B$610,SMALL(IF($A$22:$A$610=I$21,ROW(Roads!$A$22:$A$610)),Roads!$E25)-ROW(RoadList)),"")</f>
        <v>DireDawa</v>
      </c>
      <c r="J25" s="6" t="str">
        <f t="array" ref="J25">IFERROR(INDEX($B$22:$B$610,SMALL(IF($A$22:$A$610=J$21,ROW(Roads!$A$22:$A$610)),Roads!$E25)-ROW(RoadList)),"")</f>
        <v>Harari</v>
      </c>
      <c r="K25" s="6" t="str">
        <f t="array" ref="K25">IFERROR(INDEX($B$22:$B$610,SMALL(IF($A$22:$A$610=K$21,ROW(Roads!$A$22:$A$610)),Roads!$E25)-ROW(RoadList)),"")</f>
        <v>Oromia</v>
      </c>
      <c r="L25" s="6" t="str">
        <f t="array" ref="L25">IFERROR(INDEX($B$22:$B$610,SMALL(IF($A$22:$A$610=L$21,ROW(Roads!$A$22:$A$610)),Roads!$E25)-ROW(RoadList)),"")</f>
        <v>DireDawa</v>
      </c>
      <c r="M25" s="6" t="str">
        <f t="array" ref="M25">IFERROR(INDEX($B$22:$B$610,SMALL(IF($A$22:$A$610=M$21,ROW(Roads!$A$22:$A$610)),Roads!$E25)-ROW(RoadList)),"")</f>
        <v>Gambela</v>
      </c>
      <c r="N25" s="6" t="str">
        <f t="array" ref="N25">IFERROR(INDEX($B$22:$B$610,SMALL(IF($A$22:$A$610=N$21,ROW(Roads!$A$22:$A$610)),Roads!$E25)-ROW(RoadList)),"")</f>
        <v>Harari</v>
      </c>
      <c r="O25" s="6" t="str">
        <f t="array" ref="O25">IFERROR(INDEX($B$22:$B$610,SMALL(IF($A$22:$A$610=O$21,ROW(Roads!$A$22:$A$610)),Roads!$E25)-ROW(RoadList)),"")</f>
        <v>Gambela</v>
      </c>
      <c r="P25" s="6" t="str">
        <f t="array" ref="P25">IFERROR(INDEX($B$22:$B$610,SMALL(IF($A$22:$A$610=P$21,ROW(Roads!$A$22:$A$610)),Roads!$E25)-ROW(RoadList)),"")</f>
        <v>Gambela</v>
      </c>
    </row>
    <row r="26" spans="1:21">
      <c r="A26" s="5" t="s">
        <v>5</v>
      </c>
      <c r="B26" s="5" t="s">
        <v>8</v>
      </c>
      <c r="E26" s="6">
        <f t="shared" si="6"/>
        <v>5</v>
      </c>
      <c r="F26" s="6" t="str">
        <f t="array" ref="F26">IFERROR(INDEX($B$22:$B$610,SMALL(IF($A$22:$A$610=F$21,ROW(Roads!$A$22:$A$610)),Roads!$E26)-ROW(RoadList)),"")</f>
        <v>Gumuz</v>
      </c>
      <c r="G26" s="6" t="str">
        <f t="array" ref="G26">IFERROR(INDEX($B$22:$B$610,SMALL(IF($A$22:$A$610=G$21,ROW(Roads!$A$22:$A$610)),Roads!$E26)-ROW(RoadList)),"")</f>
        <v>Oromia</v>
      </c>
      <c r="H26" s="6" t="str">
        <f t="array" ref="H26">IFERROR(INDEX($B$22:$B$610,SMALL(IF($A$22:$A$610=H$21,ROW(Roads!$A$22:$A$610)),Roads!$E26)-ROW(RoadList)),"")</f>
        <v>Somali</v>
      </c>
      <c r="I26" s="6" t="str">
        <f t="array" ref="I26">IFERROR(INDEX($B$22:$B$610,SMALL(IF($A$22:$A$610=I$21,ROW(Roads!$A$22:$A$610)),Roads!$E26)-ROW(RoadList)),"")</f>
        <v>Oromia</v>
      </c>
      <c r="J26" s="6" t="str">
        <f t="array" ref="J26">IFERROR(INDEX($B$22:$B$610,SMALL(IF($A$22:$A$610=J$21,ROW(Roads!$A$22:$A$610)),Roads!$E26)-ROW(RoadList)),"")</f>
        <v>Oromia</v>
      </c>
      <c r="K26" s="6" t="str">
        <f t="array" ref="K26">IFERROR(INDEX($B$22:$B$610,SMALL(IF($A$22:$A$610=K$21,ROW(Roads!$A$22:$A$610)),Roads!$E26)-ROW(RoadList)),"")</f>
        <v>SNNPR</v>
      </c>
      <c r="L26" s="6" t="str">
        <f t="array" ref="L26">IFERROR(INDEX($B$22:$B$610,SMALL(IF($A$22:$A$610=L$21,ROW(Roads!$A$22:$A$610)),Roads!$E26)-ROW(RoadList)),"")</f>
        <v>SNNPR</v>
      </c>
      <c r="M26" s="6" t="str">
        <f t="array" ref="M26">IFERROR(INDEX($B$22:$B$610,SMALL(IF($A$22:$A$610=M$21,ROW(Roads!$A$22:$A$610)),Roads!$E26)-ROW(RoadList)),"")</f>
        <v>Gumuz</v>
      </c>
      <c r="N26" s="6" t="str">
        <f t="array" ref="N26">IFERROR(INDEX($B$22:$B$610,SMALL(IF($A$22:$A$610=N$21,ROW(Roads!$A$22:$A$610)),Roads!$E26)-ROW(RoadList)),"")</f>
        <v>Oromia</v>
      </c>
      <c r="O26" s="6" t="str">
        <f t="array" ref="O26">IFERROR(INDEX($B$22:$B$610,SMALL(IF($A$22:$A$610=O$21,ROW(Roads!$A$22:$A$610)),Roads!$E26)-ROW(RoadList)),"")</f>
        <v>Harari</v>
      </c>
      <c r="P26" s="6" t="str">
        <f t="array" ref="P26">IFERROR(INDEX($B$22:$B$610,SMALL(IF($A$22:$A$610=P$21,ROW(Roads!$A$22:$A$610)),Roads!$E26)-ROW(RoadList)),"")</f>
        <v>Gumuz</v>
      </c>
    </row>
    <row r="27" spans="1:21">
      <c r="A27" s="5" t="s">
        <v>5</v>
      </c>
      <c r="B27" s="5" t="s">
        <v>11</v>
      </c>
      <c r="E27" s="6">
        <f t="shared" si="6"/>
        <v>6</v>
      </c>
      <c r="F27" s="6" t="str">
        <f t="array" ref="F27">IFERROR(INDEX($B$22:$B$610,SMALL(IF($A$22:$A$610=F$21,ROW(Roads!$A$22:$A$610)),Roads!$E27)-ROW(RoadList)),"")</f>
        <v>Harari</v>
      </c>
      <c r="G27" s="6" t="str">
        <f t="array" ref="G27">IFERROR(INDEX($B$22:$B$610,SMALL(IF($A$22:$A$610=G$21,ROW(Roads!$A$22:$A$610)),Roads!$E27)-ROW(RoadList)),"")</f>
        <v>SNNPR</v>
      </c>
      <c r="H27" s="6" t="str">
        <f t="array" ref="H27">IFERROR(INDEX($B$22:$B$610,SMALL(IF($A$22:$A$610=H$21,ROW(Roads!$A$22:$A$610)),Roads!$E27)-ROW(RoadList)),"")</f>
        <v>Tigray</v>
      </c>
      <c r="I27" s="6" t="str">
        <f t="array" ref="I27">IFERROR(INDEX($B$22:$B$610,SMALL(IF($A$22:$A$610=I$21,ROW(Roads!$A$22:$A$610)),Roads!$E27)-ROW(RoadList)),"")</f>
        <v>Tigray</v>
      </c>
      <c r="J27" s="6" t="str">
        <f t="array" ref="J27">IFERROR(INDEX($B$22:$B$610,SMALL(IF($A$22:$A$610=J$21,ROW(Roads!$A$22:$A$610)),Roads!$E27)-ROW(RoadList)),"")</f>
        <v>Tigray</v>
      </c>
      <c r="K27" s="6" t="str">
        <f t="array" ref="K27">IFERROR(INDEX($B$22:$B$610,SMALL(IF($A$22:$A$610=K$21,ROW(Roads!$A$22:$A$610)),Roads!$E27)-ROW(RoadList)),"")</f>
        <v>Somali</v>
      </c>
      <c r="L27" s="6" t="str">
        <f t="array" ref="L27">IFERROR(INDEX($B$22:$B$610,SMALL(IF($A$22:$A$610=L$21,ROW(Roads!$A$22:$A$610)),Roads!$E27)-ROW(RoadList)),"")</f>
        <v>Somali</v>
      </c>
      <c r="M27" s="6" t="str">
        <f t="array" ref="M27">IFERROR(INDEX($B$22:$B$610,SMALL(IF($A$22:$A$610=M$21,ROW(Roads!$A$22:$A$610)),Roads!$E27)-ROW(RoadList)),"")</f>
        <v>Somali</v>
      </c>
      <c r="N27" s="6" t="str">
        <f t="array" ref="N27">IFERROR(INDEX($B$22:$B$610,SMALL(IF($A$22:$A$610=N$21,ROW(Roads!$A$22:$A$610)),Roads!$E27)-ROW(RoadList)),"")</f>
        <v>SNNPR</v>
      </c>
      <c r="O27" s="6" t="str">
        <f t="array" ref="O27">IFERROR(INDEX($B$22:$B$610,SMALL(IF($A$22:$A$610=O$21,ROW(Roads!$A$22:$A$610)),Roads!$E27)-ROW(RoadList)),"")</f>
        <v>Somali</v>
      </c>
      <c r="P27" s="6" t="str">
        <f t="array" ref="P27">IFERROR(INDEX($B$22:$B$610,SMALL(IF($A$22:$A$610=P$21,ROW(Roads!$A$22:$A$610)),Roads!$E27)-ROW(RoadList)),"")</f>
        <v>Harari</v>
      </c>
    </row>
    <row r="28" spans="1:21">
      <c r="A28" s="5" t="s">
        <v>5</v>
      </c>
      <c r="B28" s="5" t="s">
        <v>12</v>
      </c>
      <c r="E28" s="6">
        <f t="shared" si="6"/>
        <v>7</v>
      </c>
      <c r="F28" s="6" t="str">
        <f t="array" ref="F28">IFERROR(INDEX($B$22:$B$610,SMALL(IF($A$22:$A$610=F$21,ROW(Roads!$A$22:$A$610)),Roads!$E28)-ROW(RoadList)),"")</f>
        <v>Oromia</v>
      </c>
      <c r="G28" s="6" t="str">
        <f t="array" ref="G28">IFERROR(INDEX($B$22:$B$610,SMALL(IF($A$22:$A$610=G$21,ROW(Roads!$A$22:$A$610)),Roads!$E28)-ROW(RoadList)),"")</f>
        <v/>
      </c>
      <c r="H28" s="6" t="str">
        <f t="array" ref="H28">IFERROR(INDEX($B$22:$B$610,SMALL(IF($A$22:$A$610=H$21,ROW(Roads!$A$22:$A$610)),Roads!$E28)-ROW(RoadList)),"")</f>
        <v/>
      </c>
      <c r="I28" s="6" t="str">
        <f t="array" ref="I28">IFERROR(INDEX($B$22:$B$610,SMALL(IF($A$22:$A$610=I$21,ROW(Roads!$A$22:$A$610)),Roads!$E28)-ROW(RoadList)),"")</f>
        <v/>
      </c>
      <c r="J28" s="6" t="str">
        <f t="array" ref="J28">IFERROR(INDEX($B$22:$B$610,SMALL(IF($A$22:$A$610=J$21,ROW(Roads!$A$22:$A$610)),Roads!$E28)-ROW(RoadList)),"")</f>
        <v/>
      </c>
      <c r="K28" s="6" t="str">
        <f t="array" ref="K28">IFERROR(INDEX($B$22:$B$610,SMALL(IF($A$22:$A$610=K$21,ROW(Roads!$A$22:$A$610)),Roads!$E28)-ROW(RoadList)),"")</f>
        <v>Tigray</v>
      </c>
      <c r="L28" s="6" t="str">
        <f t="array" ref="L28">IFERROR(INDEX($B$22:$B$610,SMALL(IF($A$22:$A$610=L$21,ROW(Roads!$A$22:$A$610)),Roads!$E28)-ROW(RoadList)),"")</f>
        <v/>
      </c>
      <c r="M28" s="6" t="str">
        <f t="array" ref="M28">IFERROR(INDEX($B$22:$B$610,SMALL(IF($A$22:$A$610=M$21,ROW(Roads!$A$22:$A$610)),Roads!$E28)-ROW(RoadList)),"")</f>
        <v/>
      </c>
      <c r="N28" s="6" t="str">
        <f t="array" ref="N28">IFERROR(INDEX($B$22:$B$610,SMALL(IF($A$22:$A$610=N$21,ROW(Roads!$A$22:$A$610)),Roads!$E28)-ROW(RoadList)),"")</f>
        <v/>
      </c>
      <c r="O28" s="6" t="str">
        <f t="array" ref="O28">IFERROR(INDEX($B$22:$B$610,SMALL(IF($A$22:$A$610=O$21,ROW(Roads!$A$22:$A$610)),Roads!$E28)-ROW(RoadList)),"")</f>
        <v>Tigray</v>
      </c>
      <c r="P28" s="6" t="str">
        <f t="array" ref="P28">IFERROR(INDEX($B$22:$B$610,SMALL(IF($A$22:$A$610=P$21,ROW(Roads!$A$22:$A$610)),Roads!$E28)-ROW(RoadList)),"")</f>
        <v>SNNPR</v>
      </c>
    </row>
    <row r="29" spans="1:21">
      <c r="A29" s="5" t="s">
        <v>5</v>
      </c>
      <c r="B29" s="5" t="s">
        <v>17</v>
      </c>
      <c r="E29" s="6">
        <f t="shared" si="6"/>
        <v>8</v>
      </c>
      <c r="F29" s="6" t="str">
        <f t="array" ref="F29">IFERROR(INDEX($B$22:$B$610,SMALL(IF($A$22:$A$610=F$21,ROW(Roads!$A$22:$A$610)),Roads!$E29)-ROW(RoadList)),"")</f>
        <v>SNNPR</v>
      </c>
      <c r="G29" s="6" t="str">
        <f t="array" ref="G29">IFERROR(INDEX($B$22:$B$610,SMALL(IF($A$22:$A$610=G$21,ROW(Roads!$A$22:$A$610)),Roads!$E29)-ROW(RoadList)),"")</f>
        <v/>
      </c>
      <c r="H29" s="6" t="str">
        <f t="array" ref="H29">IFERROR(INDEX($B$22:$B$610,SMALL(IF($A$22:$A$610=H$21,ROW(Roads!$A$22:$A$610)),Roads!$E29)-ROW(RoadList)),"")</f>
        <v/>
      </c>
      <c r="I29" s="6" t="str">
        <f t="array" ref="I29">IFERROR(INDEX($B$22:$B$610,SMALL(IF($A$22:$A$610=I$21,ROW(Roads!$A$22:$A$610)),Roads!$E29)-ROW(RoadList)),"")</f>
        <v/>
      </c>
      <c r="J29" s="6" t="str">
        <f t="array" ref="J29">IFERROR(INDEX($B$22:$B$610,SMALL(IF($A$22:$A$610=J$21,ROW(Roads!$A$22:$A$610)),Roads!$E29)-ROW(RoadList)),"")</f>
        <v/>
      </c>
      <c r="K29" s="6" t="str">
        <f t="array" ref="K29">IFERROR(INDEX($B$22:$B$610,SMALL(IF($A$22:$A$610=K$21,ROW(Roads!$A$22:$A$610)),Roads!$E29)-ROW(RoadList)),"")</f>
        <v/>
      </c>
      <c r="L29" s="6" t="str">
        <f t="array" ref="L29">IFERROR(INDEX($B$22:$B$610,SMALL(IF($A$22:$A$610=L$21,ROW(Roads!$A$22:$A$610)),Roads!$E29)-ROW(RoadList)),"")</f>
        <v/>
      </c>
      <c r="M29" s="6" t="str">
        <f t="array" ref="M29">IFERROR(INDEX($B$22:$B$610,SMALL(IF($A$22:$A$610=M$21,ROW(Roads!$A$22:$A$610)),Roads!$E29)-ROW(RoadList)),"")</f>
        <v/>
      </c>
      <c r="N29" s="6" t="str">
        <f t="array" ref="N29">IFERROR(INDEX($B$22:$B$610,SMALL(IF($A$22:$A$610=N$21,ROW(Roads!$A$22:$A$610)),Roads!$E29)-ROW(RoadList)),"")</f>
        <v/>
      </c>
      <c r="O29" s="6" t="str">
        <f t="array" ref="O29">IFERROR(INDEX($B$22:$B$610,SMALL(IF($A$22:$A$610=O$21,ROW(Roads!$A$22:$A$610)),Roads!$E29)-ROW(RoadList)),"")</f>
        <v/>
      </c>
      <c r="P29" s="6" t="str">
        <f t="array" ref="P29">IFERROR(INDEX($B$22:$B$610,SMALL(IF($A$22:$A$610=P$21,ROW(Roads!$A$22:$A$610)),Roads!$E29)-ROW(RoadList)),"")</f>
        <v/>
      </c>
    </row>
    <row r="30" spans="1:21">
      <c r="A30" s="5" t="s">
        <v>5</v>
      </c>
      <c r="B30" s="5" t="s">
        <v>13</v>
      </c>
      <c r="E30" s="6">
        <f t="shared" si="6"/>
        <v>9</v>
      </c>
      <c r="F30" s="6" t="str">
        <f t="array" ref="F30">IFERROR(INDEX($B$22:$B$610,SMALL(IF($A$22:$A$610=F$21,ROW(Roads!$A$22:$A$610)),Roads!$E30)-ROW(RoadList)),"")</f>
        <v>Somali</v>
      </c>
      <c r="G30" s="6" t="str">
        <f t="array" ref="G30">IFERROR(INDEX($B$22:$B$610,SMALL(IF($A$22:$A$610=G$21,ROW(Roads!$A$22:$A$610)),Roads!$E30)-ROW(RoadList)),"")</f>
        <v/>
      </c>
      <c r="H30" s="6" t="str">
        <f t="array" ref="H30">IFERROR(INDEX($B$22:$B$610,SMALL(IF($A$22:$A$610=H$21,ROW(Roads!$A$22:$A$610)),Roads!$E30)-ROW(RoadList)),"")</f>
        <v/>
      </c>
      <c r="I30" s="6" t="str">
        <f t="array" ref="I30">IFERROR(INDEX($B$22:$B$610,SMALL(IF($A$22:$A$610=I$21,ROW(Roads!$A$22:$A$610)),Roads!$E30)-ROW(RoadList)),"")</f>
        <v/>
      </c>
      <c r="J30" s="6" t="str">
        <f t="array" ref="J30">IFERROR(INDEX($B$22:$B$610,SMALL(IF($A$22:$A$610=J$21,ROW(Roads!$A$22:$A$610)),Roads!$E30)-ROW(RoadList)),"")</f>
        <v/>
      </c>
      <c r="K30" s="6" t="str">
        <f t="array" ref="K30">IFERROR(INDEX($B$22:$B$610,SMALL(IF($A$22:$A$610=K$21,ROW(Roads!$A$22:$A$610)),Roads!$E30)-ROW(RoadList)),"")</f>
        <v/>
      </c>
      <c r="L30" s="6" t="str">
        <f t="array" ref="L30">IFERROR(INDEX($B$22:$B$610,SMALL(IF($A$22:$A$610=L$21,ROW(Roads!$A$22:$A$610)),Roads!$E30)-ROW(RoadList)),"")</f>
        <v/>
      </c>
      <c r="M30" s="6" t="str">
        <f t="array" ref="M30">IFERROR(INDEX($B$22:$B$610,SMALL(IF($A$22:$A$610=M$21,ROW(Roads!$A$22:$A$610)),Roads!$E30)-ROW(RoadList)),"")</f>
        <v/>
      </c>
      <c r="N30" s="6" t="str">
        <f t="array" ref="N30">IFERROR(INDEX($B$22:$B$610,SMALL(IF($A$22:$A$610=N$21,ROW(Roads!$A$22:$A$610)),Roads!$E30)-ROW(RoadList)),"")</f>
        <v/>
      </c>
      <c r="O30" s="6" t="str">
        <f t="array" ref="O30">IFERROR(INDEX($B$22:$B$610,SMALL(IF($A$22:$A$610=O$21,ROW(Roads!$A$22:$A$610)),Roads!$E30)-ROW(RoadList)),"")</f>
        <v/>
      </c>
      <c r="P30" s="6" t="str">
        <f t="array" ref="P30">IFERROR(INDEX($B$22:$B$610,SMALL(IF($A$22:$A$610=P$21,ROW(Roads!$A$22:$A$610)),Roads!$E30)-ROW(RoadList)),"")</f>
        <v/>
      </c>
    </row>
    <row r="31" spans="1:21">
      <c r="A31" s="5" t="s">
        <v>5</v>
      </c>
      <c r="B31" s="5" t="s">
        <v>14</v>
      </c>
      <c r="E31" s="6">
        <f t="shared" si="6"/>
        <v>10</v>
      </c>
      <c r="F31" s="6" t="str">
        <f t="array" ref="F31">IFERROR(INDEX($B$22:$B$610,SMALL(IF($A$22:$A$610=F$21,ROW(Roads!$A$22:$A$610)),Roads!$E31)-ROW(RoadList)),"")</f>
        <v>Tigray</v>
      </c>
      <c r="G31" s="6" t="str">
        <f t="array" ref="G31">IFERROR(INDEX($B$22:$B$610,SMALL(IF($A$22:$A$610=G$21,ROW(Roads!$A$22:$A$610)),Roads!$E31)-ROW(RoadList)),"")</f>
        <v/>
      </c>
      <c r="H31" s="6" t="str">
        <f t="array" ref="H31">IFERROR(INDEX($B$22:$B$610,SMALL(IF($A$22:$A$610=H$21,ROW(Roads!$A$22:$A$610)),Roads!$E31)-ROW(RoadList)),"")</f>
        <v/>
      </c>
      <c r="I31" s="6" t="str">
        <f t="array" ref="I31">IFERROR(INDEX($B$22:$B$610,SMALL(IF($A$22:$A$610=I$21,ROW(Roads!$A$22:$A$610)),Roads!$E31)-ROW(RoadList)),"")</f>
        <v/>
      </c>
      <c r="J31" s="6" t="str">
        <f t="array" ref="J31">IFERROR(INDEX($B$22:$B$610,SMALL(IF($A$22:$A$610=J$21,ROW(Roads!$A$22:$A$610)),Roads!$E31)-ROW(RoadList)),"")</f>
        <v/>
      </c>
      <c r="K31" s="6" t="str">
        <f t="array" ref="K31">IFERROR(INDEX($B$22:$B$610,SMALL(IF($A$22:$A$610=K$21,ROW(Roads!$A$22:$A$610)),Roads!$E31)-ROW(RoadList)),"")</f>
        <v/>
      </c>
      <c r="L31" s="6" t="str">
        <f t="array" ref="L31">IFERROR(INDEX($B$22:$B$610,SMALL(IF($A$22:$A$610=L$21,ROW(Roads!$A$22:$A$610)),Roads!$E31)-ROW(RoadList)),"")</f>
        <v/>
      </c>
      <c r="M31" s="6" t="str">
        <f t="array" ref="M31">IFERROR(INDEX($B$22:$B$610,SMALL(IF($A$22:$A$610=M$21,ROW(Roads!$A$22:$A$610)),Roads!$E31)-ROW(RoadList)),"")</f>
        <v/>
      </c>
      <c r="N31" s="6" t="str">
        <f t="array" ref="N31">IFERROR(INDEX($B$22:$B$610,SMALL(IF($A$22:$A$610=N$21,ROW(Roads!$A$22:$A$610)),Roads!$E31)-ROW(RoadList)),"")</f>
        <v/>
      </c>
      <c r="O31" s="6" t="str">
        <f t="array" ref="O31">IFERROR(INDEX($B$22:$B$610,SMALL(IF($A$22:$A$610=O$21,ROW(Roads!$A$22:$A$610)),Roads!$E31)-ROW(RoadList)),"")</f>
        <v/>
      </c>
      <c r="P31" s="6" t="str">
        <f t="array" ref="P31">IFERROR(INDEX($B$22:$B$610,SMALL(IF($A$22:$A$610=P$21,ROW(Roads!$A$22:$A$610)),Roads!$E31)-ROW(RoadList)),"")</f>
        <v/>
      </c>
    </row>
    <row r="32" spans="1:21">
      <c r="A32" s="5" t="s">
        <v>6</v>
      </c>
      <c r="B32" s="5" t="s">
        <v>5</v>
      </c>
      <c r="E32" s="6">
        <f t="shared" si="6"/>
        <v>11</v>
      </c>
      <c r="F32" s="6" t="str">
        <f t="array" ref="F32">IFERROR(INDEX($B$22:$B$610,SMALL(IF($A$22:$A$610=F$21,ROW(Roads!$A$22:$A$610)),Roads!$E32)-ROW(RoadList)),"")</f>
        <v/>
      </c>
      <c r="G32" s="6" t="str">
        <f t="array" ref="G32">IFERROR(INDEX($B$22:$B$610,SMALL(IF($A$22:$A$610=G$21,ROW(Roads!$A$22:$A$610)),Roads!$E32)-ROW(RoadList)),"")</f>
        <v/>
      </c>
      <c r="H32" s="6" t="str">
        <f t="array" ref="H32">IFERROR(INDEX($B$22:$B$610,SMALL(IF($A$22:$A$610=H$21,ROW(Roads!$A$22:$A$610)),Roads!$E32)-ROW(RoadList)),"")</f>
        <v/>
      </c>
      <c r="I32" s="6" t="str">
        <f t="array" ref="I32">IFERROR(INDEX($B$22:$B$610,SMALL(IF($A$22:$A$610=I$21,ROW(Roads!$A$22:$A$610)),Roads!$E32)-ROW(RoadList)),"")</f>
        <v/>
      </c>
      <c r="J32" s="6" t="str">
        <f t="array" ref="J32">IFERROR(INDEX($B$22:$B$610,SMALL(IF($A$22:$A$610=J$21,ROW(Roads!$A$22:$A$610)),Roads!$E32)-ROW(RoadList)),"")</f>
        <v/>
      </c>
      <c r="K32" s="6" t="str">
        <f t="array" ref="K32">IFERROR(INDEX($B$22:$B$610,SMALL(IF($A$22:$A$610=K$21,ROW(Roads!$A$22:$A$610)),Roads!$E32)-ROW(RoadList)),"")</f>
        <v/>
      </c>
      <c r="L32" s="6" t="str">
        <f t="array" ref="L32">IFERROR(INDEX($B$22:$B$610,SMALL(IF($A$22:$A$610=L$21,ROW(Roads!$A$22:$A$610)),Roads!$E32)-ROW(RoadList)),"")</f>
        <v/>
      </c>
      <c r="M32" s="6" t="str">
        <f t="array" ref="M32">IFERROR(INDEX($B$22:$B$610,SMALL(IF($A$22:$A$610=M$21,ROW(Roads!$A$22:$A$610)),Roads!$E32)-ROW(RoadList)),"")</f>
        <v/>
      </c>
      <c r="N32" s="6" t="str">
        <f t="array" ref="N32">IFERROR(INDEX($B$22:$B$610,SMALL(IF($A$22:$A$610=N$21,ROW(Roads!$A$22:$A$610)),Roads!$E32)-ROW(RoadList)),"")</f>
        <v/>
      </c>
      <c r="O32" s="6" t="str">
        <f t="array" ref="O32">IFERROR(INDEX($B$22:$B$610,SMALL(IF($A$22:$A$610=O$21,ROW(Roads!$A$22:$A$610)),Roads!$E32)-ROW(RoadList)),"")</f>
        <v/>
      </c>
      <c r="P32" s="6" t="str">
        <f t="array" ref="P32">IFERROR(INDEX($B$22:$B$610,SMALL(IF($A$22:$A$610=P$21,ROW(Roads!$A$22:$A$610)),Roads!$E32)-ROW(RoadList)),"")</f>
        <v/>
      </c>
    </row>
    <row r="33" spans="1:16">
      <c r="A33" s="5" t="s">
        <v>6</v>
      </c>
      <c r="B33" s="5" t="s">
        <v>10</v>
      </c>
      <c r="E33" s="6"/>
      <c r="F33" s="6" t="str">
        <f t="array" ref="F33">IFERROR(INDEX($B$22:$B$610,SMALL(IF($A$22:$A$610=F$21,ROW(Roads!$A$22:$A$610)),Roads!$E33)-ROW(RoadList)),"")</f>
        <v/>
      </c>
      <c r="G33" s="6" t="str">
        <f t="array" ref="G33">IFERROR(INDEX($B$22:$B$610,SMALL(IF($A$22:$A$610=G$21,ROW(Roads!$A$22:$A$610)),Roads!$E33)-ROW(RoadList)),"")</f>
        <v/>
      </c>
      <c r="H33" s="6" t="str">
        <f t="array" ref="H33">IFERROR(INDEX($B$22:$B$610,SMALL(IF($A$22:$A$610=H$21,ROW(Roads!$A$22:$A$610)),Roads!$E33)-ROW(RoadList)),"")</f>
        <v/>
      </c>
      <c r="I33" s="6" t="str">
        <f t="array" ref="I33">IFERROR(INDEX($B$22:$B$610,SMALL(IF($A$22:$A$610=I$21,ROW(Roads!$A$22:$A$610)),Roads!$E33)-ROW(RoadList)),"")</f>
        <v/>
      </c>
      <c r="J33" s="6" t="str">
        <f t="array" ref="J33">IFERROR(INDEX($B$22:$B$610,SMALL(IF($A$22:$A$610=J$21,ROW(Roads!$A$22:$A$610)),Roads!$E33)-ROW(RoadList)),"")</f>
        <v/>
      </c>
      <c r="K33" s="6" t="str">
        <f t="array" ref="K33">IFERROR(INDEX($B$22:$B$610,SMALL(IF($A$22:$A$610=K$21,ROW(Roads!$A$22:$A$610)),Roads!$E33)-ROW(RoadList)),"")</f>
        <v/>
      </c>
      <c r="L33" s="6" t="str">
        <f t="array" ref="L33">IFERROR(INDEX($B$22:$B$610,SMALL(IF($A$22:$A$610=L$21,ROW(Roads!$A$22:$A$610)),Roads!$E33)-ROW(RoadList)),"")</f>
        <v/>
      </c>
      <c r="M33" s="6" t="str">
        <f t="array" ref="M33">IFERROR(INDEX($B$22:$B$610,SMALL(IF($A$22:$A$610=M$21,ROW(Roads!$A$22:$A$610)),Roads!$E33)-ROW(RoadList)),"")</f>
        <v/>
      </c>
      <c r="N33" s="6" t="str">
        <f t="array" ref="N33">IFERROR(INDEX($B$22:$B$610,SMALL(IF($A$22:$A$610=N$21,ROW(Roads!$A$22:$A$610)),Roads!$E33)-ROW(RoadList)),"")</f>
        <v/>
      </c>
      <c r="O33" s="6" t="str">
        <f t="array" ref="O33">IFERROR(INDEX($B$22:$B$610,SMALL(IF($A$22:$A$610=O$21,ROW(Roads!$A$22:$A$610)),Roads!$E33)-ROW(RoadList)),"")</f>
        <v/>
      </c>
      <c r="P33" s="6" t="str">
        <f t="array" ref="P33">IFERROR(INDEX($B$22:$B$610,SMALL(IF($A$22:$A$610=P$21,ROW(Roads!$A$22:$A$610)),Roads!$E33)-ROW(RoadList)),"")</f>
        <v/>
      </c>
    </row>
    <row r="34" spans="1:16">
      <c r="A34" s="5" t="s">
        <v>6</v>
      </c>
      <c r="B34" s="5" t="s">
        <v>8</v>
      </c>
      <c r="E34" s="6"/>
      <c r="F34" s="6"/>
      <c r="G34" s="6"/>
      <c r="H34" s="6"/>
      <c r="I34" s="8"/>
      <c r="J34" s="8" t="str">
        <f>IF(ISERROR(INDEX($A$1:$B$8,SMALL(IF($A$1:$A$8=$E$1,ROW($A$1:$A$8)),ROW(1:1)),2)),"",INDEX($A$1:$B$8,SMALL(IF($A$1:$A$8=$E$1,ROW($A$1:$A$8)),ROW(1:1)),2))</f>
        <v/>
      </c>
      <c r="K34" s="6"/>
      <c r="L34" s="6"/>
      <c r="M34" s="6"/>
      <c r="N34" s="6"/>
      <c r="O34" s="6"/>
      <c r="P34" s="6"/>
    </row>
    <row r="35" spans="1:16">
      <c r="A35" s="5" t="s">
        <v>6</v>
      </c>
      <c r="B35" s="5" t="s">
        <v>11</v>
      </c>
      <c r="E35" s="6"/>
      <c r="F35" s="6"/>
      <c r="G35" s="6"/>
      <c r="H35" s="6"/>
      <c r="I35" s="8">
        <f t="array" ref="I35">IF(ISERROR(INDEX($A$1:$B$8,SMALL(IF($A$1:$A$8=$E$1,ROW($A$1:$A$8)),ROW(2:2)),2)),"",INDEX($A$1:$B$8,SMALL(IF($A$1:$A$8=$E$1,ROW($A$1:$A$8)),ROW(2:2)),2))</f>
        <v>0</v>
      </c>
      <c r="J35" s="6"/>
      <c r="K35" s="6"/>
      <c r="L35" s="6"/>
      <c r="M35" s="6"/>
      <c r="N35" s="6"/>
      <c r="O35" s="6"/>
      <c r="P35" s="6"/>
    </row>
    <row r="36" spans="1:16">
      <c r="A36" s="5" t="s">
        <v>6</v>
      </c>
      <c r="B36" s="5" t="s">
        <v>12</v>
      </c>
      <c r="E36" s="6"/>
      <c r="F36" s="6"/>
      <c r="G36" s="6"/>
      <c r="H36" s="6"/>
      <c r="I36" s="8">
        <f t="array" ref="I36">IF(ISERROR(INDEX($A$1:$B$8,SMALL(IF($A$1:$A$8=$E$1,ROW($A$1:$A$8)),ROW(3:3)),2)),"",INDEX($A$1:$B$8,SMALL(IF($A$1:$A$8=$E$1,ROW($A$1:$A$8)),ROW(3:3)),2))</f>
        <v>0</v>
      </c>
      <c r="J36" s="6"/>
      <c r="K36" s="6"/>
      <c r="L36" s="6"/>
      <c r="M36" s="6"/>
      <c r="N36" s="6"/>
      <c r="O36" s="6"/>
      <c r="P36" s="6"/>
    </row>
    <row r="37" spans="1:16">
      <c r="A37" s="5" t="s">
        <v>6</v>
      </c>
      <c r="B37" s="5" t="s">
        <v>17</v>
      </c>
      <c r="E37" s="6"/>
      <c r="F37" s="6"/>
      <c r="G37" s="6"/>
      <c r="H37" s="6"/>
      <c r="I37" s="8">
        <f t="array" ref="I37">IF(ISERROR(INDEX($A$1:$B$8,SMALL(IF($A$1:$A$8=$E$1,ROW($A$1:$A$8)),ROW(4:4)),2)),"",INDEX($A$1:$B$8,SMALL(IF($A$1:$A$8=$E$1,ROW($A$1:$A$8)),ROW(4:4)),2))</f>
        <v>0</v>
      </c>
      <c r="J37" s="6"/>
      <c r="K37" s="6"/>
      <c r="L37" s="6"/>
      <c r="M37" s="6"/>
      <c r="N37" s="6"/>
      <c r="O37" s="6"/>
      <c r="P37" s="6"/>
    </row>
    <row r="38" spans="1:16">
      <c r="A38" s="5" t="s">
        <v>7</v>
      </c>
      <c r="B38" s="5" t="s">
        <v>5</v>
      </c>
      <c r="E38" s="6"/>
      <c r="F38" s="6"/>
      <c r="G38" s="6"/>
      <c r="H38" s="6"/>
      <c r="I38" s="8">
        <f t="array" ref="I38">IF(ISERROR(INDEX($A$1:$B$8,SMALL(IF($A$1:$A$8=$E$1,ROW($A$1:$A$8)),ROW(5:5)),2)),"",INDEX($A$1:$B$8,SMALL(IF($A$1:$A$8=$E$1,ROW($A$1:$A$8)),ROW(5:5)),2))</f>
        <v>0</v>
      </c>
      <c r="J38" s="6"/>
      <c r="K38" s="6"/>
      <c r="L38" s="6"/>
      <c r="M38" s="6"/>
      <c r="N38" s="6"/>
      <c r="O38" s="6"/>
      <c r="P38" s="6"/>
    </row>
    <row r="39" spans="1:16">
      <c r="A39" s="5" t="s">
        <v>7</v>
      </c>
      <c r="B39" s="5" t="s">
        <v>8</v>
      </c>
    </row>
    <row r="40" spans="1:16">
      <c r="A40" s="5" t="s">
        <v>7</v>
      </c>
      <c r="B40" s="5" t="s">
        <v>11</v>
      </c>
    </row>
    <row r="41" spans="1:16">
      <c r="A41" s="5" t="s">
        <v>7</v>
      </c>
      <c r="B41" s="5" t="s">
        <v>17</v>
      </c>
    </row>
    <row r="42" spans="1:16">
      <c r="A42" s="5" t="s">
        <v>7</v>
      </c>
      <c r="B42" s="5" t="s">
        <v>13</v>
      </c>
    </row>
    <row r="43" spans="1:16">
      <c r="A43" s="5" t="s">
        <v>7</v>
      </c>
      <c r="B43" s="5" t="s">
        <v>14</v>
      </c>
    </row>
    <row r="44" spans="1:16">
      <c r="A44" s="5" t="s">
        <v>9</v>
      </c>
      <c r="B44" s="5" t="s">
        <v>5</v>
      </c>
    </row>
    <row r="45" spans="1:16">
      <c r="A45" s="5" t="s">
        <v>9</v>
      </c>
      <c r="B45" s="5" t="s">
        <v>10</v>
      </c>
    </row>
    <row r="46" spans="1:16">
      <c r="A46" s="5" t="s">
        <v>9</v>
      </c>
      <c r="B46" s="5" t="s">
        <v>8</v>
      </c>
    </row>
    <row r="47" spans="1:16">
      <c r="A47" s="5" t="s">
        <v>9</v>
      </c>
      <c r="B47" s="5" t="s">
        <v>11</v>
      </c>
    </row>
    <row r="48" spans="1:16">
      <c r="A48" s="5" t="s">
        <v>9</v>
      </c>
      <c r="B48" s="5" t="s">
        <v>12</v>
      </c>
    </row>
    <row r="49" spans="1:2">
      <c r="A49" s="5" t="s">
        <v>9</v>
      </c>
      <c r="B49" s="5" t="s">
        <v>14</v>
      </c>
    </row>
    <row r="50" spans="1:2">
      <c r="A50" s="5" t="s">
        <v>10</v>
      </c>
      <c r="B50" s="5" t="s">
        <v>5</v>
      </c>
    </row>
    <row r="51" spans="1:2">
      <c r="A51" s="5" t="s">
        <v>10</v>
      </c>
      <c r="B51" s="5" t="s">
        <v>6</v>
      </c>
    </row>
    <row r="52" spans="1:2">
      <c r="A52" s="5" t="s">
        <v>10</v>
      </c>
      <c r="B52" s="5" t="s">
        <v>9</v>
      </c>
    </row>
    <row r="53" spans="1:2">
      <c r="A53" s="5" t="s">
        <v>10</v>
      </c>
      <c r="B53" s="5" t="s">
        <v>12</v>
      </c>
    </row>
    <row r="54" spans="1:2">
      <c r="A54" s="5" t="s">
        <v>10</v>
      </c>
      <c r="B54" s="5" t="s">
        <v>17</v>
      </c>
    </row>
    <row r="55" spans="1:2">
      <c r="A55" s="5" t="s">
        <v>10</v>
      </c>
      <c r="B55" s="5" t="s">
        <v>13</v>
      </c>
    </row>
    <row r="56" spans="1:2">
      <c r="A56" s="5" t="s">
        <v>10</v>
      </c>
      <c r="B56" s="5" t="s">
        <v>14</v>
      </c>
    </row>
    <row r="57" spans="1:2">
      <c r="A57" s="5" t="s">
        <v>8</v>
      </c>
      <c r="B57" s="5" t="s">
        <v>5</v>
      </c>
    </row>
    <row r="58" spans="1:2">
      <c r="A58" s="5" t="s">
        <v>8</v>
      </c>
      <c r="B58" s="5" t="s">
        <v>6</v>
      </c>
    </row>
    <row r="59" spans="1:2">
      <c r="A59" s="5" t="s">
        <v>8</v>
      </c>
      <c r="B59" s="5" t="s">
        <v>7</v>
      </c>
    </row>
    <row r="60" spans="1:2">
      <c r="A60" s="5" t="s">
        <v>8</v>
      </c>
      <c r="B60" s="5" t="s">
        <v>9</v>
      </c>
    </row>
    <row r="61" spans="1:2">
      <c r="A61" s="5" t="s">
        <v>8</v>
      </c>
      <c r="B61" s="5" t="s">
        <v>12</v>
      </c>
    </row>
    <row r="62" spans="1:2">
      <c r="A62" s="5" t="s">
        <v>8</v>
      </c>
      <c r="B62" s="5" t="s">
        <v>14</v>
      </c>
    </row>
    <row r="63" spans="1:2">
      <c r="A63" s="5" t="s">
        <v>11</v>
      </c>
      <c r="B63" s="5" t="s">
        <v>5</v>
      </c>
    </row>
    <row r="64" spans="1:2">
      <c r="A64" s="5" t="s">
        <v>11</v>
      </c>
      <c r="B64" s="5" t="s">
        <v>6</v>
      </c>
    </row>
    <row r="65" spans="1:2">
      <c r="A65" s="5" t="s">
        <v>11</v>
      </c>
      <c r="B65" s="5" t="s">
        <v>7</v>
      </c>
    </row>
    <row r="66" spans="1:2">
      <c r="A66" s="5" t="s">
        <v>11</v>
      </c>
      <c r="B66" s="5" t="s">
        <v>9</v>
      </c>
    </row>
    <row r="67" spans="1:2">
      <c r="A67" s="5" t="s">
        <v>11</v>
      </c>
      <c r="B67" s="5" t="s">
        <v>17</v>
      </c>
    </row>
    <row r="68" spans="1:2">
      <c r="A68" s="5" t="s">
        <v>11</v>
      </c>
      <c r="B68" s="5" t="s">
        <v>13</v>
      </c>
    </row>
    <row r="69" spans="1:2">
      <c r="A69" s="5" t="s">
        <v>12</v>
      </c>
      <c r="B69" s="5" t="s">
        <v>5</v>
      </c>
    </row>
    <row r="70" spans="1:2">
      <c r="A70" s="5" t="s">
        <v>12</v>
      </c>
      <c r="B70" s="5" t="s">
        <v>6</v>
      </c>
    </row>
    <row r="71" spans="1:2">
      <c r="A71" s="5" t="s">
        <v>12</v>
      </c>
      <c r="B71" s="5" t="s">
        <v>9</v>
      </c>
    </row>
    <row r="72" spans="1:2">
      <c r="A72" s="5" t="s">
        <v>12</v>
      </c>
      <c r="B72" s="5" t="s">
        <v>10</v>
      </c>
    </row>
    <row r="73" spans="1:2">
      <c r="A73" s="5" t="s">
        <v>12</v>
      </c>
      <c r="B73" s="5" t="s">
        <v>8</v>
      </c>
    </row>
    <row r="74" spans="1:2">
      <c r="A74" s="5" t="s">
        <v>12</v>
      </c>
      <c r="B74" s="5" t="s">
        <v>13</v>
      </c>
    </row>
    <row r="75" spans="1:2">
      <c r="A75" s="5" t="s">
        <v>17</v>
      </c>
      <c r="B75" s="5" t="s">
        <v>5</v>
      </c>
    </row>
    <row r="76" spans="1:2">
      <c r="A76" s="5" t="s">
        <v>17</v>
      </c>
      <c r="B76" s="5" t="s">
        <v>6</v>
      </c>
    </row>
    <row r="77" spans="1:2">
      <c r="A77" s="5" t="s">
        <v>17</v>
      </c>
      <c r="B77" s="5" t="s">
        <v>7</v>
      </c>
    </row>
    <row r="78" spans="1:2">
      <c r="A78" s="5" t="s">
        <v>17</v>
      </c>
      <c r="B78" s="5" t="s">
        <v>10</v>
      </c>
    </row>
    <row r="79" spans="1:2">
      <c r="A79" s="5" t="s">
        <v>17</v>
      </c>
      <c r="B79" s="5" t="s">
        <v>11</v>
      </c>
    </row>
    <row r="80" spans="1:2">
      <c r="A80" s="5" t="s">
        <v>17</v>
      </c>
      <c r="B80" s="5" t="s">
        <v>13</v>
      </c>
    </row>
    <row r="81" spans="1:2">
      <c r="A81" s="5" t="s">
        <v>17</v>
      </c>
      <c r="B81" s="5" t="s">
        <v>14</v>
      </c>
    </row>
    <row r="82" spans="1:2">
      <c r="A82" s="5" t="s">
        <v>13</v>
      </c>
      <c r="B82" s="5" t="s">
        <v>5</v>
      </c>
    </row>
    <row r="83" spans="1:2">
      <c r="A83" s="5" t="s">
        <v>13</v>
      </c>
      <c r="B83" s="5" t="s">
        <v>7</v>
      </c>
    </row>
    <row r="84" spans="1:2">
      <c r="A84" s="5" t="s">
        <v>13</v>
      </c>
      <c r="B84" s="5" t="s">
        <v>10</v>
      </c>
    </row>
    <row r="85" spans="1:2">
      <c r="A85" s="5" t="s">
        <v>13</v>
      </c>
      <c r="B85" s="5" t="s">
        <v>11</v>
      </c>
    </row>
    <row r="86" spans="1:2">
      <c r="A86" s="5" t="s">
        <v>13</v>
      </c>
      <c r="B86" s="5" t="s">
        <v>12</v>
      </c>
    </row>
    <row r="87" spans="1:2">
      <c r="A87" s="5" t="s">
        <v>13</v>
      </c>
      <c r="B87" s="5" t="s">
        <v>17</v>
      </c>
    </row>
    <row r="88" spans="1:2">
      <c r="A88" s="5" t="s">
        <v>14</v>
      </c>
      <c r="B88" s="5" t="s">
        <v>5</v>
      </c>
    </row>
    <row r="89" spans="1:2">
      <c r="A89" s="5" t="s">
        <v>14</v>
      </c>
      <c r="B89" s="5" t="s">
        <v>7</v>
      </c>
    </row>
    <row r="90" spans="1:2">
      <c r="A90" s="5" t="s">
        <v>14</v>
      </c>
      <c r="B90" s="5" t="s">
        <v>9</v>
      </c>
    </row>
    <row r="91" spans="1:2">
      <c r="A91" s="5" t="s">
        <v>14</v>
      </c>
      <c r="B91" s="5" t="s">
        <v>10</v>
      </c>
    </row>
    <row r="92" spans="1:2">
      <c r="A92" s="5" t="s">
        <v>14</v>
      </c>
      <c r="B92" s="5" t="s">
        <v>8</v>
      </c>
    </row>
    <row r="93" spans="1:2">
      <c r="A93" s="5" t="s">
        <v>14</v>
      </c>
      <c r="B93" s="5" t="s">
        <v>11</v>
      </c>
    </row>
    <row r="94" spans="1:2">
      <c r="A94" s="5" t="s">
        <v>14</v>
      </c>
      <c r="B94" s="5" t="s">
        <v>17</v>
      </c>
    </row>
    <row r="95" spans="1:2">
      <c r="A95" s="5"/>
      <c r="B95" s="5"/>
    </row>
    <row r="96" spans="1:2">
      <c r="A96" s="5"/>
      <c r="B96" s="5"/>
    </row>
    <row r="97" spans="1:2">
      <c r="A97" s="5"/>
      <c r="B97" s="5"/>
    </row>
    <row r="98" spans="1:2">
      <c r="A98" s="5"/>
      <c r="B98" s="5"/>
    </row>
    <row r="99" spans="1:2">
      <c r="A99" s="5"/>
      <c r="B99" s="5"/>
    </row>
    <row r="100" spans="1:2">
      <c r="A100" s="5"/>
      <c r="B100" s="5"/>
    </row>
    <row r="101" spans="1:2">
      <c r="A101" s="5"/>
      <c r="B101" s="5"/>
    </row>
    <row r="102" spans="1:2">
      <c r="A102" s="5"/>
      <c r="B102" s="5"/>
    </row>
    <row r="103" spans="1:2">
      <c r="A103" s="5"/>
      <c r="B103" s="5"/>
    </row>
    <row r="104" spans="1:2">
      <c r="A104" s="5"/>
      <c r="B104" s="5"/>
    </row>
    <row r="105" spans="1:2">
      <c r="A105" s="5"/>
      <c r="B105" s="5"/>
    </row>
    <row r="106" spans="1:2">
      <c r="A106" s="5"/>
      <c r="B106" s="5"/>
    </row>
    <row r="107" spans="1:2">
      <c r="A107" s="5"/>
      <c r="B107" s="5"/>
    </row>
    <row r="108" spans="1:2">
      <c r="A108" s="5"/>
      <c r="B108" s="5"/>
    </row>
    <row r="109" spans="1:2">
      <c r="A109" s="5"/>
      <c r="B109" s="5"/>
    </row>
    <row r="110" spans="1:2">
      <c r="A110" s="5"/>
      <c r="B110" s="5"/>
    </row>
    <row r="111" spans="1:2">
      <c r="A111" s="5"/>
      <c r="B111" s="5"/>
    </row>
    <row r="112" spans="1:2">
      <c r="A112" s="5"/>
      <c r="B112" s="5"/>
    </row>
    <row r="113" spans="1:2">
      <c r="A113" s="5"/>
      <c r="B113" s="5"/>
    </row>
    <row r="114" spans="1:2">
      <c r="A114" s="5"/>
      <c r="B114" s="5"/>
    </row>
    <row r="115" spans="1:2">
      <c r="A115" s="5"/>
      <c r="B115" s="5"/>
    </row>
    <row r="116" spans="1:2">
      <c r="A116" s="5"/>
      <c r="B116" s="5"/>
    </row>
    <row r="117" spans="1:2">
      <c r="A117" s="5"/>
      <c r="B117" s="5"/>
    </row>
    <row r="118" spans="1:2">
      <c r="A118" s="5"/>
      <c r="B118" s="5"/>
    </row>
    <row r="119" spans="1:2">
      <c r="A119" s="5"/>
      <c r="B119" s="5"/>
    </row>
    <row r="120" spans="1:2">
      <c r="A120" s="5"/>
      <c r="B120" s="5"/>
    </row>
    <row r="121" spans="1:2">
      <c r="A121" s="5"/>
      <c r="B121" s="5"/>
    </row>
    <row r="122" spans="1:2">
      <c r="A122" s="5"/>
      <c r="B122" s="5"/>
    </row>
    <row r="123" spans="1:2">
      <c r="A123" s="5"/>
      <c r="B123" s="5"/>
    </row>
    <row r="124" spans="1:2">
      <c r="A124" s="5"/>
      <c r="B124" s="5"/>
    </row>
    <row r="125" spans="1:2">
      <c r="A125" s="5"/>
      <c r="B125" s="5"/>
    </row>
    <row r="126" spans="1:2">
      <c r="A126" s="5"/>
      <c r="B126" s="5"/>
    </row>
    <row r="127" spans="1:2">
      <c r="A127" s="5"/>
      <c r="B127" s="5"/>
    </row>
    <row r="128" spans="1:2">
      <c r="A128" s="5"/>
      <c r="B128" s="5"/>
    </row>
    <row r="129" spans="1:2">
      <c r="A129" s="5"/>
      <c r="B129" s="5"/>
    </row>
    <row r="130" spans="1:2">
      <c r="A130" s="5"/>
      <c r="B130" s="5"/>
    </row>
    <row r="131" spans="1:2">
      <c r="A131" s="5"/>
      <c r="B131" s="5"/>
    </row>
    <row r="132" spans="1:2">
      <c r="A132" s="5"/>
      <c r="B132" s="5"/>
    </row>
    <row r="133" spans="1:2">
      <c r="A133" s="5"/>
      <c r="B133" s="5"/>
    </row>
    <row r="134" spans="1:2">
      <c r="A134" s="5"/>
      <c r="B134" s="5"/>
    </row>
    <row r="135" spans="1:2">
      <c r="A135" s="5"/>
      <c r="B135" s="5"/>
    </row>
    <row r="136" spans="1:2">
      <c r="A136" s="5"/>
      <c r="B136" s="5"/>
    </row>
    <row r="137" spans="1:2">
      <c r="A137" s="5"/>
      <c r="B137" s="5"/>
    </row>
    <row r="138" spans="1:2">
      <c r="A138" s="5"/>
      <c r="B138" s="5"/>
    </row>
    <row r="139" spans="1:2">
      <c r="A139" s="5"/>
      <c r="B139" s="5"/>
    </row>
    <row r="140" spans="1:2">
      <c r="A140" s="5"/>
      <c r="B140" s="5"/>
    </row>
    <row r="141" spans="1:2">
      <c r="A141" s="5"/>
      <c r="B141" s="5"/>
    </row>
    <row r="142" spans="1:2">
      <c r="A142" s="5"/>
      <c r="B142" s="5"/>
    </row>
    <row r="143" spans="1:2">
      <c r="A143" s="5"/>
      <c r="B143" s="5"/>
    </row>
    <row r="144" spans="1:2">
      <c r="A144" s="5"/>
      <c r="B144" s="5"/>
    </row>
    <row r="145" spans="1:2">
      <c r="A145" s="5"/>
      <c r="B145" s="5"/>
    </row>
    <row r="146" spans="1:2">
      <c r="A146" s="5"/>
      <c r="B146" s="5"/>
    </row>
    <row r="147" spans="1:2">
      <c r="A147" s="5"/>
      <c r="B147" s="5"/>
    </row>
    <row r="148" spans="1:2">
      <c r="A148" s="5"/>
      <c r="B148" s="5"/>
    </row>
    <row r="149" spans="1:2">
      <c r="A149" s="5"/>
      <c r="B149" s="5"/>
    </row>
    <row r="150" spans="1:2">
      <c r="A150" s="5"/>
      <c r="B150" s="5"/>
    </row>
    <row r="151" spans="1:2">
      <c r="A151" s="5"/>
      <c r="B151" s="5"/>
    </row>
    <row r="152" spans="1:2">
      <c r="A152" s="5"/>
      <c r="B152" s="5"/>
    </row>
    <row r="153" spans="1:2">
      <c r="A153" s="5"/>
      <c r="B153" s="5"/>
    </row>
    <row r="154" spans="1:2">
      <c r="A154" s="5"/>
      <c r="B154" s="5"/>
    </row>
    <row r="155" spans="1:2">
      <c r="A155" s="5"/>
      <c r="B155" s="5"/>
    </row>
    <row r="156" spans="1:2">
      <c r="A156" s="5"/>
      <c r="B156" s="5"/>
    </row>
    <row r="157" spans="1:2">
      <c r="A157" s="5"/>
      <c r="B157" s="5"/>
    </row>
    <row r="158" spans="1:2">
      <c r="A158" s="5"/>
      <c r="B158" s="5"/>
    </row>
    <row r="159" spans="1:2">
      <c r="A159" s="5"/>
      <c r="B159" s="5"/>
    </row>
    <row r="160" spans="1:2">
      <c r="A160" s="5"/>
      <c r="B160" s="5"/>
    </row>
    <row r="161" spans="1:2">
      <c r="A161" s="5"/>
      <c r="B161" s="5"/>
    </row>
    <row r="162" spans="1:2">
      <c r="A162" s="5"/>
      <c r="B162" s="5"/>
    </row>
    <row r="163" spans="1:2">
      <c r="A163" s="5"/>
      <c r="B163" s="5"/>
    </row>
    <row r="164" spans="1:2">
      <c r="A164" s="5"/>
      <c r="B164" s="5"/>
    </row>
    <row r="165" spans="1:2">
      <c r="A165" s="5"/>
      <c r="B165" s="5"/>
    </row>
    <row r="166" spans="1:2">
      <c r="A166" s="5"/>
      <c r="B166" s="5"/>
    </row>
    <row r="167" spans="1:2">
      <c r="A167" s="5"/>
      <c r="B167" s="5"/>
    </row>
    <row r="168" spans="1:2">
      <c r="A168" s="5"/>
      <c r="B168" s="5"/>
    </row>
    <row r="169" spans="1:2">
      <c r="A169" s="5"/>
      <c r="B169" s="5"/>
    </row>
    <row r="170" spans="1:2">
      <c r="A170" s="5"/>
      <c r="B170" s="5"/>
    </row>
    <row r="171" spans="1:2">
      <c r="A171" s="5"/>
      <c r="B171" s="5"/>
    </row>
    <row r="172" spans="1:2">
      <c r="A172" s="5"/>
      <c r="B172" s="5"/>
    </row>
    <row r="173" spans="1:2">
      <c r="A173" s="5"/>
      <c r="B173" s="5"/>
    </row>
    <row r="174" spans="1:2">
      <c r="A174" s="5"/>
      <c r="B174" s="5"/>
    </row>
    <row r="175" spans="1:2">
      <c r="A175" s="5"/>
      <c r="B175" s="5"/>
    </row>
    <row r="176" spans="1:2">
      <c r="A176" s="5"/>
      <c r="B176" s="5"/>
    </row>
    <row r="177" spans="1:2">
      <c r="A177" s="5"/>
      <c r="B177" s="5"/>
    </row>
    <row r="178" spans="1:2">
      <c r="A178" s="5"/>
      <c r="B178" s="5"/>
    </row>
    <row r="179" spans="1:2">
      <c r="A179" s="5"/>
      <c r="B179" s="5"/>
    </row>
    <row r="180" spans="1:2">
      <c r="A180" s="5"/>
      <c r="B180" s="5"/>
    </row>
    <row r="181" spans="1:2">
      <c r="A181" s="5"/>
      <c r="B181" s="5"/>
    </row>
    <row r="182" spans="1:2">
      <c r="A182" s="5"/>
      <c r="B182" s="5"/>
    </row>
    <row r="183" spans="1:2">
      <c r="A183" s="5"/>
      <c r="B183" s="5"/>
    </row>
    <row r="184" spans="1:2">
      <c r="A184" s="5"/>
      <c r="B184" s="5"/>
    </row>
    <row r="185" spans="1:2">
      <c r="A185" s="5"/>
      <c r="B185" s="5"/>
    </row>
    <row r="186" spans="1:2">
      <c r="A186" s="5"/>
      <c r="B186" s="5"/>
    </row>
    <row r="187" spans="1:2">
      <c r="A187" s="5"/>
      <c r="B187" s="5"/>
    </row>
    <row r="188" spans="1:2">
      <c r="A188" s="5"/>
      <c r="B188" s="5"/>
    </row>
    <row r="189" spans="1:2">
      <c r="A189" s="5"/>
      <c r="B189" s="5"/>
    </row>
    <row r="190" spans="1:2">
      <c r="A190" s="5"/>
      <c r="B190" s="5"/>
    </row>
    <row r="191" spans="1:2">
      <c r="A191" s="5"/>
      <c r="B191" s="5"/>
    </row>
    <row r="192" spans="1:2">
      <c r="A192" s="5"/>
      <c r="B192" s="5"/>
    </row>
    <row r="193" spans="1:2">
      <c r="A193" s="5"/>
      <c r="B193" s="5"/>
    </row>
    <row r="194" spans="1:2">
      <c r="A194" s="5"/>
      <c r="B194" s="5"/>
    </row>
    <row r="195" spans="1:2">
      <c r="A195" s="5"/>
      <c r="B195" s="5"/>
    </row>
    <row r="196" spans="1:2">
      <c r="A196" s="5"/>
      <c r="B196" s="5"/>
    </row>
    <row r="197" spans="1:2">
      <c r="A197" s="5"/>
      <c r="B197" s="5"/>
    </row>
    <row r="198" spans="1:2">
      <c r="A198" s="5"/>
      <c r="B198" s="5"/>
    </row>
    <row r="199" spans="1:2">
      <c r="A199" s="5"/>
      <c r="B199" s="5"/>
    </row>
    <row r="200" spans="1:2">
      <c r="A200" s="5"/>
      <c r="B200" s="5"/>
    </row>
    <row r="201" spans="1:2">
      <c r="A201" s="5"/>
      <c r="B201" s="5"/>
    </row>
    <row r="202" spans="1:2">
      <c r="A202" s="5"/>
      <c r="B202" s="5"/>
    </row>
    <row r="203" spans="1:2">
      <c r="A203" s="5"/>
      <c r="B203" s="5"/>
    </row>
    <row r="204" spans="1:2">
      <c r="A204" s="5"/>
      <c r="B204" s="5"/>
    </row>
    <row r="205" spans="1:2">
      <c r="A205" s="5"/>
      <c r="B205" s="5"/>
    </row>
    <row r="206" spans="1:2">
      <c r="A206" s="5"/>
      <c r="B206" s="5"/>
    </row>
    <row r="207" spans="1:2">
      <c r="A207" s="5"/>
      <c r="B207" s="5"/>
    </row>
    <row r="208" spans="1:2">
      <c r="A208" s="5"/>
      <c r="B208" s="5"/>
    </row>
    <row r="209" spans="1:2">
      <c r="A209" s="5"/>
      <c r="B209" s="5"/>
    </row>
    <row r="210" spans="1:2">
      <c r="A210" s="5"/>
      <c r="B210" s="5"/>
    </row>
    <row r="211" spans="1:2">
      <c r="A211" s="5"/>
      <c r="B211" s="5"/>
    </row>
    <row r="212" spans="1:2">
      <c r="A212" s="5"/>
      <c r="B212" s="5"/>
    </row>
    <row r="213" spans="1:2">
      <c r="A213" s="5"/>
      <c r="B213" s="5"/>
    </row>
    <row r="214" spans="1:2">
      <c r="A214" s="5"/>
      <c r="B214" s="5"/>
    </row>
  </sheetData>
  <conditionalFormatting sqref="B2:L12">
    <cfRule type="containsText" dxfId="1" priority="1" operator="containsText" text="Yes">
      <formula>NOT(ISERROR(SEARCH("Yes",B2)))</formula>
    </cfRule>
  </conditionalFormatting>
  <pageMargins left="0.75" right="0.75" top="1" bottom="1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L214"/>
  <sheetViews>
    <sheetView zoomScale="85" zoomScaleNormal="85" workbookViewId="0"/>
  </sheetViews>
  <sheetFormatPr defaultColWidth="8.875" defaultRowHeight="15.75"/>
  <cols>
    <col min="1" max="2" width="11.5" bestFit="1" customWidth="1"/>
  </cols>
  <sheetData>
    <row r="1" spans="1:38">
      <c r="B1" s="1" t="s">
        <v>5</v>
      </c>
      <c r="C1" s="1" t="s">
        <v>6</v>
      </c>
      <c r="D1" s="1" t="s">
        <v>7</v>
      </c>
      <c r="E1" s="1"/>
      <c r="F1" s="1"/>
      <c r="G1" s="1"/>
      <c r="H1" s="1"/>
      <c r="I1" s="1"/>
      <c r="J1" s="1"/>
      <c r="K1" s="1"/>
      <c r="L1" s="1"/>
      <c r="N1" s="1"/>
      <c r="O1" s="1" t="s">
        <v>5</v>
      </c>
      <c r="P1" s="1" t="s">
        <v>6</v>
      </c>
      <c r="Q1" s="1" t="s">
        <v>7</v>
      </c>
      <c r="R1" s="1"/>
      <c r="S1" s="1"/>
      <c r="T1" s="1"/>
      <c r="U1" s="1"/>
      <c r="V1" s="1"/>
      <c r="W1" s="1"/>
      <c r="X1" s="1"/>
      <c r="Y1" s="1"/>
      <c r="Z1" s="1"/>
      <c r="AA1" s="1"/>
      <c r="AB1" s="1" t="s">
        <v>5</v>
      </c>
      <c r="AC1" s="1" t="s">
        <v>6</v>
      </c>
      <c r="AD1" s="1" t="s">
        <v>7</v>
      </c>
      <c r="AE1" s="1"/>
      <c r="AF1" s="1"/>
      <c r="AG1" s="1"/>
      <c r="AH1" s="1"/>
      <c r="AI1" s="1"/>
      <c r="AJ1" s="1"/>
      <c r="AK1" s="1"/>
      <c r="AL1" s="1"/>
    </row>
    <row r="2" spans="1:38">
      <c r="A2" s="1" t="s">
        <v>5</v>
      </c>
      <c r="B2" s="4" t="str">
        <f>IF(ISERROR(MATCH($A2,F$22:F$330,0)),"No","Yes")</f>
        <v>No</v>
      </c>
      <c r="C2" s="4" t="str">
        <f t="shared" ref="C2:D4" si="0">IF(ISERROR(MATCH($A2,G$22:G$330,0)),"No","Yes")</f>
        <v>Yes</v>
      </c>
      <c r="D2" s="4" t="str">
        <f t="shared" si="0"/>
        <v>Yes</v>
      </c>
      <c r="E2" s="4"/>
      <c r="F2" s="4"/>
      <c r="G2" s="4"/>
      <c r="H2" s="4"/>
      <c r="I2" s="4"/>
      <c r="J2" s="4"/>
      <c r="K2" s="4"/>
      <c r="L2" s="4"/>
      <c r="N2" s="1" t="s">
        <v>5</v>
      </c>
      <c r="P2">
        <v>10</v>
      </c>
      <c r="Q2">
        <v>10</v>
      </c>
      <c r="AA2" s="1" t="s">
        <v>5</v>
      </c>
      <c r="AC2">
        <v>500</v>
      </c>
      <c r="AD2">
        <v>500</v>
      </c>
    </row>
    <row r="3" spans="1:38">
      <c r="A3" s="1" t="s">
        <v>6</v>
      </c>
      <c r="B3" s="4" t="str">
        <f t="shared" ref="B3:B4" si="1">IF(ISERROR(MATCH($A3,F$22:F$330,0)),"No","Yes")</f>
        <v>Yes</v>
      </c>
      <c r="C3" s="4" t="str">
        <f t="shared" si="0"/>
        <v>No</v>
      </c>
      <c r="D3" s="4" t="str">
        <f t="shared" si="0"/>
        <v>No</v>
      </c>
      <c r="E3" s="4"/>
      <c r="F3" s="4"/>
      <c r="G3" s="4"/>
      <c r="H3" s="4"/>
      <c r="I3" s="4"/>
      <c r="J3" s="4"/>
      <c r="K3" s="4"/>
      <c r="L3" s="4"/>
      <c r="N3" s="1" t="s">
        <v>6</v>
      </c>
      <c r="O3">
        <v>10</v>
      </c>
      <c r="Q3">
        <f t="shared" ref="P3:Q4" ca="1" si="2">10+5*RAND()</f>
        <v>13.203154252958214</v>
      </c>
      <c r="AA3" s="1" t="s">
        <v>6</v>
      </c>
      <c r="AB3">
        <v>500</v>
      </c>
      <c r="AD3">
        <f t="shared" ref="AC3:AD4" ca="1" si="3">300-50*RAND()</f>
        <v>265.45108655632714</v>
      </c>
    </row>
    <row r="4" spans="1:38">
      <c r="A4" s="1" t="s">
        <v>7</v>
      </c>
      <c r="B4" s="4" t="str">
        <f t="shared" si="1"/>
        <v>Yes</v>
      </c>
      <c r="C4" s="4" t="str">
        <f t="shared" si="0"/>
        <v>No</v>
      </c>
      <c r="D4" s="4" t="str">
        <f t="shared" si="0"/>
        <v>No</v>
      </c>
      <c r="E4" s="4"/>
      <c r="F4" s="4"/>
      <c r="G4" s="4"/>
      <c r="H4" s="4"/>
      <c r="I4" s="4"/>
      <c r="J4" s="4"/>
      <c r="K4" s="4"/>
      <c r="L4" s="4"/>
      <c r="N4" s="1" t="s">
        <v>7</v>
      </c>
      <c r="O4">
        <v>10</v>
      </c>
      <c r="P4">
        <f t="shared" ca="1" si="2"/>
        <v>13.84876634807666</v>
      </c>
      <c r="AA4" s="1" t="s">
        <v>7</v>
      </c>
      <c r="AB4">
        <v>500</v>
      </c>
      <c r="AC4">
        <f t="shared" ca="1" si="3"/>
        <v>293.07860102880835</v>
      </c>
    </row>
    <row r="5" spans="1:38">
      <c r="A5" s="1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N5" s="1"/>
      <c r="AA5" s="1"/>
    </row>
    <row r="6" spans="1:38">
      <c r="A6" s="1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N6" s="1"/>
      <c r="AA6" s="1"/>
    </row>
    <row r="7" spans="1:38">
      <c r="A7" s="1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N7" s="1"/>
      <c r="AA7" s="1"/>
    </row>
    <row r="8" spans="1:38">
      <c r="A8" s="1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N8" s="1"/>
      <c r="AA8" s="1"/>
    </row>
    <row r="9" spans="1:38">
      <c r="A9" s="1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N9" s="1"/>
      <c r="AA9" s="1"/>
    </row>
    <row r="10" spans="1:38">
      <c r="A10" s="1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N10" s="1"/>
      <c r="AA10" s="1"/>
    </row>
    <row r="11" spans="1:38">
      <c r="A11" s="1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N11" s="1"/>
      <c r="AA11" s="1"/>
    </row>
    <row r="12" spans="1:38">
      <c r="A12" s="1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N12" s="1"/>
      <c r="AA12" s="1"/>
    </row>
    <row r="18" spans="1:21">
      <c r="A18" t="s">
        <v>58</v>
      </c>
    </row>
    <row r="19" spans="1:21">
      <c r="A19" t="s">
        <v>57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</row>
    <row r="20" spans="1:21">
      <c r="J20" s="1"/>
    </row>
    <row r="21" spans="1:21">
      <c r="A21" s="1" t="s">
        <v>59</v>
      </c>
      <c r="B21" s="1" t="s">
        <v>60</v>
      </c>
      <c r="E21" s="6"/>
      <c r="F21" s="7" t="s">
        <v>5</v>
      </c>
      <c r="G21" s="7" t="s">
        <v>6</v>
      </c>
      <c r="H21" s="7" t="s">
        <v>7</v>
      </c>
      <c r="I21" s="7" t="s">
        <v>8</v>
      </c>
      <c r="J21" s="7" t="s">
        <v>9</v>
      </c>
      <c r="K21" s="7" t="s">
        <v>10</v>
      </c>
      <c r="L21" s="7" t="s">
        <v>11</v>
      </c>
      <c r="M21" s="7" t="s">
        <v>12</v>
      </c>
      <c r="N21" s="7" t="s">
        <v>13</v>
      </c>
      <c r="O21" s="7" t="s">
        <v>17</v>
      </c>
      <c r="P21" s="7" t="s">
        <v>14</v>
      </c>
    </row>
    <row r="22" spans="1:21">
      <c r="A22" s="5" t="s">
        <v>5</v>
      </c>
      <c r="B22" s="5" t="s">
        <v>6</v>
      </c>
      <c r="E22" s="6">
        <v>1</v>
      </c>
      <c r="F22" s="6" t="str">
        <f t="array" ref="F22">IFERROR(INDEX($B$22:$B$610,SMALL(IF($A$22:$A$610=F$21,ROW(ElecLine!$A$22:$A$610)),ElecLine!$E22)-ROW(RoadList)),"")</f>
        <v>Afar</v>
      </c>
      <c r="G22" s="6" t="str">
        <f t="array" ref="G22">IFERROR(INDEX($B$22:$B$610,SMALL(IF($A$22:$A$610=G$21,ROW(ElecLine!$A$22:$A$610)),ElecLine!$E22)-ROW(RoadList)),"")</f>
        <v>AddisAbaba</v>
      </c>
      <c r="H22" s="6" t="str">
        <f t="array" ref="H22">IFERROR(INDEX($B$22:$B$610,SMALL(IF($A$22:$A$610=H$21,ROW(ElecLine!$A$22:$A$610)),ElecLine!$E22)-ROW(RoadList)),"")</f>
        <v>AddisAbaba</v>
      </c>
      <c r="I22" s="6" t="str">
        <f t="array" ref="I22">IFERROR(INDEX($B$22:$B$610,SMALL(IF($A$22:$A$610=I$21,ROW(ElecLine!$A$22:$A$610)),ElecLine!$E22)-ROW(RoadList)),"")</f>
        <v>AddisAbaba</v>
      </c>
      <c r="J22" s="6" t="str">
        <f t="array" ref="J22">IFERROR(INDEX($B$22:$B$610,SMALL(IF($A$22:$A$610=J$21,ROW(ElecLine!$A$22:$A$610)),ElecLine!$E22)-ROW(RoadList)),"")</f>
        <v>AddisAbaba</v>
      </c>
      <c r="K22" s="6" t="str">
        <f t="array" ref="K22">IFERROR(INDEX($B$22:$B$610,SMALL(IF($A$22:$A$610=K$21,ROW(ElecLine!$A$22:$A$610)),ElecLine!$E22)-ROW(RoadList)),"")</f>
        <v>AddisAbaba</v>
      </c>
      <c r="L22" s="6" t="str">
        <f t="array" ref="L22">IFERROR(INDEX($B$22:$B$610,SMALL(IF($A$22:$A$610=L$21,ROW(ElecLine!$A$22:$A$610)),ElecLine!$E22)-ROW(RoadList)),"")</f>
        <v>AddisAbaba</v>
      </c>
      <c r="M22" s="6" t="str">
        <f t="array" ref="M22">IFERROR(INDEX($B$22:$B$610,SMALL(IF($A$22:$A$610=M$21,ROW(ElecLine!$A$22:$A$610)),ElecLine!$E22)-ROW(RoadList)),"")</f>
        <v>AddisAbaba</v>
      </c>
      <c r="N22" s="6" t="str">
        <f t="array" ref="N22">IFERROR(INDEX($B$22:$B$610,SMALL(IF($A$22:$A$610=N$21,ROW(ElecLine!$A$22:$A$610)),ElecLine!$E22)-ROW(RoadList)),"")</f>
        <v>AddisAbaba</v>
      </c>
      <c r="O22" s="6" t="str">
        <f t="array" ref="O22">IFERROR(INDEX($B$22:$B$610,SMALL(IF($A$22:$A$610=O$21,ROW(ElecLine!$A$22:$A$610)),ElecLine!$E22)-ROW(RoadList)),"")</f>
        <v>AddisAbaba</v>
      </c>
      <c r="P22" s="6" t="str">
        <f t="array" ref="P22">IFERROR(INDEX($B$22:$B$610,SMALL(IF($A$22:$A$610=P$21,ROW(ElecLine!$A$22:$A$610)),ElecLine!$E22)-ROW(RoadList)),"")</f>
        <v>AddisAbaba</v>
      </c>
    </row>
    <row r="23" spans="1:21">
      <c r="A23" s="5" t="s">
        <v>5</v>
      </c>
      <c r="B23" s="5" t="s">
        <v>7</v>
      </c>
      <c r="E23" s="6">
        <f>E22+1</f>
        <v>2</v>
      </c>
      <c r="F23" s="6" t="str">
        <f t="array" ref="F23">IFERROR(INDEX($B$22:$B$610,SMALL(IF($A$22:$A$610=F$21,ROW(ElecLine!$A$22:$A$610)),ElecLine!$E23)-ROW(RoadList)),"")</f>
        <v>Amhara</v>
      </c>
      <c r="G23" s="6" t="str">
        <f t="array" ref="G23">IFERROR(INDEX($B$22:$B$610,SMALL(IF($A$22:$A$610=G$21,ROW(ElecLine!$A$22:$A$610)),ElecLine!$E23)-ROW(RoadList)),"")</f>
        <v>Gumuz</v>
      </c>
      <c r="H23" s="6" t="str">
        <f t="array" ref="H23">IFERROR(INDEX($B$22:$B$610,SMALL(IF($A$22:$A$610=H$21,ROW(ElecLine!$A$22:$A$610)),ElecLine!$E23)-ROW(RoadList)),"")</f>
        <v>Harari</v>
      </c>
      <c r="I23" s="6" t="str">
        <f t="array" ref="I23">IFERROR(INDEX($B$22:$B$610,SMALL(IF($A$22:$A$610=I$21,ROW(ElecLine!$A$22:$A$610)),ElecLine!$E23)-ROW(RoadList)),"")</f>
        <v>Afar</v>
      </c>
      <c r="J23" s="6" t="str">
        <f t="array" ref="J23">IFERROR(INDEX($B$22:$B$610,SMALL(IF($A$22:$A$610=J$21,ROW(ElecLine!$A$22:$A$610)),ElecLine!$E23)-ROW(RoadList)),"")</f>
        <v>Gambela</v>
      </c>
      <c r="K23" s="6" t="str">
        <f t="array" ref="K23">IFERROR(INDEX($B$22:$B$610,SMALL(IF($A$22:$A$610=K$21,ROW(ElecLine!$A$22:$A$610)),ElecLine!$E23)-ROW(RoadList)),"")</f>
        <v>Afar</v>
      </c>
      <c r="L23" s="6" t="str">
        <f t="array" ref="L23">IFERROR(INDEX($B$22:$B$610,SMALL(IF($A$22:$A$610=L$21,ROW(ElecLine!$A$22:$A$610)),ElecLine!$E23)-ROW(RoadList)),"")</f>
        <v>Afar</v>
      </c>
      <c r="M23" s="6" t="str">
        <f t="array" ref="M23">IFERROR(INDEX($B$22:$B$610,SMALL(IF($A$22:$A$610=M$21,ROW(ElecLine!$A$22:$A$610)),ElecLine!$E23)-ROW(RoadList)),"")</f>
        <v>Afar</v>
      </c>
      <c r="N23" s="6" t="str">
        <f t="array" ref="N23">IFERROR(INDEX($B$22:$B$610,SMALL(IF($A$22:$A$610=N$21,ROW(ElecLine!$A$22:$A$610)),ElecLine!$E23)-ROW(RoadList)),"")</f>
        <v>Amhara</v>
      </c>
      <c r="O23" s="6" t="str">
        <f t="array" ref="O23">IFERROR(INDEX($B$22:$B$610,SMALL(IF($A$22:$A$610=O$21,ROW(ElecLine!$A$22:$A$610)),ElecLine!$E23)-ROW(RoadList)),"")</f>
        <v>Afar</v>
      </c>
      <c r="P23" s="6" t="str">
        <f t="array" ref="P23">IFERROR(INDEX($B$22:$B$610,SMALL(IF($A$22:$A$610=P$21,ROW(ElecLine!$A$22:$A$610)),ElecLine!$E23)-ROW(RoadList)),"")</f>
        <v>DireDawa</v>
      </c>
    </row>
    <row r="24" spans="1:21">
      <c r="A24" s="5" t="s">
        <v>5</v>
      </c>
      <c r="B24" s="5" t="s">
        <v>9</v>
      </c>
      <c r="E24" s="6">
        <f t="shared" ref="E24:E32" si="4">E23+1</f>
        <v>3</v>
      </c>
      <c r="F24" s="6" t="str">
        <f t="array" ref="F24">IFERROR(INDEX($B$22:$B$610,SMALL(IF($A$22:$A$610=F$21,ROW(ElecLine!$A$22:$A$610)),ElecLine!$E24)-ROW(RoadList)),"")</f>
        <v>DireDawa</v>
      </c>
      <c r="G24" s="6" t="str">
        <f t="array" ref="G24">IFERROR(INDEX($B$22:$B$610,SMALL(IF($A$22:$A$610=G$21,ROW(ElecLine!$A$22:$A$610)),ElecLine!$E24)-ROW(RoadList)),"")</f>
        <v>Harari</v>
      </c>
      <c r="H24" s="6" t="str">
        <f t="array" ref="H24">IFERROR(INDEX($B$22:$B$610,SMALL(IF($A$22:$A$610=H$21,ROW(ElecLine!$A$22:$A$610)),ElecLine!$E24)-ROW(RoadList)),"")</f>
        <v>SNNPR</v>
      </c>
      <c r="I24" s="6" t="str">
        <f t="array" ref="I24">IFERROR(INDEX($B$22:$B$610,SMALL(IF($A$22:$A$610=I$21,ROW(ElecLine!$A$22:$A$610)),ElecLine!$E24)-ROW(RoadList)),"")</f>
        <v>Amhara</v>
      </c>
      <c r="J24" s="6" t="str">
        <f t="array" ref="J24">IFERROR(INDEX($B$22:$B$610,SMALL(IF($A$22:$A$610=J$21,ROW(ElecLine!$A$22:$A$610)),ElecLine!$E24)-ROW(RoadList)),"")</f>
        <v>Gumuz</v>
      </c>
      <c r="K24" s="6" t="str">
        <f t="array" ref="K24">IFERROR(INDEX($B$22:$B$610,SMALL(IF($A$22:$A$610=K$21,ROW(ElecLine!$A$22:$A$610)),ElecLine!$E24)-ROW(RoadList)),"")</f>
        <v>DireDawa</v>
      </c>
      <c r="L24" s="6" t="str">
        <f t="array" ref="L24">IFERROR(INDEX($B$22:$B$610,SMALL(IF($A$22:$A$610=L$21,ROW(ElecLine!$A$22:$A$610)),ElecLine!$E24)-ROW(RoadList)),"")</f>
        <v>Amhara</v>
      </c>
      <c r="M24" s="6" t="str">
        <f t="array" ref="M24">IFERROR(INDEX($B$22:$B$610,SMALL(IF($A$22:$A$610=M$21,ROW(ElecLine!$A$22:$A$610)),ElecLine!$E24)-ROW(RoadList)),"")</f>
        <v>DireDawa</v>
      </c>
      <c r="N24" s="6" t="str">
        <f t="array" ref="N24">IFERROR(INDEX($B$22:$B$610,SMALL(IF($A$22:$A$610=N$21,ROW(ElecLine!$A$22:$A$610)),ElecLine!$E24)-ROW(RoadList)),"")</f>
        <v>Gambela</v>
      </c>
      <c r="O24" s="6" t="str">
        <f t="array" ref="O24">IFERROR(INDEX($B$22:$B$610,SMALL(IF($A$22:$A$610=O$21,ROW(ElecLine!$A$22:$A$610)),ElecLine!$E24)-ROW(RoadList)),"")</f>
        <v>Amhara</v>
      </c>
      <c r="P24" s="6" t="str">
        <f t="array" ref="P24">IFERROR(INDEX($B$22:$B$610,SMALL(IF($A$22:$A$610=P$21,ROW(ElecLine!$A$22:$A$610)),ElecLine!$E24)-ROW(RoadList)),"")</f>
        <v>Gambela</v>
      </c>
    </row>
    <row r="25" spans="1:21">
      <c r="A25" s="5" t="s">
        <v>5</v>
      </c>
      <c r="B25" s="5" t="s">
        <v>10</v>
      </c>
      <c r="E25" s="6">
        <f t="shared" si="4"/>
        <v>4</v>
      </c>
      <c r="F25" s="6" t="str">
        <f t="array" ref="F25">IFERROR(INDEX($B$22:$B$610,SMALL(IF($A$22:$A$610=F$21,ROW(ElecLine!$A$22:$A$610)),ElecLine!$E25)-ROW(RoadList)),"")</f>
        <v>Gambela</v>
      </c>
      <c r="G25" s="6" t="str">
        <f t="array" ref="G25">IFERROR(INDEX($B$22:$B$610,SMALL(IF($A$22:$A$610=G$21,ROW(ElecLine!$A$22:$A$610)),ElecLine!$E25)-ROW(RoadList)),"")</f>
        <v>Oromia</v>
      </c>
      <c r="H25" s="6" t="str">
        <f t="array" ref="H25">IFERROR(INDEX($B$22:$B$610,SMALL(IF($A$22:$A$610=H$21,ROW(ElecLine!$A$22:$A$610)),ElecLine!$E25)-ROW(RoadList)),"")</f>
        <v>Somali</v>
      </c>
      <c r="I25" s="6" t="str">
        <f t="array" ref="I25">IFERROR(INDEX($B$22:$B$610,SMALL(IF($A$22:$A$610=I$21,ROW(ElecLine!$A$22:$A$610)),ElecLine!$E25)-ROW(RoadList)),"")</f>
        <v>DireDawa</v>
      </c>
      <c r="J25" s="6" t="str">
        <f t="array" ref="J25">IFERROR(INDEX($B$22:$B$610,SMALL(IF($A$22:$A$610=J$21,ROW(ElecLine!$A$22:$A$610)),ElecLine!$E25)-ROW(RoadList)),"")</f>
        <v>Oromia</v>
      </c>
      <c r="K25" s="6" t="str">
        <f t="array" ref="K25">IFERROR(INDEX($B$22:$B$610,SMALL(IF($A$22:$A$610=K$21,ROW(ElecLine!$A$22:$A$610)),ElecLine!$E25)-ROW(RoadList)),"")</f>
        <v>SNNPR</v>
      </c>
      <c r="L25" s="6" t="str">
        <f t="array" ref="L25">IFERROR(INDEX($B$22:$B$610,SMALL(IF($A$22:$A$610=L$21,ROW(ElecLine!$A$22:$A$610)),ElecLine!$E25)-ROW(RoadList)),"")</f>
        <v>DireDawa</v>
      </c>
      <c r="M25" s="6" t="str">
        <f t="array" ref="M25">IFERROR(INDEX($B$22:$B$610,SMALL(IF($A$22:$A$610=M$21,ROW(ElecLine!$A$22:$A$610)),ElecLine!$E25)-ROW(RoadList)),"")</f>
        <v>Gambela</v>
      </c>
      <c r="N25" s="6" t="str">
        <f t="array" ref="N25">IFERROR(INDEX($B$22:$B$610,SMALL(IF($A$22:$A$610=N$21,ROW(ElecLine!$A$22:$A$610)),ElecLine!$E25)-ROW(RoadList)),"")</f>
        <v>Harari</v>
      </c>
      <c r="O25" s="6" t="str">
        <f t="array" ref="O25">IFERROR(INDEX($B$22:$B$610,SMALL(IF($A$22:$A$610=O$21,ROW(ElecLine!$A$22:$A$610)),ElecLine!$E25)-ROW(RoadList)),"")</f>
        <v>Gambela</v>
      </c>
      <c r="P25" s="6" t="str">
        <f t="array" ref="P25">IFERROR(INDEX($B$22:$B$610,SMALL(IF($A$22:$A$610=P$21,ROW(ElecLine!$A$22:$A$610)),ElecLine!$E25)-ROW(RoadList)),"")</f>
        <v>Gumuz</v>
      </c>
    </row>
    <row r="26" spans="1:21">
      <c r="A26" s="5" t="s">
        <v>5</v>
      </c>
      <c r="B26" s="5" t="s">
        <v>8</v>
      </c>
      <c r="E26" s="6">
        <f t="shared" si="4"/>
        <v>5</v>
      </c>
      <c r="F26" s="6" t="str">
        <f t="array" ref="F26">IFERROR(INDEX($B$22:$B$610,SMALL(IF($A$22:$A$610=F$21,ROW(ElecLine!$A$22:$A$610)),ElecLine!$E26)-ROW(RoadList)),"")</f>
        <v>Gumuz</v>
      </c>
      <c r="G26" s="6" t="str">
        <f t="array" ref="G26">IFERROR(INDEX($B$22:$B$610,SMALL(IF($A$22:$A$610=G$21,ROW(ElecLine!$A$22:$A$610)),ElecLine!$E26)-ROW(RoadList)),"")</f>
        <v>SNNPR</v>
      </c>
      <c r="H26" s="6" t="str">
        <f t="array" ref="H26">IFERROR(INDEX($B$22:$B$610,SMALL(IF($A$22:$A$610=H$21,ROW(ElecLine!$A$22:$A$610)),ElecLine!$E26)-ROW(RoadList)),"")</f>
        <v>Tigray</v>
      </c>
      <c r="I26" s="6" t="str">
        <f t="array" ref="I26">IFERROR(INDEX($B$22:$B$610,SMALL(IF($A$22:$A$610=I$21,ROW(ElecLine!$A$22:$A$610)),ElecLine!$E26)-ROW(RoadList)),"")</f>
        <v>Oromia</v>
      </c>
      <c r="J26" s="6" t="str">
        <f t="array" ref="J26">IFERROR(INDEX($B$22:$B$610,SMALL(IF($A$22:$A$610=J$21,ROW(ElecLine!$A$22:$A$610)),ElecLine!$E26)-ROW(RoadList)),"")</f>
        <v>Tigray</v>
      </c>
      <c r="K26" s="6" t="str">
        <f t="array" ref="K26">IFERROR(INDEX($B$22:$B$610,SMALL(IF($A$22:$A$610=K$21,ROW(ElecLine!$A$22:$A$610)),ElecLine!$E26)-ROW(RoadList)),"")</f>
        <v>Somali</v>
      </c>
      <c r="L26" s="6" t="str">
        <f t="array" ref="L26">IFERROR(INDEX($B$22:$B$610,SMALL(IF($A$22:$A$610=L$21,ROW(ElecLine!$A$22:$A$610)),ElecLine!$E26)-ROW(RoadList)),"")</f>
        <v>Somali</v>
      </c>
      <c r="M26" s="6" t="str">
        <f t="array" ref="M26">IFERROR(INDEX($B$22:$B$610,SMALL(IF($A$22:$A$610=M$21,ROW(ElecLine!$A$22:$A$610)),ElecLine!$E26)-ROW(RoadList)),"")</f>
        <v>Gumuz</v>
      </c>
      <c r="N26" s="6" t="str">
        <f t="array" ref="N26">IFERROR(INDEX($B$22:$B$610,SMALL(IF($A$22:$A$610=N$21,ROW(ElecLine!$A$22:$A$610)),ElecLine!$E26)-ROW(RoadList)),"")</f>
        <v>Oromia</v>
      </c>
      <c r="O26" s="6" t="str">
        <f t="array" ref="O26">IFERROR(INDEX($B$22:$B$610,SMALL(IF($A$22:$A$610=O$21,ROW(ElecLine!$A$22:$A$610)),ElecLine!$E26)-ROW(RoadList)),"")</f>
        <v>Harari</v>
      </c>
      <c r="P26" s="6" t="str">
        <f t="array" ref="P26">IFERROR(INDEX($B$22:$B$610,SMALL(IF($A$22:$A$610=P$21,ROW(ElecLine!$A$22:$A$610)),ElecLine!$E26)-ROW(RoadList)),"")</f>
        <v>Harari</v>
      </c>
    </row>
    <row r="27" spans="1:21">
      <c r="A27" s="5" t="s">
        <v>5</v>
      </c>
      <c r="B27" s="5" t="s">
        <v>11</v>
      </c>
      <c r="E27" s="6">
        <f t="shared" si="4"/>
        <v>6</v>
      </c>
      <c r="F27" s="6" t="str">
        <f t="array" ref="F27">IFERROR(INDEX($B$22:$B$610,SMALL(IF($A$22:$A$610=F$21,ROW(ElecLine!$A$22:$A$610)),ElecLine!$E27)-ROW(RoadList)),"")</f>
        <v>Harari</v>
      </c>
      <c r="G27" s="6" t="str">
        <f t="array" ref="G27">IFERROR(INDEX($B$22:$B$610,SMALL(IF($A$22:$A$610=G$21,ROW(ElecLine!$A$22:$A$610)),ElecLine!$E27)-ROW(RoadList)),"")</f>
        <v/>
      </c>
      <c r="H27" s="6" t="str">
        <f t="array" ref="H27">IFERROR(INDEX($B$22:$B$610,SMALL(IF($A$22:$A$610=H$21,ROW(ElecLine!$A$22:$A$610)),ElecLine!$E27)-ROW(RoadList)),"")</f>
        <v/>
      </c>
      <c r="I27" s="6" t="str">
        <f t="array" ref="I27">IFERROR(INDEX($B$22:$B$610,SMALL(IF($A$22:$A$610=I$21,ROW(ElecLine!$A$22:$A$610)),ElecLine!$E27)-ROW(RoadList)),"")</f>
        <v/>
      </c>
      <c r="J27" s="6" t="str">
        <f t="array" ref="J27">IFERROR(INDEX($B$22:$B$610,SMALL(IF($A$22:$A$610=J$21,ROW(ElecLine!$A$22:$A$610)),ElecLine!$E27)-ROW(RoadList)),"")</f>
        <v/>
      </c>
      <c r="K27" s="6" t="str">
        <f t="array" ref="K27">IFERROR(INDEX($B$22:$B$610,SMALL(IF($A$22:$A$610=K$21,ROW(ElecLine!$A$22:$A$610)),ElecLine!$E27)-ROW(RoadList)),"")</f>
        <v>Tigray</v>
      </c>
      <c r="L27" s="6" t="str">
        <f t="array" ref="L27">IFERROR(INDEX($B$22:$B$610,SMALL(IF($A$22:$A$610=L$21,ROW(ElecLine!$A$22:$A$610)),ElecLine!$E27)-ROW(RoadList)),"")</f>
        <v/>
      </c>
      <c r="M27" s="6" t="str">
        <f t="array" ref="M27">IFERROR(INDEX($B$22:$B$610,SMALL(IF($A$22:$A$610=M$21,ROW(ElecLine!$A$22:$A$610)),ElecLine!$E27)-ROW(RoadList)),"")</f>
        <v>Somali</v>
      </c>
      <c r="N27" s="6" t="str">
        <f t="array" ref="N27">IFERROR(INDEX($B$22:$B$610,SMALL(IF($A$22:$A$610=N$21,ROW(ElecLine!$A$22:$A$610)),ElecLine!$E27)-ROW(RoadList)),"")</f>
        <v>SNNPR</v>
      </c>
      <c r="O27" s="6" t="str">
        <f t="array" ref="O27">IFERROR(INDEX($B$22:$B$610,SMALL(IF($A$22:$A$610=O$21,ROW(ElecLine!$A$22:$A$610)),ElecLine!$E27)-ROW(RoadList)),"")</f>
        <v>Tigray</v>
      </c>
      <c r="P27" s="6" t="str">
        <f t="array" ref="P27">IFERROR(INDEX($B$22:$B$610,SMALL(IF($A$22:$A$610=P$21,ROW(ElecLine!$A$22:$A$610)),ElecLine!$E27)-ROW(RoadList)),"")</f>
        <v>SNNPR</v>
      </c>
    </row>
    <row r="28" spans="1:21">
      <c r="A28" s="5" t="s">
        <v>5</v>
      </c>
      <c r="B28" s="5" t="s">
        <v>12</v>
      </c>
      <c r="E28" s="6">
        <f t="shared" si="4"/>
        <v>7</v>
      </c>
      <c r="F28" s="6" t="str">
        <f t="array" ref="F28">IFERROR(INDEX($B$22:$B$610,SMALL(IF($A$22:$A$610=F$21,ROW(ElecLine!$A$22:$A$610)),ElecLine!$E28)-ROW(RoadList)),"")</f>
        <v>Oromia</v>
      </c>
      <c r="G28" s="6" t="str">
        <f t="array" ref="G28">IFERROR(INDEX($B$22:$B$610,SMALL(IF($A$22:$A$610=G$21,ROW(ElecLine!$A$22:$A$610)),ElecLine!$E28)-ROW(RoadList)),"")</f>
        <v/>
      </c>
      <c r="H28" s="6" t="str">
        <f t="array" ref="H28">IFERROR(INDEX($B$22:$B$610,SMALL(IF($A$22:$A$610=H$21,ROW(ElecLine!$A$22:$A$610)),ElecLine!$E28)-ROW(RoadList)),"")</f>
        <v/>
      </c>
      <c r="I28" s="6" t="str">
        <f t="array" ref="I28">IFERROR(INDEX($B$22:$B$610,SMALL(IF($A$22:$A$610=I$21,ROW(ElecLine!$A$22:$A$610)),ElecLine!$E28)-ROW(RoadList)),"")</f>
        <v/>
      </c>
      <c r="J28" s="6" t="str">
        <f t="array" ref="J28">IFERROR(INDEX($B$22:$B$610,SMALL(IF($A$22:$A$610=J$21,ROW(ElecLine!$A$22:$A$610)),ElecLine!$E28)-ROW(RoadList)),"")</f>
        <v/>
      </c>
      <c r="K28" s="6" t="str">
        <f t="array" ref="K28">IFERROR(INDEX($B$22:$B$610,SMALL(IF($A$22:$A$610=K$21,ROW(ElecLine!$A$22:$A$610)),ElecLine!$E28)-ROW(RoadList)),"")</f>
        <v/>
      </c>
      <c r="L28" s="6" t="str">
        <f t="array" ref="L28">IFERROR(INDEX($B$22:$B$610,SMALL(IF($A$22:$A$610=L$21,ROW(ElecLine!$A$22:$A$610)),ElecLine!$E28)-ROW(RoadList)),"")</f>
        <v/>
      </c>
      <c r="M28" s="6" t="str">
        <f t="array" ref="M28">IFERROR(INDEX($B$22:$B$610,SMALL(IF($A$22:$A$610=M$21,ROW(ElecLine!$A$22:$A$610)),ElecLine!$E28)-ROW(RoadList)),"")</f>
        <v/>
      </c>
      <c r="N28" s="6" t="str">
        <f t="array" ref="N28">IFERROR(INDEX($B$22:$B$610,SMALL(IF($A$22:$A$610=N$21,ROW(ElecLine!$A$22:$A$610)),ElecLine!$E28)-ROW(RoadList)),"")</f>
        <v/>
      </c>
      <c r="O28" s="6" t="str">
        <f t="array" ref="O28">IFERROR(INDEX($B$22:$B$610,SMALL(IF($A$22:$A$610=O$21,ROW(ElecLine!$A$22:$A$610)),ElecLine!$E28)-ROW(RoadList)),"")</f>
        <v/>
      </c>
      <c r="P28" s="6" t="str">
        <f t="array" ref="P28">IFERROR(INDEX($B$22:$B$610,SMALL(IF($A$22:$A$610=P$21,ROW(ElecLine!$A$22:$A$610)),ElecLine!$E28)-ROW(RoadList)),"")</f>
        <v/>
      </c>
    </row>
    <row r="29" spans="1:21">
      <c r="A29" s="5" t="s">
        <v>5</v>
      </c>
      <c r="B29" s="5" t="s">
        <v>17</v>
      </c>
      <c r="E29" s="6">
        <f t="shared" si="4"/>
        <v>8</v>
      </c>
      <c r="F29" s="6" t="str">
        <f t="array" ref="F29">IFERROR(INDEX($B$22:$B$610,SMALL(IF($A$22:$A$610=F$21,ROW(ElecLine!$A$22:$A$610)),ElecLine!$E29)-ROW(RoadList)),"")</f>
        <v>SNNPR</v>
      </c>
      <c r="G29" s="6" t="str">
        <f t="array" ref="G29">IFERROR(INDEX($B$22:$B$610,SMALL(IF($A$22:$A$610=G$21,ROW(ElecLine!$A$22:$A$610)),ElecLine!$E29)-ROW(RoadList)),"")</f>
        <v/>
      </c>
      <c r="H29" s="6" t="str">
        <f t="array" ref="H29">IFERROR(INDEX($B$22:$B$610,SMALL(IF($A$22:$A$610=H$21,ROW(ElecLine!$A$22:$A$610)),ElecLine!$E29)-ROW(RoadList)),"")</f>
        <v/>
      </c>
      <c r="I29" s="6" t="str">
        <f t="array" ref="I29">IFERROR(INDEX($B$22:$B$610,SMALL(IF($A$22:$A$610=I$21,ROW(ElecLine!$A$22:$A$610)),ElecLine!$E29)-ROW(RoadList)),"")</f>
        <v/>
      </c>
      <c r="J29" s="6" t="str">
        <f t="array" ref="J29">IFERROR(INDEX($B$22:$B$610,SMALL(IF($A$22:$A$610=J$21,ROW(ElecLine!$A$22:$A$610)),ElecLine!$E29)-ROW(RoadList)),"")</f>
        <v/>
      </c>
      <c r="K29" s="6" t="str">
        <f t="array" ref="K29">IFERROR(INDEX($B$22:$B$610,SMALL(IF($A$22:$A$610=K$21,ROW(ElecLine!$A$22:$A$610)),ElecLine!$E29)-ROW(RoadList)),"")</f>
        <v/>
      </c>
      <c r="L29" s="6" t="str">
        <f t="array" ref="L29">IFERROR(INDEX($B$22:$B$610,SMALL(IF($A$22:$A$610=L$21,ROW(ElecLine!$A$22:$A$610)),ElecLine!$E29)-ROW(RoadList)),"")</f>
        <v/>
      </c>
      <c r="M29" s="6" t="str">
        <f t="array" ref="M29">IFERROR(INDEX($B$22:$B$610,SMALL(IF($A$22:$A$610=M$21,ROW(ElecLine!$A$22:$A$610)),ElecLine!$E29)-ROW(RoadList)),"")</f>
        <v/>
      </c>
      <c r="N29" s="6" t="str">
        <f t="array" ref="N29">IFERROR(INDEX($B$22:$B$610,SMALL(IF($A$22:$A$610=N$21,ROW(ElecLine!$A$22:$A$610)),ElecLine!$E29)-ROW(RoadList)),"")</f>
        <v/>
      </c>
      <c r="O29" s="6" t="str">
        <f t="array" ref="O29">IFERROR(INDEX($B$22:$B$610,SMALL(IF($A$22:$A$610=O$21,ROW(ElecLine!$A$22:$A$610)),ElecLine!$E29)-ROW(RoadList)),"")</f>
        <v/>
      </c>
      <c r="P29" s="6" t="str">
        <f t="array" ref="P29">IFERROR(INDEX($B$22:$B$610,SMALL(IF($A$22:$A$610=P$21,ROW(ElecLine!$A$22:$A$610)),ElecLine!$E29)-ROW(RoadList)),"")</f>
        <v/>
      </c>
    </row>
    <row r="30" spans="1:21">
      <c r="A30" s="5" t="s">
        <v>5</v>
      </c>
      <c r="B30" s="5" t="s">
        <v>13</v>
      </c>
      <c r="E30" s="6">
        <f t="shared" si="4"/>
        <v>9</v>
      </c>
      <c r="F30" s="6" t="str">
        <f t="array" ref="F30">IFERROR(INDEX($B$22:$B$610,SMALL(IF($A$22:$A$610=F$21,ROW(ElecLine!$A$22:$A$610)),ElecLine!$E30)-ROW(RoadList)),"")</f>
        <v>Somali</v>
      </c>
      <c r="G30" s="6" t="str">
        <f t="array" ref="G30">IFERROR(INDEX($B$22:$B$610,SMALL(IF($A$22:$A$610=G$21,ROW(ElecLine!$A$22:$A$610)),ElecLine!$E30)-ROW(RoadList)),"")</f>
        <v/>
      </c>
      <c r="H30" s="6" t="str">
        <f t="array" ref="H30">IFERROR(INDEX($B$22:$B$610,SMALL(IF($A$22:$A$610=H$21,ROW(ElecLine!$A$22:$A$610)),ElecLine!$E30)-ROW(RoadList)),"")</f>
        <v/>
      </c>
      <c r="I30" s="6" t="str">
        <f t="array" ref="I30">IFERROR(INDEX($B$22:$B$610,SMALL(IF($A$22:$A$610=I$21,ROW(ElecLine!$A$22:$A$610)),ElecLine!$E30)-ROW(RoadList)),"")</f>
        <v/>
      </c>
      <c r="J30" s="6" t="str">
        <f t="array" ref="J30">IFERROR(INDEX($B$22:$B$610,SMALL(IF($A$22:$A$610=J$21,ROW(ElecLine!$A$22:$A$610)),ElecLine!$E30)-ROW(RoadList)),"")</f>
        <v/>
      </c>
      <c r="K30" s="6" t="str">
        <f t="array" ref="K30">IFERROR(INDEX($B$22:$B$610,SMALL(IF($A$22:$A$610=K$21,ROW(ElecLine!$A$22:$A$610)),ElecLine!$E30)-ROW(RoadList)),"")</f>
        <v/>
      </c>
      <c r="L30" s="6" t="str">
        <f t="array" ref="L30">IFERROR(INDEX($B$22:$B$610,SMALL(IF($A$22:$A$610=L$21,ROW(ElecLine!$A$22:$A$610)),ElecLine!$E30)-ROW(RoadList)),"")</f>
        <v/>
      </c>
      <c r="M30" s="6" t="str">
        <f t="array" ref="M30">IFERROR(INDEX($B$22:$B$610,SMALL(IF($A$22:$A$610=M$21,ROW(ElecLine!$A$22:$A$610)),ElecLine!$E30)-ROW(RoadList)),"")</f>
        <v/>
      </c>
      <c r="N30" s="6" t="str">
        <f t="array" ref="N30">IFERROR(INDEX($B$22:$B$610,SMALL(IF($A$22:$A$610=N$21,ROW(ElecLine!$A$22:$A$610)),ElecLine!$E30)-ROW(RoadList)),"")</f>
        <v/>
      </c>
      <c r="O30" s="6" t="str">
        <f t="array" ref="O30">IFERROR(INDEX($B$22:$B$610,SMALL(IF($A$22:$A$610=O$21,ROW(ElecLine!$A$22:$A$610)),ElecLine!$E30)-ROW(RoadList)),"")</f>
        <v/>
      </c>
      <c r="P30" s="6" t="str">
        <f t="array" ref="P30">IFERROR(INDEX($B$22:$B$610,SMALL(IF($A$22:$A$610=P$21,ROW(ElecLine!$A$22:$A$610)),ElecLine!$E30)-ROW(RoadList)),"")</f>
        <v/>
      </c>
    </row>
    <row r="31" spans="1:21">
      <c r="A31" s="5" t="s">
        <v>5</v>
      </c>
      <c r="B31" s="5" t="s">
        <v>14</v>
      </c>
      <c r="E31" s="6">
        <f t="shared" si="4"/>
        <v>10</v>
      </c>
      <c r="F31" s="6" t="str">
        <f t="array" ref="F31">IFERROR(INDEX($B$22:$B$610,SMALL(IF($A$22:$A$610=F$21,ROW(ElecLine!$A$22:$A$610)),ElecLine!$E31)-ROW(RoadList)),"")</f>
        <v>Tigray</v>
      </c>
      <c r="G31" s="6" t="str">
        <f t="array" ref="G31">IFERROR(INDEX($B$22:$B$610,SMALL(IF($A$22:$A$610=G$21,ROW(ElecLine!$A$22:$A$610)),ElecLine!$E31)-ROW(RoadList)),"")</f>
        <v/>
      </c>
      <c r="H31" s="6" t="str">
        <f t="array" ref="H31">IFERROR(INDEX($B$22:$B$610,SMALL(IF($A$22:$A$610=H$21,ROW(ElecLine!$A$22:$A$610)),ElecLine!$E31)-ROW(RoadList)),"")</f>
        <v/>
      </c>
      <c r="I31" s="6" t="str">
        <f t="array" ref="I31">IFERROR(INDEX($B$22:$B$610,SMALL(IF($A$22:$A$610=I$21,ROW(ElecLine!$A$22:$A$610)),ElecLine!$E31)-ROW(RoadList)),"")</f>
        <v/>
      </c>
      <c r="J31" s="6" t="str">
        <f t="array" ref="J31">IFERROR(INDEX($B$22:$B$610,SMALL(IF($A$22:$A$610=J$21,ROW(ElecLine!$A$22:$A$610)),ElecLine!$E31)-ROW(RoadList)),"")</f>
        <v/>
      </c>
      <c r="K31" s="6" t="str">
        <f t="array" ref="K31">IFERROR(INDEX($B$22:$B$610,SMALL(IF($A$22:$A$610=K$21,ROW(ElecLine!$A$22:$A$610)),ElecLine!$E31)-ROW(RoadList)),"")</f>
        <v/>
      </c>
      <c r="L31" s="6" t="str">
        <f t="array" ref="L31">IFERROR(INDEX($B$22:$B$610,SMALL(IF($A$22:$A$610=L$21,ROW(ElecLine!$A$22:$A$610)),ElecLine!$E31)-ROW(RoadList)),"")</f>
        <v/>
      </c>
      <c r="M31" s="6" t="str">
        <f t="array" ref="M31">IFERROR(INDEX($B$22:$B$610,SMALL(IF($A$22:$A$610=M$21,ROW(ElecLine!$A$22:$A$610)),ElecLine!$E31)-ROW(RoadList)),"")</f>
        <v/>
      </c>
      <c r="N31" s="6" t="str">
        <f t="array" ref="N31">IFERROR(INDEX($B$22:$B$610,SMALL(IF($A$22:$A$610=N$21,ROW(ElecLine!$A$22:$A$610)),ElecLine!$E31)-ROW(RoadList)),"")</f>
        <v/>
      </c>
      <c r="O31" s="6" t="str">
        <f t="array" ref="O31">IFERROR(INDEX($B$22:$B$610,SMALL(IF($A$22:$A$610=O$21,ROW(ElecLine!$A$22:$A$610)),ElecLine!$E31)-ROW(RoadList)),"")</f>
        <v/>
      </c>
      <c r="P31" s="6" t="str">
        <f t="array" ref="P31">IFERROR(INDEX($B$22:$B$610,SMALL(IF($A$22:$A$610=P$21,ROW(ElecLine!$A$22:$A$610)),ElecLine!$E31)-ROW(RoadList)),"")</f>
        <v/>
      </c>
    </row>
    <row r="32" spans="1:21">
      <c r="A32" s="5" t="s">
        <v>6</v>
      </c>
      <c r="B32" s="5" t="s">
        <v>5</v>
      </c>
      <c r="E32" s="6">
        <f t="shared" si="4"/>
        <v>11</v>
      </c>
      <c r="F32" s="6" t="str">
        <f t="array" ref="F32">IFERROR(INDEX($B$22:$B$610,SMALL(IF($A$22:$A$610=F$21,ROW(ElecLine!$A$22:$A$610)),ElecLine!$E32)-ROW(RoadList)),"")</f>
        <v/>
      </c>
      <c r="G32" s="6" t="str">
        <f t="array" ref="G32">IFERROR(INDEX($B$22:$B$610,SMALL(IF($A$22:$A$610=G$21,ROW(ElecLine!$A$22:$A$610)),ElecLine!$E32)-ROW(RoadList)),"")</f>
        <v/>
      </c>
      <c r="H32" s="6" t="str">
        <f t="array" ref="H32">IFERROR(INDEX($B$22:$B$610,SMALL(IF($A$22:$A$610=H$21,ROW(ElecLine!$A$22:$A$610)),ElecLine!$E32)-ROW(RoadList)),"")</f>
        <v/>
      </c>
      <c r="I32" s="6" t="str">
        <f t="array" ref="I32">IFERROR(INDEX($B$22:$B$610,SMALL(IF($A$22:$A$610=I$21,ROW(ElecLine!$A$22:$A$610)),ElecLine!$E32)-ROW(RoadList)),"")</f>
        <v/>
      </c>
      <c r="J32" s="6" t="str">
        <f t="array" ref="J32">IFERROR(INDEX($B$22:$B$610,SMALL(IF($A$22:$A$610=J$21,ROW(ElecLine!$A$22:$A$610)),ElecLine!$E32)-ROW(RoadList)),"")</f>
        <v/>
      </c>
      <c r="K32" s="6" t="str">
        <f t="array" ref="K32">IFERROR(INDEX($B$22:$B$610,SMALL(IF($A$22:$A$610=K$21,ROW(ElecLine!$A$22:$A$610)),ElecLine!$E32)-ROW(RoadList)),"")</f>
        <v/>
      </c>
      <c r="L32" s="6" t="str">
        <f t="array" ref="L32">IFERROR(INDEX($B$22:$B$610,SMALL(IF($A$22:$A$610=L$21,ROW(ElecLine!$A$22:$A$610)),ElecLine!$E32)-ROW(RoadList)),"")</f>
        <v/>
      </c>
      <c r="M32" s="6" t="str">
        <f t="array" ref="M32">IFERROR(INDEX($B$22:$B$610,SMALL(IF($A$22:$A$610=M$21,ROW(ElecLine!$A$22:$A$610)),ElecLine!$E32)-ROW(RoadList)),"")</f>
        <v/>
      </c>
      <c r="N32" s="6" t="str">
        <f t="array" ref="N32">IFERROR(INDEX($B$22:$B$610,SMALL(IF($A$22:$A$610=N$21,ROW(ElecLine!$A$22:$A$610)),ElecLine!$E32)-ROW(RoadList)),"")</f>
        <v/>
      </c>
      <c r="O32" s="6" t="str">
        <f t="array" ref="O32">IFERROR(INDEX($B$22:$B$610,SMALL(IF($A$22:$A$610=O$21,ROW(ElecLine!$A$22:$A$610)),ElecLine!$E32)-ROW(RoadList)),"")</f>
        <v/>
      </c>
      <c r="P32" s="6" t="str">
        <f t="array" ref="P32">IFERROR(INDEX($B$22:$B$610,SMALL(IF($A$22:$A$610=P$21,ROW(ElecLine!$A$22:$A$610)),ElecLine!$E32)-ROW(RoadList)),"")</f>
        <v/>
      </c>
    </row>
    <row r="33" spans="1:16">
      <c r="A33" s="5"/>
      <c r="B33" s="5"/>
      <c r="E33" s="6"/>
      <c r="F33" s="6" t="str">
        <f t="array" ref="F33">IFERROR(INDEX($B$22:$B$610,SMALL(IF($A$22:$A$610=F$21,ROW(ElecLine!$A$22:$A$610)),ElecLine!$E33)-ROW(RoadList)),"")</f>
        <v/>
      </c>
      <c r="G33" s="6" t="str">
        <f t="array" ref="G33">IFERROR(INDEX($B$22:$B$610,SMALL(IF($A$22:$A$610=G$21,ROW(ElecLine!$A$22:$A$610)),ElecLine!$E33)-ROW(RoadList)),"")</f>
        <v/>
      </c>
      <c r="H33" s="6" t="str">
        <f t="array" ref="H33">IFERROR(INDEX($B$22:$B$610,SMALL(IF($A$22:$A$610=H$21,ROW(ElecLine!$A$22:$A$610)),ElecLine!$E33)-ROW(RoadList)),"")</f>
        <v/>
      </c>
      <c r="I33" s="6" t="str">
        <f t="array" ref="I33">IFERROR(INDEX($B$22:$B$610,SMALL(IF($A$22:$A$610=I$21,ROW(ElecLine!$A$22:$A$610)),ElecLine!$E33)-ROW(RoadList)),"")</f>
        <v/>
      </c>
      <c r="J33" s="6" t="str">
        <f t="array" ref="J33">IFERROR(INDEX($B$22:$B$610,SMALL(IF($A$22:$A$610=J$21,ROW(ElecLine!$A$22:$A$610)),ElecLine!$E33)-ROW(RoadList)),"")</f>
        <v/>
      </c>
      <c r="K33" s="6" t="str">
        <f t="array" ref="K33">IFERROR(INDEX($B$22:$B$610,SMALL(IF($A$22:$A$610=K$21,ROW(ElecLine!$A$22:$A$610)),ElecLine!$E33)-ROW(RoadList)),"")</f>
        <v/>
      </c>
      <c r="L33" s="6" t="str">
        <f t="array" ref="L33">IFERROR(INDEX($B$22:$B$610,SMALL(IF($A$22:$A$610=L$21,ROW(ElecLine!$A$22:$A$610)),ElecLine!$E33)-ROW(RoadList)),"")</f>
        <v/>
      </c>
      <c r="M33" s="6" t="str">
        <f t="array" ref="M33">IFERROR(INDEX($B$22:$B$610,SMALL(IF($A$22:$A$610=M$21,ROW(ElecLine!$A$22:$A$610)),ElecLine!$E33)-ROW(RoadList)),"")</f>
        <v/>
      </c>
      <c r="N33" s="6" t="str">
        <f t="array" ref="N33">IFERROR(INDEX($B$22:$B$610,SMALL(IF($A$22:$A$610=N$21,ROW(ElecLine!$A$22:$A$610)),ElecLine!$E33)-ROW(RoadList)),"")</f>
        <v/>
      </c>
      <c r="O33" s="6" t="str">
        <f t="array" ref="O33">IFERROR(INDEX($B$22:$B$610,SMALL(IF($A$22:$A$610=O$21,ROW(ElecLine!$A$22:$A$610)),ElecLine!$E33)-ROW(RoadList)),"")</f>
        <v/>
      </c>
      <c r="P33" s="6" t="str">
        <f t="array" ref="P33">IFERROR(INDEX($B$22:$B$610,SMALL(IF($A$22:$A$610=P$21,ROW(ElecLine!$A$22:$A$610)),ElecLine!$E33)-ROW(RoadList)),"")</f>
        <v/>
      </c>
    </row>
    <row r="34" spans="1:16">
      <c r="A34" s="5" t="s">
        <v>6</v>
      </c>
      <c r="B34" s="5" t="s">
        <v>8</v>
      </c>
      <c r="E34" s="6"/>
      <c r="F34" s="6"/>
      <c r="G34" s="6"/>
      <c r="H34" s="6"/>
      <c r="I34" s="8"/>
      <c r="J34" s="8" t="str">
        <f>IF(ISERROR(INDEX($A$1:$B$8,SMALL(IF($A$1:$A$8=$E$1,ROW($A$1:$A$8)),ROW(1:1)),2)),"",INDEX($A$1:$B$8,SMALL(IF($A$1:$A$8=$E$1,ROW($A$1:$A$8)),ROW(1:1)),2))</f>
        <v/>
      </c>
      <c r="K34" s="6"/>
      <c r="L34" s="6"/>
      <c r="M34" s="6"/>
      <c r="N34" s="6"/>
      <c r="O34" s="6"/>
      <c r="P34" s="6"/>
    </row>
    <row r="35" spans="1:16">
      <c r="A35" s="5" t="s">
        <v>6</v>
      </c>
      <c r="B35" s="5" t="s">
        <v>11</v>
      </c>
      <c r="E35" s="6"/>
      <c r="F35" s="6"/>
      <c r="G35" s="6"/>
      <c r="H35" s="6"/>
      <c r="I35" s="8">
        <f t="array" ref="I35">IF(ISERROR(INDEX($A$1:$B$8,SMALL(IF($A$1:$A$8=$E$1,ROW($A$1:$A$8)),ROW(2:2)),2)),"",INDEX($A$1:$B$8,SMALL(IF($A$1:$A$8=$E$1,ROW($A$1:$A$8)),ROW(2:2)),2))</f>
        <v>0</v>
      </c>
      <c r="J35" s="6"/>
      <c r="K35" s="6"/>
      <c r="L35" s="6"/>
      <c r="M35" s="6"/>
      <c r="N35" s="6"/>
      <c r="O35" s="6"/>
      <c r="P35" s="6"/>
    </row>
    <row r="36" spans="1:16">
      <c r="A36" s="5" t="s">
        <v>6</v>
      </c>
      <c r="B36" s="5" t="s">
        <v>12</v>
      </c>
      <c r="E36" s="6"/>
      <c r="F36" s="6"/>
      <c r="G36" s="6"/>
      <c r="H36" s="6"/>
      <c r="I36" s="8">
        <f t="array" ref="I36">IF(ISERROR(INDEX($A$1:$B$8,SMALL(IF($A$1:$A$8=$E$1,ROW($A$1:$A$8)),ROW(3:3)),2)),"",INDEX($A$1:$B$8,SMALL(IF($A$1:$A$8=$E$1,ROW($A$1:$A$8)),ROW(3:3)),2))</f>
        <v>0</v>
      </c>
      <c r="J36" s="6"/>
      <c r="K36" s="6"/>
      <c r="L36" s="6"/>
      <c r="M36" s="6"/>
      <c r="N36" s="6"/>
      <c r="O36" s="6"/>
      <c r="P36" s="6"/>
    </row>
    <row r="37" spans="1:16">
      <c r="A37" s="5" t="s">
        <v>6</v>
      </c>
      <c r="B37" s="5" t="s">
        <v>17</v>
      </c>
      <c r="E37" s="6"/>
      <c r="F37" s="6"/>
      <c r="G37" s="6"/>
      <c r="H37" s="6"/>
      <c r="I37" s="8">
        <f t="array" ref="I37">IF(ISERROR(INDEX($A$1:$B$8,SMALL(IF($A$1:$A$8=$E$1,ROW($A$1:$A$8)),ROW(4:4)),2)),"",INDEX($A$1:$B$8,SMALL(IF($A$1:$A$8=$E$1,ROW($A$1:$A$8)),ROW(4:4)),2))</f>
        <v>0</v>
      </c>
      <c r="J37" s="6"/>
      <c r="K37" s="6"/>
      <c r="L37" s="6"/>
      <c r="M37" s="6"/>
      <c r="N37" s="6"/>
      <c r="O37" s="6"/>
      <c r="P37" s="6"/>
    </row>
    <row r="38" spans="1:16">
      <c r="A38" s="5" t="s">
        <v>7</v>
      </c>
      <c r="B38" s="5" t="s">
        <v>5</v>
      </c>
      <c r="E38" s="6"/>
      <c r="F38" s="6"/>
      <c r="G38" s="6"/>
      <c r="H38" s="6"/>
      <c r="I38" s="8">
        <f t="array" ref="I38">IF(ISERROR(INDEX($A$1:$B$8,SMALL(IF($A$1:$A$8=$E$1,ROW($A$1:$A$8)),ROW(5:5)),2)),"",INDEX($A$1:$B$8,SMALL(IF($A$1:$A$8=$E$1,ROW($A$1:$A$8)),ROW(5:5)),2))</f>
        <v>0</v>
      </c>
      <c r="J38" s="6"/>
      <c r="K38" s="6"/>
      <c r="L38" s="6"/>
      <c r="M38" s="6"/>
      <c r="N38" s="6"/>
      <c r="O38" s="6"/>
      <c r="P38" s="6"/>
    </row>
    <row r="39" spans="1:16">
      <c r="A39" s="5"/>
      <c r="B39" s="5"/>
    </row>
    <row r="40" spans="1:16">
      <c r="A40" s="5" t="s">
        <v>7</v>
      </c>
      <c r="B40" s="5" t="s">
        <v>11</v>
      </c>
    </row>
    <row r="41" spans="1:16">
      <c r="A41" s="5" t="s">
        <v>7</v>
      </c>
      <c r="B41" s="5" t="s">
        <v>17</v>
      </c>
    </row>
    <row r="42" spans="1:16">
      <c r="A42" s="5" t="s">
        <v>7</v>
      </c>
      <c r="B42" s="5" t="s">
        <v>13</v>
      </c>
    </row>
    <row r="43" spans="1:16">
      <c r="A43" s="5" t="s">
        <v>7</v>
      </c>
      <c r="B43" s="5" t="s">
        <v>14</v>
      </c>
    </row>
    <row r="44" spans="1:16">
      <c r="A44" s="5" t="s">
        <v>9</v>
      </c>
      <c r="B44" s="5" t="s">
        <v>5</v>
      </c>
    </row>
    <row r="45" spans="1:16">
      <c r="A45" s="5" t="s">
        <v>9</v>
      </c>
      <c r="B45" s="5" t="s">
        <v>10</v>
      </c>
    </row>
    <row r="46" spans="1:16">
      <c r="A46" s="5" t="s">
        <v>9</v>
      </c>
      <c r="B46" s="5" t="s">
        <v>8</v>
      </c>
    </row>
    <row r="47" spans="1:16">
      <c r="A47" s="5"/>
      <c r="B47" s="5"/>
    </row>
    <row r="48" spans="1:16">
      <c r="A48" s="5" t="s">
        <v>9</v>
      </c>
      <c r="B48" s="5" t="s">
        <v>12</v>
      </c>
    </row>
    <row r="49" spans="1:2">
      <c r="A49" s="5" t="s">
        <v>9</v>
      </c>
      <c r="B49" s="5" t="s">
        <v>14</v>
      </c>
    </row>
    <row r="50" spans="1:2">
      <c r="A50" s="5" t="s">
        <v>10</v>
      </c>
      <c r="B50" s="5" t="s">
        <v>5</v>
      </c>
    </row>
    <row r="51" spans="1:2">
      <c r="A51" s="5" t="s">
        <v>10</v>
      </c>
      <c r="B51" s="5" t="s">
        <v>6</v>
      </c>
    </row>
    <row r="52" spans="1:2">
      <c r="A52" s="5" t="s">
        <v>10</v>
      </c>
      <c r="B52" s="5" t="s">
        <v>9</v>
      </c>
    </row>
    <row r="53" spans="1:2">
      <c r="A53" s="5"/>
      <c r="B53" s="5"/>
    </row>
    <row r="54" spans="1:2">
      <c r="A54" s="5" t="s">
        <v>10</v>
      </c>
      <c r="B54" s="5" t="s">
        <v>17</v>
      </c>
    </row>
    <row r="55" spans="1:2">
      <c r="A55" s="5" t="s">
        <v>10</v>
      </c>
      <c r="B55" s="5" t="s">
        <v>13</v>
      </c>
    </row>
    <row r="56" spans="1:2">
      <c r="A56" s="5" t="s">
        <v>10</v>
      </c>
      <c r="B56" s="5" t="s">
        <v>14</v>
      </c>
    </row>
    <row r="57" spans="1:2">
      <c r="A57" s="5" t="s">
        <v>8</v>
      </c>
      <c r="B57" s="5" t="s">
        <v>5</v>
      </c>
    </row>
    <row r="58" spans="1:2">
      <c r="A58" s="5" t="s">
        <v>8</v>
      </c>
      <c r="B58" s="5" t="s">
        <v>6</v>
      </c>
    </row>
    <row r="59" spans="1:2">
      <c r="A59" s="5" t="s">
        <v>8</v>
      </c>
      <c r="B59" s="5" t="s">
        <v>7</v>
      </c>
    </row>
    <row r="60" spans="1:2">
      <c r="A60" s="5" t="s">
        <v>8</v>
      </c>
      <c r="B60" s="5" t="s">
        <v>9</v>
      </c>
    </row>
    <row r="61" spans="1:2">
      <c r="A61" s="5" t="s">
        <v>8</v>
      </c>
      <c r="B61" s="5" t="s">
        <v>12</v>
      </c>
    </row>
    <row r="62" spans="1:2">
      <c r="A62" s="5"/>
      <c r="B62" s="5"/>
    </row>
    <row r="63" spans="1:2">
      <c r="A63" s="5" t="s">
        <v>11</v>
      </c>
      <c r="B63" s="5" t="s">
        <v>5</v>
      </c>
    </row>
    <row r="64" spans="1:2">
      <c r="A64" s="5" t="s">
        <v>11</v>
      </c>
      <c r="B64" s="5" t="s">
        <v>6</v>
      </c>
    </row>
    <row r="65" spans="1:2">
      <c r="A65" s="5" t="s">
        <v>11</v>
      </c>
      <c r="B65" s="5" t="s">
        <v>7</v>
      </c>
    </row>
    <row r="66" spans="1:2">
      <c r="A66" s="5" t="s">
        <v>11</v>
      </c>
      <c r="B66" s="5" t="s">
        <v>9</v>
      </c>
    </row>
    <row r="67" spans="1:2">
      <c r="A67" s="5"/>
      <c r="B67" s="5"/>
    </row>
    <row r="68" spans="1:2">
      <c r="A68" s="5" t="s">
        <v>11</v>
      </c>
      <c r="B68" s="5" t="s">
        <v>13</v>
      </c>
    </row>
    <row r="69" spans="1:2">
      <c r="A69" s="5" t="s">
        <v>12</v>
      </c>
      <c r="B69" s="5" t="s">
        <v>5</v>
      </c>
    </row>
    <row r="70" spans="1:2">
      <c r="A70" s="5" t="s">
        <v>12</v>
      </c>
      <c r="B70" s="5" t="s">
        <v>6</v>
      </c>
    </row>
    <row r="71" spans="1:2">
      <c r="A71" s="5" t="s">
        <v>12</v>
      </c>
      <c r="B71" s="5" t="s">
        <v>9</v>
      </c>
    </row>
    <row r="72" spans="1:2">
      <c r="A72" s="5" t="s">
        <v>12</v>
      </c>
      <c r="B72" s="5" t="s">
        <v>10</v>
      </c>
    </row>
    <row r="73" spans="1:2">
      <c r="A73" s="5" t="s">
        <v>12</v>
      </c>
      <c r="B73" s="5" t="s">
        <v>8</v>
      </c>
    </row>
    <row r="74" spans="1:2">
      <c r="A74" s="5" t="s">
        <v>12</v>
      </c>
      <c r="B74" s="5" t="s">
        <v>13</v>
      </c>
    </row>
    <row r="75" spans="1:2">
      <c r="A75" s="5" t="s">
        <v>17</v>
      </c>
      <c r="B75" s="5" t="s">
        <v>5</v>
      </c>
    </row>
    <row r="76" spans="1:2">
      <c r="A76" s="5" t="s">
        <v>17</v>
      </c>
      <c r="B76" s="5" t="s">
        <v>6</v>
      </c>
    </row>
    <row r="77" spans="1:2">
      <c r="A77" s="5" t="s">
        <v>17</v>
      </c>
      <c r="B77" s="5" t="s">
        <v>7</v>
      </c>
    </row>
    <row r="78" spans="1:2">
      <c r="A78" s="5" t="s">
        <v>17</v>
      </c>
      <c r="B78" s="5" t="s">
        <v>10</v>
      </c>
    </row>
    <row r="79" spans="1:2">
      <c r="A79" s="5" t="s">
        <v>17</v>
      </c>
      <c r="B79" s="5" t="s">
        <v>11</v>
      </c>
    </row>
    <row r="80" spans="1:2">
      <c r="A80" s="5"/>
      <c r="B80" s="5"/>
    </row>
    <row r="81" spans="1:2">
      <c r="A81" s="5" t="s">
        <v>17</v>
      </c>
      <c r="B81" s="5" t="s">
        <v>14</v>
      </c>
    </row>
    <row r="82" spans="1:2">
      <c r="A82" s="5" t="s">
        <v>13</v>
      </c>
      <c r="B82" s="5" t="s">
        <v>5</v>
      </c>
    </row>
    <row r="83" spans="1:2">
      <c r="A83" s="5" t="s">
        <v>13</v>
      </c>
      <c r="B83" s="5" t="s">
        <v>7</v>
      </c>
    </row>
    <row r="84" spans="1:2">
      <c r="A84" s="5" t="s">
        <v>13</v>
      </c>
      <c r="B84" s="5" t="s">
        <v>10</v>
      </c>
    </row>
    <row r="85" spans="1:2">
      <c r="A85" s="5" t="s">
        <v>13</v>
      </c>
      <c r="B85" s="5" t="s">
        <v>11</v>
      </c>
    </row>
    <row r="86" spans="1:2">
      <c r="A86" s="5" t="s">
        <v>13</v>
      </c>
      <c r="B86" s="5" t="s">
        <v>12</v>
      </c>
    </row>
    <row r="87" spans="1:2">
      <c r="A87" s="5" t="s">
        <v>13</v>
      </c>
      <c r="B87" s="5" t="s">
        <v>17</v>
      </c>
    </row>
    <row r="88" spans="1:2">
      <c r="A88" s="5" t="s">
        <v>14</v>
      </c>
      <c r="B88" s="5" t="s">
        <v>5</v>
      </c>
    </row>
    <row r="89" spans="1:2">
      <c r="A89" s="5"/>
      <c r="B89" s="5"/>
    </row>
    <row r="90" spans="1:2">
      <c r="A90" s="5" t="s">
        <v>14</v>
      </c>
      <c r="B90" s="5" t="s">
        <v>9</v>
      </c>
    </row>
    <row r="91" spans="1:2">
      <c r="A91" s="5" t="s">
        <v>14</v>
      </c>
      <c r="B91" s="5" t="s">
        <v>10</v>
      </c>
    </row>
    <row r="92" spans="1:2">
      <c r="A92" s="5" t="s">
        <v>14</v>
      </c>
      <c r="B92" s="5" t="s">
        <v>8</v>
      </c>
    </row>
    <row r="93" spans="1:2">
      <c r="A93" s="5" t="s">
        <v>14</v>
      </c>
      <c r="B93" s="5" t="s">
        <v>11</v>
      </c>
    </row>
    <row r="94" spans="1:2">
      <c r="A94" s="5" t="s">
        <v>14</v>
      </c>
      <c r="B94" s="5" t="s">
        <v>17</v>
      </c>
    </row>
    <row r="95" spans="1:2">
      <c r="A95" s="5"/>
      <c r="B95" s="5"/>
    </row>
    <row r="96" spans="1:2">
      <c r="A96" s="5"/>
      <c r="B96" s="5"/>
    </row>
    <row r="97" spans="1:2">
      <c r="A97" s="5"/>
      <c r="B97" s="5"/>
    </row>
    <row r="98" spans="1:2">
      <c r="A98" s="5"/>
      <c r="B98" s="5"/>
    </row>
    <row r="99" spans="1:2">
      <c r="A99" s="5"/>
      <c r="B99" s="5"/>
    </row>
    <row r="100" spans="1:2">
      <c r="A100" s="5"/>
      <c r="B100" s="5"/>
    </row>
    <row r="101" spans="1:2">
      <c r="A101" s="5"/>
      <c r="B101" s="5"/>
    </row>
    <row r="102" spans="1:2">
      <c r="A102" s="5"/>
      <c r="B102" s="5"/>
    </row>
    <row r="103" spans="1:2">
      <c r="A103" s="5"/>
      <c r="B103" s="5"/>
    </row>
    <row r="104" spans="1:2">
      <c r="A104" s="5"/>
      <c r="B104" s="5"/>
    </row>
    <row r="105" spans="1:2">
      <c r="A105" s="5"/>
      <c r="B105" s="5"/>
    </row>
    <row r="106" spans="1:2">
      <c r="A106" s="5"/>
      <c r="B106" s="5"/>
    </row>
    <row r="107" spans="1:2">
      <c r="A107" s="5"/>
      <c r="B107" s="5"/>
    </row>
    <row r="108" spans="1:2">
      <c r="A108" s="5"/>
      <c r="B108" s="5"/>
    </row>
    <row r="109" spans="1:2">
      <c r="A109" s="5"/>
      <c r="B109" s="5"/>
    </row>
    <row r="110" spans="1:2">
      <c r="A110" s="5"/>
      <c r="B110" s="5"/>
    </row>
    <row r="111" spans="1:2">
      <c r="A111" s="5"/>
      <c r="B111" s="5"/>
    </row>
    <row r="112" spans="1:2">
      <c r="A112" s="5"/>
      <c r="B112" s="5"/>
    </row>
    <row r="113" spans="1:2">
      <c r="A113" s="5"/>
      <c r="B113" s="5"/>
    </row>
    <row r="114" spans="1:2">
      <c r="A114" s="5"/>
      <c r="B114" s="5"/>
    </row>
    <row r="115" spans="1:2">
      <c r="A115" s="5"/>
      <c r="B115" s="5"/>
    </row>
    <row r="116" spans="1:2">
      <c r="A116" s="5"/>
      <c r="B116" s="5"/>
    </row>
    <row r="117" spans="1:2">
      <c r="A117" s="5"/>
      <c r="B117" s="5"/>
    </row>
    <row r="118" spans="1:2">
      <c r="A118" s="5"/>
      <c r="B118" s="5"/>
    </row>
    <row r="119" spans="1:2">
      <c r="A119" s="5"/>
      <c r="B119" s="5"/>
    </row>
    <row r="120" spans="1:2">
      <c r="A120" s="5"/>
      <c r="B120" s="5"/>
    </row>
    <row r="121" spans="1:2">
      <c r="A121" s="5"/>
      <c r="B121" s="5"/>
    </row>
    <row r="122" spans="1:2">
      <c r="A122" s="5"/>
      <c r="B122" s="5"/>
    </row>
    <row r="123" spans="1:2">
      <c r="A123" s="5"/>
      <c r="B123" s="5"/>
    </row>
    <row r="124" spans="1:2">
      <c r="A124" s="5"/>
      <c r="B124" s="5"/>
    </row>
    <row r="125" spans="1:2">
      <c r="A125" s="5"/>
      <c r="B125" s="5"/>
    </row>
    <row r="126" spans="1:2">
      <c r="A126" s="5"/>
      <c r="B126" s="5"/>
    </row>
    <row r="127" spans="1:2">
      <c r="A127" s="5"/>
      <c r="B127" s="5"/>
    </row>
    <row r="128" spans="1:2">
      <c r="A128" s="5"/>
      <c r="B128" s="5"/>
    </row>
    <row r="129" spans="1:2">
      <c r="A129" s="5"/>
      <c r="B129" s="5"/>
    </row>
    <row r="130" spans="1:2">
      <c r="A130" s="5"/>
      <c r="B130" s="5"/>
    </row>
    <row r="131" spans="1:2">
      <c r="A131" s="5"/>
      <c r="B131" s="5"/>
    </row>
    <row r="132" spans="1:2">
      <c r="A132" s="5"/>
      <c r="B132" s="5"/>
    </row>
    <row r="133" spans="1:2">
      <c r="A133" s="5"/>
      <c r="B133" s="5"/>
    </row>
    <row r="134" spans="1:2">
      <c r="A134" s="5"/>
      <c r="B134" s="5"/>
    </row>
    <row r="135" spans="1:2">
      <c r="A135" s="5"/>
      <c r="B135" s="5"/>
    </row>
    <row r="136" spans="1:2">
      <c r="A136" s="5"/>
      <c r="B136" s="5"/>
    </row>
    <row r="137" spans="1:2">
      <c r="A137" s="5"/>
      <c r="B137" s="5"/>
    </row>
    <row r="138" spans="1:2">
      <c r="A138" s="5"/>
      <c r="B138" s="5"/>
    </row>
    <row r="139" spans="1:2">
      <c r="A139" s="5"/>
      <c r="B139" s="5"/>
    </row>
    <row r="140" spans="1:2">
      <c r="A140" s="5"/>
      <c r="B140" s="5"/>
    </row>
    <row r="141" spans="1:2">
      <c r="A141" s="5"/>
      <c r="B141" s="5"/>
    </row>
    <row r="142" spans="1:2">
      <c r="A142" s="5"/>
      <c r="B142" s="5"/>
    </row>
    <row r="143" spans="1:2">
      <c r="A143" s="5"/>
      <c r="B143" s="5"/>
    </row>
    <row r="144" spans="1:2">
      <c r="A144" s="5"/>
      <c r="B144" s="5"/>
    </row>
    <row r="145" spans="1:2">
      <c r="A145" s="5"/>
      <c r="B145" s="5"/>
    </row>
    <row r="146" spans="1:2">
      <c r="A146" s="5"/>
      <c r="B146" s="5"/>
    </row>
    <row r="147" spans="1:2">
      <c r="A147" s="5"/>
      <c r="B147" s="5"/>
    </row>
    <row r="148" spans="1:2">
      <c r="A148" s="5"/>
      <c r="B148" s="5"/>
    </row>
    <row r="149" spans="1:2">
      <c r="A149" s="5"/>
      <c r="B149" s="5"/>
    </row>
    <row r="150" spans="1:2">
      <c r="A150" s="5"/>
      <c r="B150" s="5"/>
    </row>
    <row r="151" spans="1:2">
      <c r="A151" s="5"/>
      <c r="B151" s="5"/>
    </row>
    <row r="152" spans="1:2">
      <c r="A152" s="5"/>
      <c r="B152" s="5"/>
    </row>
    <row r="153" spans="1:2">
      <c r="A153" s="5"/>
      <c r="B153" s="5"/>
    </row>
    <row r="154" spans="1:2">
      <c r="A154" s="5"/>
      <c r="B154" s="5"/>
    </row>
    <row r="155" spans="1:2">
      <c r="A155" s="5"/>
      <c r="B155" s="5"/>
    </row>
    <row r="156" spans="1:2">
      <c r="A156" s="5"/>
      <c r="B156" s="5"/>
    </row>
    <row r="157" spans="1:2">
      <c r="A157" s="5"/>
      <c r="B157" s="5"/>
    </row>
    <row r="158" spans="1:2">
      <c r="A158" s="5"/>
      <c r="B158" s="5"/>
    </row>
    <row r="159" spans="1:2">
      <c r="A159" s="5"/>
      <c r="B159" s="5"/>
    </row>
    <row r="160" spans="1:2">
      <c r="A160" s="5"/>
      <c r="B160" s="5"/>
    </row>
    <row r="161" spans="1:2">
      <c r="A161" s="5"/>
      <c r="B161" s="5"/>
    </row>
    <row r="162" spans="1:2">
      <c r="A162" s="5"/>
      <c r="B162" s="5"/>
    </row>
    <row r="163" spans="1:2">
      <c r="A163" s="5"/>
      <c r="B163" s="5"/>
    </row>
    <row r="164" spans="1:2">
      <c r="A164" s="5"/>
      <c r="B164" s="5"/>
    </row>
    <row r="165" spans="1:2">
      <c r="A165" s="5"/>
      <c r="B165" s="5"/>
    </row>
    <row r="166" spans="1:2">
      <c r="A166" s="5"/>
      <c r="B166" s="5"/>
    </row>
    <row r="167" spans="1:2">
      <c r="A167" s="5"/>
      <c r="B167" s="5"/>
    </row>
    <row r="168" spans="1:2">
      <c r="A168" s="5"/>
      <c r="B168" s="5"/>
    </row>
    <row r="169" spans="1:2">
      <c r="A169" s="5"/>
      <c r="B169" s="5"/>
    </row>
    <row r="170" spans="1:2">
      <c r="A170" s="5"/>
      <c r="B170" s="5"/>
    </row>
    <row r="171" spans="1:2">
      <c r="A171" s="5"/>
      <c r="B171" s="5"/>
    </row>
    <row r="172" spans="1:2">
      <c r="A172" s="5"/>
      <c r="B172" s="5"/>
    </row>
    <row r="173" spans="1:2">
      <c r="A173" s="5"/>
      <c r="B173" s="5"/>
    </row>
    <row r="174" spans="1:2">
      <c r="A174" s="5"/>
      <c r="B174" s="5"/>
    </row>
    <row r="175" spans="1:2">
      <c r="A175" s="5"/>
      <c r="B175" s="5"/>
    </row>
    <row r="176" spans="1:2">
      <c r="A176" s="5"/>
      <c r="B176" s="5"/>
    </row>
    <row r="177" spans="1:2">
      <c r="A177" s="5"/>
      <c r="B177" s="5"/>
    </row>
    <row r="178" spans="1:2">
      <c r="A178" s="5"/>
      <c r="B178" s="5"/>
    </row>
    <row r="179" spans="1:2">
      <c r="A179" s="5"/>
      <c r="B179" s="5"/>
    </row>
    <row r="180" spans="1:2">
      <c r="A180" s="5"/>
      <c r="B180" s="5"/>
    </row>
    <row r="181" spans="1:2">
      <c r="A181" s="5"/>
      <c r="B181" s="5"/>
    </row>
    <row r="182" spans="1:2">
      <c r="A182" s="5"/>
      <c r="B182" s="5"/>
    </row>
    <row r="183" spans="1:2">
      <c r="A183" s="5"/>
      <c r="B183" s="5"/>
    </row>
    <row r="184" spans="1:2">
      <c r="A184" s="5"/>
      <c r="B184" s="5"/>
    </row>
    <row r="185" spans="1:2">
      <c r="A185" s="5"/>
      <c r="B185" s="5"/>
    </row>
    <row r="186" spans="1:2">
      <c r="A186" s="5"/>
      <c r="B186" s="5"/>
    </row>
    <row r="187" spans="1:2">
      <c r="A187" s="5"/>
      <c r="B187" s="5"/>
    </row>
    <row r="188" spans="1:2">
      <c r="A188" s="5"/>
      <c r="B188" s="5"/>
    </row>
    <row r="189" spans="1:2">
      <c r="A189" s="5"/>
      <c r="B189" s="5"/>
    </row>
    <row r="190" spans="1:2">
      <c r="A190" s="5"/>
      <c r="B190" s="5"/>
    </row>
    <row r="191" spans="1:2">
      <c r="A191" s="5"/>
      <c r="B191" s="5"/>
    </row>
    <row r="192" spans="1:2">
      <c r="A192" s="5"/>
      <c r="B192" s="5"/>
    </row>
    <row r="193" spans="1:2">
      <c r="A193" s="5"/>
      <c r="B193" s="5"/>
    </row>
    <row r="194" spans="1:2">
      <c r="A194" s="5"/>
      <c r="B194" s="5"/>
    </row>
    <row r="195" spans="1:2">
      <c r="A195" s="5"/>
      <c r="B195" s="5"/>
    </row>
    <row r="196" spans="1:2">
      <c r="A196" s="5"/>
      <c r="B196" s="5"/>
    </row>
    <row r="197" spans="1:2">
      <c r="A197" s="5"/>
      <c r="B197" s="5"/>
    </row>
    <row r="198" spans="1:2">
      <c r="A198" s="5"/>
      <c r="B198" s="5"/>
    </row>
    <row r="199" spans="1:2">
      <c r="A199" s="5"/>
      <c r="B199" s="5"/>
    </row>
    <row r="200" spans="1:2">
      <c r="A200" s="5"/>
      <c r="B200" s="5"/>
    </row>
    <row r="201" spans="1:2">
      <c r="A201" s="5"/>
      <c r="B201" s="5"/>
    </row>
    <row r="202" spans="1:2">
      <c r="A202" s="5"/>
      <c r="B202" s="5"/>
    </row>
    <row r="203" spans="1:2">
      <c r="A203" s="5"/>
      <c r="B203" s="5"/>
    </row>
    <row r="204" spans="1:2">
      <c r="A204" s="5"/>
      <c r="B204" s="5"/>
    </row>
    <row r="205" spans="1:2">
      <c r="A205" s="5"/>
      <c r="B205" s="5"/>
    </row>
    <row r="206" spans="1:2">
      <c r="A206" s="5"/>
      <c r="B206" s="5"/>
    </row>
    <row r="207" spans="1:2">
      <c r="A207" s="5"/>
      <c r="B207" s="5"/>
    </row>
    <row r="208" spans="1:2">
      <c r="A208" s="5"/>
      <c r="B208" s="5"/>
    </row>
    <row r="209" spans="1:2">
      <c r="A209" s="5"/>
      <c r="B209" s="5"/>
    </row>
    <row r="210" spans="1:2">
      <c r="A210" s="5"/>
      <c r="B210" s="5"/>
    </row>
    <row r="211" spans="1:2">
      <c r="A211" s="5"/>
      <c r="B211" s="5"/>
    </row>
    <row r="212" spans="1:2">
      <c r="A212" s="5"/>
      <c r="B212" s="5"/>
    </row>
    <row r="213" spans="1:2">
      <c r="A213" s="5"/>
      <c r="B213" s="5"/>
    </row>
    <row r="214" spans="1:2">
      <c r="A214" s="5"/>
      <c r="B214" s="5"/>
    </row>
  </sheetData>
  <conditionalFormatting sqref="B2:L12">
    <cfRule type="containsText" dxfId="0" priority="1" operator="containsText" text="Yes">
      <formula>NOT(ISERROR(SEARCH("Yes",B2)))</formula>
    </cfRule>
  </conditionalFormatting>
  <pageMargins left="0.75" right="0.75" top="1" bottom="1" header="0.3" footer="0.3"/>
  <pageSetup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6"/>
  <sheetViews>
    <sheetView workbookViewId="0">
      <selection activeCell="B4" sqref="B4:B16"/>
    </sheetView>
  </sheetViews>
  <sheetFormatPr defaultColWidth="8.875" defaultRowHeight="15.75"/>
  <sheetData>
    <row r="1" spans="1:2">
      <c r="A1">
        <f t="array" ref="A1:A3">Years</f>
        <v>2015</v>
      </c>
      <c r="B1">
        <v>1</v>
      </c>
    </row>
    <row r="2" spans="1:2">
      <c r="A2">
        <v>2016</v>
      </c>
      <c r="B2" s="2">
        <f>B1*0.99</f>
        <v>0.99</v>
      </c>
    </row>
    <row r="3" spans="1:2">
      <c r="A3">
        <v>2017</v>
      </c>
      <c r="B3" s="2">
        <f t="shared" ref="B3" si="0">B2*0.99</f>
        <v>0.98009999999999997</v>
      </c>
    </row>
    <row r="4" spans="1:2">
      <c r="B4" s="2"/>
    </row>
    <row r="5" spans="1:2">
      <c r="B5" s="2"/>
    </row>
    <row r="6" spans="1:2">
      <c r="B6" s="2"/>
    </row>
    <row r="7" spans="1:2">
      <c r="B7" s="2"/>
    </row>
    <row r="8" spans="1:2">
      <c r="B8" s="2"/>
    </row>
    <row r="9" spans="1:2">
      <c r="B9" s="2"/>
    </row>
    <row r="10" spans="1:2">
      <c r="B10" s="2"/>
    </row>
    <row r="11" spans="1:2">
      <c r="B11" s="2"/>
    </row>
    <row r="12" spans="1:2">
      <c r="B12" s="2"/>
    </row>
    <row r="13" spans="1:2">
      <c r="B13" s="2"/>
    </row>
    <row r="14" spans="1:2">
      <c r="B14" s="2"/>
    </row>
    <row r="15" spans="1:2">
      <c r="B15" s="2"/>
    </row>
    <row r="16" spans="1:2">
      <c r="B16" s="2"/>
    </row>
  </sheetData>
  <pageMargins left="0.75" right="0.75" top="1" bottom="1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H68"/>
  <sheetViews>
    <sheetView zoomScale="85" zoomScaleNormal="85" workbookViewId="0">
      <selection activeCell="C14" sqref="C5:H14"/>
    </sheetView>
  </sheetViews>
  <sheetFormatPr defaultColWidth="8.875" defaultRowHeight="15.75"/>
  <cols>
    <col min="1" max="1" width="10.125" bestFit="1" customWidth="1"/>
    <col min="2" max="2" width="10.625" bestFit="1" customWidth="1"/>
  </cols>
  <sheetData>
    <row r="1" spans="1:34">
      <c r="C1">
        <v>2015</v>
      </c>
      <c r="D1">
        <v>2015</v>
      </c>
      <c r="E1">
        <f>C1+1</f>
        <v>2016</v>
      </c>
      <c r="F1">
        <f t="shared" ref="F1:H1" si="0">D1+1</f>
        <v>2016</v>
      </c>
      <c r="G1">
        <f t="shared" si="0"/>
        <v>2017</v>
      </c>
      <c r="H1">
        <f t="shared" si="0"/>
        <v>2017</v>
      </c>
    </row>
    <row r="2" spans="1:34">
      <c r="C2" t="str">
        <f t="array" ref="C2:D2">TRANSPOSE(Seasons)</f>
        <v>Belg</v>
      </c>
      <c r="D2" t="str">
        <v>Kremt</v>
      </c>
      <c r="E2" t="str">
        <f>C2</f>
        <v>Belg</v>
      </c>
      <c r="F2" t="str">
        <f t="shared" ref="F2:H2" si="1">D2</f>
        <v>Kremt</v>
      </c>
      <c r="G2" t="str">
        <f t="shared" si="1"/>
        <v>Belg</v>
      </c>
      <c r="H2" t="str">
        <f t="shared" si="1"/>
        <v>Kremt</v>
      </c>
    </row>
    <row r="3" spans="1:34">
      <c r="A3" t="str">
        <f>sets!$H$3</f>
        <v>Teff</v>
      </c>
      <c r="B3" t="str">
        <f t="array" ref="B3:B5">Nodes</f>
        <v>AddisAbaba</v>
      </c>
      <c r="C3" s="2">
        <f t="shared" ref="C3:H14" ca="1" si="2">RAND()*0.1+0.2</f>
        <v>0.25835910453939492</v>
      </c>
      <c r="D3" s="2">
        <f t="shared" ref="D3:H5" ca="1" si="3">RAND()*0.1+0.2</f>
        <v>0.24300053219425791</v>
      </c>
      <c r="E3" s="2">
        <f t="shared" ca="1" si="3"/>
        <v>0.23950618761911424</v>
      </c>
      <c r="F3" s="2">
        <f t="shared" ca="1" si="3"/>
        <v>0.22325442254959676</v>
      </c>
      <c r="G3" s="2">
        <f t="shared" ca="1" si="3"/>
        <v>0.25739370236366954</v>
      </c>
      <c r="H3" s="2">
        <f t="shared" ca="1" si="3"/>
        <v>0.25006273133554624</v>
      </c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>
      <c r="A4" t="str">
        <f>sets!$H$3</f>
        <v>Teff</v>
      </c>
      <c r="B4" t="str">
        <v>Afar</v>
      </c>
      <c r="C4" s="2">
        <f t="shared" ca="1" si="2"/>
        <v>0.2170402352700988</v>
      </c>
      <c r="D4" s="2">
        <f t="shared" ca="1" si="3"/>
        <v>0.22123983377708484</v>
      </c>
      <c r="E4" s="2">
        <f t="shared" ca="1" si="3"/>
        <v>0.27976530711274461</v>
      </c>
      <c r="F4" s="2">
        <f t="shared" ca="1" si="3"/>
        <v>0.24866747434578571</v>
      </c>
      <c r="G4" s="2">
        <f t="shared" ca="1" si="3"/>
        <v>0.28784757793577809</v>
      </c>
      <c r="H4" s="2">
        <f t="shared" ca="1" si="3"/>
        <v>0.27990125553309192</v>
      </c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>
      <c r="A5" t="str">
        <f>sets!$H$3</f>
        <v>Teff</v>
      </c>
      <c r="B5" t="str">
        <v>Amhara</v>
      </c>
      <c r="C5" s="2">
        <f t="shared" ca="1" si="2"/>
        <v>0.20414454252570541</v>
      </c>
      <c r="D5" s="2">
        <f t="shared" ca="1" si="3"/>
        <v>0.2828799873264492</v>
      </c>
      <c r="E5" s="2">
        <f t="shared" ca="1" si="3"/>
        <v>0.29466834991403595</v>
      </c>
      <c r="F5" s="2">
        <f t="shared" ca="1" si="3"/>
        <v>0.25650715158062382</v>
      </c>
      <c r="G5" s="2">
        <f t="shared" ca="1" si="3"/>
        <v>0.26233371346663698</v>
      </c>
      <c r="H5" s="2">
        <f t="shared" ca="1" si="3"/>
        <v>0.29401933251939666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>
      <c r="A6" t="str">
        <f t="shared" ref="A6:A14" si="4">INDEX(Food,MATCH(A3,Food,0)+1)</f>
        <v>Sorghum</v>
      </c>
      <c r="B6" t="str">
        <f>B3</f>
        <v>AddisAbaba</v>
      </c>
      <c r="C6" s="2">
        <f t="shared" ca="1" si="2"/>
        <v>0.26151917574414402</v>
      </c>
      <c r="D6" s="2">
        <f t="shared" ca="1" si="2"/>
        <v>0.24580509992984348</v>
      </c>
      <c r="E6" s="2">
        <f t="shared" ca="1" si="2"/>
        <v>0.22719976011340917</v>
      </c>
      <c r="F6" s="2">
        <f t="shared" ca="1" si="2"/>
        <v>0.230521409017583</v>
      </c>
      <c r="G6" s="2">
        <f t="shared" ca="1" si="2"/>
        <v>0.28541786499189864</v>
      </c>
      <c r="H6" s="2">
        <f t="shared" ca="1" si="2"/>
        <v>0.29967507269165727</v>
      </c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>
      <c r="A7" t="str">
        <f t="shared" si="4"/>
        <v>Sorghum</v>
      </c>
      <c r="B7" t="str">
        <f>B4</f>
        <v>Afar</v>
      </c>
      <c r="C7" s="2">
        <f t="shared" ca="1" si="2"/>
        <v>0.20073729205408808</v>
      </c>
      <c r="D7" s="2">
        <f t="shared" ca="1" si="2"/>
        <v>0.24758171859679806</v>
      </c>
      <c r="E7" s="2">
        <f t="shared" ca="1" si="2"/>
        <v>0.26355424398455152</v>
      </c>
      <c r="F7" s="2">
        <f t="shared" ca="1" si="2"/>
        <v>0.21808045150619176</v>
      </c>
      <c r="G7" s="2">
        <f t="shared" ca="1" si="2"/>
        <v>0.23047487194513794</v>
      </c>
      <c r="H7" s="2">
        <f t="shared" ca="1" si="2"/>
        <v>0.21688424475704932</v>
      </c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>
      <c r="A8" t="str">
        <f t="shared" si="4"/>
        <v>Sorghum</v>
      </c>
      <c r="B8" t="str">
        <f>B5</f>
        <v>Amhara</v>
      </c>
      <c r="C8" s="2">
        <f t="shared" ca="1" si="2"/>
        <v>0.2908882617600394</v>
      </c>
      <c r="D8" s="2">
        <f t="shared" ca="1" si="2"/>
        <v>0.20432064714445133</v>
      </c>
      <c r="E8" s="2">
        <f t="shared" ca="1" si="2"/>
        <v>0.22006358024277065</v>
      </c>
      <c r="F8" s="2">
        <f t="shared" ca="1" si="2"/>
        <v>0.25364245698908838</v>
      </c>
      <c r="G8" s="2">
        <f t="shared" ca="1" si="2"/>
        <v>0.25315699130174996</v>
      </c>
      <c r="H8" s="2">
        <f t="shared" ca="1" si="2"/>
        <v>0.23790340373537919</v>
      </c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1:34">
      <c r="A9" t="str">
        <f t="shared" si="4"/>
        <v>Milk</v>
      </c>
      <c r="B9" t="str">
        <f t="shared" ref="B9:B14" si="5">B6</f>
        <v>AddisAbaba</v>
      </c>
      <c r="C9" s="2">
        <f t="shared" ca="1" si="2"/>
        <v>0.27937988907269962</v>
      </c>
      <c r="D9" s="2">
        <f t="shared" ca="1" si="2"/>
        <v>0.21858945053903486</v>
      </c>
      <c r="E9" s="2">
        <f t="shared" ca="1" si="2"/>
        <v>0.25637139389155172</v>
      </c>
      <c r="F9" s="2">
        <f t="shared" ca="1" si="2"/>
        <v>0.28696438494215931</v>
      </c>
      <c r="G9" s="2">
        <f t="shared" ca="1" si="2"/>
        <v>0.28627570260301072</v>
      </c>
      <c r="H9" s="2">
        <f t="shared" ca="1" si="2"/>
        <v>0.20384856488559147</v>
      </c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1:34">
      <c r="A10" t="str">
        <f t="shared" si="4"/>
        <v>Milk</v>
      </c>
      <c r="B10" t="str">
        <f t="shared" si="5"/>
        <v>Afar</v>
      </c>
      <c r="C10" s="2">
        <f t="shared" ca="1" si="2"/>
        <v>0.24844349636651888</v>
      </c>
      <c r="D10" s="2">
        <f t="shared" ca="1" si="2"/>
        <v>0.28127172205088635</v>
      </c>
      <c r="E10" s="2">
        <f t="shared" ca="1" si="2"/>
        <v>0.2649451220590307</v>
      </c>
      <c r="F10" s="2">
        <f t="shared" ca="1" si="2"/>
        <v>0.22811111381292243</v>
      </c>
      <c r="G10" s="2">
        <f t="shared" ca="1" si="2"/>
        <v>0.23409810627589672</v>
      </c>
      <c r="H10" s="2">
        <f t="shared" ca="1" si="2"/>
        <v>0.25290931163728642</v>
      </c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</row>
    <row r="11" spans="1:34">
      <c r="A11" t="str">
        <f t="shared" si="4"/>
        <v>Milk</v>
      </c>
      <c r="B11" t="str">
        <f t="shared" si="5"/>
        <v>Amhara</v>
      </c>
      <c r="C11" s="2">
        <f t="shared" ca="1" si="2"/>
        <v>0.25364025344349606</v>
      </c>
      <c r="D11" s="2">
        <f t="shared" ca="1" si="2"/>
        <v>0.23445850241345045</v>
      </c>
      <c r="E11" s="2">
        <f t="shared" ca="1" si="2"/>
        <v>0.22311541683352487</v>
      </c>
      <c r="F11" s="2">
        <f t="shared" ca="1" si="2"/>
        <v>0.28716938511844681</v>
      </c>
      <c r="G11" s="2">
        <f t="shared" ca="1" si="2"/>
        <v>0.2692667271660833</v>
      </c>
      <c r="H11" s="2">
        <f t="shared" ca="1" si="2"/>
        <v>0.25348250639006609</v>
      </c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</row>
    <row r="12" spans="1:34">
      <c r="A12" t="str">
        <f t="shared" si="4"/>
        <v>Beef</v>
      </c>
      <c r="B12" t="str">
        <f t="shared" si="5"/>
        <v>AddisAbaba</v>
      </c>
      <c r="C12" s="2">
        <f t="shared" ca="1" si="2"/>
        <v>0.29487672859947639</v>
      </c>
      <c r="D12" s="2">
        <f t="shared" ca="1" si="2"/>
        <v>0.24791113388183583</v>
      </c>
      <c r="E12" s="2">
        <f t="shared" ca="1" si="2"/>
        <v>0.26249506453994065</v>
      </c>
      <c r="F12" s="2">
        <f t="shared" ca="1" si="2"/>
        <v>0.20239022116443786</v>
      </c>
      <c r="G12" s="2">
        <f t="shared" ca="1" si="2"/>
        <v>0.27393309087533979</v>
      </c>
      <c r="H12" s="2">
        <f t="shared" ca="1" si="2"/>
        <v>0.2026278705208728</v>
      </c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</row>
    <row r="13" spans="1:34">
      <c r="A13" t="str">
        <f t="shared" si="4"/>
        <v>Beef</v>
      </c>
      <c r="B13" t="str">
        <f t="shared" si="5"/>
        <v>Afar</v>
      </c>
      <c r="C13" s="2">
        <f t="shared" ca="1" si="2"/>
        <v>0.21845668067879842</v>
      </c>
      <c r="D13" s="2">
        <f t="shared" ca="1" si="2"/>
        <v>0.22661047636823953</v>
      </c>
      <c r="E13" s="2">
        <f t="shared" ca="1" si="2"/>
        <v>0.20220953933474986</v>
      </c>
      <c r="F13" s="2">
        <f t="shared" ca="1" si="2"/>
        <v>0.27883681290878504</v>
      </c>
      <c r="G13" s="2">
        <f t="shared" ca="1" si="2"/>
        <v>0.20101007390830031</v>
      </c>
      <c r="H13" s="2">
        <f t="shared" ca="1" si="2"/>
        <v>0.25188253959093049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1:34">
      <c r="A14" t="str">
        <f t="shared" si="4"/>
        <v>Beef</v>
      </c>
      <c r="B14" t="str">
        <f t="shared" si="5"/>
        <v>Amhara</v>
      </c>
      <c r="C14" s="2">
        <f t="shared" ca="1" si="2"/>
        <v>0.25482725288659158</v>
      </c>
      <c r="D14" s="2">
        <f t="shared" ca="1" si="2"/>
        <v>0.22530664689510704</v>
      </c>
      <c r="E14" s="2">
        <f t="shared" ca="1" si="2"/>
        <v>0.29495273216953599</v>
      </c>
      <c r="F14" s="2">
        <f t="shared" ca="1" si="2"/>
        <v>0.25008534085401934</v>
      </c>
      <c r="G14" s="2">
        <f t="shared" ca="1" si="2"/>
        <v>0.29584112207535435</v>
      </c>
      <c r="H14" s="2">
        <f t="shared" ca="1" si="2"/>
        <v>0.27608289999245283</v>
      </c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</row>
    <row r="15" spans="1:34"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</row>
    <row r="16" spans="1:34"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3:34"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3:34"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3:34"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</row>
    <row r="20" spans="3:34"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3:34"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3:34"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3:34"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3:34"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3:34"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3:34"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</row>
    <row r="27" spans="3:34"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</row>
    <row r="28" spans="3:34"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</row>
    <row r="29" spans="3:34"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</row>
    <row r="30" spans="3:34"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</row>
    <row r="31" spans="3:34"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</row>
    <row r="32" spans="3:34"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</row>
    <row r="33" spans="3:34"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</row>
    <row r="34" spans="3:34"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</row>
    <row r="35" spans="3:34"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</row>
    <row r="36" spans="3:34"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</row>
    <row r="37" spans="3:34"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</row>
    <row r="38" spans="3:34"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</row>
    <row r="39" spans="3:34"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</row>
    <row r="40" spans="3:34"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</row>
    <row r="41" spans="3:34"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</row>
    <row r="42" spans="3:34"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</row>
    <row r="43" spans="3:34"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</row>
    <row r="44" spans="3:34"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</row>
    <row r="45" spans="3:34"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</row>
    <row r="46" spans="3:34"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</row>
    <row r="47" spans="3:34"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</row>
    <row r="48" spans="3:34"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</row>
    <row r="49" spans="3:34"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</row>
    <row r="50" spans="3:34"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</row>
    <row r="51" spans="3:34"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</row>
    <row r="52" spans="3:34"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</row>
    <row r="53" spans="3:34"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</row>
    <row r="54" spans="3:34"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</row>
    <row r="55" spans="3:34"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</row>
    <row r="56" spans="3:34"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</row>
    <row r="57" spans="3:34"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</row>
    <row r="58" spans="3:34"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</row>
    <row r="59" spans="3:34"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</row>
    <row r="60" spans="3:34"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</row>
    <row r="61" spans="3:34"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</row>
    <row r="62" spans="3:34"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</row>
    <row r="63" spans="3:34"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</row>
    <row r="64" spans="3:34"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</row>
    <row r="65" spans="3:34"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</row>
    <row r="66" spans="3:34"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</row>
    <row r="67" spans="3:34"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</row>
    <row r="68" spans="3:34"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</row>
  </sheetData>
  <pageMargins left="0.75" right="0.75" top="1" bottom="1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H68"/>
  <sheetViews>
    <sheetView zoomScale="85" zoomScaleNormal="85" workbookViewId="0">
      <selection activeCell="C3" sqref="C3:H14"/>
    </sheetView>
  </sheetViews>
  <sheetFormatPr defaultColWidth="8.875" defaultRowHeight="15.75"/>
  <cols>
    <col min="1" max="1" width="10.125" bestFit="1" customWidth="1"/>
    <col min="2" max="2" width="10.625" bestFit="1" customWidth="1"/>
  </cols>
  <sheetData>
    <row r="1" spans="1:34">
      <c r="C1">
        <v>2015</v>
      </c>
      <c r="D1">
        <v>2015</v>
      </c>
      <c r="E1">
        <f>C1+1</f>
        <v>2016</v>
      </c>
      <c r="F1">
        <f t="shared" ref="F1:H1" si="0">D1+1</f>
        <v>2016</v>
      </c>
      <c r="G1">
        <f t="shared" si="0"/>
        <v>2017</v>
      </c>
      <c r="H1">
        <f t="shared" si="0"/>
        <v>2017</v>
      </c>
    </row>
    <row r="2" spans="1:34">
      <c r="C2" t="str">
        <f t="array" ref="C2:D2">TRANSPOSE(Seasons)</f>
        <v>Belg</v>
      </c>
      <c r="D2" t="str">
        <v>Kremt</v>
      </c>
      <c r="E2" t="str">
        <f>C2</f>
        <v>Belg</v>
      </c>
      <c r="F2" t="str">
        <f t="shared" ref="F2:H2" si="1">D2</f>
        <v>Kremt</v>
      </c>
      <c r="G2" t="str">
        <f t="shared" si="1"/>
        <v>Belg</v>
      </c>
      <c r="H2" t="str">
        <f t="shared" si="1"/>
        <v>Kremt</v>
      </c>
    </row>
    <row r="3" spans="1:34">
      <c r="A3" t="str">
        <f>sets!$H$3</f>
        <v>Teff</v>
      </c>
      <c r="B3" t="str">
        <f t="array" ref="B3:B5">Nodes</f>
        <v>AddisAbaba</v>
      </c>
      <c r="C3" s="2">
        <f ca="1">RAND()*10+2</f>
        <v>9.868092695172713</v>
      </c>
      <c r="D3" s="2">
        <f t="shared" ref="D3:H14" ca="1" si="2">RAND()*10+2</f>
        <v>8.6552631979314576</v>
      </c>
      <c r="E3" s="2">
        <f t="shared" ca="1" si="2"/>
        <v>5.9897647404144845</v>
      </c>
      <c r="F3" s="2">
        <f t="shared" ca="1" si="2"/>
        <v>4.1884593487660986</v>
      </c>
      <c r="G3" s="2">
        <f t="shared" ca="1" si="2"/>
        <v>11.297950431066758</v>
      </c>
      <c r="H3" s="2">
        <f t="shared" ca="1" si="2"/>
        <v>11.818212102927912</v>
      </c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>
      <c r="A4" t="str">
        <f>sets!$H$3</f>
        <v>Teff</v>
      </c>
      <c r="B4" t="str">
        <v>Afar</v>
      </c>
      <c r="C4" s="2">
        <f t="shared" ref="C4:C14" ca="1" si="3">RAND()*10+2</f>
        <v>6.6872735759012407</v>
      </c>
      <c r="D4" s="2">
        <f t="shared" ca="1" si="2"/>
        <v>9.9403921366489563</v>
      </c>
      <c r="E4" s="2">
        <f t="shared" ca="1" si="2"/>
        <v>9.7169946301428496</v>
      </c>
      <c r="F4" s="2">
        <f t="shared" ca="1" si="2"/>
        <v>2.6089019540285658</v>
      </c>
      <c r="G4" s="2">
        <f t="shared" ca="1" si="2"/>
        <v>11.016961855950658</v>
      </c>
      <c r="H4" s="2">
        <f t="shared" ca="1" si="2"/>
        <v>2.415068350982144</v>
      </c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>
      <c r="A5" t="str">
        <f>sets!$H$3</f>
        <v>Teff</v>
      </c>
      <c r="B5" t="str">
        <v>Amhara</v>
      </c>
      <c r="C5" s="2">
        <f t="shared" ca="1" si="3"/>
        <v>7.6373868087953136</v>
      </c>
      <c r="D5" s="2">
        <f t="shared" ca="1" si="2"/>
        <v>2.4663670962449284</v>
      </c>
      <c r="E5" s="2">
        <f t="shared" ca="1" si="2"/>
        <v>5.5698728618310458</v>
      </c>
      <c r="F5" s="2">
        <f t="shared" ca="1" si="2"/>
        <v>7.2286958594167281</v>
      </c>
      <c r="G5" s="2">
        <f t="shared" ca="1" si="2"/>
        <v>8.3159539194562786</v>
      </c>
      <c r="H5" s="2">
        <f t="shared" ca="1" si="2"/>
        <v>8.0288963051022684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>
      <c r="A6" t="str">
        <f t="shared" ref="A6:A14" si="4">INDEX(Food,MATCH(A3,Food,0)+1)</f>
        <v>Sorghum</v>
      </c>
      <c r="B6" t="str">
        <f>B3</f>
        <v>AddisAbaba</v>
      </c>
      <c r="C6" s="2">
        <f t="shared" ca="1" si="3"/>
        <v>10.25741907773507</v>
      </c>
      <c r="D6" s="2">
        <f t="shared" ca="1" si="2"/>
        <v>10.171834555296343</v>
      </c>
      <c r="E6" s="2">
        <f t="shared" ca="1" si="2"/>
        <v>9.2301118729101042</v>
      </c>
      <c r="F6" s="2">
        <f t="shared" ca="1" si="2"/>
        <v>9.7158855422367498</v>
      </c>
      <c r="G6" s="2">
        <f t="shared" ca="1" si="2"/>
        <v>3.5899289092282487</v>
      </c>
      <c r="H6" s="2">
        <f t="shared" ca="1" si="2"/>
        <v>3.8849220344038176</v>
      </c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>
      <c r="A7" t="str">
        <f t="shared" si="4"/>
        <v>Sorghum</v>
      </c>
      <c r="B7" t="str">
        <f>B4</f>
        <v>Afar</v>
      </c>
      <c r="C7" s="2">
        <f t="shared" ca="1" si="3"/>
        <v>3.5238369658377691</v>
      </c>
      <c r="D7" s="2">
        <f t="shared" ca="1" si="2"/>
        <v>2.7137815079880063</v>
      </c>
      <c r="E7" s="2">
        <f t="shared" ca="1" si="2"/>
        <v>3.154900556631536</v>
      </c>
      <c r="F7" s="2">
        <f t="shared" ca="1" si="2"/>
        <v>5.3122075763743721</v>
      </c>
      <c r="G7" s="2">
        <f t="shared" ca="1" si="2"/>
        <v>5.3935591493949113</v>
      </c>
      <c r="H7" s="2">
        <f t="shared" ca="1" si="2"/>
        <v>4.0415562588366374</v>
      </c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>
      <c r="A8" t="str">
        <f t="shared" si="4"/>
        <v>Sorghum</v>
      </c>
      <c r="B8" t="str">
        <f>B5</f>
        <v>Amhara</v>
      </c>
      <c r="C8" s="2">
        <f t="shared" ca="1" si="3"/>
        <v>6.7802495674847867</v>
      </c>
      <c r="D8" s="2">
        <f t="shared" ca="1" si="2"/>
        <v>2.2999133863533099</v>
      </c>
      <c r="E8" s="2">
        <f t="shared" ca="1" si="2"/>
        <v>10.173895749645549</v>
      </c>
      <c r="F8" s="2">
        <f t="shared" ca="1" si="2"/>
        <v>4.7915202436441984</v>
      </c>
      <c r="G8" s="2">
        <f t="shared" ca="1" si="2"/>
        <v>3.8996655567835772</v>
      </c>
      <c r="H8" s="2">
        <f t="shared" ca="1" si="2"/>
        <v>7.2080993859543936</v>
      </c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1:34">
      <c r="A9" t="str">
        <f t="shared" si="4"/>
        <v>Milk</v>
      </c>
      <c r="B9" t="str">
        <f t="shared" ref="B9:B14" si="5">B6</f>
        <v>AddisAbaba</v>
      </c>
      <c r="C9" s="2">
        <f t="shared" ca="1" si="3"/>
        <v>2.5660180085803876</v>
      </c>
      <c r="D9" s="2">
        <f t="shared" ca="1" si="2"/>
        <v>7.8946826480401979</v>
      </c>
      <c r="E9" s="2">
        <f t="shared" ca="1" si="2"/>
        <v>11.469788314488463</v>
      </c>
      <c r="F9" s="2">
        <f t="shared" ca="1" si="2"/>
        <v>3.7133198156422322</v>
      </c>
      <c r="G9" s="2">
        <f t="shared" ca="1" si="2"/>
        <v>8.4149315550810471</v>
      </c>
      <c r="H9" s="2">
        <f t="shared" ca="1" si="2"/>
        <v>9.7637704937451009</v>
      </c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1:34">
      <c r="A10" t="str">
        <f t="shared" si="4"/>
        <v>Milk</v>
      </c>
      <c r="B10" t="str">
        <f t="shared" si="5"/>
        <v>Afar</v>
      </c>
      <c r="C10" s="2">
        <f t="shared" ca="1" si="3"/>
        <v>7.3850323857062818</v>
      </c>
      <c r="D10" s="2">
        <f t="shared" ca="1" si="2"/>
        <v>7.8438265133330702</v>
      </c>
      <c r="E10" s="2">
        <f t="shared" ca="1" si="2"/>
        <v>10.973830952234353</v>
      </c>
      <c r="F10" s="2">
        <f t="shared" ca="1" si="2"/>
        <v>11.188187108415105</v>
      </c>
      <c r="G10" s="2">
        <f t="shared" ca="1" si="2"/>
        <v>6.5778015559581178</v>
      </c>
      <c r="H10" s="2">
        <f t="shared" ca="1" si="2"/>
        <v>10.922003966605894</v>
      </c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</row>
    <row r="11" spans="1:34">
      <c r="A11" t="str">
        <f t="shared" si="4"/>
        <v>Milk</v>
      </c>
      <c r="B11" t="str">
        <f t="shared" si="5"/>
        <v>Amhara</v>
      </c>
      <c r="C11" s="2">
        <f t="shared" ca="1" si="3"/>
        <v>4.8377447286349753</v>
      </c>
      <c r="D11" s="2">
        <f t="shared" ca="1" si="2"/>
        <v>9.2453890892026163</v>
      </c>
      <c r="E11" s="2">
        <f t="shared" ca="1" si="2"/>
        <v>9.0323462569673634</v>
      </c>
      <c r="F11" s="2">
        <f t="shared" ca="1" si="2"/>
        <v>9.5401592104430915</v>
      </c>
      <c r="G11" s="2">
        <f t="shared" ca="1" si="2"/>
        <v>11.787480975572361</v>
      </c>
      <c r="H11" s="2">
        <f t="shared" ca="1" si="2"/>
        <v>2.4493953504031625</v>
      </c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</row>
    <row r="12" spans="1:34">
      <c r="A12" t="str">
        <f t="shared" si="4"/>
        <v>Beef</v>
      </c>
      <c r="B12" t="str">
        <f t="shared" si="5"/>
        <v>AddisAbaba</v>
      </c>
      <c r="C12" s="2">
        <f t="shared" ca="1" si="3"/>
        <v>6.9676851238021422</v>
      </c>
      <c r="D12" s="2">
        <f t="shared" ca="1" si="2"/>
        <v>9.6602924654232503</v>
      </c>
      <c r="E12" s="2">
        <f t="shared" ca="1" si="2"/>
        <v>11.894758577463117</v>
      </c>
      <c r="F12" s="2">
        <f t="shared" ca="1" si="2"/>
        <v>8.2382273197863469</v>
      </c>
      <c r="G12" s="2">
        <f t="shared" ca="1" si="2"/>
        <v>11.404527632735924</v>
      </c>
      <c r="H12" s="2">
        <f t="shared" ca="1" si="2"/>
        <v>6.1951339229154403</v>
      </c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</row>
    <row r="13" spans="1:34">
      <c r="A13" t="str">
        <f t="shared" si="4"/>
        <v>Beef</v>
      </c>
      <c r="B13" t="str">
        <f t="shared" si="5"/>
        <v>Afar</v>
      </c>
      <c r="C13" s="2">
        <f t="shared" ca="1" si="3"/>
        <v>4.2091167296346104</v>
      </c>
      <c r="D13" s="2">
        <f t="shared" ca="1" si="2"/>
        <v>7.3215478374043741</v>
      </c>
      <c r="E13" s="2">
        <f t="shared" ca="1" si="2"/>
        <v>9.1460435599223473</v>
      </c>
      <c r="F13" s="2">
        <f t="shared" ca="1" si="2"/>
        <v>8.6305104434643898</v>
      </c>
      <c r="G13" s="2">
        <f t="shared" ca="1" si="2"/>
        <v>10.313350669682253</v>
      </c>
      <c r="H13" s="2">
        <f t="shared" ca="1" si="2"/>
        <v>3.020375549128123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1:34">
      <c r="A14" t="str">
        <f t="shared" si="4"/>
        <v>Beef</v>
      </c>
      <c r="B14" t="str">
        <f t="shared" si="5"/>
        <v>Amhara</v>
      </c>
      <c r="C14" s="2">
        <f t="shared" ca="1" si="3"/>
        <v>4.8426091850577908</v>
      </c>
      <c r="D14" s="2">
        <f t="shared" ca="1" si="2"/>
        <v>10.363626631369597</v>
      </c>
      <c r="E14" s="2">
        <f t="shared" ca="1" si="2"/>
        <v>4.9780698657248976</v>
      </c>
      <c r="F14" s="2">
        <f t="shared" ca="1" si="2"/>
        <v>4.5115617004610797</v>
      </c>
      <c r="G14" s="2">
        <f t="shared" ca="1" si="2"/>
        <v>6.5878542708308476</v>
      </c>
      <c r="H14" s="2">
        <f t="shared" ca="1" si="2"/>
        <v>11.022634627077275</v>
      </c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</row>
    <row r="15" spans="1:34"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</row>
    <row r="16" spans="1:34"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3:34"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3:34"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3:34"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</row>
    <row r="20" spans="3:34"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3:34"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3:34"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3:34"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3:34"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3:34"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3:34"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</row>
    <row r="27" spans="3:34"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</row>
    <row r="28" spans="3:34"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</row>
    <row r="29" spans="3:34"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</row>
    <row r="30" spans="3:34"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</row>
    <row r="31" spans="3:34"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</row>
    <row r="32" spans="3:34"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</row>
    <row r="33" spans="3:34"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</row>
    <row r="34" spans="3:34"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</row>
    <row r="35" spans="3:34"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</row>
    <row r="36" spans="3:34"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</row>
    <row r="37" spans="3:34"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</row>
    <row r="38" spans="3:34"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</row>
    <row r="39" spans="3:34"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</row>
    <row r="40" spans="3:34"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</row>
    <row r="41" spans="3:34"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</row>
    <row r="42" spans="3:34"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</row>
    <row r="43" spans="3:34"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</row>
    <row r="44" spans="3:34"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</row>
    <row r="45" spans="3:34"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</row>
    <row r="46" spans="3:34"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</row>
    <row r="47" spans="3:34"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</row>
    <row r="48" spans="3:34"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</row>
    <row r="49" spans="3:34"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</row>
    <row r="50" spans="3:34"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</row>
    <row r="51" spans="3:34"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</row>
    <row r="52" spans="3:34"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</row>
    <row r="53" spans="3:34"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</row>
    <row r="54" spans="3:34"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</row>
    <row r="55" spans="3:34"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</row>
    <row r="56" spans="3:34"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</row>
    <row r="57" spans="3:34"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</row>
    <row r="58" spans="3:34"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</row>
    <row r="59" spans="3:34"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</row>
    <row r="60" spans="3:34"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</row>
    <row r="61" spans="3:34"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</row>
    <row r="62" spans="3:34"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</row>
    <row r="63" spans="3:34"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</row>
    <row r="64" spans="3:34"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</row>
    <row r="65" spans="3:34"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</row>
    <row r="66" spans="3:34"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</row>
    <row r="67" spans="3:34"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</row>
    <row r="68" spans="3:34"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</row>
  </sheetData>
  <pageMargins left="0.75" right="0.75" top="1" bottom="1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71"/>
  <sheetViews>
    <sheetView tabSelected="1" zoomScale="85" zoomScaleNormal="85" workbookViewId="0"/>
  </sheetViews>
  <sheetFormatPr defaultColWidth="8.875" defaultRowHeight="15.75"/>
  <cols>
    <col min="1" max="1" width="10.625" bestFit="1" customWidth="1"/>
    <col min="2" max="2" width="10.5" bestFit="1" customWidth="1"/>
  </cols>
  <sheetData>
    <row r="1" spans="1:8">
      <c r="C1">
        <f>CYF!C1</f>
        <v>2015</v>
      </c>
      <c r="D1">
        <f>CYF!D1</f>
        <v>2015</v>
      </c>
      <c r="E1">
        <f>CYF!E1</f>
        <v>2016</v>
      </c>
      <c r="F1">
        <f>CYF!F1</f>
        <v>2016</v>
      </c>
      <c r="G1">
        <f>CYF!G1</f>
        <v>2017</v>
      </c>
      <c r="H1">
        <f>CYF!H1</f>
        <v>2017</v>
      </c>
    </row>
    <row r="2" spans="1:8">
      <c r="C2" t="str">
        <f>CYF!C2</f>
        <v>Belg</v>
      </c>
      <c r="D2" t="str">
        <f>CYF!D2</f>
        <v>Kremt</v>
      </c>
      <c r="E2" t="str">
        <f>CYF!E2</f>
        <v>Belg</v>
      </c>
      <c r="F2" t="str">
        <f>CYF!F2</f>
        <v>Kremt</v>
      </c>
      <c r="G2" t="str">
        <f>CYF!G2</f>
        <v>Belg</v>
      </c>
      <c r="H2" t="str">
        <f>CYF!H2</f>
        <v>Kremt</v>
      </c>
    </row>
    <row r="3" spans="1:8">
      <c r="A3" t="str">
        <f>CYF!A3</f>
        <v>Teff</v>
      </c>
      <c r="B3" t="str">
        <f>CYF!B3</f>
        <v>AddisAbaba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</row>
    <row r="4" spans="1:8">
      <c r="A4" t="str">
        <f>CYF!A4</f>
        <v>Teff</v>
      </c>
      <c r="B4" t="str">
        <f>CYF!B4</f>
        <v>Afar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</row>
    <row r="5" spans="1:8">
      <c r="A5" t="str">
        <f>CYF!A5</f>
        <v>Teff</v>
      </c>
      <c r="B5" t="str">
        <f>CYF!B5</f>
        <v>Amhara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</row>
    <row r="6" spans="1:8">
      <c r="A6" t="str">
        <f>CYF!A9</f>
        <v>Milk</v>
      </c>
      <c r="B6" t="str">
        <f>CYF!B9</f>
        <v>AddisAbaba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</row>
    <row r="7" spans="1:8">
      <c r="A7" t="str">
        <f>CYF!A10</f>
        <v>Milk</v>
      </c>
      <c r="B7" t="str">
        <f>CYF!B10</f>
        <v>Afar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</row>
    <row r="8" spans="1:8">
      <c r="A8" t="str">
        <f>CYF!A11</f>
        <v>Milk</v>
      </c>
      <c r="B8" t="str">
        <f>CYF!B11</f>
        <v>Amhara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</row>
    <row r="9" spans="1:8">
      <c r="A9" t="str">
        <f>CYF!A12</f>
        <v>Beef</v>
      </c>
      <c r="B9" t="str">
        <f>CYF!B12</f>
        <v>AddisAbaba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</row>
    <row r="10" spans="1:8">
      <c r="A10" t="str">
        <f>CYF!A13</f>
        <v>Beef</v>
      </c>
      <c r="B10" t="str">
        <f>CYF!B13</f>
        <v>Afar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</row>
    <row r="11" spans="1:8">
      <c r="A11" t="str">
        <f>CYF!A6</f>
        <v>Sorghum</v>
      </c>
      <c r="B11" t="str">
        <f>CYF!B6</f>
        <v>AddisAbaba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</row>
    <row r="12" spans="1:8">
      <c r="A12" t="str">
        <f>CYF!A7</f>
        <v>Sorghum</v>
      </c>
      <c r="B12" t="str">
        <f>CYF!B7</f>
        <v>Afar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</row>
    <row r="13" spans="1:8">
      <c r="A13" t="str">
        <f>CYF!A8</f>
        <v>Sorghum</v>
      </c>
      <c r="B13" t="str">
        <f>CYF!B8</f>
        <v>Amhara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</row>
    <row r="101" spans="1:4">
      <c r="B101">
        <v>2015</v>
      </c>
      <c r="C101">
        <v>2016</v>
      </c>
      <c r="D101">
        <v>2017</v>
      </c>
    </row>
    <row r="102" spans="1:4">
      <c r="A102" t="s">
        <v>5</v>
      </c>
      <c r="B102">
        <v>1</v>
      </c>
      <c r="C102">
        <v>1</v>
      </c>
      <c r="D102">
        <v>1</v>
      </c>
    </row>
    <row r="103" spans="1:4">
      <c r="A103" t="s">
        <v>6</v>
      </c>
      <c r="B103">
        <v>1</v>
      </c>
      <c r="C103">
        <v>1</v>
      </c>
      <c r="D103">
        <v>1</v>
      </c>
    </row>
    <row r="104" spans="1:4">
      <c r="A104" t="s">
        <v>7</v>
      </c>
      <c r="B104">
        <v>1</v>
      </c>
      <c r="C104">
        <v>1</v>
      </c>
      <c r="D104">
        <v>1</v>
      </c>
    </row>
    <row r="121" spans="1:4">
      <c r="B121">
        <v>2015</v>
      </c>
      <c r="C121">
        <v>2016</v>
      </c>
      <c r="D121">
        <v>2017</v>
      </c>
    </row>
    <row r="122" spans="1:4">
      <c r="A122" t="s">
        <v>5</v>
      </c>
      <c r="B122">
        <v>1</v>
      </c>
      <c r="C122">
        <v>1</v>
      </c>
      <c r="D122">
        <v>1</v>
      </c>
    </row>
    <row r="123" spans="1:4">
      <c r="A123" t="s">
        <v>6</v>
      </c>
      <c r="B123">
        <v>1</v>
      </c>
      <c r="C123">
        <v>1</v>
      </c>
      <c r="D123">
        <v>1</v>
      </c>
    </row>
    <row r="124" spans="1:4">
      <c r="A124" t="s">
        <v>7</v>
      </c>
      <c r="B124">
        <v>1</v>
      </c>
      <c r="C124">
        <v>1</v>
      </c>
      <c r="D124">
        <v>1</v>
      </c>
    </row>
    <row r="141" spans="1:2">
      <c r="A141" t="s">
        <v>5</v>
      </c>
      <c r="B141" s="3">
        <v>15000</v>
      </c>
    </row>
    <row r="142" spans="1:2">
      <c r="A142" t="s">
        <v>6</v>
      </c>
      <c r="B142" s="3">
        <v>15000</v>
      </c>
    </row>
    <row r="143" spans="1:2">
      <c r="A143" t="s">
        <v>7</v>
      </c>
      <c r="B143" s="3">
        <v>15000</v>
      </c>
    </row>
    <row r="144" spans="1:2">
      <c r="B144" s="3"/>
    </row>
    <row r="145" spans="2:2">
      <c r="B145" s="3"/>
    </row>
    <row r="146" spans="2:2">
      <c r="B146" s="3"/>
    </row>
    <row r="147" spans="2:2">
      <c r="B147" s="3"/>
    </row>
    <row r="148" spans="2:2">
      <c r="B148" s="3"/>
    </row>
    <row r="149" spans="2:2">
      <c r="B149" s="3"/>
    </row>
    <row r="150" spans="2:2">
      <c r="B150" s="3"/>
    </row>
    <row r="151" spans="2:2">
      <c r="B151" s="3"/>
    </row>
    <row r="161" spans="1:3">
      <c r="B161" t="s">
        <v>16</v>
      </c>
      <c r="C161" t="s">
        <v>18</v>
      </c>
    </row>
    <row r="162" spans="1:3">
      <c r="A162" t="s">
        <v>5</v>
      </c>
      <c r="B162" s="2">
        <v>7000</v>
      </c>
      <c r="C162">
        <v>2000</v>
      </c>
    </row>
    <row r="163" spans="1:3">
      <c r="A163" t="s">
        <v>6</v>
      </c>
      <c r="B163" s="2">
        <v>7000</v>
      </c>
      <c r="C163">
        <v>2000</v>
      </c>
    </row>
    <row r="164" spans="1:3">
      <c r="A164" t="s">
        <v>7</v>
      </c>
      <c r="B164" s="2">
        <v>7000</v>
      </c>
      <c r="C164">
        <v>2000</v>
      </c>
    </row>
    <row r="165" spans="1:3">
      <c r="B165" s="2"/>
    </row>
    <row r="166" spans="1:3">
      <c r="B166" s="2"/>
    </row>
    <row r="167" spans="1:3">
      <c r="B167" s="2"/>
    </row>
    <row r="168" spans="1:3">
      <c r="B168" s="2"/>
    </row>
    <row r="169" spans="1:3">
      <c r="B169" s="2"/>
    </row>
    <row r="170" spans="1:3">
      <c r="B170" s="2"/>
    </row>
    <row r="171" spans="1:3">
      <c r="B171" s="2"/>
    </row>
  </sheetData>
  <pageMargins left="0.75" right="0.75" top="1" bottom="1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23"/>
  <sheetViews>
    <sheetView topLeftCell="A91" zoomScale="85" zoomScaleNormal="85" workbookViewId="0">
      <selection activeCell="A103" sqref="A103"/>
    </sheetView>
  </sheetViews>
  <sheetFormatPr defaultColWidth="8.875" defaultRowHeight="15.75"/>
  <cols>
    <col min="1" max="2" width="10.625" bestFit="1" customWidth="1"/>
    <col min="6" max="6" width="10.625" bestFit="1" customWidth="1"/>
    <col min="11" max="11" width="10.625" bestFit="1" customWidth="1"/>
  </cols>
  <sheetData>
    <row r="1" spans="1:4">
      <c r="B1">
        <v>2015</v>
      </c>
      <c r="C1">
        <v>2016</v>
      </c>
      <c r="D1">
        <v>2017</v>
      </c>
    </row>
    <row r="2" spans="1:4">
      <c r="A2" t="s">
        <v>5</v>
      </c>
      <c r="B2">
        <v>1</v>
      </c>
      <c r="C2">
        <v>1</v>
      </c>
      <c r="D2">
        <v>1</v>
      </c>
    </row>
    <row r="3" spans="1:4">
      <c r="A3" t="s">
        <v>6</v>
      </c>
      <c r="B3">
        <v>1</v>
      </c>
      <c r="C3">
        <v>1</v>
      </c>
      <c r="D3">
        <v>1</v>
      </c>
    </row>
    <row r="4" spans="1:4">
      <c r="A4" t="s">
        <v>7</v>
      </c>
      <c r="B4">
        <v>1</v>
      </c>
      <c r="C4">
        <v>1</v>
      </c>
      <c r="D4">
        <v>1</v>
      </c>
    </row>
    <row r="21" spans="1:4">
      <c r="B21">
        <v>2015</v>
      </c>
      <c r="C21">
        <v>2016</v>
      </c>
      <c r="D21">
        <v>2017</v>
      </c>
    </row>
    <row r="22" spans="1:4">
      <c r="A22" t="s">
        <v>5</v>
      </c>
      <c r="B22">
        <v>1</v>
      </c>
      <c r="C22">
        <v>1</v>
      </c>
      <c r="D22">
        <v>1</v>
      </c>
    </row>
    <row r="23" spans="1:4">
      <c r="A23" t="s">
        <v>6</v>
      </c>
      <c r="B23">
        <v>1</v>
      </c>
      <c r="C23">
        <v>1</v>
      </c>
      <c r="D23">
        <v>1</v>
      </c>
    </row>
    <row r="24" spans="1:4">
      <c r="A24" t="s">
        <v>7</v>
      </c>
      <c r="B24">
        <v>1</v>
      </c>
      <c r="C24">
        <v>1</v>
      </c>
      <c r="D24">
        <v>1</v>
      </c>
    </row>
    <row r="41" spans="1:4">
      <c r="B41">
        <v>2015</v>
      </c>
      <c r="C41">
        <v>2016</v>
      </c>
      <c r="D41">
        <v>2017</v>
      </c>
    </row>
    <row r="42" spans="1:4">
      <c r="A42" t="s">
        <v>5</v>
      </c>
      <c r="B42">
        <v>1</v>
      </c>
      <c r="C42">
        <v>1</v>
      </c>
      <c r="D42">
        <v>1</v>
      </c>
    </row>
    <row r="43" spans="1:4">
      <c r="A43" t="s">
        <v>6</v>
      </c>
      <c r="B43">
        <v>1</v>
      </c>
      <c r="C43">
        <v>1</v>
      </c>
      <c r="D43">
        <v>1</v>
      </c>
    </row>
    <row r="44" spans="1:4">
      <c r="A44" t="s">
        <v>7</v>
      </c>
      <c r="B44">
        <v>1</v>
      </c>
      <c r="C44">
        <v>1</v>
      </c>
      <c r="D44">
        <v>1</v>
      </c>
    </row>
    <row r="61" spans="1:4">
      <c r="B61">
        <v>2015</v>
      </c>
      <c r="C61">
        <v>2016</v>
      </c>
      <c r="D61">
        <v>2017</v>
      </c>
    </row>
    <row r="62" spans="1:4">
      <c r="A62" t="s">
        <v>5</v>
      </c>
      <c r="B62">
        <v>1</v>
      </c>
      <c r="C62">
        <v>1</v>
      </c>
      <c r="D62">
        <v>1</v>
      </c>
    </row>
    <row r="63" spans="1:4">
      <c r="A63" t="s">
        <v>6</v>
      </c>
      <c r="B63">
        <v>1</v>
      </c>
      <c r="C63">
        <v>1</v>
      </c>
      <c r="D63">
        <v>1</v>
      </c>
    </row>
    <row r="64" spans="1:4">
      <c r="A64" t="s">
        <v>7</v>
      </c>
      <c r="B64">
        <v>1</v>
      </c>
      <c r="C64">
        <v>1</v>
      </c>
      <c r="D64">
        <v>1</v>
      </c>
    </row>
    <row r="81" spans="1:4">
      <c r="B81">
        <v>2015</v>
      </c>
      <c r="C81">
        <v>2016</v>
      </c>
      <c r="D81">
        <v>2017</v>
      </c>
    </row>
    <row r="82" spans="1:4">
      <c r="A82" t="s">
        <v>5</v>
      </c>
      <c r="B82">
        <v>1</v>
      </c>
      <c r="C82">
        <v>1</v>
      </c>
      <c r="D82">
        <v>1</v>
      </c>
    </row>
    <row r="83" spans="1:4">
      <c r="A83" t="s">
        <v>6</v>
      </c>
      <c r="B83">
        <v>1</v>
      </c>
      <c r="C83">
        <v>1</v>
      </c>
      <c r="D83">
        <v>1</v>
      </c>
    </row>
    <row r="84" spans="1:4">
      <c r="A84" t="s">
        <v>7</v>
      </c>
      <c r="B84">
        <v>1</v>
      </c>
      <c r="C84">
        <v>1</v>
      </c>
      <c r="D84">
        <v>1</v>
      </c>
    </row>
    <row r="101" spans="1:4">
      <c r="B101" t="s">
        <v>5</v>
      </c>
      <c r="C101" t="s">
        <v>6</v>
      </c>
      <c r="D101" t="s">
        <v>7</v>
      </c>
    </row>
    <row r="102" spans="1:4">
      <c r="A102" t="s">
        <v>5</v>
      </c>
      <c r="B102">
        <v>-1</v>
      </c>
      <c r="C102">
        <v>-1</v>
      </c>
      <c r="D102">
        <v>-1</v>
      </c>
    </row>
    <row r="103" spans="1:4">
      <c r="A103" t="s">
        <v>6</v>
      </c>
      <c r="B103">
        <v>-1</v>
      </c>
      <c r="C103">
        <v>-1</v>
      </c>
      <c r="D103">
        <v>-1</v>
      </c>
    </row>
    <row r="104" spans="1:4">
      <c r="A104" t="s">
        <v>7</v>
      </c>
      <c r="B104">
        <v>-1</v>
      </c>
      <c r="C104">
        <v>-1</v>
      </c>
      <c r="D104">
        <v>-1</v>
      </c>
    </row>
    <row r="121" spans="1:12">
      <c r="A121" t="s">
        <v>5</v>
      </c>
      <c r="B121">
        <v>-1</v>
      </c>
      <c r="F121" t="s">
        <v>5</v>
      </c>
      <c r="G121">
        <v>-1</v>
      </c>
      <c r="K121" t="s">
        <v>5</v>
      </c>
      <c r="L121">
        <v>-1</v>
      </c>
    </row>
    <row r="122" spans="1:12">
      <c r="A122" t="s">
        <v>6</v>
      </c>
      <c r="B122">
        <v>-1</v>
      </c>
      <c r="F122" t="s">
        <v>6</v>
      </c>
      <c r="G122">
        <v>-1</v>
      </c>
      <c r="K122" t="s">
        <v>6</v>
      </c>
      <c r="L122">
        <v>-1</v>
      </c>
    </row>
    <row r="123" spans="1:12">
      <c r="A123" t="s">
        <v>7</v>
      </c>
      <c r="B123">
        <v>-1</v>
      </c>
      <c r="F123" t="s">
        <v>7</v>
      </c>
      <c r="G123">
        <v>-1</v>
      </c>
      <c r="K123" t="s">
        <v>7</v>
      </c>
      <c r="L123">
        <v>-1</v>
      </c>
    </row>
  </sheetData>
  <pageMargins left="0.75" right="0.75" top="1" bottom="1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.7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7</vt:i4>
      </vt:variant>
    </vt:vector>
  </HeadingPairs>
  <TitlesOfParts>
    <vt:vector size="17" baseType="lpstr">
      <vt:lpstr>index</vt:lpstr>
      <vt:lpstr>sets</vt:lpstr>
      <vt:lpstr>Roads</vt:lpstr>
      <vt:lpstr>ElecLine</vt:lpstr>
      <vt:lpstr>DiscFact</vt:lpstr>
      <vt:lpstr>CYF</vt:lpstr>
      <vt:lpstr>aFAO</vt:lpstr>
      <vt:lpstr>Crop</vt:lpstr>
      <vt:lpstr>Cattle</vt:lpstr>
      <vt:lpstr>Elec</vt:lpstr>
      <vt:lpstr>Crops</vt:lpstr>
      <vt:lpstr>Food</vt:lpstr>
      <vt:lpstr>Nodes</vt:lpstr>
      <vt:lpstr>ElecLine!RoadList</vt:lpstr>
      <vt:lpstr>RoadList</vt:lpstr>
      <vt:lpstr>Seasons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Sriram Sankaranarayanan</dc:creator>
  <cp:lastModifiedBy>Sriram</cp:lastModifiedBy>
  <dcterms:created xsi:type="dcterms:W3CDTF">2017-04-05T21:54:55Z</dcterms:created>
  <dcterms:modified xsi:type="dcterms:W3CDTF">2017-05-12T14:51:32Z</dcterms:modified>
</cp:coreProperties>
</file>