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6"/>
  </bookViews>
  <sheets>
    <sheet name="index" sheetId="1" r:id="rId1"/>
    <sheet name="Cattle" sheetId="8" r:id="rId2"/>
    <sheet name="sets" sheetId="3" r:id="rId3"/>
    <sheet name="Roads" sheetId="5" r:id="rId4"/>
    <sheet name="ElecLine" sheetId="10" r:id="rId5"/>
    <sheet name="DiscFact" sheetId="6" r:id="rId6"/>
    <sheet name="Crop" sheetId="7" r:id="rId7"/>
    <sheet name="CYF" sheetId="4" r:id="rId8"/>
    <sheet name="aFAO" sheetId="11" r:id="rId9"/>
    <sheet name="DemInt" sheetId="14" r:id="rId10"/>
    <sheet name="DemSlope" sheetId="15" r:id="rId11"/>
    <sheet name="Elec" sheetId="9" r:id="rId12"/>
  </sheets>
  <definedNames>
    <definedName name="_xlnm._FilterDatabase" localSheetId="4" hidden="1">ElecLine!$A$21:$B$86</definedName>
    <definedName name="_xlnm._FilterDatabase" localSheetId="0" hidden="1">index!$A$1:$E$29</definedName>
    <definedName name="_xlnm._FilterDatabase" localSheetId="3" hidden="1">Roads!$A$21:$B$86</definedName>
    <definedName name="_xlnm._FilterDatabase" localSheetId="2" hidden="1">sets!$F$2:$F$13</definedName>
    <definedName name="Crops">sets!$J$3:$J$62</definedName>
    <definedName name="Food">sets!$H$3:$H$62</definedName>
    <definedName name="Nodes">sets!$F$3:$F$62</definedName>
    <definedName name="RoadList" localSheetId="4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F2" i="7" l="1"/>
  <c r="H2" i="7"/>
  <c r="J2" i="7"/>
  <c r="L2" i="7"/>
  <c r="N2" i="7"/>
  <c r="P2" i="7"/>
  <c r="R2" i="7"/>
  <c r="T2" i="7"/>
  <c r="V2" i="7"/>
  <c r="X2" i="7"/>
  <c r="Z2" i="7"/>
  <c r="AB2" i="7"/>
  <c r="AD2" i="7"/>
  <c r="AF2" i="7"/>
  <c r="AH2" i="7"/>
  <c r="E2" i="7"/>
  <c r="G2" i="7"/>
  <c r="I2" i="7"/>
  <c r="K2" i="7"/>
  <c r="M2" i="7"/>
  <c r="O2" i="7"/>
  <c r="Q2" i="7"/>
  <c r="S2" i="7"/>
  <c r="U2" i="7"/>
  <c r="W2" i="7"/>
  <c r="Y2" i="7"/>
  <c r="AA2" i="7"/>
  <c r="AC2" i="7"/>
  <c r="AE2" i="7"/>
  <c r="AG2" i="7"/>
  <c r="C1" i="7" a="1"/>
  <c r="D1" i="7"/>
  <c r="F1" i="7"/>
  <c r="H1" i="7"/>
  <c r="J1" i="7"/>
  <c r="L1" i="7"/>
  <c r="N1" i="7"/>
  <c r="P1" i="7"/>
  <c r="R1" i="7"/>
  <c r="T1" i="7"/>
  <c r="V1" i="7"/>
  <c r="X1" i="7"/>
  <c r="Z1" i="7"/>
  <c r="AB1" i="7"/>
  <c r="AD1" i="7"/>
  <c r="AF1" i="7"/>
  <c r="AH1" i="7"/>
  <c r="C1" i="7"/>
  <c r="E1" i="7"/>
  <c r="G1" i="7"/>
  <c r="I1" i="7"/>
  <c r="K1" i="7"/>
  <c r="M1" i="7"/>
  <c r="O1" i="7"/>
  <c r="Q1" i="7"/>
  <c r="S1" i="7"/>
  <c r="U1" i="7"/>
  <c r="W1" i="7"/>
  <c r="Y1" i="7"/>
  <c r="AA1" i="7"/>
  <c r="AC1" i="7"/>
  <c r="AE1" i="7"/>
  <c r="AG1" i="7"/>
  <c r="F2" i="4"/>
  <c r="H2" i="4"/>
  <c r="J2" i="4"/>
  <c r="L2" i="4"/>
  <c r="N2" i="4"/>
  <c r="P2" i="4"/>
  <c r="R2" i="4"/>
  <c r="T2" i="4"/>
  <c r="V2" i="4"/>
  <c r="X2" i="4"/>
  <c r="Z2" i="4"/>
  <c r="AB2" i="4"/>
  <c r="AD2" i="4"/>
  <c r="AF2" i="4"/>
  <c r="AH2" i="4"/>
  <c r="E2" i="4"/>
  <c r="G2" i="4"/>
  <c r="I2" i="4"/>
  <c r="K2" i="4"/>
  <c r="M2" i="4"/>
  <c r="O2" i="4"/>
  <c r="Q2" i="4"/>
  <c r="S2" i="4"/>
  <c r="U2" i="4"/>
  <c r="W2" i="4"/>
  <c r="Y2" i="4"/>
  <c r="AA2" i="4"/>
  <c r="AC2" i="4"/>
  <c r="AE2" i="4"/>
  <c r="AG2" i="4"/>
  <c r="C1" i="4" a="1"/>
  <c r="D1" i="4"/>
  <c r="F1" i="4"/>
  <c r="H1" i="4"/>
  <c r="J1" i="4"/>
  <c r="L1" i="4"/>
  <c r="N1" i="4"/>
  <c r="P1" i="4"/>
  <c r="R1" i="4"/>
  <c r="T1" i="4"/>
  <c r="V1" i="4"/>
  <c r="X1" i="4"/>
  <c r="Z1" i="4"/>
  <c r="AB1" i="4"/>
  <c r="AD1" i="4"/>
  <c r="AF1" i="4"/>
  <c r="AH1" i="4"/>
  <c r="C1" i="4"/>
  <c r="E1" i="4"/>
  <c r="G1" i="4"/>
  <c r="I1" i="4"/>
  <c r="K1" i="4"/>
  <c r="M1" i="4"/>
  <c r="O1" i="4"/>
  <c r="Q1" i="4"/>
  <c r="S1" i="4"/>
  <c r="U1" i="4"/>
  <c r="W1" i="4"/>
  <c r="Y1" i="4"/>
  <c r="AA1" i="4"/>
  <c r="AC1" i="4"/>
  <c r="AE1" i="4"/>
  <c r="AG1" i="4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C1" i="11" a="1"/>
  <c r="D1" i="11"/>
  <c r="F1" i="11"/>
  <c r="H1" i="11"/>
  <c r="J1" i="11"/>
  <c r="L1" i="11"/>
  <c r="N1" i="11"/>
  <c r="P1" i="11"/>
  <c r="R1" i="11"/>
  <c r="T1" i="11"/>
  <c r="V1" i="11"/>
  <c r="X1" i="11"/>
  <c r="Z1" i="11"/>
  <c r="AB1" i="11"/>
  <c r="AD1" i="11"/>
  <c r="AF1" i="11"/>
  <c r="AH1" i="11"/>
  <c r="C1" i="11"/>
  <c r="E1" i="11"/>
  <c r="G1" i="11"/>
  <c r="I1" i="11"/>
  <c r="K1" i="11"/>
  <c r="M1" i="11"/>
  <c r="O1" i="11"/>
  <c r="Q1" i="11"/>
  <c r="S1" i="11"/>
  <c r="U1" i="11"/>
  <c r="W1" i="11"/>
  <c r="Y1" i="11"/>
  <c r="AA1" i="11"/>
  <c r="AC1" i="11"/>
  <c r="AE1" i="11"/>
  <c r="AG1" i="11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/>
  <c r="G1" i="9"/>
  <c r="I1" i="9"/>
  <c r="K1" i="9"/>
  <c r="M1" i="9"/>
  <c r="O1" i="9"/>
  <c r="Q1" i="9"/>
  <c r="S1" i="9"/>
  <c r="U1" i="9"/>
  <c r="W1" i="9"/>
  <c r="Y1" i="9"/>
  <c r="AA1" i="9"/>
  <c r="AC1" i="9"/>
  <c r="AE1" i="9"/>
  <c r="AG1" i="9"/>
  <c r="B1" i="9"/>
  <c r="D1" i="9"/>
  <c r="F1" i="9"/>
  <c r="H1" i="9"/>
  <c r="J1" i="9"/>
  <c r="L1" i="9"/>
  <c r="N1" i="9"/>
  <c r="P1" i="9"/>
  <c r="R1" i="9"/>
  <c r="T1" i="9"/>
  <c r="V1" i="9"/>
  <c r="X1" i="9"/>
  <c r="Z1" i="9"/>
  <c r="AB1" i="9"/>
  <c r="AD1" i="9"/>
  <c r="AF1" i="9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C1" i="15" a="1"/>
  <c r="D1" i="15"/>
  <c r="F1" i="15"/>
  <c r="H1" i="15"/>
  <c r="J1" i="15"/>
  <c r="L1" i="15"/>
  <c r="N1" i="15"/>
  <c r="P1" i="15"/>
  <c r="R1" i="15"/>
  <c r="T1" i="15"/>
  <c r="V1" i="15"/>
  <c r="X1" i="15"/>
  <c r="Z1" i="15"/>
  <c r="AB1" i="15"/>
  <c r="AD1" i="15"/>
  <c r="AF1" i="15"/>
  <c r="AH1" i="15"/>
  <c r="C1" i="15"/>
  <c r="E1" i="15"/>
  <c r="G1" i="15"/>
  <c r="I1" i="15"/>
  <c r="K1" i="15"/>
  <c r="M1" i="15"/>
  <c r="O1" i="15"/>
  <c r="Q1" i="15"/>
  <c r="S1" i="15"/>
  <c r="U1" i="15"/>
  <c r="W1" i="15"/>
  <c r="Y1" i="15"/>
  <c r="AA1" i="15"/>
  <c r="AC1" i="15"/>
  <c r="AE1" i="15"/>
  <c r="AG1" i="15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C1" i="14" a="1"/>
  <c r="D1" i="14"/>
  <c r="F1" i="14"/>
  <c r="H1" i="14"/>
  <c r="J1" i="14"/>
  <c r="L1" i="14"/>
  <c r="N1" i="14"/>
  <c r="P1" i="14"/>
  <c r="R1" i="14"/>
  <c r="T1" i="14"/>
  <c r="V1" i="14"/>
  <c r="X1" i="14"/>
  <c r="Z1" i="14"/>
  <c r="AB1" i="14"/>
  <c r="AD1" i="14"/>
  <c r="AF1" i="14"/>
  <c r="AH1" i="14"/>
  <c r="C1" i="14"/>
  <c r="E1" i="14"/>
  <c r="G1" i="14"/>
  <c r="I1" i="14"/>
  <c r="K1" i="14"/>
  <c r="M1" i="14"/>
  <c r="O1" i="14"/>
  <c r="Q1" i="14"/>
  <c r="S1" i="14"/>
  <c r="U1" i="14"/>
  <c r="W1" i="14"/>
  <c r="Y1" i="14"/>
  <c r="AA1" i="14"/>
  <c r="AC1" i="14"/>
  <c r="AE1" i="14"/>
  <c r="AG1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C4" i="14"/>
  <c r="C5" i="14"/>
  <c r="C6" i="14"/>
  <c r="C7" i="14"/>
  <c r="C8" i="14"/>
  <c r="C9" i="14"/>
  <c r="C10" i="14"/>
  <c r="C11" i="14"/>
  <c r="C12" i="14"/>
  <c r="C13" i="14"/>
  <c r="C3" i="14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C3" i="15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AC65" i="14"/>
  <c r="AD65" i="14"/>
  <c r="AE65" i="14"/>
  <c r="AF65" i="14"/>
  <c r="AG65" i="14"/>
  <c r="AH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C1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C4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C3" i="7"/>
  <c r="B123" i="8"/>
  <c r="B124" i="8"/>
  <c r="B125" i="8"/>
  <c r="B126" i="8"/>
  <c r="B127" i="8"/>
  <c r="B128" i="8"/>
  <c r="B129" i="8"/>
  <c r="B130" i="8"/>
  <c r="B131" i="8"/>
  <c r="B122" i="8"/>
  <c r="F163" i="7"/>
  <c r="G163" i="7"/>
  <c r="F164" i="7"/>
  <c r="G164" i="7"/>
  <c r="F165" i="7"/>
  <c r="G165" i="7"/>
  <c r="F166" i="7"/>
  <c r="G166" i="7"/>
  <c r="F167" i="7"/>
  <c r="G167" i="7"/>
  <c r="F168" i="7"/>
  <c r="G168" i="7"/>
  <c r="F169" i="7"/>
  <c r="G169" i="7"/>
  <c r="F170" i="7"/>
  <c r="G170" i="7"/>
  <c r="F171" i="7"/>
  <c r="G171" i="7"/>
  <c r="F172" i="7"/>
  <c r="G172" i="7"/>
  <c r="G162" i="7"/>
  <c r="F162" i="7"/>
  <c r="E163" i="7"/>
  <c r="E164" i="7"/>
  <c r="E165" i="7"/>
  <c r="E166" i="7"/>
  <c r="E167" i="7"/>
  <c r="E168" i="7"/>
  <c r="E169" i="7"/>
  <c r="E170" i="7"/>
  <c r="E171" i="7"/>
  <c r="E172" i="7"/>
  <c r="E162" i="7"/>
  <c r="B163" i="7"/>
  <c r="B164" i="7"/>
  <c r="B165" i="7"/>
  <c r="B166" i="7"/>
  <c r="B167" i="7"/>
  <c r="B168" i="7"/>
  <c r="B169" i="7"/>
  <c r="B170" i="7"/>
  <c r="B171" i="7"/>
  <c r="B172" i="7"/>
  <c r="B162" i="7"/>
  <c r="D163" i="7"/>
  <c r="D164" i="7"/>
  <c r="D165" i="7"/>
  <c r="D166" i="7"/>
  <c r="D167" i="7"/>
  <c r="D168" i="7"/>
  <c r="D169" i="7"/>
  <c r="D170" i="7"/>
  <c r="D171" i="7"/>
  <c r="D172" i="7"/>
  <c r="D162" i="7"/>
  <c r="C163" i="7"/>
  <c r="C164" i="7"/>
  <c r="C165" i="7"/>
  <c r="C166" i="7"/>
  <c r="C167" i="7"/>
  <c r="C168" i="7"/>
  <c r="C169" i="7"/>
  <c r="C170" i="7"/>
  <c r="C171" i="7"/>
  <c r="C172" i="7"/>
  <c r="C162" i="7"/>
  <c r="G122" i="8"/>
  <c r="G123" i="8"/>
  <c r="G124" i="8"/>
  <c r="G125" i="8"/>
  <c r="G126" i="8"/>
  <c r="G127" i="8"/>
  <c r="G128" i="8"/>
  <c r="G129" i="8"/>
  <c r="G130" i="8"/>
  <c r="G131" i="8"/>
  <c r="G121" i="8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C3" i="9"/>
  <c r="B3" i="9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AK12" i="5"/>
  <c r="AJ12" i="5"/>
  <c r="AI12" i="5"/>
  <c r="AH12" i="5"/>
  <c r="AG12" i="5"/>
  <c r="AF12" i="5"/>
  <c r="AE12" i="5"/>
  <c r="AD12" i="5"/>
  <c r="AC12" i="5"/>
  <c r="AL11" i="5"/>
  <c r="AJ11" i="5"/>
  <c r="AI11" i="5"/>
  <c r="AH11" i="5"/>
  <c r="AG11" i="5"/>
  <c r="AF11" i="5"/>
  <c r="AE11" i="5"/>
  <c r="AD11" i="5"/>
  <c r="AC11" i="5"/>
  <c r="AL10" i="5"/>
  <c r="AK10" i="5"/>
  <c r="AI10" i="5"/>
  <c r="AH10" i="5"/>
  <c r="AG10" i="5"/>
  <c r="AF10" i="5"/>
  <c r="AE10" i="5"/>
  <c r="AD10" i="5"/>
  <c r="AC10" i="5"/>
  <c r="AL9" i="5"/>
  <c r="AK9" i="5"/>
  <c r="AJ9" i="5"/>
  <c r="AH9" i="5"/>
  <c r="AG9" i="5"/>
  <c r="AF9" i="5"/>
  <c r="AE9" i="5"/>
  <c r="AD9" i="5"/>
  <c r="AC9" i="5"/>
  <c r="AL8" i="5"/>
  <c r="AK8" i="5"/>
  <c r="AJ8" i="5"/>
  <c r="AI8" i="5"/>
  <c r="AG8" i="5"/>
  <c r="AF8" i="5"/>
  <c r="AE8" i="5"/>
  <c r="AD8" i="5"/>
  <c r="AC8" i="5"/>
  <c r="AL7" i="5"/>
  <c r="AK7" i="5"/>
  <c r="AJ7" i="5"/>
  <c r="AI7" i="5"/>
  <c r="AH7" i="5"/>
  <c r="AF7" i="5"/>
  <c r="AE7" i="5"/>
  <c r="AD7" i="5"/>
  <c r="AC7" i="5"/>
  <c r="AL6" i="5"/>
  <c r="AK6" i="5"/>
  <c r="AJ6" i="5"/>
  <c r="AI6" i="5"/>
  <c r="AH6" i="5"/>
  <c r="AG6" i="5"/>
  <c r="AE6" i="5"/>
  <c r="AD6" i="5"/>
  <c r="AC6" i="5"/>
  <c r="AL5" i="5"/>
  <c r="AK5" i="5"/>
  <c r="AJ5" i="5"/>
  <c r="AI5" i="5"/>
  <c r="AH5" i="5"/>
  <c r="AG5" i="5"/>
  <c r="AF5" i="5"/>
  <c r="AD5" i="5"/>
  <c r="AC5" i="5"/>
  <c r="AL4" i="5"/>
  <c r="AK4" i="5"/>
  <c r="AJ4" i="5"/>
  <c r="AI4" i="5"/>
  <c r="AH4" i="5"/>
  <c r="AG4" i="5"/>
  <c r="AF4" i="5"/>
  <c r="AE4" i="5"/>
  <c r="AC4" i="5"/>
  <c r="AL3" i="5"/>
  <c r="AK3" i="5"/>
  <c r="AJ3" i="5"/>
  <c r="AI3" i="5"/>
  <c r="AH3" i="5"/>
  <c r="AG3" i="5"/>
  <c r="AF3" i="5"/>
  <c r="AE3" i="5"/>
  <c r="AD3" i="5"/>
  <c r="X12" i="5"/>
  <c r="W12" i="5"/>
  <c r="V12" i="5"/>
  <c r="U12" i="5"/>
  <c r="T12" i="5"/>
  <c r="S12" i="5"/>
  <c r="R12" i="5"/>
  <c r="Q12" i="5"/>
  <c r="P12" i="5"/>
  <c r="Y11" i="5"/>
  <c r="W11" i="5"/>
  <c r="V11" i="5"/>
  <c r="U11" i="5"/>
  <c r="T11" i="5"/>
  <c r="S11" i="5"/>
  <c r="R11" i="5"/>
  <c r="Q11" i="5"/>
  <c r="P11" i="5"/>
  <c r="Y10" i="5"/>
  <c r="X10" i="5"/>
  <c r="V10" i="5"/>
  <c r="U10" i="5"/>
  <c r="T10" i="5"/>
  <c r="S10" i="5"/>
  <c r="R10" i="5"/>
  <c r="Q10" i="5"/>
  <c r="P10" i="5"/>
  <c r="Y9" i="5"/>
  <c r="X9" i="5"/>
  <c r="W9" i="5"/>
  <c r="U9" i="5"/>
  <c r="T9" i="5"/>
  <c r="S9" i="5"/>
  <c r="R9" i="5"/>
  <c r="Q9" i="5"/>
  <c r="P9" i="5"/>
  <c r="Y8" i="5"/>
  <c r="X8" i="5"/>
  <c r="W8" i="5"/>
  <c r="V8" i="5"/>
  <c r="T8" i="5"/>
  <c r="S8" i="5"/>
  <c r="R8" i="5"/>
  <c r="Q8" i="5"/>
  <c r="P8" i="5"/>
  <c r="Y7" i="5"/>
  <c r="X7" i="5"/>
  <c r="W7" i="5"/>
  <c r="V7" i="5"/>
  <c r="U7" i="5"/>
  <c r="S7" i="5"/>
  <c r="R7" i="5"/>
  <c r="Q7" i="5"/>
  <c r="P7" i="5"/>
  <c r="Y6" i="5"/>
  <c r="X6" i="5"/>
  <c r="W6" i="5"/>
  <c r="V6" i="5"/>
  <c r="U6" i="5"/>
  <c r="T6" i="5"/>
  <c r="R6" i="5"/>
  <c r="Q6" i="5"/>
  <c r="P6" i="5"/>
  <c r="Y5" i="5"/>
  <c r="X5" i="5"/>
  <c r="W5" i="5"/>
  <c r="V5" i="5"/>
  <c r="U5" i="5"/>
  <c r="T5" i="5"/>
  <c r="S5" i="5"/>
  <c r="Q5" i="5"/>
  <c r="P5" i="5"/>
  <c r="Y4" i="5"/>
  <c r="X4" i="5"/>
  <c r="W4" i="5"/>
  <c r="V4" i="5"/>
  <c r="U4" i="5"/>
  <c r="T4" i="5"/>
  <c r="S4" i="5"/>
  <c r="R4" i="5"/>
  <c r="P4" i="5"/>
  <c r="Y3" i="5"/>
  <c r="X3" i="5"/>
  <c r="W3" i="5"/>
  <c r="V3" i="5"/>
  <c r="U3" i="5"/>
  <c r="T3" i="5"/>
  <c r="S3" i="5"/>
  <c r="R3" i="5"/>
  <c r="Q3" i="5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B163" i="8"/>
  <c r="B164" i="8"/>
  <c r="B165" i="8"/>
  <c r="B166" i="8"/>
  <c r="B167" i="8"/>
  <c r="B168" i="8"/>
  <c r="B169" i="8"/>
  <c r="B170" i="8"/>
  <c r="B171" i="8"/>
  <c r="B172" i="8"/>
  <c r="B162" i="8"/>
  <c r="B142" i="8" a="1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A3" i="9" a="1"/>
  <c r="A12" i="9"/>
  <c r="A11" i="9"/>
  <c r="A10" i="9"/>
  <c r="A9" i="9"/>
  <c r="A8" i="9"/>
  <c r="A7" i="9"/>
  <c r="A6" i="9"/>
  <c r="A5" i="9"/>
  <c r="A4" i="9"/>
  <c r="A3" i="9"/>
  <c r="A13" i="9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B161" i="7" a="1"/>
  <c r="B161" i="7"/>
  <c r="C161" i="7"/>
  <c r="D161" i="7"/>
  <c r="E161" i="7"/>
  <c r="F161" i="7"/>
  <c r="G161" i="7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21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35" i="5" a="1"/>
  <c r="I36" i="5" a="1"/>
  <c r="I37" i="5" a="1"/>
  <c r="I38" i="5" a="1"/>
  <c r="I26" i="5"/>
  <c r="I27" i="5"/>
  <c r="I28" i="5"/>
  <c r="I29" i="5"/>
  <c r="I30" i="5"/>
  <c r="I31" i="5"/>
  <c r="I32" i="5"/>
  <c r="I33" i="5"/>
  <c r="I35" i="5"/>
  <c r="I36" i="5"/>
  <c r="I37" i="5"/>
  <c r="I38" i="5"/>
  <c r="E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E4" i="5"/>
  <c r="F4" i="5"/>
  <c r="G4" i="5"/>
  <c r="H4" i="5"/>
  <c r="I4" i="5"/>
  <c r="J4" i="5"/>
  <c r="K4" i="5"/>
  <c r="L4" i="5"/>
  <c r="B5" i="5"/>
  <c r="C5" i="5"/>
  <c r="D5" i="5"/>
  <c r="E5" i="5"/>
  <c r="F5" i="5"/>
  <c r="G5" i="5"/>
  <c r="H5" i="5"/>
  <c r="I5" i="5"/>
  <c r="J5" i="5"/>
  <c r="K5" i="5"/>
  <c r="L5" i="5"/>
  <c r="B6" i="5"/>
  <c r="C6" i="5"/>
  <c r="D6" i="5"/>
  <c r="E6" i="5"/>
  <c r="F6" i="5"/>
  <c r="G6" i="5"/>
  <c r="H6" i="5"/>
  <c r="I6" i="5"/>
  <c r="J6" i="5"/>
  <c r="K6" i="5"/>
  <c r="L6" i="5"/>
  <c r="B7" i="5"/>
  <c r="C7" i="5"/>
  <c r="D7" i="5"/>
  <c r="E7" i="5"/>
  <c r="F7" i="5"/>
  <c r="G7" i="5"/>
  <c r="H7" i="5"/>
  <c r="I7" i="5"/>
  <c r="J7" i="5"/>
  <c r="K7" i="5"/>
  <c r="L7" i="5"/>
  <c r="B8" i="5"/>
  <c r="C8" i="5"/>
  <c r="D8" i="5"/>
  <c r="E8" i="5"/>
  <c r="F8" i="5"/>
  <c r="G8" i="5"/>
  <c r="H8" i="5"/>
  <c r="I8" i="5"/>
  <c r="J8" i="5"/>
  <c r="K8" i="5"/>
  <c r="L8" i="5"/>
  <c r="B9" i="5"/>
  <c r="C9" i="5"/>
  <c r="D9" i="5"/>
  <c r="E9" i="5"/>
  <c r="F9" i="5"/>
  <c r="G9" i="5"/>
  <c r="H9" i="5"/>
  <c r="I9" i="5"/>
  <c r="J9" i="5"/>
  <c r="K9" i="5"/>
  <c r="L9" i="5"/>
  <c r="B10" i="5"/>
  <c r="C10" i="5"/>
  <c r="D10" i="5"/>
  <c r="E10" i="5"/>
  <c r="F10" i="5"/>
  <c r="G10" i="5"/>
  <c r="H10" i="5"/>
  <c r="I10" i="5"/>
  <c r="J10" i="5"/>
  <c r="K10" i="5"/>
  <c r="L10" i="5"/>
  <c r="B11" i="5"/>
  <c r="C11" i="5"/>
  <c r="D11" i="5"/>
  <c r="E11" i="5"/>
  <c r="F11" i="5"/>
  <c r="G11" i="5"/>
  <c r="H11" i="5"/>
  <c r="I11" i="5"/>
  <c r="J11" i="5"/>
  <c r="K11" i="5"/>
  <c r="L11" i="5"/>
  <c r="B12" i="5"/>
  <c r="C12" i="5"/>
  <c r="D12" i="5"/>
  <c r="E12" i="5"/>
  <c r="F12" i="5"/>
  <c r="G12" i="5"/>
  <c r="H12" i="5"/>
  <c r="I12" i="5"/>
  <c r="J12" i="5"/>
  <c r="K12" i="5"/>
  <c r="L12" i="5"/>
  <c r="C2" i="5"/>
  <c r="D2" i="5"/>
  <c r="E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</calcChain>
</file>

<file path=xl/sharedStrings.xml><?xml version="1.0" encoding="utf-8"?>
<sst xmlns="http://schemas.openxmlformats.org/spreadsheetml/2006/main" count="585" uniqueCount="96">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</sst>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zoomScale="85" zoomScaleNormal="85" workbookViewId="0">
      <selection activeCell="B32" sqref="B32:D32"/>
    </sheetView>
  </sheetViews>
  <sheetFormatPr defaultColWidth="11" defaultRowHeight="15.75"/>
  <cols>
    <col min="2" max="2" width="14.5" bestFit="1" customWidth="1"/>
    <col min="3" max="3" width="12.37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82</v>
      </c>
      <c r="C2" t="s">
        <v>83</v>
      </c>
      <c r="D2">
        <v>2</v>
      </c>
      <c r="E2">
        <v>2</v>
      </c>
    </row>
    <row r="3" spans="1:5">
      <c r="A3" t="s">
        <v>33</v>
      </c>
      <c r="B3" t="s">
        <v>45</v>
      </c>
      <c r="C3" t="s">
        <v>46</v>
      </c>
      <c r="D3">
        <v>1</v>
      </c>
      <c r="E3">
        <v>1</v>
      </c>
    </row>
    <row r="4" spans="1:5">
      <c r="A4" t="s">
        <v>33</v>
      </c>
      <c r="B4" t="s">
        <v>47</v>
      </c>
      <c r="C4" t="s">
        <v>48</v>
      </c>
      <c r="D4">
        <v>1</v>
      </c>
      <c r="E4">
        <v>1</v>
      </c>
    </row>
    <row r="5" spans="1:5">
      <c r="A5" t="s">
        <v>33</v>
      </c>
      <c r="B5" t="s">
        <v>49</v>
      </c>
      <c r="C5" t="s">
        <v>51</v>
      </c>
      <c r="D5">
        <v>1</v>
      </c>
      <c r="E5">
        <v>1</v>
      </c>
    </row>
    <row r="6" spans="1:5">
      <c r="A6" t="s">
        <v>33</v>
      </c>
      <c r="B6" t="s">
        <v>50</v>
      </c>
      <c r="C6" t="s">
        <v>52</v>
      </c>
      <c r="D6">
        <v>1</v>
      </c>
      <c r="E6">
        <v>1</v>
      </c>
    </row>
    <row r="7" spans="1:5">
      <c r="A7" t="s">
        <v>33</v>
      </c>
      <c r="B7" t="s">
        <v>53</v>
      </c>
      <c r="C7" t="s">
        <v>54</v>
      </c>
      <c r="D7">
        <v>1</v>
      </c>
      <c r="E7">
        <v>1</v>
      </c>
    </row>
    <row r="8" spans="1:5">
      <c r="A8" t="s">
        <v>33</v>
      </c>
      <c r="B8" t="s">
        <v>55</v>
      </c>
      <c r="C8" t="s">
        <v>56</v>
      </c>
      <c r="D8">
        <v>1</v>
      </c>
      <c r="E8">
        <v>1</v>
      </c>
    </row>
    <row r="9" spans="1:5">
      <c r="A9" t="s">
        <v>33</v>
      </c>
      <c r="B9" t="s">
        <v>58</v>
      </c>
      <c r="C9" t="s">
        <v>57</v>
      </c>
      <c r="D9">
        <v>1</v>
      </c>
      <c r="E9">
        <v>0</v>
      </c>
    </row>
    <row r="10" spans="1:5">
      <c r="A10" t="s">
        <v>33</v>
      </c>
      <c r="B10" t="s">
        <v>59</v>
      </c>
      <c r="C10" t="s">
        <v>67</v>
      </c>
      <c r="D10">
        <v>1</v>
      </c>
      <c r="E10">
        <v>0</v>
      </c>
    </row>
    <row r="11" spans="1:5">
      <c r="A11" t="s">
        <v>33</v>
      </c>
      <c r="B11" t="s">
        <v>60</v>
      </c>
      <c r="C11" t="s">
        <v>68</v>
      </c>
      <c r="D11">
        <v>1</v>
      </c>
      <c r="E11">
        <v>0</v>
      </c>
    </row>
    <row r="12" spans="1:5">
      <c r="A12" t="s">
        <v>33</v>
      </c>
      <c r="B12" s="9" t="s">
        <v>93</v>
      </c>
      <c r="C12" t="s">
        <v>94</v>
      </c>
      <c r="D12">
        <v>1</v>
      </c>
      <c r="E12">
        <v>1</v>
      </c>
    </row>
    <row r="13" spans="1:5">
      <c r="A13" t="s">
        <v>33</v>
      </c>
      <c r="B13" s="9" t="s">
        <v>92</v>
      </c>
      <c r="C13" t="s">
        <v>95</v>
      </c>
      <c r="D13">
        <v>1</v>
      </c>
      <c r="E13">
        <v>1</v>
      </c>
    </row>
    <row r="14" spans="1:5">
      <c r="A14" t="s">
        <v>33</v>
      </c>
      <c r="B14" t="s">
        <v>84</v>
      </c>
      <c r="C14" t="s">
        <v>85</v>
      </c>
      <c r="D14">
        <v>2</v>
      </c>
      <c r="E14">
        <v>2</v>
      </c>
    </row>
    <row r="15" spans="1:5">
      <c r="A15" t="s">
        <v>33</v>
      </c>
      <c r="B15" t="s">
        <v>39</v>
      </c>
      <c r="C15" t="s">
        <v>41</v>
      </c>
      <c r="D15">
        <v>1</v>
      </c>
      <c r="E15">
        <v>1</v>
      </c>
    </row>
    <row r="16" spans="1:5">
      <c r="A16" t="s">
        <v>33</v>
      </c>
      <c r="B16" t="s">
        <v>40</v>
      </c>
      <c r="C16" t="s">
        <v>42</v>
      </c>
      <c r="D16">
        <v>1</v>
      </c>
      <c r="E16">
        <v>1</v>
      </c>
    </row>
    <row r="17" spans="1:5">
      <c r="A17" t="s">
        <v>33</v>
      </c>
      <c r="B17" s="9" t="s">
        <v>65</v>
      </c>
      <c r="C17" t="s">
        <v>43</v>
      </c>
      <c r="D17">
        <v>1</v>
      </c>
      <c r="E17">
        <v>0</v>
      </c>
    </row>
    <row r="18" spans="1:5">
      <c r="A18" t="s">
        <v>33</v>
      </c>
      <c r="B18" s="9" t="s">
        <v>66</v>
      </c>
      <c r="C18" t="s">
        <v>44</v>
      </c>
      <c r="D18">
        <v>1</v>
      </c>
      <c r="E18">
        <v>1</v>
      </c>
    </row>
    <row r="19" spans="1:5">
      <c r="A19" t="s">
        <v>33</v>
      </c>
      <c r="B19" s="9" t="s">
        <v>34</v>
      </c>
      <c r="C19" t="s">
        <v>35</v>
      </c>
      <c r="D19">
        <v>2</v>
      </c>
      <c r="E19">
        <v>2</v>
      </c>
    </row>
    <row r="20" spans="1:5">
      <c r="A20" t="s">
        <v>33</v>
      </c>
      <c r="B20" s="9" t="s">
        <v>37</v>
      </c>
      <c r="C20" t="s">
        <v>38</v>
      </c>
      <c r="D20">
        <v>1</v>
      </c>
      <c r="E20">
        <v>0</v>
      </c>
    </row>
    <row r="21" spans="1:5">
      <c r="A21" t="s">
        <v>25</v>
      </c>
      <c r="B21" s="9" t="s">
        <v>69</v>
      </c>
      <c r="C21" t="s">
        <v>70</v>
      </c>
      <c r="D21">
        <v>1</v>
      </c>
      <c r="E21">
        <v>1</v>
      </c>
    </row>
    <row r="22" spans="1:5">
      <c r="A22" t="s">
        <v>25</v>
      </c>
      <c r="B22" s="9" t="s">
        <v>81</v>
      </c>
      <c r="C22" t="s">
        <v>36</v>
      </c>
      <c r="D22">
        <v>1</v>
      </c>
      <c r="E22">
        <v>1</v>
      </c>
    </row>
    <row r="23" spans="1:5">
      <c r="A23" t="s">
        <v>33</v>
      </c>
      <c r="B23" t="s">
        <v>73</v>
      </c>
      <c r="C23" t="s">
        <v>74</v>
      </c>
      <c r="D23">
        <v>1</v>
      </c>
      <c r="E23">
        <v>1</v>
      </c>
    </row>
    <row r="24" spans="1:5">
      <c r="A24" t="s">
        <v>33</v>
      </c>
      <c r="B24" t="s">
        <v>71</v>
      </c>
      <c r="C24" t="s">
        <v>72</v>
      </c>
      <c r="D24">
        <v>1</v>
      </c>
      <c r="E24">
        <v>1</v>
      </c>
    </row>
    <row r="25" spans="1:5">
      <c r="A25" t="s">
        <v>25</v>
      </c>
      <c r="B25" s="9" t="s">
        <v>75</v>
      </c>
      <c r="C25" t="s">
        <v>26</v>
      </c>
      <c r="D25">
        <v>1</v>
      </c>
      <c r="E25">
        <v>0</v>
      </c>
    </row>
    <row r="26" spans="1:5">
      <c r="A26" t="s">
        <v>25</v>
      </c>
      <c r="B26" s="9" t="s">
        <v>76</v>
      </c>
      <c r="C26" t="s">
        <v>27</v>
      </c>
      <c r="D26">
        <v>1</v>
      </c>
      <c r="E26">
        <v>0</v>
      </c>
    </row>
    <row r="27" spans="1:5">
      <c r="A27" t="s">
        <v>25</v>
      </c>
      <c r="B27" s="9" t="s">
        <v>77</v>
      </c>
      <c r="C27" t="s">
        <v>28</v>
      </c>
      <c r="D27">
        <v>1</v>
      </c>
      <c r="E27">
        <v>0</v>
      </c>
    </row>
    <row r="28" spans="1:5">
      <c r="A28" t="s">
        <v>25</v>
      </c>
      <c r="B28" s="9" t="s">
        <v>78</v>
      </c>
      <c r="C28" t="s">
        <v>29</v>
      </c>
      <c r="D28">
        <v>1</v>
      </c>
      <c r="E28">
        <v>0</v>
      </c>
    </row>
    <row r="29" spans="1:5">
      <c r="A29" t="s">
        <v>25</v>
      </c>
      <c r="B29" s="9" t="s">
        <v>79</v>
      </c>
      <c r="C29" t="s">
        <v>80</v>
      </c>
      <c r="D29">
        <v>1</v>
      </c>
      <c r="E29">
        <v>0</v>
      </c>
    </row>
    <row r="30" spans="1:5">
      <c r="A30" t="s">
        <v>33</v>
      </c>
      <c r="B30" s="9" t="s">
        <v>86</v>
      </c>
      <c r="C30" t="s">
        <v>88</v>
      </c>
      <c r="D30">
        <v>2</v>
      </c>
      <c r="E30">
        <v>2</v>
      </c>
    </row>
    <row r="31" spans="1:5">
      <c r="A31" t="s">
        <v>33</v>
      </c>
      <c r="B31" s="9" t="s">
        <v>87</v>
      </c>
      <c r="C31" t="s">
        <v>89</v>
      </c>
      <c r="D31">
        <v>2</v>
      </c>
      <c r="E31">
        <v>2</v>
      </c>
    </row>
    <row r="32" spans="1:5">
      <c r="A32" t="s">
        <v>33</v>
      </c>
      <c r="B32" s="9" t="s">
        <v>90</v>
      </c>
      <c r="C32" t="s">
        <v>91</v>
      </c>
      <c r="D32">
        <v>1</v>
      </c>
      <c r="E32">
        <v>2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zoomScale="85" zoomScaleNormal="85" workbookViewId="0"/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t="str">
        <v>Afar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t="str">
        <v>Amhara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t="str">
        <v>Gumuz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t="str">
        <v>DireDawa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t="str">
        <v>Gambela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t="str">
        <v>Harari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t="str">
        <v>Oromia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t="str">
        <v>Somali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t="str">
        <v>SNNPR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t="str">
        <v>Tigray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t="str">
        <v>Afar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t="str">
        <v>Amhara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t="str">
        <v>Gumuz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t="str">
        <v>DireDawa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t="str">
        <v>Gambela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t="str">
        <v>Harari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t="str">
        <v>Oromia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t="str">
        <v>Somali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t="str">
        <v>SNNPR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t="str">
        <v>Tigray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0.7</v>
      </c>
      <c r="C62">
        <v>0.7</v>
      </c>
      <c r="D62">
        <v>0.7</v>
      </c>
      <c r="E62">
        <v>0.7</v>
      </c>
      <c r="F62">
        <v>0.7</v>
      </c>
      <c r="G62">
        <v>0.7</v>
      </c>
      <c r="H62">
        <v>0.7</v>
      </c>
      <c r="I62">
        <v>0.7</v>
      </c>
      <c r="J62">
        <v>0.7</v>
      </c>
      <c r="K62">
        <v>0.7</v>
      </c>
      <c r="L62">
        <v>0.7</v>
      </c>
      <c r="M62">
        <v>0.7</v>
      </c>
      <c r="N62">
        <v>0.7</v>
      </c>
      <c r="O62">
        <v>0.7</v>
      </c>
      <c r="P62">
        <v>0.7</v>
      </c>
      <c r="Q62">
        <v>0.7</v>
      </c>
    </row>
    <row r="63" spans="1:17">
      <c r="A63" t="str">
        <v>Afar</v>
      </c>
      <c r="B63">
        <v>0.7</v>
      </c>
      <c r="C63">
        <v>0.7</v>
      </c>
      <c r="D63">
        <v>0.7</v>
      </c>
      <c r="E63">
        <v>0.7</v>
      </c>
      <c r="F63">
        <v>0.7</v>
      </c>
      <c r="G63">
        <v>0.7</v>
      </c>
      <c r="H63">
        <v>0.7</v>
      </c>
      <c r="I63">
        <v>0.7</v>
      </c>
      <c r="J63">
        <v>0.7</v>
      </c>
      <c r="K63">
        <v>0.7</v>
      </c>
      <c r="L63">
        <v>0.7</v>
      </c>
      <c r="M63">
        <v>0.7</v>
      </c>
      <c r="N63">
        <v>0.7</v>
      </c>
      <c r="O63">
        <v>0.7</v>
      </c>
      <c r="P63">
        <v>0.7</v>
      </c>
      <c r="Q63">
        <v>0.7</v>
      </c>
    </row>
    <row r="64" spans="1:17">
      <c r="A64" t="str">
        <v>Amhara</v>
      </c>
      <c r="B64">
        <v>0.7</v>
      </c>
      <c r="C64">
        <v>0.7</v>
      </c>
      <c r="D64">
        <v>0.7</v>
      </c>
      <c r="E64">
        <v>0.7</v>
      </c>
      <c r="F64">
        <v>0.7</v>
      </c>
      <c r="G64">
        <v>0.7</v>
      </c>
      <c r="H64">
        <v>0.7</v>
      </c>
      <c r="I64">
        <v>0.7</v>
      </c>
      <c r="J64">
        <v>0.7</v>
      </c>
      <c r="K64">
        <v>0.7</v>
      </c>
      <c r="L64">
        <v>0.7</v>
      </c>
      <c r="M64">
        <v>0.7</v>
      </c>
      <c r="N64">
        <v>0.7</v>
      </c>
      <c r="O64">
        <v>0.7</v>
      </c>
      <c r="P64">
        <v>0.7</v>
      </c>
      <c r="Q64">
        <v>0.7</v>
      </c>
    </row>
    <row r="65" spans="1:17">
      <c r="A65" t="str">
        <v>Gumuz</v>
      </c>
      <c r="B65">
        <v>0.7</v>
      </c>
      <c r="C65">
        <v>0.7</v>
      </c>
      <c r="D65">
        <v>0.7</v>
      </c>
      <c r="E65">
        <v>0.7</v>
      </c>
      <c r="F65">
        <v>0.7</v>
      </c>
      <c r="G65">
        <v>0.7</v>
      </c>
      <c r="H65">
        <v>0.7</v>
      </c>
      <c r="I65">
        <v>0.7</v>
      </c>
      <c r="J65">
        <v>0.7</v>
      </c>
      <c r="K65">
        <v>0.7</v>
      </c>
      <c r="L65">
        <v>0.7</v>
      </c>
      <c r="M65">
        <v>0.7</v>
      </c>
      <c r="N65">
        <v>0.7</v>
      </c>
      <c r="O65">
        <v>0.7</v>
      </c>
      <c r="P65">
        <v>0.7</v>
      </c>
      <c r="Q65">
        <v>0.7</v>
      </c>
    </row>
    <row r="66" spans="1:17">
      <c r="A66" t="str">
        <v>DireDawa</v>
      </c>
      <c r="B66">
        <v>0.7</v>
      </c>
      <c r="C66">
        <v>0.7</v>
      </c>
      <c r="D66">
        <v>0.7</v>
      </c>
      <c r="E66">
        <v>0.7</v>
      </c>
      <c r="F66">
        <v>0.7</v>
      </c>
      <c r="G66">
        <v>0.7</v>
      </c>
      <c r="H66">
        <v>0.7</v>
      </c>
      <c r="I66">
        <v>0.7</v>
      </c>
      <c r="J66">
        <v>0.7</v>
      </c>
      <c r="K66">
        <v>0.7</v>
      </c>
      <c r="L66">
        <v>0.7</v>
      </c>
      <c r="M66">
        <v>0.7</v>
      </c>
      <c r="N66">
        <v>0.7</v>
      </c>
      <c r="O66">
        <v>0.7</v>
      </c>
      <c r="P66">
        <v>0.7</v>
      </c>
      <c r="Q66">
        <v>0.7</v>
      </c>
    </row>
    <row r="67" spans="1:17">
      <c r="A67" t="str">
        <v>Gambela</v>
      </c>
      <c r="B67">
        <v>0.7</v>
      </c>
      <c r="C67">
        <v>0.7</v>
      </c>
      <c r="D67">
        <v>0.7</v>
      </c>
      <c r="E67">
        <v>0.7</v>
      </c>
      <c r="F67">
        <v>0.7</v>
      </c>
      <c r="G67">
        <v>0.7</v>
      </c>
      <c r="H67">
        <v>0.7</v>
      </c>
      <c r="I67">
        <v>0.7</v>
      </c>
      <c r="J67">
        <v>0.7</v>
      </c>
      <c r="K67">
        <v>0.7</v>
      </c>
      <c r="L67">
        <v>0.7</v>
      </c>
      <c r="M67">
        <v>0.7</v>
      </c>
      <c r="N67">
        <v>0.7</v>
      </c>
      <c r="O67">
        <v>0.7</v>
      </c>
      <c r="P67">
        <v>0.7</v>
      </c>
      <c r="Q67">
        <v>0.7</v>
      </c>
    </row>
    <row r="68" spans="1:17">
      <c r="A68" t="str">
        <v>Harari</v>
      </c>
      <c r="B68">
        <v>0.7</v>
      </c>
      <c r="C68">
        <v>0.7</v>
      </c>
      <c r="D68">
        <v>0.7</v>
      </c>
      <c r="E68">
        <v>0.7</v>
      </c>
      <c r="F68">
        <v>0.7</v>
      </c>
      <c r="G68">
        <v>0.7</v>
      </c>
      <c r="H68">
        <v>0.7</v>
      </c>
      <c r="I68">
        <v>0.7</v>
      </c>
      <c r="J68">
        <v>0.7</v>
      </c>
      <c r="K68">
        <v>0.7</v>
      </c>
      <c r="L68">
        <v>0.7</v>
      </c>
      <c r="M68">
        <v>0.7</v>
      </c>
      <c r="N68">
        <v>0.7</v>
      </c>
      <c r="O68">
        <v>0.7</v>
      </c>
      <c r="P68">
        <v>0.7</v>
      </c>
      <c r="Q68">
        <v>0.7</v>
      </c>
    </row>
    <row r="69" spans="1:17">
      <c r="A69" t="str">
        <v>Oromia</v>
      </c>
      <c r="B69">
        <v>0.7</v>
      </c>
      <c r="C69">
        <v>0.7</v>
      </c>
      <c r="D69">
        <v>0.7</v>
      </c>
      <c r="E69">
        <v>0.7</v>
      </c>
      <c r="F69">
        <v>0.7</v>
      </c>
      <c r="G69">
        <v>0.7</v>
      </c>
      <c r="H69">
        <v>0.7</v>
      </c>
      <c r="I69">
        <v>0.7</v>
      </c>
      <c r="J69">
        <v>0.7</v>
      </c>
      <c r="K69">
        <v>0.7</v>
      </c>
      <c r="L69">
        <v>0.7</v>
      </c>
      <c r="M69">
        <v>0.7</v>
      </c>
      <c r="N69">
        <v>0.7</v>
      </c>
      <c r="O69">
        <v>0.7</v>
      </c>
      <c r="P69">
        <v>0.7</v>
      </c>
      <c r="Q69">
        <v>0.7</v>
      </c>
    </row>
    <row r="70" spans="1:17">
      <c r="A70" t="str">
        <v>Somali</v>
      </c>
      <c r="B70">
        <v>0.7</v>
      </c>
      <c r="C70">
        <v>0.7</v>
      </c>
      <c r="D70">
        <v>0.7</v>
      </c>
      <c r="E70">
        <v>0.7</v>
      </c>
      <c r="F70">
        <v>0.7</v>
      </c>
      <c r="G70">
        <v>0.7</v>
      </c>
      <c r="H70">
        <v>0.7</v>
      </c>
      <c r="I70">
        <v>0.7</v>
      </c>
      <c r="J70">
        <v>0.7</v>
      </c>
      <c r="K70">
        <v>0.7</v>
      </c>
      <c r="L70">
        <v>0.7</v>
      </c>
      <c r="M70">
        <v>0.7</v>
      </c>
      <c r="N70">
        <v>0.7</v>
      </c>
      <c r="O70">
        <v>0.7</v>
      </c>
      <c r="P70">
        <v>0.7</v>
      </c>
      <c r="Q70">
        <v>0.7</v>
      </c>
    </row>
    <row r="71" spans="1:17">
      <c r="A71" t="str">
        <v>SNNPR</v>
      </c>
      <c r="B71">
        <v>0.7</v>
      </c>
      <c r="C71">
        <v>0.7</v>
      </c>
      <c r="D71">
        <v>0.7</v>
      </c>
      <c r="E71">
        <v>0.7</v>
      </c>
      <c r="F71">
        <v>0.7</v>
      </c>
      <c r="G71">
        <v>0.7</v>
      </c>
      <c r="H71">
        <v>0.7</v>
      </c>
      <c r="I71">
        <v>0.7</v>
      </c>
      <c r="J71">
        <v>0.7</v>
      </c>
      <c r="K71">
        <v>0.7</v>
      </c>
      <c r="L71">
        <v>0.7</v>
      </c>
      <c r="M71">
        <v>0.7</v>
      </c>
      <c r="N71">
        <v>0.7</v>
      </c>
      <c r="O71">
        <v>0.7</v>
      </c>
      <c r="P71">
        <v>0.7</v>
      </c>
      <c r="Q71">
        <v>0.7</v>
      </c>
    </row>
    <row r="72" spans="1:17">
      <c r="A72" t="str">
        <v>Tigray</v>
      </c>
      <c r="B72">
        <v>0.7</v>
      </c>
      <c r="C72">
        <v>0.7</v>
      </c>
      <c r="D72">
        <v>0.7</v>
      </c>
      <c r="E72">
        <v>0.7</v>
      </c>
      <c r="F72">
        <v>0.7</v>
      </c>
      <c r="G72">
        <v>0.7</v>
      </c>
      <c r="H72">
        <v>0.7</v>
      </c>
      <c r="I72">
        <v>0.7</v>
      </c>
      <c r="J72">
        <v>0.7</v>
      </c>
      <c r="K72">
        <v>0.7</v>
      </c>
      <c r="L72">
        <v>0.7</v>
      </c>
      <c r="M72">
        <v>0.7</v>
      </c>
      <c r="N72">
        <v>0.7</v>
      </c>
      <c r="O72">
        <v>0.7</v>
      </c>
      <c r="P72">
        <v>0.7</v>
      </c>
      <c r="Q72">
        <v>0.7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10</v>
      </c>
      <c r="C82">
        <v>10</v>
      </c>
      <c r="D82">
        <v>10</v>
      </c>
      <c r="E82">
        <v>10</v>
      </c>
      <c r="F82">
        <v>10</v>
      </c>
      <c r="G82">
        <v>10</v>
      </c>
      <c r="H82">
        <v>10</v>
      </c>
      <c r="I82">
        <v>10</v>
      </c>
      <c r="J82">
        <v>10</v>
      </c>
      <c r="K82">
        <v>10</v>
      </c>
      <c r="L82">
        <v>10</v>
      </c>
      <c r="M82">
        <v>10</v>
      </c>
      <c r="N82">
        <v>10</v>
      </c>
      <c r="O82">
        <v>10</v>
      </c>
      <c r="P82">
        <v>10</v>
      </c>
      <c r="Q82">
        <v>10</v>
      </c>
    </row>
    <row r="83" spans="1:17">
      <c r="A83" t="str">
        <v>Afar</v>
      </c>
      <c r="B83">
        <v>10</v>
      </c>
      <c r="C83">
        <v>10</v>
      </c>
      <c r="D83">
        <v>10</v>
      </c>
      <c r="E83">
        <v>10</v>
      </c>
      <c r="F83">
        <v>10</v>
      </c>
      <c r="G83">
        <v>10</v>
      </c>
      <c r="H83">
        <v>10</v>
      </c>
      <c r="I83">
        <v>10</v>
      </c>
      <c r="J83">
        <v>10</v>
      </c>
      <c r="K83">
        <v>10</v>
      </c>
      <c r="L83">
        <v>10</v>
      </c>
      <c r="M83">
        <v>10</v>
      </c>
      <c r="N83">
        <v>10</v>
      </c>
      <c r="O83">
        <v>10</v>
      </c>
      <c r="P83">
        <v>10</v>
      </c>
      <c r="Q83">
        <v>10</v>
      </c>
    </row>
    <row r="84" spans="1:17">
      <c r="A84" t="str">
        <v>Amhara</v>
      </c>
      <c r="B84">
        <v>10</v>
      </c>
      <c r="C84">
        <v>10</v>
      </c>
      <c r="D84">
        <v>10</v>
      </c>
      <c r="E84">
        <v>10</v>
      </c>
      <c r="F84">
        <v>10</v>
      </c>
      <c r="G84">
        <v>10</v>
      </c>
      <c r="H84">
        <v>10</v>
      </c>
      <c r="I84">
        <v>10</v>
      </c>
      <c r="J84">
        <v>10</v>
      </c>
      <c r="K84">
        <v>10</v>
      </c>
      <c r="L84">
        <v>10</v>
      </c>
      <c r="M84">
        <v>10</v>
      </c>
      <c r="N84">
        <v>10</v>
      </c>
      <c r="O84">
        <v>10</v>
      </c>
      <c r="P84">
        <v>10</v>
      </c>
      <c r="Q84">
        <v>10</v>
      </c>
    </row>
    <row r="85" spans="1:17">
      <c r="A85" t="str">
        <v>Gumuz</v>
      </c>
      <c r="B85">
        <v>10</v>
      </c>
      <c r="C85">
        <v>10</v>
      </c>
      <c r="D85">
        <v>10</v>
      </c>
      <c r="E85">
        <v>10</v>
      </c>
      <c r="F85">
        <v>10</v>
      </c>
      <c r="G85">
        <v>10</v>
      </c>
      <c r="H85">
        <v>10</v>
      </c>
      <c r="I85">
        <v>10</v>
      </c>
      <c r="J85">
        <v>10</v>
      </c>
      <c r="K85">
        <v>10</v>
      </c>
      <c r="L85">
        <v>10</v>
      </c>
      <c r="M85">
        <v>10</v>
      </c>
      <c r="N85">
        <v>10</v>
      </c>
      <c r="O85">
        <v>10</v>
      </c>
      <c r="P85">
        <v>10</v>
      </c>
      <c r="Q85">
        <v>10</v>
      </c>
    </row>
    <row r="86" spans="1:17">
      <c r="A86" t="str">
        <v>DireDawa</v>
      </c>
      <c r="B86">
        <v>10</v>
      </c>
      <c r="C86">
        <v>10</v>
      </c>
      <c r="D86">
        <v>10</v>
      </c>
      <c r="E86">
        <v>10</v>
      </c>
      <c r="F86">
        <v>10</v>
      </c>
      <c r="G86">
        <v>10</v>
      </c>
      <c r="H86">
        <v>10</v>
      </c>
      <c r="I86">
        <v>10</v>
      </c>
      <c r="J86">
        <v>10</v>
      </c>
      <c r="K86">
        <v>10</v>
      </c>
      <c r="L86">
        <v>10</v>
      </c>
      <c r="M86">
        <v>10</v>
      </c>
      <c r="N86">
        <v>10</v>
      </c>
      <c r="O86">
        <v>10</v>
      </c>
      <c r="P86">
        <v>10</v>
      </c>
      <c r="Q86">
        <v>10</v>
      </c>
    </row>
    <row r="87" spans="1:17">
      <c r="A87" t="str">
        <v>Gambela</v>
      </c>
      <c r="B87">
        <v>10</v>
      </c>
      <c r="C87">
        <v>10</v>
      </c>
      <c r="D87">
        <v>10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</row>
    <row r="88" spans="1:17">
      <c r="A88" t="str">
        <v>Harari</v>
      </c>
      <c r="B88">
        <v>10</v>
      </c>
      <c r="C88">
        <v>10</v>
      </c>
      <c r="D88">
        <v>10</v>
      </c>
      <c r="E88">
        <v>10</v>
      </c>
      <c r="F88">
        <v>10</v>
      </c>
      <c r="G88">
        <v>10</v>
      </c>
      <c r="H88">
        <v>10</v>
      </c>
      <c r="I88">
        <v>10</v>
      </c>
      <c r="J88">
        <v>10</v>
      </c>
      <c r="K88">
        <v>10</v>
      </c>
      <c r="L88">
        <v>10</v>
      </c>
      <c r="M88">
        <v>10</v>
      </c>
      <c r="N88">
        <v>10</v>
      </c>
      <c r="O88">
        <v>10</v>
      </c>
      <c r="P88">
        <v>10</v>
      </c>
      <c r="Q88">
        <v>10</v>
      </c>
    </row>
    <row r="89" spans="1:17">
      <c r="A89" t="str">
        <v>Oromia</v>
      </c>
      <c r="B89">
        <v>10</v>
      </c>
      <c r="C89">
        <v>10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10</v>
      </c>
      <c r="Q89">
        <v>10</v>
      </c>
    </row>
    <row r="90" spans="1:17">
      <c r="A90" t="str">
        <v>Somali</v>
      </c>
      <c r="B90">
        <v>10</v>
      </c>
      <c r="C90">
        <v>10</v>
      </c>
      <c r="D90">
        <v>10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  <c r="K90">
        <v>10</v>
      </c>
      <c r="L90">
        <v>10</v>
      </c>
      <c r="M90">
        <v>10</v>
      </c>
      <c r="N90">
        <v>10</v>
      </c>
      <c r="O90">
        <v>10</v>
      </c>
      <c r="P90">
        <v>10</v>
      </c>
      <c r="Q90">
        <v>10</v>
      </c>
    </row>
    <row r="91" spans="1:17">
      <c r="A91" t="str">
        <v>SNNPR</v>
      </c>
      <c r="B91">
        <v>10</v>
      </c>
      <c r="C91">
        <v>10</v>
      </c>
      <c r="D91">
        <v>10</v>
      </c>
      <c r="E91">
        <v>10</v>
      </c>
      <c r="F91">
        <v>10</v>
      </c>
      <c r="G91">
        <v>10</v>
      </c>
      <c r="H91">
        <v>10</v>
      </c>
      <c r="I91">
        <v>10</v>
      </c>
      <c r="J91">
        <v>10</v>
      </c>
      <c r="K91">
        <v>10</v>
      </c>
      <c r="L91">
        <v>10</v>
      </c>
      <c r="M91">
        <v>10</v>
      </c>
      <c r="N91">
        <v>10</v>
      </c>
      <c r="O91">
        <v>10</v>
      </c>
      <c r="P91">
        <v>10</v>
      </c>
      <c r="Q91">
        <v>10</v>
      </c>
    </row>
    <row r="92" spans="1:17">
      <c r="A92" t="str">
        <v>Tigray</v>
      </c>
      <c r="B92">
        <v>10</v>
      </c>
      <c r="C92">
        <v>10</v>
      </c>
      <c r="D92">
        <v>10</v>
      </c>
      <c r="E92">
        <v>10</v>
      </c>
      <c r="F92">
        <v>10</v>
      </c>
      <c r="G92">
        <v>10</v>
      </c>
      <c r="H92">
        <v>10</v>
      </c>
      <c r="I92">
        <v>10</v>
      </c>
      <c r="J92">
        <v>10</v>
      </c>
      <c r="K92">
        <v>10</v>
      </c>
      <c r="L92">
        <v>10</v>
      </c>
      <c r="M92">
        <v>10</v>
      </c>
      <c r="N92">
        <v>10</v>
      </c>
      <c r="O92">
        <v>10</v>
      </c>
      <c r="P92">
        <v>10</v>
      </c>
      <c r="Q92">
        <v>10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v>10</v>
      </c>
      <c r="F121" t="str">
        <f t="array" ref="F121:F131">Nodes</f>
        <v>AddisAbaba</v>
      </c>
      <c r="G121">
        <f>B121/3</f>
        <v>3.3333333333333335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>B121+0.5</f>
        <v>10.5</v>
      </c>
      <c r="F122" t="str">
        <v>Afar</v>
      </c>
      <c r="G122">
        <f t="shared" ref="G122:G131" si="0">B122/3</f>
        <v>3.5</v>
      </c>
      <c r="K122" t="str">
        <v>Afar</v>
      </c>
      <c r="L122">
        <v>0.3</v>
      </c>
    </row>
    <row r="123" spans="1:12">
      <c r="A123" t="str">
        <v>Amhara</v>
      </c>
      <c r="B123">
        <f t="shared" ref="B123:B131" si="1">B122+0.5</f>
        <v>11</v>
      </c>
      <c r="F123" t="str">
        <v>Amhara</v>
      </c>
      <c r="G123">
        <f t="shared" si="0"/>
        <v>3.6666666666666665</v>
      </c>
      <c r="K123" t="str">
        <v>Amhara</v>
      </c>
      <c r="L123">
        <v>0.3</v>
      </c>
    </row>
    <row r="124" spans="1:12">
      <c r="A124" t="str">
        <v>Gumuz</v>
      </c>
      <c r="B124">
        <f t="shared" si="1"/>
        <v>11.5</v>
      </c>
      <c r="F124" t="str">
        <v>Gumuz</v>
      </c>
      <c r="G124">
        <f t="shared" si="0"/>
        <v>3.8333333333333335</v>
      </c>
      <c r="K124" t="str">
        <v>Gumuz</v>
      </c>
      <c r="L124">
        <v>0.3</v>
      </c>
    </row>
    <row r="125" spans="1:12">
      <c r="A125" t="str">
        <v>DireDawa</v>
      </c>
      <c r="B125">
        <f t="shared" si="1"/>
        <v>12</v>
      </c>
      <c r="F125" t="str">
        <v>DireDawa</v>
      </c>
      <c r="G125">
        <f t="shared" si="0"/>
        <v>4</v>
      </c>
      <c r="K125" t="str">
        <v>DireDawa</v>
      </c>
      <c r="L125">
        <v>0.3</v>
      </c>
    </row>
    <row r="126" spans="1:12">
      <c r="A126" t="str">
        <v>Gambela</v>
      </c>
      <c r="B126">
        <f t="shared" si="1"/>
        <v>12.5</v>
      </c>
      <c r="F126" t="str">
        <v>Gambela</v>
      </c>
      <c r="G126">
        <f t="shared" si="0"/>
        <v>4.166666666666667</v>
      </c>
      <c r="K126" t="str">
        <v>Gambela</v>
      </c>
      <c r="L126">
        <v>0.3</v>
      </c>
    </row>
    <row r="127" spans="1:12">
      <c r="A127" t="str">
        <v>Harari</v>
      </c>
      <c r="B127">
        <f t="shared" si="1"/>
        <v>13</v>
      </c>
      <c r="F127" t="str">
        <v>Harari</v>
      </c>
      <c r="G127">
        <f t="shared" si="0"/>
        <v>4.333333333333333</v>
      </c>
      <c r="K127" t="str">
        <v>Harari</v>
      </c>
      <c r="L127">
        <v>0.3</v>
      </c>
    </row>
    <row r="128" spans="1:12">
      <c r="A128" t="str">
        <v>Oromia</v>
      </c>
      <c r="B128">
        <f t="shared" si="1"/>
        <v>13.5</v>
      </c>
      <c r="F128" t="str">
        <v>Oromia</v>
      </c>
      <c r="G128">
        <f t="shared" si="0"/>
        <v>4.5</v>
      </c>
      <c r="K128" t="str">
        <v>Oromia</v>
      </c>
      <c r="L128">
        <v>0.3</v>
      </c>
    </row>
    <row r="129" spans="1:17">
      <c r="A129" t="str">
        <v>Somali</v>
      </c>
      <c r="B129">
        <f t="shared" si="1"/>
        <v>14</v>
      </c>
      <c r="F129" t="str">
        <v>Somali</v>
      </c>
      <c r="G129">
        <f t="shared" si="0"/>
        <v>4.666666666666667</v>
      </c>
      <c r="K129" t="str">
        <v>Somali</v>
      </c>
      <c r="L129">
        <v>0.3</v>
      </c>
    </row>
    <row r="130" spans="1:17">
      <c r="A130" t="str">
        <v>SNNPR</v>
      </c>
      <c r="B130">
        <f t="shared" si="1"/>
        <v>14.5</v>
      </c>
      <c r="F130" t="str">
        <v>SNNPR</v>
      </c>
      <c r="G130">
        <f t="shared" si="0"/>
        <v>4.833333333333333</v>
      </c>
      <c r="K130" t="str">
        <v>SNNPR</v>
      </c>
      <c r="L130">
        <v>0.3</v>
      </c>
    </row>
    <row r="131" spans="1:17">
      <c r="A131" t="str">
        <v>Tigray</v>
      </c>
      <c r="B131">
        <f t="shared" si="1"/>
        <v>15</v>
      </c>
      <c r="F131" t="str">
        <v>Tigray</v>
      </c>
      <c r="G131">
        <f t="shared" si="0"/>
        <v>5</v>
      </c>
      <c r="K131" t="str">
        <v>Tigray</v>
      </c>
      <c r="L131">
        <v>0.3</v>
      </c>
    </row>
    <row r="141" spans="1:17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</row>
    <row r="142" spans="1:17">
      <c r="A142" t="str">
        <f t="array" ref="A142:A152">Nodes</f>
        <v>AddisAbaba</v>
      </c>
      <c r="B142" s="2">
        <f t="array" ref="B142:Q152" ca="1">5+RAND()*3</f>
        <v>5.1483820132573559</v>
      </c>
      <c r="C142" s="2">
        <f ca="1"/>
        <v>6.8054049606437896</v>
      </c>
      <c r="D142" s="2">
        <f ca="1"/>
        <v>6.1113863134603887</v>
      </c>
      <c r="E142" s="2">
        <f ca="1"/>
        <v>7.2021772332806639</v>
      </c>
      <c r="F142" s="2">
        <f ca="1"/>
        <v>7.2303265365894429</v>
      </c>
      <c r="G142" s="2">
        <f ca="1"/>
        <v>6.0071912044333029</v>
      </c>
      <c r="H142" s="2">
        <f ca="1"/>
        <v>5.4318609338822146</v>
      </c>
      <c r="I142" s="2">
        <f ca="1"/>
        <v>6.4087042232539684</v>
      </c>
      <c r="J142" s="2">
        <f ca="1"/>
        <v>6.0353214765460841</v>
      </c>
      <c r="K142" s="2">
        <f ca="1"/>
        <v>6.5474144097883809</v>
      </c>
      <c r="L142" s="2">
        <f ca="1"/>
        <v>7.8242861759131577</v>
      </c>
      <c r="M142" s="2">
        <f ca="1"/>
        <v>6.4970819036330365</v>
      </c>
      <c r="N142" s="2">
        <f ca="1"/>
        <v>7.1744888750819964</v>
      </c>
      <c r="O142" s="2">
        <f ca="1"/>
        <v>5.7140082853009639</v>
      </c>
      <c r="P142" s="2">
        <f ca="1"/>
        <v>6.7659606384354998</v>
      </c>
      <c r="Q142" s="2">
        <f ca="1"/>
        <v>6.8445649474742041</v>
      </c>
    </row>
    <row r="143" spans="1:17">
      <c r="A143" t="str">
        <v>Afar</v>
      </c>
      <c r="B143" s="2">
        <f ca="1"/>
        <v>6.2101547296949251</v>
      </c>
      <c r="C143" s="2">
        <f ca="1"/>
        <v>5.2221875210657753</v>
      </c>
      <c r="D143" s="2">
        <f ca="1"/>
        <v>6.5238914562681547</v>
      </c>
      <c r="E143" s="2">
        <f ca="1"/>
        <v>5.9327183460237851</v>
      </c>
      <c r="F143" s="2">
        <f ca="1"/>
        <v>6.6964933246368039</v>
      </c>
      <c r="G143" s="2">
        <f ca="1"/>
        <v>6.3512948506081006</v>
      </c>
      <c r="H143" s="2">
        <f ca="1"/>
        <v>5.1751187515000137</v>
      </c>
      <c r="I143" s="2">
        <f ca="1"/>
        <v>6.7694790558868352</v>
      </c>
      <c r="J143" s="2">
        <f ca="1"/>
        <v>5.9995144255420101</v>
      </c>
      <c r="K143" s="2">
        <f ca="1"/>
        <v>5.8938346423291277</v>
      </c>
      <c r="L143" s="2">
        <f ca="1"/>
        <v>6.1072870955280019</v>
      </c>
      <c r="M143" s="2">
        <f ca="1"/>
        <v>6.2614961446410984</v>
      </c>
      <c r="N143" s="2">
        <f ca="1"/>
        <v>7.9173408730134236</v>
      </c>
      <c r="O143" s="2">
        <f ca="1"/>
        <v>7.9711411234618987</v>
      </c>
      <c r="P143" s="2">
        <f ca="1"/>
        <v>7.6767418466482074</v>
      </c>
      <c r="Q143" s="2">
        <f ca="1"/>
        <v>7.8348773326426819</v>
      </c>
    </row>
    <row r="144" spans="1:17">
      <c r="A144" t="str">
        <v>Amhara</v>
      </c>
      <c r="B144" s="2">
        <f ca="1"/>
        <v>5.2712607852914815</v>
      </c>
      <c r="C144" s="2">
        <f ca="1"/>
        <v>5.1267217487040373</v>
      </c>
      <c r="D144" s="2">
        <f ca="1"/>
        <v>7.2182536229725134</v>
      </c>
      <c r="E144" s="2">
        <f ca="1"/>
        <v>6.9237535329290365</v>
      </c>
      <c r="F144" s="2">
        <f ca="1"/>
        <v>7.4403073550866807</v>
      </c>
      <c r="G144" s="2">
        <f ca="1"/>
        <v>5.012886337491862</v>
      </c>
      <c r="H144" s="2">
        <f ca="1"/>
        <v>7.0894659378648761</v>
      </c>
      <c r="I144" s="2">
        <f ca="1"/>
        <v>5.6662170345997573</v>
      </c>
      <c r="J144" s="2">
        <f ca="1"/>
        <v>5.0182985815291907</v>
      </c>
      <c r="K144" s="2">
        <f ca="1"/>
        <v>5.0735838566570166</v>
      </c>
      <c r="L144" s="2">
        <f ca="1"/>
        <v>6.1884088098547885</v>
      </c>
      <c r="M144" s="2">
        <f ca="1"/>
        <v>7.7595804042756686</v>
      </c>
      <c r="N144" s="2">
        <f ca="1"/>
        <v>5.7981358495316222</v>
      </c>
      <c r="O144" s="2">
        <f ca="1"/>
        <v>5.6821475593422361</v>
      </c>
      <c r="P144" s="2">
        <f ca="1"/>
        <v>6.6309609942913905</v>
      </c>
      <c r="Q144" s="2">
        <f ca="1"/>
        <v>6.6910961573129821</v>
      </c>
    </row>
    <row r="145" spans="1:17">
      <c r="A145" t="str">
        <v>Gumuz</v>
      </c>
      <c r="B145" s="2">
        <f ca="1"/>
        <v>7.1559882419295793</v>
      </c>
      <c r="C145" s="2">
        <f ca="1"/>
        <v>6.4295081774356033</v>
      </c>
      <c r="D145" s="2">
        <f ca="1"/>
        <v>7.5580722145674475</v>
      </c>
      <c r="E145" s="2">
        <f ca="1"/>
        <v>6.8393600612838528</v>
      </c>
      <c r="F145" s="2">
        <f ca="1"/>
        <v>7.6978610764311028</v>
      </c>
      <c r="G145" s="2">
        <f ca="1"/>
        <v>5.6683156211611418</v>
      </c>
      <c r="H145" s="2">
        <f ca="1"/>
        <v>6.3597381802570272</v>
      </c>
      <c r="I145" s="2">
        <f ca="1"/>
        <v>6.4435420403918089</v>
      </c>
      <c r="J145" s="2">
        <f ca="1"/>
        <v>6.6972577581986616</v>
      </c>
      <c r="K145" s="2">
        <f ca="1"/>
        <v>6.5755214367735517</v>
      </c>
      <c r="L145" s="2">
        <f ca="1"/>
        <v>6.7215574000347686</v>
      </c>
      <c r="M145" s="2">
        <f ca="1"/>
        <v>5.2984454683732372</v>
      </c>
      <c r="N145" s="2">
        <f ca="1"/>
        <v>5.4532623635049919</v>
      </c>
      <c r="O145" s="2">
        <f ca="1"/>
        <v>6.484274672054724</v>
      </c>
      <c r="P145" s="2">
        <f ca="1"/>
        <v>6.2605055315434299</v>
      </c>
      <c r="Q145" s="2">
        <f ca="1"/>
        <v>6.7366748613157297</v>
      </c>
    </row>
    <row r="146" spans="1:17">
      <c r="A146" t="str">
        <v>DireDawa</v>
      </c>
      <c r="B146" s="2">
        <f ca="1"/>
        <v>7.0833699263221259</v>
      </c>
      <c r="C146" s="2">
        <f ca="1"/>
        <v>7.6548628171884232</v>
      </c>
      <c r="D146" s="2">
        <f ca="1"/>
        <v>7.3106478815005893</v>
      </c>
      <c r="E146" s="2">
        <f ca="1"/>
        <v>5.7368151025199845</v>
      </c>
      <c r="F146" s="2">
        <f ca="1"/>
        <v>6.1500481715151825</v>
      </c>
      <c r="G146" s="2">
        <f ca="1"/>
        <v>7.0812544679324754</v>
      </c>
      <c r="H146" s="2">
        <f ca="1"/>
        <v>7.9099085525756188</v>
      </c>
      <c r="I146" s="2">
        <f ca="1"/>
        <v>7.2938821923733705</v>
      </c>
      <c r="J146" s="2">
        <f ca="1"/>
        <v>6.8362184989299619</v>
      </c>
      <c r="K146" s="2">
        <f ca="1"/>
        <v>7.5107654797726813</v>
      </c>
      <c r="L146" s="2">
        <f ca="1"/>
        <v>5.799814226090521</v>
      </c>
      <c r="M146" s="2">
        <f ca="1"/>
        <v>5.9544220883783812</v>
      </c>
      <c r="N146" s="2">
        <f ca="1"/>
        <v>6.2928383535766192</v>
      </c>
      <c r="O146" s="2">
        <f ca="1"/>
        <v>5.9649706331415766</v>
      </c>
      <c r="P146" s="2">
        <f ca="1"/>
        <v>6.5021493753502853</v>
      </c>
      <c r="Q146" s="2">
        <f ca="1"/>
        <v>7.7313241807564328</v>
      </c>
    </row>
    <row r="147" spans="1:17">
      <c r="A147" t="str">
        <v>Gambela</v>
      </c>
      <c r="B147" s="2">
        <f ca="1"/>
        <v>6.0769208082718276</v>
      </c>
      <c r="C147" s="2">
        <f ca="1"/>
        <v>5.504538976378563</v>
      </c>
      <c r="D147" s="2">
        <f ca="1"/>
        <v>7.6466384169803883</v>
      </c>
      <c r="E147" s="2">
        <f ca="1"/>
        <v>5.5145392165583518</v>
      </c>
      <c r="F147" s="2">
        <f ca="1"/>
        <v>6.5946785918626158</v>
      </c>
      <c r="G147" s="2">
        <f ca="1"/>
        <v>6.3111036583073696</v>
      </c>
      <c r="H147" s="2">
        <f ca="1"/>
        <v>6.1153253209153728</v>
      </c>
      <c r="I147" s="2">
        <f ca="1"/>
        <v>7.2145090751287615</v>
      </c>
      <c r="J147" s="2">
        <f ca="1"/>
        <v>6.7454845464862796</v>
      </c>
      <c r="K147" s="2">
        <f ca="1"/>
        <v>6.198757476469301</v>
      </c>
      <c r="L147" s="2">
        <f ca="1"/>
        <v>5.8985314505463089</v>
      </c>
      <c r="M147" s="2">
        <f ca="1"/>
        <v>5.1166133628462447</v>
      </c>
      <c r="N147" s="2">
        <f ca="1"/>
        <v>5.2693742252414264</v>
      </c>
      <c r="O147" s="2">
        <f ca="1"/>
        <v>7.4875832445967685</v>
      </c>
      <c r="P147" s="2">
        <f ca="1"/>
        <v>6.1586327772740823</v>
      </c>
      <c r="Q147" s="2">
        <f ca="1"/>
        <v>7.7068312009284643</v>
      </c>
    </row>
    <row r="148" spans="1:17">
      <c r="A148" t="str">
        <v>Harari</v>
      </c>
      <c r="B148" s="2">
        <f ca="1"/>
        <v>6.1250701131609109</v>
      </c>
      <c r="C148" s="2">
        <f ca="1"/>
        <v>6.4098138340776423</v>
      </c>
      <c r="D148" s="2">
        <f ca="1"/>
        <v>7.2800504450518257</v>
      </c>
      <c r="E148" s="2">
        <f ca="1"/>
        <v>5.4377447292901948</v>
      </c>
      <c r="F148" s="2">
        <f ca="1"/>
        <v>6.6070534511598833</v>
      </c>
      <c r="G148" s="2">
        <f ca="1"/>
        <v>6.8272657036976634</v>
      </c>
      <c r="H148" s="2">
        <f ca="1"/>
        <v>5.1886364641906537</v>
      </c>
      <c r="I148" s="2">
        <f ca="1"/>
        <v>6.588046714213049</v>
      </c>
      <c r="J148" s="2">
        <f ca="1"/>
        <v>5.0720776633608899</v>
      </c>
      <c r="K148" s="2">
        <f ca="1"/>
        <v>7.6705398712763291</v>
      </c>
      <c r="L148" s="2">
        <f ca="1"/>
        <v>5.1607481887527111</v>
      </c>
      <c r="M148" s="2">
        <f ca="1"/>
        <v>5.1776101925276388</v>
      </c>
      <c r="N148" s="2">
        <f ca="1"/>
        <v>6.6494755238790777</v>
      </c>
      <c r="O148" s="2">
        <f ca="1"/>
        <v>5.0991808769238602</v>
      </c>
      <c r="P148" s="2">
        <f ca="1"/>
        <v>6.5111915069164867</v>
      </c>
      <c r="Q148" s="2">
        <f ca="1"/>
        <v>7.6801044553376236</v>
      </c>
    </row>
    <row r="149" spans="1:17">
      <c r="A149" t="str">
        <v>Oromia</v>
      </c>
      <c r="B149" s="2">
        <f ca="1"/>
        <v>5.5241029927724892</v>
      </c>
      <c r="C149" s="2">
        <f ca="1"/>
        <v>6.4300156862742597</v>
      </c>
      <c r="D149" s="2">
        <f ca="1"/>
        <v>5.4111709319806485</v>
      </c>
      <c r="E149" s="2">
        <f ca="1"/>
        <v>7.9702421166504021</v>
      </c>
      <c r="F149" s="2">
        <f ca="1"/>
        <v>7.4373055276575633</v>
      </c>
      <c r="G149" s="2">
        <f ca="1"/>
        <v>5.4157943689676626</v>
      </c>
      <c r="H149" s="2">
        <f ca="1"/>
        <v>6.5722352678616591</v>
      </c>
      <c r="I149" s="2">
        <f ca="1"/>
        <v>6.1450292603574521</v>
      </c>
      <c r="J149" s="2">
        <f ca="1"/>
        <v>6.3147668695644539</v>
      </c>
      <c r="K149" s="2">
        <f ca="1"/>
        <v>6.2908061184320552</v>
      </c>
      <c r="L149" s="2">
        <f ca="1"/>
        <v>5.082840417064836</v>
      </c>
      <c r="M149" s="2">
        <f ca="1"/>
        <v>5.4979730382837859</v>
      </c>
      <c r="N149" s="2">
        <f ca="1"/>
        <v>7.812260122315914</v>
      </c>
      <c r="O149" s="2">
        <f ca="1"/>
        <v>6.1821838923019961</v>
      </c>
      <c r="P149" s="2">
        <f ca="1"/>
        <v>6.2157934381552389</v>
      </c>
      <c r="Q149" s="2">
        <f ca="1"/>
        <v>7.5231920097237834</v>
      </c>
    </row>
    <row r="150" spans="1:17">
      <c r="A150" t="str">
        <v>Somali</v>
      </c>
      <c r="B150" s="2">
        <f ca="1"/>
        <v>5.3900776968996764</v>
      </c>
      <c r="C150" s="2">
        <f ca="1"/>
        <v>6.2754875245176986</v>
      </c>
      <c r="D150" s="2">
        <f ca="1"/>
        <v>5.0838781773175423</v>
      </c>
      <c r="E150" s="2">
        <f ca="1"/>
        <v>7.3111012217212945</v>
      </c>
      <c r="F150" s="2">
        <f ca="1"/>
        <v>5.5572257766464395</v>
      </c>
      <c r="G150" s="2">
        <f ca="1"/>
        <v>5.4657511244117494</v>
      </c>
      <c r="H150" s="2">
        <f ca="1"/>
        <v>6.5254905708431163</v>
      </c>
      <c r="I150" s="2">
        <f ca="1"/>
        <v>6.3297095139549171</v>
      </c>
      <c r="J150" s="2">
        <f ca="1"/>
        <v>5.655668748036585</v>
      </c>
      <c r="K150" s="2">
        <f ca="1"/>
        <v>7.3576388249080313</v>
      </c>
      <c r="L150" s="2">
        <f ca="1"/>
        <v>7.2233709238623938</v>
      </c>
      <c r="M150" s="2">
        <f ca="1"/>
        <v>7.5120434420754147</v>
      </c>
      <c r="N150" s="2">
        <f ca="1"/>
        <v>5.9853264185864488</v>
      </c>
      <c r="O150" s="2">
        <f ca="1"/>
        <v>7.0881052303798304</v>
      </c>
      <c r="P150" s="2">
        <f ca="1"/>
        <v>5.0682918390668696</v>
      </c>
      <c r="Q150" s="2">
        <f ca="1"/>
        <v>5.6487846473341135</v>
      </c>
    </row>
    <row r="151" spans="1:17">
      <c r="A151" t="str">
        <v>SNNPR</v>
      </c>
      <c r="B151" s="2">
        <f ca="1"/>
        <v>6.5522309076419125</v>
      </c>
      <c r="C151" s="2">
        <f ca="1"/>
        <v>5.0042641111967452</v>
      </c>
      <c r="D151" s="2">
        <f ca="1"/>
        <v>6.854918404384641</v>
      </c>
      <c r="E151" s="2">
        <f ca="1"/>
        <v>7.2309496351189395</v>
      </c>
      <c r="F151" s="2">
        <f ca="1"/>
        <v>7.7155070847117457</v>
      </c>
      <c r="G151" s="2">
        <f ca="1"/>
        <v>7.2511908566920491</v>
      </c>
      <c r="H151" s="2">
        <f ca="1"/>
        <v>6.3876038184314563</v>
      </c>
      <c r="I151" s="2">
        <f ca="1"/>
        <v>6.8356018121038913</v>
      </c>
      <c r="J151" s="2">
        <f ca="1"/>
        <v>5.5303456977777685</v>
      </c>
      <c r="K151" s="2">
        <f ca="1"/>
        <v>5.2928418574021654</v>
      </c>
      <c r="L151" s="2">
        <f ca="1"/>
        <v>6.4058289908279544</v>
      </c>
      <c r="M151" s="2">
        <f ca="1"/>
        <v>6.7895351153071459</v>
      </c>
      <c r="N151" s="2">
        <f ca="1"/>
        <v>5.4018086248948158</v>
      </c>
      <c r="O151" s="2">
        <f ca="1"/>
        <v>7.6825753542975761</v>
      </c>
      <c r="P151" s="2">
        <f ca="1"/>
        <v>7.9327267263667292</v>
      </c>
      <c r="Q151" s="2">
        <f ca="1"/>
        <v>6.1330569729520636</v>
      </c>
    </row>
    <row r="152" spans="1:17">
      <c r="A152" t="str">
        <v>Tigray</v>
      </c>
      <c r="B152" s="2">
        <f ca="1"/>
        <v>6.4075417902829201</v>
      </c>
      <c r="C152" s="2">
        <f ca="1"/>
        <v>6.814313845350588</v>
      </c>
      <c r="D152" s="2">
        <f ca="1"/>
        <v>5.1491230394925056</v>
      </c>
      <c r="E152" s="2">
        <f ca="1"/>
        <v>6.4140617635144785</v>
      </c>
      <c r="F152" s="2">
        <f ca="1"/>
        <v>5.473903791116733</v>
      </c>
      <c r="G152" s="2">
        <f ca="1"/>
        <v>5.4334230864112012</v>
      </c>
      <c r="H152" s="2">
        <f ca="1"/>
        <v>7.2822917635437365</v>
      </c>
      <c r="I152" s="2">
        <f ca="1"/>
        <v>5.7670172697970532</v>
      </c>
      <c r="J152" s="2">
        <f ca="1"/>
        <v>6.2286671009156862</v>
      </c>
      <c r="K152" s="2">
        <f ca="1"/>
        <v>5.6320616790353837</v>
      </c>
      <c r="L152" s="2">
        <f ca="1"/>
        <v>5.7522595715606561</v>
      </c>
      <c r="M152" s="2">
        <f ca="1"/>
        <v>7.5596617586922843</v>
      </c>
      <c r="N152" s="2">
        <f ca="1"/>
        <v>5.6078433967699732</v>
      </c>
      <c r="O152" s="2">
        <f ca="1"/>
        <v>5.6309016676850545</v>
      </c>
      <c r="P152" s="2">
        <f ca="1"/>
        <v>6.8104451214508073</v>
      </c>
      <c r="Q152" s="2">
        <f ca="1"/>
        <v>6.8705725294248108</v>
      </c>
    </row>
    <row r="161" spans="1:17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</row>
    <row r="162" spans="1:17">
      <c r="A162" t="str">
        <f t="array" ref="A162:A172">Nodes</f>
        <v>AddisAbaba</v>
      </c>
      <c r="B162" s="2">
        <f ca="1">2+COLUMN()*2 + ROW()/4-40 +RAND()*2</f>
        <v>7.4995765021030252</v>
      </c>
      <c r="C162" s="2">
        <f t="shared" ref="C162:Q162" ca="1" si="2">2+COLUMN()*2 + ROW()/4-40 +RAND()*2</f>
        <v>10.222743341793599</v>
      </c>
      <c r="D162" s="2">
        <f t="shared" ca="1" si="2"/>
        <v>10.91974021625454</v>
      </c>
      <c r="E162" s="2">
        <f t="shared" ca="1" si="2"/>
        <v>13.476803523418331</v>
      </c>
      <c r="F162" s="2">
        <f t="shared" ca="1" si="2"/>
        <v>16.378993757932484</v>
      </c>
      <c r="G162" s="2">
        <f t="shared" ca="1" si="2"/>
        <v>16.720732880499366</v>
      </c>
      <c r="H162" s="2">
        <f t="shared" ca="1" si="2"/>
        <v>18.93985482248836</v>
      </c>
      <c r="I162" s="2">
        <f t="shared" ca="1" si="2"/>
        <v>21.397111209965239</v>
      </c>
      <c r="J162" s="2">
        <f t="shared" ca="1" si="2"/>
        <v>23.210031601483404</v>
      </c>
      <c r="K162" s="2">
        <f t="shared" ca="1" si="2"/>
        <v>25.093284675255589</v>
      </c>
      <c r="L162" s="2">
        <f t="shared" ca="1" si="2"/>
        <v>28.448597086090956</v>
      </c>
      <c r="M162" s="2">
        <f t="shared" ca="1" si="2"/>
        <v>29.679203859847835</v>
      </c>
      <c r="N162" s="2">
        <f t="shared" ca="1" si="2"/>
        <v>31.911979992483847</v>
      </c>
      <c r="O162" s="2">
        <f t="shared" ca="1" si="2"/>
        <v>32.855865424939623</v>
      </c>
      <c r="P162" s="2">
        <f t="shared" ca="1" si="2"/>
        <v>35.58030845150035</v>
      </c>
      <c r="Q162" s="2">
        <f t="shared" ca="1" si="2"/>
        <v>37.64226968731171</v>
      </c>
    </row>
    <row r="163" spans="1:17">
      <c r="A163" t="str">
        <v>Afar</v>
      </c>
      <c r="B163" s="2">
        <f t="shared" ref="B163:Q172" ca="1" si="3">2+COLUMN()*2 + ROW()/4-40 +RAND()*2</f>
        <v>8.0422810854424096</v>
      </c>
      <c r="C163" s="2">
        <f t="shared" ca="1" si="3"/>
        <v>9.8125825897573407</v>
      </c>
      <c r="D163" s="2">
        <f t="shared" ca="1" si="3"/>
        <v>11.633417855465767</v>
      </c>
      <c r="E163" s="2">
        <f t="shared" ca="1" si="3"/>
        <v>14.064897648995714</v>
      </c>
      <c r="F163" s="2">
        <f t="shared" ca="1" si="3"/>
        <v>16.599829046325361</v>
      </c>
      <c r="G163" s="2">
        <f t="shared" ca="1" si="3"/>
        <v>17.208024993068079</v>
      </c>
      <c r="H163" s="2">
        <f t="shared" ca="1" si="3"/>
        <v>19.940487436593227</v>
      </c>
      <c r="I163" s="2">
        <f t="shared" ca="1" si="3"/>
        <v>22.431169415383607</v>
      </c>
      <c r="J163" s="2">
        <f t="shared" ca="1" si="3"/>
        <v>23.303153694817169</v>
      </c>
      <c r="K163" s="2">
        <f t="shared" ca="1" si="3"/>
        <v>26.528584736200717</v>
      </c>
      <c r="L163" s="2">
        <f t="shared" ca="1" si="3"/>
        <v>27.380442260525612</v>
      </c>
      <c r="M163" s="2">
        <f t="shared" ca="1" si="3"/>
        <v>30.162065498389278</v>
      </c>
      <c r="N163" s="2">
        <f t="shared" ca="1" si="3"/>
        <v>31.642071027187136</v>
      </c>
      <c r="O163" s="2">
        <f t="shared" ca="1" si="3"/>
        <v>33.497013005148247</v>
      </c>
      <c r="P163" s="2">
        <f t="shared" ca="1" si="3"/>
        <v>35.284863429578031</v>
      </c>
      <c r="Q163" s="2">
        <f t="shared" ca="1" si="3"/>
        <v>38.116526110770074</v>
      </c>
    </row>
    <row r="164" spans="1:17">
      <c r="A164" t="str">
        <v>Amhara</v>
      </c>
      <c r="B164" s="2">
        <f t="shared" ca="1" si="3"/>
        <v>7.4557312089789392</v>
      </c>
      <c r="C164" s="2">
        <f t="shared" ca="1" si="3"/>
        <v>10.798250663939777</v>
      </c>
      <c r="D164" s="2">
        <f t="shared" ca="1" si="3"/>
        <v>11.46936090449489</v>
      </c>
      <c r="E164" s="2">
        <f t="shared" ca="1" si="3"/>
        <v>13.051924225765211</v>
      </c>
      <c r="F164" s="2">
        <f t="shared" ca="1" si="3"/>
        <v>16.166832711275937</v>
      </c>
      <c r="G164" s="2">
        <f t="shared" ca="1" si="3"/>
        <v>18.797197355114292</v>
      </c>
      <c r="H164" s="2">
        <f t="shared" ca="1" si="3"/>
        <v>20.038675776314665</v>
      </c>
      <c r="I164" s="2">
        <f t="shared" ca="1" si="3"/>
        <v>21.861536431418799</v>
      </c>
      <c r="J164" s="2">
        <f t="shared" ca="1" si="3"/>
        <v>24.481366437101986</v>
      </c>
      <c r="K164" s="2">
        <f t="shared" ca="1" si="3"/>
        <v>25.8892321185626</v>
      </c>
      <c r="L164" s="2">
        <f t="shared" ca="1" si="3"/>
        <v>28.006264251677138</v>
      </c>
      <c r="M164" s="2">
        <f t="shared" ca="1" si="3"/>
        <v>30.338600468574406</v>
      </c>
      <c r="N164" s="2">
        <f t="shared" ca="1" si="3"/>
        <v>32.951579782870283</v>
      </c>
      <c r="O164" s="2">
        <f t="shared" ca="1" si="3"/>
        <v>34.181981890751238</v>
      </c>
      <c r="P164" s="2">
        <f t="shared" ca="1" si="3"/>
        <v>36.86601486665414</v>
      </c>
      <c r="Q164" s="2">
        <f t="shared" ca="1" si="3"/>
        <v>37.475375349704926</v>
      </c>
    </row>
    <row r="165" spans="1:17">
      <c r="A165" t="str">
        <v>Gumuz</v>
      </c>
      <c r="B165" s="2">
        <f t="shared" ca="1" si="3"/>
        <v>8.8608958689271056</v>
      </c>
      <c r="C165" s="2">
        <f t="shared" ca="1" si="3"/>
        <v>10.274090783736021</v>
      </c>
      <c r="D165" s="2">
        <f t="shared" ca="1" si="3"/>
        <v>11.617031605688275</v>
      </c>
      <c r="E165" s="2">
        <f t="shared" ca="1" si="3"/>
        <v>13.762204922375602</v>
      </c>
      <c r="F165" s="2">
        <f t="shared" ca="1" si="3"/>
        <v>16.93639322544966</v>
      </c>
      <c r="G165" s="2">
        <f t="shared" ca="1" si="3"/>
        <v>17.588972433999732</v>
      </c>
      <c r="H165" s="2">
        <f t="shared" ca="1" si="3"/>
        <v>19.965448546191865</v>
      </c>
      <c r="I165" s="2">
        <f t="shared" ca="1" si="3"/>
        <v>22.973127485348563</v>
      </c>
      <c r="J165" s="2">
        <f t="shared" ca="1" si="3"/>
        <v>23.336301244518708</v>
      </c>
      <c r="K165" s="2">
        <f t="shared" ca="1" si="3"/>
        <v>27.103689918642427</v>
      </c>
      <c r="L165" s="2">
        <f t="shared" ca="1" si="3"/>
        <v>29.158852796118907</v>
      </c>
      <c r="M165" s="2">
        <f t="shared" ca="1" si="3"/>
        <v>29.311617320543419</v>
      </c>
      <c r="N165" s="2">
        <f t="shared" ca="1" si="3"/>
        <v>32.0041439813888</v>
      </c>
      <c r="O165" s="2">
        <f t="shared" ca="1" si="3"/>
        <v>33.817235743730421</v>
      </c>
      <c r="P165" s="2">
        <f t="shared" ca="1" si="3"/>
        <v>35.744337985712967</v>
      </c>
      <c r="Q165" s="2">
        <f t="shared" ca="1" si="3"/>
        <v>38.647234842429285</v>
      </c>
    </row>
    <row r="166" spans="1:17">
      <c r="A166" t="str">
        <v>DireDawa</v>
      </c>
      <c r="B166" s="2">
        <f t="shared" ca="1" si="3"/>
        <v>8.0078684466881356</v>
      </c>
      <c r="C166" s="2">
        <f t="shared" ca="1" si="3"/>
        <v>10.883235222478501</v>
      </c>
      <c r="D166" s="2">
        <f t="shared" ca="1" si="3"/>
        <v>12.375493426494517</v>
      </c>
      <c r="E166" s="2">
        <f t="shared" ca="1" si="3"/>
        <v>14.625995031040006</v>
      </c>
      <c r="F166" s="2">
        <f t="shared" ca="1" si="3"/>
        <v>16.217460145729934</v>
      </c>
      <c r="G166" s="2">
        <f t="shared" ca="1" si="3"/>
        <v>18.457884169775379</v>
      </c>
      <c r="H166" s="2">
        <f t="shared" ca="1" si="3"/>
        <v>19.787517589639549</v>
      </c>
      <c r="I166" s="2">
        <f t="shared" ca="1" si="3"/>
        <v>22.531203269809229</v>
      </c>
      <c r="J166" s="2">
        <f t="shared" ca="1" si="3"/>
        <v>25.236718162040297</v>
      </c>
      <c r="K166" s="2">
        <f t="shared" ca="1" si="3"/>
        <v>27.082146302659329</v>
      </c>
      <c r="L166" s="2">
        <f t="shared" ca="1" si="3"/>
        <v>28.524718242327779</v>
      </c>
      <c r="M166" s="2">
        <f t="shared" ca="1" si="3"/>
        <v>29.522214656611446</v>
      </c>
      <c r="N166" s="2">
        <f t="shared" ca="1" si="3"/>
        <v>32.605928580310412</v>
      </c>
      <c r="O166" s="2">
        <f t="shared" ca="1" si="3"/>
        <v>35.351985118552875</v>
      </c>
      <c r="P166" s="2">
        <f t="shared" ca="1" si="3"/>
        <v>37.139199048748139</v>
      </c>
      <c r="Q166" s="2">
        <f t="shared" ca="1" si="3"/>
        <v>37.538225282054832</v>
      </c>
    </row>
    <row r="167" spans="1:17">
      <c r="A167" t="str">
        <v>Gambela</v>
      </c>
      <c r="B167" s="2">
        <f t="shared" ca="1" si="3"/>
        <v>9.2937992389738149</v>
      </c>
      <c r="C167" s="2">
        <f t="shared" ca="1" si="3"/>
        <v>11.116574753159004</v>
      </c>
      <c r="D167" s="2">
        <f t="shared" ca="1" si="3"/>
        <v>12.364205687549582</v>
      </c>
      <c r="E167" s="2">
        <f t="shared" ca="1" si="3"/>
        <v>15.085855372271192</v>
      </c>
      <c r="F167" s="2">
        <f t="shared" ca="1" si="3"/>
        <v>15.848627667269804</v>
      </c>
      <c r="G167" s="2">
        <f t="shared" ca="1" si="3"/>
        <v>18.744039913978416</v>
      </c>
      <c r="H167" s="2">
        <f t="shared" ca="1" si="3"/>
        <v>21.120784124725468</v>
      </c>
      <c r="I167" s="2">
        <f t="shared" ca="1" si="3"/>
        <v>23.04600682691337</v>
      </c>
      <c r="J167" s="2">
        <f t="shared" ca="1" si="3"/>
        <v>24.194940548981997</v>
      </c>
      <c r="K167" s="2">
        <f t="shared" ca="1" si="3"/>
        <v>27.422505091373317</v>
      </c>
      <c r="L167" s="2">
        <f t="shared" ca="1" si="3"/>
        <v>28.960543518910566</v>
      </c>
      <c r="M167" s="2">
        <f t="shared" ca="1" si="3"/>
        <v>30.686280826215008</v>
      </c>
      <c r="N167" s="2">
        <f t="shared" ca="1" si="3"/>
        <v>33.496452963967144</v>
      </c>
      <c r="O167" s="2">
        <f t="shared" ca="1" si="3"/>
        <v>35.585776969478964</v>
      </c>
      <c r="P167" s="2">
        <f t="shared" ca="1" si="3"/>
        <v>36.693027332174239</v>
      </c>
      <c r="Q167" s="2">
        <f t="shared" ca="1" si="3"/>
        <v>39.398795767938473</v>
      </c>
    </row>
    <row r="168" spans="1:17">
      <c r="A168" t="str">
        <v>Harari</v>
      </c>
      <c r="B168" s="2">
        <f t="shared" ca="1" si="3"/>
        <v>8.0766667290485774</v>
      </c>
      <c r="C168" s="2">
        <f t="shared" ca="1" si="3"/>
        <v>11.463050105231771</v>
      </c>
      <c r="D168" s="2">
        <f t="shared" ca="1" si="3"/>
        <v>13.422530068896982</v>
      </c>
      <c r="E168" s="2">
        <f t="shared" ca="1" si="3"/>
        <v>15.708907556845375</v>
      </c>
      <c r="F168" s="2">
        <f t="shared" ca="1" si="3"/>
        <v>16.240096748661461</v>
      </c>
      <c r="G168" s="2">
        <f t="shared" ca="1" si="3"/>
        <v>18.628254028267595</v>
      </c>
      <c r="H168" s="2">
        <f t="shared" ca="1" si="3"/>
        <v>20.681674965000873</v>
      </c>
      <c r="I168" s="2">
        <f t="shared" ca="1" si="3"/>
        <v>23.476813318860625</v>
      </c>
      <c r="J168" s="2">
        <f t="shared" ca="1" si="3"/>
        <v>25.658504903196043</v>
      </c>
      <c r="K168" s="2">
        <f t="shared" ca="1" si="3"/>
        <v>27.656190484443808</v>
      </c>
      <c r="L168" s="2">
        <f t="shared" ca="1" si="3"/>
        <v>28.619423273519107</v>
      </c>
      <c r="M168" s="2">
        <f t="shared" ca="1" si="3"/>
        <v>30.211809721107031</v>
      </c>
      <c r="N168" s="2">
        <f t="shared" ca="1" si="3"/>
        <v>33.40992505510355</v>
      </c>
      <c r="O168" s="2">
        <f t="shared" ca="1" si="3"/>
        <v>35.283802624050395</v>
      </c>
      <c r="P168" s="2">
        <f t="shared" ca="1" si="3"/>
        <v>37.276232417559271</v>
      </c>
      <c r="Q168" s="2">
        <f t="shared" ca="1" si="3"/>
        <v>38.845134888073872</v>
      </c>
    </row>
    <row r="169" spans="1:17">
      <c r="A169" t="str">
        <v>Oromia</v>
      </c>
      <c r="B169" s="2">
        <f t="shared" ca="1" si="3"/>
        <v>10.100528404043878</v>
      </c>
      <c r="C169" s="2">
        <f t="shared" ca="1" si="3"/>
        <v>11.806423539841312</v>
      </c>
      <c r="D169" s="2">
        <f t="shared" ca="1" si="3"/>
        <v>14.040511944053955</v>
      </c>
      <c r="E169" s="2">
        <f t="shared" ca="1" si="3"/>
        <v>16.216987938015379</v>
      </c>
      <c r="F169" s="2">
        <f t="shared" ca="1" si="3"/>
        <v>17.255226853517652</v>
      </c>
      <c r="G169" s="2">
        <f t="shared" ca="1" si="3"/>
        <v>18.967297084938878</v>
      </c>
      <c r="H169" s="2">
        <f t="shared" ca="1" si="3"/>
        <v>20.741003187162104</v>
      </c>
      <c r="I169" s="2">
        <f t="shared" ca="1" si="3"/>
        <v>22.264162837248008</v>
      </c>
      <c r="J169" s="2">
        <f t="shared" ca="1" si="3"/>
        <v>24.438929373458663</v>
      </c>
      <c r="K169" s="2">
        <f t="shared" ca="1" si="3"/>
        <v>26.877763566051211</v>
      </c>
      <c r="L169" s="2">
        <f t="shared" ca="1" si="3"/>
        <v>28.604512280853069</v>
      </c>
      <c r="M169" s="2">
        <f t="shared" ca="1" si="3"/>
        <v>31.438906822863892</v>
      </c>
      <c r="N169" s="2">
        <f t="shared" ca="1" si="3"/>
        <v>32.86725695080834</v>
      </c>
      <c r="O169" s="2">
        <f t="shared" ca="1" si="3"/>
        <v>34.874073924167085</v>
      </c>
      <c r="P169" s="2">
        <f t="shared" ca="1" si="3"/>
        <v>36.3720015624843</v>
      </c>
      <c r="Q169" s="2">
        <f t="shared" ca="1" si="3"/>
        <v>38.829113718530181</v>
      </c>
    </row>
    <row r="170" spans="1:17">
      <c r="A170" t="str">
        <v>Somali</v>
      </c>
      <c r="B170" s="2">
        <f t="shared" ca="1" si="3"/>
        <v>10.055434138539852</v>
      </c>
      <c r="C170" s="2">
        <f t="shared" ca="1" si="3"/>
        <v>12.448180860483706</v>
      </c>
      <c r="D170" s="2">
        <f t="shared" ca="1" si="3"/>
        <v>12.911830230652916</v>
      </c>
      <c r="E170" s="2">
        <f t="shared" ca="1" si="3"/>
        <v>15.564187534830477</v>
      </c>
      <c r="F170" s="2">
        <f t="shared" ca="1" si="3"/>
        <v>17.501790320060213</v>
      </c>
      <c r="G170" s="2">
        <f t="shared" ca="1" si="3"/>
        <v>19.45138392505087</v>
      </c>
      <c r="H170" s="2">
        <f t="shared" ca="1" si="3"/>
        <v>22.251146518018157</v>
      </c>
      <c r="I170" s="2">
        <f t="shared" ca="1" si="3"/>
        <v>24.268634073869261</v>
      </c>
      <c r="J170" s="2">
        <f t="shared" ca="1" si="3"/>
        <v>25.344105152542117</v>
      </c>
      <c r="K170" s="2">
        <f t="shared" ca="1" si="3"/>
        <v>27.276111321255311</v>
      </c>
      <c r="L170" s="2">
        <f t="shared" ca="1" si="3"/>
        <v>28.650847030380142</v>
      </c>
      <c r="M170" s="2">
        <f t="shared" ca="1" si="3"/>
        <v>32.135418058385568</v>
      </c>
      <c r="N170" s="2">
        <f t="shared" ca="1" si="3"/>
        <v>33.269007017275293</v>
      </c>
      <c r="O170" s="2">
        <f t="shared" ca="1" si="3"/>
        <v>34.719580389882132</v>
      </c>
      <c r="P170" s="2">
        <f t="shared" ca="1" si="3"/>
        <v>38.369960305375393</v>
      </c>
      <c r="Q170" s="2">
        <f t="shared" ca="1" si="3"/>
        <v>38.695903260229791</v>
      </c>
    </row>
    <row r="171" spans="1:17">
      <c r="A171" t="str">
        <v>SNNPR</v>
      </c>
      <c r="B171" s="2">
        <f t="shared" ca="1" si="3"/>
        <v>10.087871568359731</v>
      </c>
      <c r="C171" s="2">
        <f t="shared" ca="1" si="3"/>
        <v>11.739576740221409</v>
      </c>
      <c r="D171" s="2">
        <f t="shared" ca="1" si="3"/>
        <v>14.206338428630719</v>
      </c>
      <c r="E171" s="2">
        <f t="shared" ca="1" si="3"/>
        <v>16.692300874068756</v>
      </c>
      <c r="F171" s="2">
        <f t="shared" ca="1" si="3"/>
        <v>17.225220173069729</v>
      </c>
      <c r="G171" s="2">
        <f t="shared" ca="1" si="3"/>
        <v>18.829828849778217</v>
      </c>
      <c r="H171" s="2">
        <f t="shared" ca="1" si="3"/>
        <v>22.442123995037431</v>
      </c>
      <c r="I171" s="2">
        <f t="shared" ca="1" si="3"/>
        <v>24.688500086253402</v>
      </c>
      <c r="J171" s="2">
        <f t="shared" ca="1" si="3"/>
        <v>24.840260051838808</v>
      </c>
      <c r="K171" s="2">
        <f t="shared" ca="1" si="3"/>
        <v>28.297937281242124</v>
      </c>
      <c r="L171" s="2">
        <f t="shared" ca="1" si="3"/>
        <v>30.712134836246435</v>
      </c>
      <c r="M171" s="2">
        <f t="shared" ca="1" si="3"/>
        <v>31.043377315441468</v>
      </c>
      <c r="N171" s="2">
        <f t="shared" ca="1" si="3"/>
        <v>34.052055022326847</v>
      </c>
      <c r="O171" s="2">
        <f t="shared" ca="1" si="3"/>
        <v>36.100142983820547</v>
      </c>
      <c r="P171" s="2">
        <f t="shared" ca="1" si="3"/>
        <v>36.896115624199588</v>
      </c>
      <c r="Q171" s="2">
        <f t="shared" ca="1" si="3"/>
        <v>40.305669123009828</v>
      </c>
    </row>
    <row r="172" spans="1:17">
      <c r="A172" t="str">
        <v>Tigray</v>
      </c>
      <c r="B172" s="2">
        <f t="shared" ca="1" si="3"/>
        <v>9.6664024388554282</v>
      </c>
      <c r="C172" s="2">
        <f t="shared" ca="1" si="3"/>
        <v>12.638943968904696</v>
      </c>
      <c r="D172" s="2">
        <f t="shared" ca="1" si="3"/>
        <v>13.869691124773412</v>
      </c>
      <c r="E172" s="2">
        <f t="shared" ca="1" si="3"/>
        <v>15.181133422161141</v>
      </c>
      <c r="F172" s="2">
        <f t="shared" ca="1" si="3"/>
        <v>18.431916760515797</v>
      </c>
      <c r="G172" s="2">
        <f t="shared" ca="1" si="3"/>
        <v>20.679890759705717</v>
      </c>
      <c r="H172" s="2">
        <f t="shared" ca="1" si="3"/>
        <v>22.293603561005369</v>
      </c>
      <c r="I172" s="2">
        <f t="shared" ca="1" si="3"/>
        <v>24.276532442905928</v>
      </c>
      <c r="J172" s="2">
        <f t="shared" ca="1" si="3"/>
        <v>25.787455043067006</v>
      </c>
      <c r="K172" s="2">
        <f t="shared" ca="1" si="3"/>
        <v>27.469611951545456</v>
      </c>
      <c r="L172" s="2">
        <f t="shared" ca="1" si="3"/>
        <v>29.832455277367817</v>
      </c>
      <c r="M172" s="2">
        <f t="shared" ca="1" si="3"/>
        <v>32.652778969410491</v>
      </c>
      <c r="N172" s="2">
        <f t="shared" ca="1" si="3"/>
        <v>34.541246120126942</v>
      </c>
      <c r="O172" s="2">
        <f t="shared" ca="1" si="3"/>
        <v>35.540871539938713</v>
      </c>
      <c r="P172" s="2">
        <f t="shared" ca="1" si="3"/>
        <v>37.87544377040652</v>
      </c>
      <c r="Q172" s="2">
        <f t="shared" ca="1" si="3"/>
        <v>39.221053978132225</v>
      </c>
    </row>
  </sheetData>
  <pageMargins left="0.75" right="0.75" top="1" bottom="1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"/>
  <sheetViews>
    <sheetView zoomScale="85" zoomScaleNormal="85" workbookViewId="0">
      <selection activeCell="D4" sqref="D4"/>
    </sheetView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20</v>
      </c>
      <c r="J4" t="s">
        <v>20</v>
      </c>
    </row>
    <row r="5" spans="2:10">
      <c r="B5">
        <f t="shared" ref="B5:B18" si="0">B4+1</f>
        <v>2017</v>
      </c>
      <c r="F5" t="s">
        <v>7</v>
      </c>
      <c r="H5" t="s">
        <v>17</v>
      </c>
      <c r="J5" t="s">
        <v>17</v>
      </c>
    </row>
    <row r="6" spans="2:10">
      <c r="B6">
        <f t="shared" si="0"/>
        <v>2018</v>
      </c>
      <c r="F6" t="s">
        <v>8</v>
      </c>
      <c r="H6" t="s">
        <v>24</v>
      </c>
      <c r="J6" t="s">
        <v>24</v>
      </c>
    </row>
    <row r="7" spans="2:10">
      <c r="B7">
        <f t="shared" si="0"/>
        <v>2019</v>
      </c>
      <c r="F7" t="s">
        <v>9</v>
      </c>
      <c r="H7" t="s">
        <v>21</v>
      </c>
      <c r="J7" t="s">
        <v>21</v>
      </c>
    </row>
    <row r="8" spans="2:10">
      <c r="B8">
        <f t="shared" si="0"/>
        <v>2020</v>
      </c>
      <c r="F8" t="s">
        <v>10</v>
      </c>
      <c r="H8" t="s">
        <v>18</v>
      </c>
      <c r="J8" t="s">
        <v>18</v>
      </c>
    </row>
    <row r="9" spans="2:10">
      <c r="B9">
        <f t="shared" si="0"/>
        <v>2021</v>
      </c>
      <c r="F9" t="s">
        <v>11</v>
      </c>
      <c r="H9" t="s">
        <v>22</v>
      </c>
    </row>
    <row r="10" spans="2:10">
      <c r="B10">
        <f t="shared" si="0"/>
        <v>2022</v>
      </c>
      <c r="F10" t="s">
        <v>12</v>
      </c>
      <c r="H10" t="s">
        <v>23</v>
      </c>
    </row>
    <row r="11" spans="2:10">
      <c r="B11">
        <f t="shared" si="0"/>
        <v>2023</v>
      </c>
      <c r="F11" t="s">
        <v>13</v>
      </c>
    </row>
    <row r="12" spans="2:10">
      <c r="B12">
        <f t="shared" si="0"/>
        <v>2024</v>
      </c>
      <c r="F12" t="s">
        <v>19</v>
      </c>
    </row>
    <row r="13" spans="2:10">
      <c r="B13">
        <f t="shared" si="0"/>
        <v>2025</v>
      </c>
      <c r="F13" t="s">
        <v>14</v>
      </c>
    </row>
    <row r="14" spans="2:10">
      <c r="B14">
        <f t="shared" si="0"/>
        <v>2026</v>
      </c>
    </row>
    <row r="15" spans="2:10">
      <c r="B15">
        <f t="shared" si="0"/>
        <v>2027</v>
      </c>
    </row>
    <row r="16" spans="2:10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zoomScale="85" zoomScaleNormal="85" workbookViewId="0">
      <selection activeCell="N9" sqref="N9"/>
    </sheetView>
  </sheetViews>
  <sheetFormatPr defaultColWidth="8.875" defaultRowHeight="15.75"/>
  <cols>
    <col min="1" max="2" width="11.5" bestFit="1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No</v>
      </c>
      <c r="D2" s="4" t="str">
        <f t="shared" si="0"/>
        <v>No</v>
      </c>
      <c r="E2" s="4" t="str">
        <f t="shared" si="0"/>
        <v>No</v>
      </c>
      <c r="F2" s="4" t="str">
        <f t="shared" si="0"/>
        <v>No</v>
      </c>
      <c r="G2" s="4" t="str">
        <f t="shared" si="0"/>
        <v>No</v>
      </c>
      <c r="H2" s="4" t="str">
        <f t="shared" si="0"/>
        <v>No</v>
      </c>
      <c r="I2" s="4" t="str">
        <f t="shared" si="0"/>
        <v>No</v>
      </c>
      <c r="J2" s="4" t="str">
        <f t="shared" si="0"/>
        <v>No</v>
      </c>
      <c r="K2" s="4" t="str">
        <f t="shared" si="0"/>
        <v>No</v>
      </c>
      <c r="L2" s="4" t="str">
        <f t="shared" si="0"/>
        <v>No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No</v>
      </c>
      <c r="C3" s="4" t="str">
        <f t="shared" ref="C3:C12" si="2">IF(ISERROR(MATCH($A3,G$22:G$330,0)),"No","Yes")</f>
        <v>No</v>
      </c>
      <c r="D3" s="4" t="str">
        <f t="shared" ref="D3:D12" si="3">IF(ISERROR(MATCH($A3,H$22:H$330,0)),"No","Yes")</f>
        <v>No</v>
      </c>
      <c r="E3" s="4" t="str">
        <f t="shared" ref="E3:E12" si="4">IF(ISERROR(MATCH($A3,I$22:I$330,0)),"No","Yes")</f>
        <v>No</v>
      </c>
      <c r="F3" s="4" t="str">
        <f t="shared" ref="F3:F12" si="5">IF(ISERROR(MATCH($A3,J$22:J$330,0)),"No","Yes")</f>
        <v>No</v>
      </c>
      <c r="G3" s="4" t="str">
        <f t="shared" ref="G3:G12" si="6">IF(ISERROR(MATCH($A3,K$22:K$330,0)),"No","Yes")</f>
        <v>No</v>
      </c>
      <c r="H3" s="4" t="str">
        <f t="shared" ref="H3:H12" si="7">IF(ISERROR(MATCH($A3,L$22:L$330,0)),"No","Yes")</f>
        <v>No</v>
      </c>
      <c r="I3" s="4" t="str">
        <f t="shared" ref="I3:I12" si="8">IF(ISERROR(MATCH($A3,M$22:M$330,0)),"No","Yes")</f>
        <v>No</v>
      </c>
      <c r="J3" s="4" t="str">
        <f t="shared" ref="J3:J12" si="9">IF(ISERROR(MATCH($A3,N$22:N$330,0)),"No","Yes")</f>
        <v>No</v>
      </c>
      <c r="K3" s="4" t="str">
        <f t="shared" ref="K3:K12" si="10">IF(ISERROR(MATCH($A3,O$22:O$330,0)),"No","Yes")</f>
        <v>No</v>
      </c>
      <c r="L3" s="4" t="str">
        <f t="shared" ref="L3:L12" si="11">IF(ISERROR(MATCH($A3,P$22:P$330,0)),"No","Yes")</f>
        <v>No</v>
      </c>
      <c r="N3" s="1" t="s">
        <v>6</v>
      </c>
      <c r="O3">
        <v>10</v>
      </c>
      <c r="Q3">
        <f t="shared" ref="P3:Y12" ca="1" si="12">10+5*RAND()</f>
        <v>13.24590670279591</v>
      </c>
      <c r="R3">
        <f t="shared" ca="1" si="12"/>
        <v>13.866711766267883</v>
      </c>
      <c r="S3">
        <f t="shared" ca="1" si="12"/>
        <v>13.721415977719909</v>
      </c>
      <c r="T3">
        <f t="shared" ca="1" si="12"/>
        <v>12.612578050959222</v>
      </c>
      <c r="U3">
        <f t="shared" ca="1" si="12"/>
        <v>13.206387144678413</v>
      </c>
      <c r="V3">
        <f t="shared" ca="1" si="12"/>
        <v>14.414156062316721</v>
      </c>
      <c r="W3">
        <f t="shared" ca="1" si="12"/>
        <v>12.984148168474743</v>
      </c>
      <c r="X3">
        <f t="shared" ca="1" si="12"/>
        <v>10.626887212848393</v>
      </c>
      <c r="Y3">
        <f t="shared" ca="1" si="12"/>
        <v>13.426326226566037</v>
      </c>
      <c r="AA3" s="1" t="s">
        <v>6</v>
      </c>
      <c r="AB3">
        <v>500</v>
      </c>
      <c r="AD3">
        <f t="shared" ref="AC3:AL12" ca="1" si="13">300-50*RAND()</f>
        <v>289.66609862307496</v>
      </c>
      <c r="AE3">
        <f t="shared" ca="1" si="13"/>
        <v>293.85264286323479</v>
      </c>
      <c r="AF3">
        <f t="shared" ca="1" si="13"/>
        <v>264.78431944383408</v>
      </c>
      <c r="AG3">
        <f t="shared" ca="1" si="13"/>
        <v>264.29416995117936</v>
      </c>
      <c r="AH3">
        <f t="shared" ca="1" si="13"/>
        <v>278.28143581235202</v>
      </c>
      <c r="AI3">
        <f t="shared" ca="1" si="13"/>
        <v>250.46538901927497</v>
      </c>
      <c r="AJ3">
        <f t="shared" ca="1" si="13"/>
        <v>293.39260617028492</v>
      </c>
      <c r="AK3">
        <f t="shared" ca="1" si="13"/>
        <v>261.20858887942779</v>
      </c>
      <c r="AL3">
        <f t="shared" ca="1" si="13"/>
        <v>297.68740293284333</v>
      </c>
    </row>
    <row r="4" spans="1:38">
      <c r="A4" s="1" t="s">
        <v>7</v>
      </c>
      <c r="B4" s="4" t="str">
        <f t="shared" si="1"/>
        <v>No</v>
      </c>
      <c r="C4" s="4" t="str">
        <f t="shared" si="2"/>
        <v>No</v>
      </c>
      <c r="D4" s="4" t="str">
        <f t="shared" si="3"/>
        <v>No</v>
      </c>
      <c r="E4" s="4" t="str">
        <f t="shared" si="4"/>
        <v>No</v>
      </c>
      <c r="F4" s="4" t="str">
        <f t="shared" si="5"/>
        <v>No</v>
      </c>
      <c r="G4" s="4" t="str">
        <f t="shared" si="6"/>
        <v>No</v>
      </c>
      <c r="H4" s="4" t="str">
        <f t="shared" si="7"/>
        <v>No</v>
      </c>
      <c r="I4" s="4" t="str">
        <f t="shared" si="8"/>
        <v>No</v>
      </c>
      <c r="J4" s="4" t="str">
        <f t="shared" si="9"/>
        <v>No</v>
      </c>
      <c r="K4" s="4" t="str">
        <f t="shared" si="10"/>
        <v>No</v>
      </c>
      <c r="L4" s="4" t="str">
        <f t="shared" si="11"/>
        <v>No</v>
      </c>
      <c r="N4" s="1" t="s">
        <v>7</v>
      </c>
      <c r="O4">
        <v>10</v>
      </c>
      <c r="P4">
        <f t="shared" ca="1" si="12"/>
        <v>13.788113571670365</v>
      </c>
      <c r="R4">
        <f t="shared" ca="1" si="12"/>
        <v>14.248170185635473</v>
      </c>
      <c r="S4">
        <f t="shared" ca="1" si="12"/>
        <v>13.598848602866367</v>
      </c>
      <c r="T4">
        <f t="shared" ca="1" si="12"/>
        <v>13.81495347550262</v>
      </c>
      <c r="U4">
        <f t="shared" ca="1" si="12"/>
        <v>10.703866806389005</v>
      </c>
      <c r="V4">
        <f t="shared" ca="1" si="12"/>
        <v>13.62947863552832</v>
      </c>
      <c r="W4">
        <f t="shared" ca="1" si="12"/>
        <v>12.496235862244312</v>
      </c>
      <c r="X4">
        <f t="shared" ca="1" si="12"/>
        <v>10.911564587703205</v>
      </c>
      <c r="Y4">
        <f t="shared" ca="1" si="12"/>
        <v>13.97150756450765</v>
      </c>
      <c r="AA4" s="1" t="s">
        <v>7</v>
      </c>
      <c r="AB4">
        <v>500</v>
      </c>
      <c r="AC4">
        <f t="shared" ca="1" si="13"/>
        <v>292.42178107189704</v>
      </c>
      <c r="AE4">
        <f t="shared" ca="1" si="13"/>
        <v>257.50614492737003</v>
      </c>
      <c r="AF4">
        <f t="shared" ca="1" si="13"/>
        <v>258.76291463681173</v>
      </c>
      <c r="AG4">
        <f t="shared" ca="1" si="13"/>
        <v>260.86262842762227</v>
      </c>
      <c r="AH4">
        <f t="shared" ca="1" si="13"/>
        <v>261.54740261612346</v>
      </c>
      <c r="AI4">
        <f t="shared" ca="1" si="13"/>
        <v>284.43461558471921</v>
      </c>
      <c r="AJ4">
        <f t="shared" ca="1" si="13"/>
        <v>267.2616856548687</v>
      </c>
      <c r="AK4">
        <f t="shared" ca="1" si="13"/>
        <v>294.63175759985023</v>
      </c>
      <c r="AL4">
        <f t="shared" ca="1" si="13"/>
        <v>250.17172710377477</v>
      </c>
    </row>
    <row r="5" spans="1:38">
      <c r="A5" s="1" t="s">
        <v>8</v>
      </c>
      <c r="B5" s="4" t="str">
        <f t="shared" si="1"/>
        <v>No</v>
      </c>
      <c r="C5" s="4" t="str">
        <f t="shared" si="2"/>
        <v>No</v>
      </c>
      <c r="D5" s="4" t="str">
        <f t="shared" si="3"/>
        <v>No</v>
      </c>
      <c r="E5" s="4" t="str">
        <f t="shared" si="4"/>
        <v>No</v>
      </c>
      <c r="F5" s="4" t="str">
        <f t="shared" si="5"/>
        <v>No</v>
      </c>
      <c r="G5" s="4" t="str">
        <f t="shared" si="6"/>
        <v>No</v>
      </c>
      <c r="H5" s="4" t="str">
        <f t="shared" si="7"/>
        <v>No</v>
      </c>
      <c r="I5" s="4" t="str">
        <f t="shared" si="8"/>
        <v>No</v>
      </c>
      <c r="J5" s="4" t="str">
        <f t="shared" si="9"/>
        <v>No</v>
      </c>
      <c r="K5" s="4" t="str">
        <f t="shared" si="10"/>
        <v>No</v>
      </c>
      <c r="L5" s="4" t="str">
        <f t="shared" si="11"/>
        <v>No</v>
      </c>
      <c r="N5" s="1" t="s">
        <v>8</v>
      </c>
      <c r="O5">
        <v>10</v>
      </c>
      <c r="P5">
        <f t="shared" ca="1" si="12"/>
        <v>11.51990771725584</v>
      </c>
      <c r="Q5">
        <f t="shared" ca="1" si="12"/>
        <v>11.546820619392268</v>
      </c>
      <c r="S5">
        <f t="shared" ca="1" si="12"/>
        <v>13.218659998352006</v>
      </c>
      <c r="T5">
        <f t="shared" ca="1" si="12"/>
        <v>11.282486190435863</v>
      </c>
      <c r="U5">
        <f t="shared" ca="1" si="12"/>
        <v>10.134352785692361</v>
      </c>
      <c r="V5">
        <f t="shared" ca="1" si="12"/>
        <v>13.10164480096239</v>
      </c>
      <c r="W5">
        <f t="shared" ca="1" si="12"/>
        <v>14.29363518371882</v>
      </c>
      <c r="X5">
        <f t="shared" ca="1" si="12"/>
        <v>13.121349539123926</v>
      </c>
      <c r="Y5">
        <f t="shared" ca="1" si="12"/>
        <v>10.856165420426624</v>
      </c>
      <c r="AA5" s="1" t="s">
        <v>8</v>
      </c>
      <c r="AB5">
        <v>500</v>
      </c>
      <c r="AC5">
        <f t="shared" ca="1" si="13"/>
        <v>283.45786673251928</v>
      </c>
      <c r="AD5">
        <f t="shared" ca="1" si="13"/>
        <v>250.17522467384242</v>
      </c>
      <c r="AF5">
        <f t="shared" ca="1" si="13"/>
        <v>296.12384550467647</v>
      </c>
      <c r="AG5">
        <f t="shared" ca="1" si="13"/>
        <v>278.91008137105467</v>
      </c>
      <c r="AH5">
        <f t="shared" ca="1" si="13"/>
        <v>263.65692251353801</v>
      </c>
      <c r="AI5">
        <f t="shared" ca="1" si="13"/>
        <v>290.52752782024254</v>
      </c>
      <c r="AJ5">
        <f t="shared" ca="1" si="13"/>
        <v>260.15829730170083</v>
      </c>
      <c r="AK5">
        <f t="shared" ca="1" si="13"/>
        <v>280.12981696145204</v>
      </c>
      <c r="AL5">
        <f t="shared" ca="1" si="13"/>
        <v>261.92100840791966</v>
      </c>
    </row>
    <row r="6" spans="1:38">
      <c r="A6" s="1" t="s">
        <v>9</v>
      </c>
      <c r="B6" s="4" t="str">
        <f t="shared" si="1"/>
        <v>No</v>
      </c>
      <c r="C6" s="4" t="str">
        <f t="shared" si="2"/>
        <v>No</v>
      </c>
      <c r="D6" s="4" t="str">
        <f t="shared" si="3"/>
        <v>No</v>
      </c>
      <c r="E6" s="4" t="str">
        <f t="shared" si="4"/>
        <v>No</v>
      </c>
      <c r="F6" s="4" t="str">
        <f t="shared" si="5"/>
        <v>No</v>
      </c>
      <c r="G6" s="4" t="str">
        <f t="shared" si="6"/>
        <v>No</v>
      </c>
      <c r="H6" s="4" t="str">
        <f t="shared" si="7"/>
        <v>No</v>
      </c>
      <c r="I6" s="4" t="str">
        <f t="shared" si="8"/>
        <v>No</v>
      </c>
      <c r="J6" s="4" t="str">
        <f t="shared" si="9"/>
        <v>No</v>
      </c>
      <c r="K6" s="4" t="str">
        <f t="shared" si="10"/>
        <v>No</v>
      </c>
      <c r="L6" s="4" t="str">
        <f t="shared" si="11"/>
        <v>No</v>
      </c>
      <c r="N6" s="1" t="s">
        <v>9</v>
      </c>
      <c r="O6">
        <v>10</v>
      </c>
      <c r="P6">
        <f t="shared" ca="1" si="12"/>
        <v>13.520666672349305</v>
      </c>
      <c r="Q6">
        <f t="shared" ca="1" si="12"/>
        <v>10.656748575004142</v>
      </c>
      <c r="R6">
        <f t="shared" ca="1" si="12"/>
        <v>13.343835015045141</v>
      </c>
      <c r="T6">
        <f t="shared" ca="1" si="12"/>
        <v>14.447072161313395</v>
      </c>
      <c r="U6">
        <f t="shared" ca="1" si="12"/>
        <v>11.357150657231312</v>
      </c>
      <c r="V6">
        <f t="shared" ca="1" si="12"/>
        <v>14.341345078788905</v>
      </c>
      <c r="W6">
        <f t="shared" ca="1" si="12"/>
        <v>12.515555890418469</v>
      </c>
      <c r="X6">
        <f t="shared" ca="1" si="12"/>
        <v>11.086211072309684</v>
      </c>
      <c r="Y6">
        <f t="shared" ca="1" si="12"/>
        <v>14.757588622400634</v>
      </c>
      <c r="AA6" s="1" t="s">
        <v>9</v>
      </c>
      <c r="AB6">
        <v>500</v>
      </c>
      <c r="AC6">
        <f t="shared" ca="1" si="13"/>
        <v>251.26723683123549</v>
      </c>
      <c r="AD6">
        <f t="shared" ca="1" si="13"/>
        <v>259.10226679211496</v>
      </c>
      <c r="AE6">
        <f t="shared" ca="1" si="13"/>
        <v>261.12397084900573</v>
      </c>
      <c r="AG6">
        <f t="shared" ca="1" si="13"/>
        <v>273.16870655161802</v>
      </c>
      <c r="AH6">
        <f t="shared" ca="1" si="13"/>
        <v>269.47121308644785</v>
      </c>
      <c r="AI6">
        <f t="shared" ca="1" si="13"/>
        <v>285.62846233535623</v>
      </c>
      <c r="AJ6">
        <f t="shared" ca="1" si="13"/>
        <v>285.36187818078986</v>
      </c>
      <c r="AK6">
        <f t="shared" ca="1" si="13"/>
        <v>256.03867681499798</v>
      </c>
      <c r="AL6">
        <f t="shared" ca="1" si="13"/>
        <v>298.24547143141564</v>
      </c>
    </row>
    <row r="7" spans="1:38">
      <c r="A7" s="1" t="s">
        <v>10</v>
      </c>
      <c r="B7" s="4" t="str">
        <f t="shared" si="1"/>
        <v>No</v>
      </c>
      <c r="C7" s="4" t="str">
        <f t="shared" si="2"/>
        <v>No</v>
      </c>
      <c r="D7" s="4" t="str">
        <f t="shared" si="3"/>
        <v>No</v>
      </c>
      <c r="E7" s="4" t="str">
        <f t="shared" si="4"/>
        <v>No</v>
      </c>
      <c r="F7" s="4" t="str">
        <f t="shared" si="5"/>
        <v>No</v>
      </c>
      <c r="G7" s="4" t="str">
        <f t="shared" si="6"/>
        <v>No</v>
      </c>
      <c r="H7" s="4" t="str">
        <f t="shared" si="7"/>
        <v>No</v>
      </c>
      <c r="I7" s="4" t="str">
        <f t="shared" si="8"/>
        <v>No</v>
      </c>
      <c r="J7" s="4" t="str">
        <f t="shared" si="9"/>
        <v>No</v>
      </c>
      <c r="K7" s="4" t="str">
        <f t="shared" si="10"/>
        <v>No</v>
      </c>
      <c r="L7" s="4" t="str">
        <f t="shared" si="11"/>
        <v>No</v>
      </c>
      <c r="N7" s="1" t="s">
        <v>10</v>
      </c>
      <c r="O7">
        <v>10</v>
      </c>
      <c r="P7">
        <f t="shared" ca="1" si="12"/>
        <v>12.80318389124187</v>
      </c>
      <c r="Q7">
        <f t="shared" ca="1" si="12"/>
        <v>11.613674961650513</v>
      </c>
      <c r="R7">
        <f t="shared" ca="1" si="12"/>
        <v>13.090989965521008</v>
      </c>
      <c r="S7">
        <f t="shared" ca="1" si="12"/>
        <v>14.941982839566231</v>
      </c>
      <c r="U7">
        <f t="shared" ca="1" si="12"/>
        <v>13.693705011830666</v>
      </c>
      <c r="V7">
        <f t="shared" ca="1" si="12"/>
        <v>13.954794716523306</v>
      </c>
      <c r="W7">
        <f t="shared" ca="1" si="12"/>
        <v>11.890449057002986</v>
      </c>
      <c r="X7">
        <f t="shared" ca="1" si="12"/>
        <v>14.997648115943262</v>
      </c>
      <c r="Y7">
        <f t="shared" ca="1" si="12"/>
        <v>10.49926825805527</v>
      </c>
      <c r="AA7" s="1" t="s">
        <v>10</v>
      </c>
      <c r="AB7">
        <v>500</v>
      </c>
      <c r="AC7">
        <f t="shared" ca="1" si="13"/>
        <v>268.58356602071876</v>
      </c>
      <c r="AD7">
        <f t="shared" ca="1" si="13"/>
        <v>284.87499029797505</v>
      </c>
      <c r="AE7">
        <f t="shared" ca="1" si="13"/>
        <v>287.96836762250973</v>
      </c>
      <c r="AF7">
        <f t="shared" ca="1" si="13"/>
        <v>263.35273595487473</v>
      </c>
      <c r="AH7">
        <f t="shared" ca="1" si="13"/>
        <v>292.52082669350187</v>
      </c>
      <c r="AI7">
        <f t="shared" ca="1" si="13"/>
        <v>250.08127039409976</v>
      </c>
      <c r="AJ7">
        <f t="shared" ca="1" si="13"/>
        <v>278.7112313291384</v>
      </c>
      <c r="AK7">
        <f t="shared" ca="1" si="13"/>
        <v>288.44442052603767</v>
      </c>
      <c r="AL7">
        <f t="shared" ca="1" si="13"/>
        <v>297.99027507031218</v>
      </c>
    </row>
    <row r="8" spans="1:38">
      <c r="A8" s="1" t="s">
        <v>11</v>
      </c>
      <c r="B8" s="4" t="str">
        <f t="shared" si="1"/>
        <v>No</v>
      </c>
      <c r="C8" s="4" t="str">
        <f t="shared" si="2"/>
        <v>No</v>
      </c>
      <c r="D8" s="4" t="str">
        <f t="shared" si="3"/>
        <v>No</v>
      </c>
      <c r="E8" s="4" t="str">
        <f t="shared" si="4"/>
        <v>No</v>
      </c>
      <c r="F8" s="4" t="str">
        <f t="shared" si="5"/>
        <v>No</v>
      </c>
      <c r="G8" s="4" t="str">
        <f t="shared" si="6"/>
        <v>No</v>
      </c>
      <c r="H8" s="4" t="str">
        <f t="shared" si="7"/>
        <v>No</v>
      </c>
      <c r="I8" s="4" t="str">
        <f t="shared" si="8"/>
        <v>No</v>
      </c>
      <c r="J8" s="4" t="str">
        <f t="shared" si="9"/>
        <v>No</v>
      </c>
      <c r="K8" s="4" t="str">
        <f t="shared" si="10"/>
        <v>No</v>
      </c>
      <c r="L8" s="4" t="str">
        <f t="shared" si="11"/>
        <v>No</v>
      </c>
      <c r="N8" s="1" t="s">
        <v>11</v>
      </c>
      <c r="O8">
        <v>10</v>
      </c>
      <c r="P8">
        <f t="shared" ca="1" si="12"/>
        <v>11.967292709399823</v>
      </c>
      <c r="Q8">
        <f t="shared" ca="1" si="12"/>
        <v>11.282353941867669</v>
      </c>
      <c r="R8">
        <f t="shared" ca="1" si="12"/>
        <v>11.101678551306147</v>
      </c>
      <c r="S8">
        <f t="shared" ca="1" si="12"/>
        <v>13.847324074550279</v>
      </c>
      <c r="T8">
        <f t="shared" ca="1" si="12"/>
        <v>14.752228645000987</v>
      </c>
      <c r="V8">
        <f t="shared" ca="1" si="12"/>
        <v>13.020889319940792</v>
      </c>
      <c r="W8">
        <f t="shared" ca="1" si="12"/>
        <v>12.900857825970737</v>
      </c>
      <c r="X8">
        <f t="shared" ca="1" si="12"/>
        <v>11.801577881375673</v>
      </c>
      <c r="Y8">
        <f t="shared" ca="1" si="12"/>
        <v>13.83751016535007</v>
      </c>
      <c r="AA8" s="1" t="s">
        <v>11</v>
      </c>
      <c r="AB8">
        <v>500</v>
      </c>
      <c r="AC8">
        <f t="shared" ca="1" si="13"/>
        <v>291.14518547722975</v>
      </c>
      <c r="AD8">
        <f t="shared" ca="1" si="13"/>
        <v>294.00020878907634</v>
      </c>
      <c r="AE8">
        <f t="shared" ca="1" si="13"/>
        <v>250.75079939354526</v>
      </c>
      <c r="AF8">
        <f t="shared" ca="1" si="13"/>
        <v>294.16668396042155</v>
      </c>
      <c r="AG8">
        <f t="shared" ca="1" si="13"/>
        <v>287.24781366708703</v>
      </c>
      <c r="AI8">
        <f t="shared" ca="1" si="13"/>
        <v>284.49103701187579</v>
      </c>
      <c r="AJ8">
        <f t="shared" ca="1" si="13"/>
        <v>253.90462563355172</v>
      </c>
      <c r="AK8">
        <f t="shared" ca="1" si="13"/>
        <v>254.53324437679046</v>
      </c>
      <c r="AL8">
        <f t="shared" ca="1" si="13"/>
        <v>273.20420014343478</v>
      </c>
    </row>
    <row r="9" spans="1:38">
      <c r="A9" s="1" t="s">
        <v>12</v>
      </c>
      <c r="B9" s="4" t="str">
        <f t="shared" si="1"/>
        <v>No</v>
      </c>
      <c r="C9" s="4" t="str">
        <f t="shared" si="2"/>
        <v>No</v>
      </c>
      <c r="D9" s="4" t="str">
        <f t="shared" si="3"/>
        <v>No</v>
      </c>
      <c r="E9" s="4" t="str">
        <f t="shared" si="4"/>
        <v>No</v>
      </c>
      <c r="F9" s="4" t="str">
        <f t="shared" si="5"/>
        <v>No</v>
      </c>
      <c r="G9" s="4" t="str">
        <f t="shared" si="6"/>
        <v>No</v>
      </c>
      <c r="H9" s="4" t="str">
        <f t="shared" si="7"/>
        <v>No</v>
      </c>
      <c r="I9" s="4" t="str">
        <f t="shared" si="8"/>
        <v>No</v>
      </c>
      <c r="J9" s="4" t="str">
        <f t="shared" si="9"/>
        <v>No</v>
      </c>
      <c r="K9" s="4" t="str">
        <f t="shared" si="10"/>
        <v>No</v>
      </c>
      <c r="L9" s="4" t="str">
        <f t="shared" si="11"/>
        <v>No</v>
      </c>
      <c r="N9" s="1" t="s">
        <v>12</v>
      </c>
      <c r="O9">
        <v>10</v>
      </c>
      <c r="P9">
        <f t="shared" ca="1" si="12"/>
        <v>11.773523872925718</v>
      </c>
      <c r="Q9">
        <f t="shared" ca="1" si="12"/>
        <v>14.583513761324639</v>
      </c>
      <c r="R9">
        <f t="shared" ca="1" si="12"/>
        <v>10.274896547065223</v>
      </c>
      <c r="S9">
        <f t="shared" ca="1" si="12"/>
        <v>13.843140787273311</v>
      </c>
      <c r="T9">
        <f t="shared" ca="1" si="12"/>
        <v>12.099062848351117</v>
      </c>
      <c r="U9">
        <f t="shared" ca="1" si="12"/>
        <v>10.264837565213018</v>
      </c>
      <c r="W9">
        <f t="shared" ca="1" si="12"/>
        <v>11.672632900663316</v>
      </c>
      <c r="X9">
        <f t="shared" ca="1" si="12"/>
        <v>14.410106195858386</v>
      </c>
      <c r="Y9">
        <f t="shared" ca="1" si="12"/>
        <v>12.787315419289524</v>
      </c>
      <c r="AA9" s="1" t="s">
        <v>12</v>
      </c>
      <c r="AB9">
        <v>500</v>
      </c>
      <c r="AC9">
        <f t="shared" ca="1" si="13"/>
        <v>263.35256164350864</v>
      </c>
      <c r="AD9">
        <f t="shared" ca="1" si="13"/>
        <v>258.01883136114742</v>
      </c>
      <c r="AE9">
        <f t="shared" ca="1" si="13"/>
        <v>281.07689256270726</v>
      </c>
      <c r="AF9">
        <f t="shared" ca="1" si="13"/>
        <v>279.37275984577349</v>
      </c>
      <c r="AG9">
        <f t="shared" ca="1" si="13"/>
        <v>290.89196997826002</v>
      </c>
      <c r="AH9">
        <f t="shared" ca="1" si="13"/>
        <v>283.89024836327866</v>
      </c>
      <c r="AJ9">
        <f t="shared" ca="1" si="13"/>
        <v>285.10791441371208</v>
      </c>
      <c r="AK9">
        <f t="shared" ca="1" si="13"/>
        <v>256.76391730576762</v>
      </c>
      <c r="AL9">
        <f t="shared" ca="1" si="13"/>
        <v>260.9732966489583</v>
      </c>
    </row>
    <row r="10" spans="1:38">
      <c r="A10" s="1" t="s">
        <v>13</v>
      </c>
      <c r="B10" s="4" t="str">
        <f t="shared" si="1"/>
        <v>No</v>
      </c>
      <c r="C10" s="4" t="str">
        <f t="shared" si="2"/>
        <v>No</v>
      </c>
      <c r="D10" s="4" t="str">
        <f t="shared" si="3"/>
        <v>No</v>
      </c>
      <c r="E10" s="4" t="str">
        <f t="shared" si="4"/>
        <v>No</v>
      </c>
      <c r="F10" s="4" t="str">
        <f t="shared" si="5"/>
        <v>No</v>
      </c>
      <c r="G10" s="4" t="str">
        <f t="shared" si="6"/>
        <v>No</v>
      </c>
      <c r="H10" s="4" t="str">
        <f t="shared" si="7"/>
        <v>No</v>
      </c>
      <c r="I10" s="4" t="str">
        <f t="shared" si="8"/>
        <v>No</v>
      </c>
      <c r="J10" s="4" t="str">
        <f t="shared" si="9"/>
        <v>No</v>
      </c>
      <c r="K10" s="4" t="str">
        <f t="shared" si="10"/>
        <v>No</v>
      </c>
      <c r="L10" s="4" t="str">
        <f t="shared" si="11"/>
        <v>No</v>
      </c>
      <c r="N10" s="1" t="s">
        <v>13</v>
      </c>
      <c r="O10">
        <v>10</v>
      </c>
      <c r="P10">
        <f t="shared" ca="1" si="12"/>
        <v>12.184748796487154</v>
      </c>
      <c r="Q10">
        <f t="shared" ca="1" si="12"/>
        <v>11.086542990952298</v>
      </c>
      <c r="R10">
        <f t="shared" ca="1" si="12"/>
        <v>11.618112132548809</v>
      </c>
      <c r="S10">
        <f t="shared" ca="1" si="12"/>
        <v>14.554933012308851</v>
      </c>
      <c r="T10">
        <f t="shared" ca="1" si="12"/>
        <v>14.259250084421243</v>
      </c>
      <c r="U10">
        <f t="shared" ca="1" si="12"/>
        <v>11.784554761861372</v>
      </c>
      <c r="V10">
        <f t="shared" ca="1" si="12"/>
        <v>13.767536231456765</v>
      </c>
      <c r="X10">
        <f t="shared" ca="1" si="12"/>
        <v>12.031523899980163</v>
      </c>
      <c r="Y10">
        <f t="shared" ca="1" si="12"/>
        <v>13.227315305520216</v>
      </c>
      <c r="AA10" s="1" t="s">
        <v>13</v>
      </c>
      <c r="AB10">
        <v>500</v>
      </c>
      <c r="AC10">
        <f t="shared" ca="1" si="13"/>
        <v>250.71467483926011</v>
      </c>
      <c r="AD10">
        <f t="shared" ca="1" si="13"/>
        <v>269.21667307359166</v>
      </c>
      <c r="AE10">
        <f t="shared" ca="1" si="13"/>
        <v>295.15091504650729</v>
      </c>
      <c r="AF10">
        <f t="shared" ca="1" si="13"/>
        <v>261.24246505652781</v>
      </c>
      <c r="AG10">
        <f t="shared" ca="1" si="13"/>
        <v>296.57983068399375</v>
      </c>
      <c r="AH10">
        <f t="shared" ca="1" si="13"/>
        <v>284.1462127875194</v>
      </c>
      <c r="AI10">
        <f t="shared" ca="1" si="13"/>
        <v>258.56338063595427</v>
      </c>
      <c r="AK10">
        <f t="shared" ca="1" si="13"/>
        <v>266.84054349377942</v>
      </c>
      <c r="AL10">
        <f t="shared" ca="1" si="13"/>
        <v>292.27622694019823</v>
      </c>
    </row>
    <row r="11" spans="1:38">
      <c r="A11" s="1" t="s">
        <v>19</v>
      </c>
      <c r="B11" s="4" t="str">
        <f t="shared" si="1"/>
        <v>No</v>
      </c>
      <c r="C11" s="4" t="str">
        <f t="shared" si="2"/>
        <v>No</v>
      </c>
      <c r="D11" s="4" t="str">
        <f t="shared" si="3"/>
        <v>No</v>
      </c>
      <c r="E11" s="4" t="str">
        <f t="shared" si="4"/>
        <v>No</v>
      </c>
      <c r="F11" s="4" t="str">
        <f t="shared" si="5"/>
        <v>No</v>
      </c>
      <c r="G11" s="4" t="str">
        <f t="shared" si="6"/>
        <v>No</v>
      </c>
      <c r="H11" s="4" t="str">
        <f t="shared" si="7"/>
        <v>No</v>
      </c>
      <c r="I11" s="4" t="str">
        <f t="shared" si="8"/>
        <v>No</v>
      </c>
      <c r="J11" s="4" t="str">
        <f t="shared" si="9"/>
        <v>No</v>
      </c>
      <c r="K11" s="4" t="str">
        <f t="shared" si="10"/>
        <v>No</v>
      </c>
      <c r="L11" s="4" t="str">
        <f t="shared" si="11"/>
        <v>No</v>
      </c>
      <c r="N11" s="1" t="s">
        <v>19</v>
      </c>
      <c r="O11">
        <v>10</v>
      </c>
      <c r="P11">
        <f t="shared" ca="1" si="12"/>
        <v>10.446023031491441</v>
      </c>
      <c r="Q11">
        <f t="shared" ca="1" si="12"/>
        <v>12.596776647860663</v>
      </c>
      <c r="R11">
        <f t="shared" ca="1" si="12"/>
        <v>10.74870966542607</v>
      </c>
      <c r="S11">
        <f t="shared" ca="1" si="12"/>
        <v>10.667631081344631</v>
      </c>
      <c r="T11">
        <f t="shared" ca="1" si="12"/>
        <v>11.299169132096427</v>
      </c>
      <c r="U11">
        <f t="shared" ca="1" si="12"/>
        <v>14.779636719800452</v>
      </c>
      <c r="V11">
        <f t="shared" ca="1" si="12"/>
        <v>10.97759596362121</v>
      </c>
      <c r="W11">
        <f t="shared" ca="1" si="12"/>
        <v>11.972997494628233</v>
      </c>
      <c r="Y11">
        <f t="shared" ca="1" si="12"/>
        <v>10.095140762530352</v>
      </c>
      <c r="AA11" s="1" t="s">
        <v>19</v>
      </c>
      <c r="AB11">
        <v>500</v>
      </c>
      <c r="AC11">
        <f t="shared" ca="1" si="13"/>
        <v>273.63581889376138</v>
      </c>
      <c r="AD11">
        <f t="shared" ca="1" si="13"/>
        <v>295.11566273523403</v>
      </c>
      <c r="AE11">
        <f t="shared" ca="1" si="13"/>
        <v>260.76671588366946</v>
      </c>
      <c r="AF11">
        <f t="shared" ca="1" si="13"/>
        <v>269.64378071064129</v>
      </c>
      <c r="AG11">
        <f t="shared" ca="1" si="13"/>
        <v>258.7919812394797</v>
      </c>
      <c r="AH11">
        <f t="shared" ca="1" si="13"/>
        <v>271.60990039308098</v>
      </c>
      <c r="AI11">
        <f t="shared" ca="1" si="13"/>
        <v>260.39774505288466</v>
      </c>
      <c r="AJ11">
        <f t="shared" ca="1" si="13"/>
        <v>261.48804093022551</v>
      </c>
      <c r="AL11">
        <f t="shared" ca="1" si="13"/>
        <v>284.85669698748984</v>
      </c>
    </row>
    <row r="12" spans="1:38">
      <c r="A12" s="1" t="s">
        <v>14</v>
      </c>
      <c r="B12" s="4" t="str">
        <f t="shared" si="1"/>
        <v>No</v>
      </c>
      <c r="C12" s="4" t="str">
        <f t="shared" si="2"/>
        <v>No</v>
      </c>
      <c r="D12" s="4" t="str">
        <f t="shared" si="3"/>
        <v>No</v>
      </c>
      <c r="E12" s="4" t="str">
        <f t="shared" si="4"/>
        <v>No</v>
      </c>
      <c r="F12" s="4" t="str">
        <f t="shared" si="5"/>
        <v>No</v>
      </c>
      <c r="G12" s="4" t="str">
        <f t="shared" si="6"/>
        <v>No</v>
      </c>
      <c r="H12" s="4" t="str">
        <f t="shared" si="7"/>
        <v>No</v>
      </c>
      <c r="I12" s="4" t="str">
        <f t="shared" si="8"/>
        <v>No</v>
      </c>
      <c r="J12" s="4" t="str">
        <f t="shared" si="9"/>
        <v>No</v>
      </c>
      <c r="K12" s="4" t="str">
        <f t="shared" si="10"/>
        <v>No</v>
      </c>
      <c r="L12" s="4" t="str">
        <f t="shared" si="11"/>
        <v>No</v>
      </c>
      <c r="N12" s="1" t="s">
        <v>14</v>
      </c>
      <c r="O12">
        <v>10</v>
      </c>
      <c r="P12">
        <f t="shared" ca="1" si="12"/>
        <v>12.21723814360163</v>
      </c>
      <c r="Q12">
        <f t="shared" ca="1" si="12"/>
        <v>13.63494744256159</v>
      </c>
      <c r="R12">
        <f t="shared" ca="1" si="12"/>
        <v>11.316791087632335</v>
      </c>
      <c r="S12">
        <f t="shared" ca="1" si="12"/>
        <v>11.256530472457545</v>
      </c>
      <c r="T12">
        <f t="shared" ca="1" si="12"/>
        <v>12.663583868055321</v>
      </c>
      <c r="U12">
        <f t="shared" ca="1" si="12"/>
        <v>11.506442638130331</v>
      </c>
      <c r="V12">
        <f t="shared" ca="1" si="12"/>
        <v>12.628951209838778</v>
      </c>
      <c r="W12">
        <f t="shared" ca="1" si="12"/>
        <v>13.827201602942331</v>
      </c>
      <c r="X12">
        <f t="shared" ca="1" si="12"/>
        <v>13.509317915528387</v>
      </c>
      <c r="AA12" s="1" t="s">
        <v>14</v>
      </c>
      <c r="AB12">
        <v>500</v>
      </c>
      <c r="AC12">
        <f t="shared" ca="1" si="13"/>
        <v>263.32889190734539</v>
      </c>
      <c r="AD12">
        <f t="shared" ca="1" si="13"/>
        <v>299.99936459290399</v>
      </c>
      <c r="AE12">
        <f t="shared" ca="1" si="13"/>
        <v>277.07481384991746</v>
      </c>
      <c r="AF12">
        <f t="shared" ca="1" si="13"/>
        <v>296.63164140786148</v>
      </c>
      <c r="AG12">
        <f t="shared" ca="1" si="13"/>
        <v>265.09441920828363</v>
      </c>
      <c r="AH12">
        <f t="shared" ca="1" si="13"/>
        <v>287.01253928527927</v>
      </c>
      <c r="AI12">
        <f t="shared" ca="1" si="13"/>
        <v>299.43299778374023</v>
      </c>
      <c r="AJ12">
        <f t="shared" ca="1" si="13"/>
        <v>250.08860184987668</v>
      </c>
      <c r="AK12">
        <f t="shared" ca="1" si="13"/>
        <v>295.54085894025576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/>
      <c r="B22" s="5"/>
      <c r="C22" t="s">
        <v>5</v>
      </c>
      <c r="D22" t="s">
        <v>6</v>
      </c>
      <c r="E22" s="6">
        <v>1</v>
      </c>
      <c r="F22" s="6" t="str">
        <f t="array" ref="F22">IFERROR(INDEX($B$22:$B$610,SMALL(IF($A$22:$A$610=F$21,ROW(Roads!$A$22:$A$610)),Roads!$E22)-ROW(RoadList)),"")</f>
        <v/>
      </c>
      <c r="G22" s="6" t="str">
        <f t="array" ref="G22">IFERROR(INDEX($B$22:$B$610,SMALL(IF($A$22:$A$610=G$21,ROW(Roads!$A$22:$A$610)),Roads!$E22)-ROW(RoadList)),"")</f>
        <v/>
      </c>
      <c r="H22" s="6" t="str">
        <f t="array" ref="H22">IFERROR(INDEX($B$22:$B$610,SMALL(IF($A$22:$A$610=H$21,ROW(Roads!$A$22:$A$610)),Roads!$E22)-ROW(RoadList)),"")</f>
        <v/>
      </c>
      <c r="I22" s="6" t="str">
        <f t="array" ref="I22">IFERROR(INDEX($B$22:$B$610,SMALL(IF($A$22:$A$610=I$21,ROW(Roads!$A$22:$A$610)),Roads!$E22)-ROW(RoadList)),"")</f>
        <v/>
      </c>
      <c r="J22" s="6" t="str">
        <f t="array" ref="J22">IFERROR(INDEX($B$22:$B$610,SMALL(IF($A$22:$A$610=J$21,ROW(Roads!$A$22:$A$610)),Roads!$E22)-ROW(RoadList)),"")</f>
        <v/>
      </c>
      <c r="K22" s="6" t="str">
        <f t="array" ref="K22">IFERROR(INDEX($B$22:$B$610,SMALL(IF($A$22:$A$610=K$21,ROW(Roads!$A$22:$A$610)),Roads!$E22)-ROW(RoadList)),"")</f>
        <v/>
      </c>
      <c r="L22" s="6" t="str">
        <f t="array" ref="L22">IFERROR(INDEX($B$22:$B$610,SMALL(IF($A$22:$A$610=L$21,ROW(Roads!$A$22:$A$610)),Roads!$E22)-ROW(RoadList)),"")</f>
        <v/>
      </c>
      <c r="M22" s="6" t="str">
        <f t="array" ref="M22">IFERROR(INDEX($B$22:$B$610,SMALL(IF($A$22:$A$610=M$21,ROW(Roads!$A$22:$A$610)),Roads!$E22)-ROW(RoadList)),"")</f>
        <v/>
      </c>
      <c r="N22" s="6" t="str">
        <f t="array" ref="N22">IFERROR(INDEX($B$22:$B$610,SMALL(IF($A$22:$A$610=N$21,ROW(Roads!$A$22:$A$610)),Roads!$E22)-ROW(RoadList)),"")</f>
        <v/>
      </c>
      <c r="O22" s="6" t="str">
        <f t="array" ref="O22">IFERROR(INDEX($B$22:$B$610,SMALL(IF($A$22:$A$610=O$21,ROW(Roads!$A$22:$A$610)),Roads!$E22)-ROW(RoadList)),"")</f>
        <v/>
      </c>
      <c r="P22" s="6" t="str">
        <f t="array" ref="P22">IFERROR(INDEX($B$22:$B$610,SMALL(IF($A$22:$A$610=P$21,ROW(Roads!$A$22:$A$610)),Roads!$E22)-ROW(RoadList)),"")</f>
        <v/>
      </c>
    </row>
    <row r="23" spans="1:21">
      <c r="A23" s="5"/>
      <c r="B23" s="5"/>
      <c r="C23" t="s">
        <v>5</v>
      </c>
      <c r="D23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/>
      </c>
      <c r="G23" s="6" t="str">
        <f t="array" ref="G23">IFERROR(INDEX($B$22:$B$610,SMALL(IF($A$22:$A$610=G$21,ROW(Roads!$A$22:$A$610)),Roads!$E23)-ROW(RoadList)),"")</f>
        <v/>
      </c>
      <c r="H23" s="6" t="str">
        <f t="array" ref="H23">IFERROR(INDEX($B$22:$B$610,SMALL(IF($A$22:$A$610=H$21,ROW(Roads!$A$22:$A$610)),Roads!$E23)-ROW(RoadList)),"")</f>
        <v/>
      </c>
      <c r="I23" s="6" t="str">
        <f t="array" ref="I23">IFERROR(INDEX($B$22:$B$610,SMALL(IF($A$22:$A$610=I$21,ROW(Roads!$A$22:$A$610)),Roads!$E23)-ROW(RoadList)),"")</f>
        <v/>
      </c>
      <c r="J23" s="6" t="str">
        <f t="array" ref="J23">IFERROR(INDEX($B$22:$B$610,SMALL(IF($A$22:$A$610=J$21,ROW(Roads!$A$22:$A$610)),Roads!$E23)-ROW(RoadList)),"")</f>
        <v/>
      </c>
      <c r="K23" s="6" t="str">
        <f t="array" ref="K23">IFERROR(INDEX($B$22:$B$610,SMALL(IF($A$22:$A$610=K$21,ROW(Roads!$A$22:$A$610)),Roads!$E23)-ROW(RoadList)),"")</f>
        <v/>
      </c>
      <c r="L23" s="6" t="str">
        <f t="array" ref="L23">IFERROR(INDEX($B$22:$B$610,SMALL(IF($A$22:$A$610=L$21,ROW(Roads!$A$22:$A$610)),Roads!$E23)-ROW(RoadList)),"")</f>
        <v/>
      </c>
      <c r="M23" s="6" t="str">
        <f t="array" ref="M23">IFERROR(INDEX($B$22:$B$610,SMALL(IF($A$22:$A$610=M$21,ROW(Roads!$A$22:$A$610)),Roads!$E23)-ROW(RoadList)),"")</f>
        <v/>
      </c>
      <c r="N23" s="6" t="str">
        <f t="array" ref="N23">IFERROR(INDEX($B$22:$B$610,SMALL(IF($A$22:$A$610=N$21,ROW(Roads!$A$22:$A$610)),Roads!$E23)-ROW(RoadList)),"")</f>
        <v/>
      </c>
      <c r="O23" s="6" t="str">
        <f t="array" ref="O23">IFERROR(INDEX($B$22:$B$610,SMALL(IF($A$22:$A$610=O$21,ROW(Roads!$A$22:$A$610)),Roads!$E23)-ROW(RoadList)),"")</f>
        <v/>
      </c>
      <c r="P23" s="6" t="str">
        <f t="array" ref="P23">IFERROR(INDEX($B$22:$B$610,SMALL(IF($A$22:$A$610=P$21,ROW(Roads!$A$22:$A$610)),Roads!$E23)-ROW(RoadList)),"")</f>
        <v/>
      </c>
    </row>
    <row r="24" spans="1:21">
      <c r="A24" s="5"/>
      <c r="B24" s="5"/>
      <c r="C24" t="s">
        <v>5</v>
      </c>
      <c r="D24" t="s">
        <v>9</v>
      </c>
      <c r="E24" s="6">
        <f t="shared" ref="E24:E32" si="14">E23+1</f>
        <v>3</v>
      </c>
      <c r="F24" s="6" t="str">
        <f t="array" ref="F24">IFERROR(INDEX($B$22:$B$610,SMALL(IF($A$22:$A$610=F$21,ROW(Roads!$A$22:$A$610)),Roads!$E24)-ROW(RoadList)),"")</f>
        <v/>
      </c>
      <c r="G24" s="6" t="str">
        <f t="array" ref="G24">IFERROR(INDEX($B$22:$B$610,SMALL(IF($A$22:$A$610=G$21,ROW(Roads!$A$22:$A$610)),Roads!$E24)-ROW(RoadList)),"")</f>
        <v/>
      </c>
      <c r="H24" s="6" t="str">
        <f t="array" ref="H24">IFERROR(INDEX($B$22:$B$610,SMALL(IF($A$22:$A$610=H$21,ROW(Roads!$A$22:$A$610)),Roads!$E24)-ROW(RoadList)),"")</f>
        <v/>
      </c>
      <c r="I24" s="6" t="str">
        <f t="array" ref="I24">IFERROR(INDEX($B$22:$B$610,SMALL(IF($A$22:$A$610=I$21,ROW(Roads!$A$22:$A$610)),Roads!$E24)-ROW(RoadList)),"")</f>
        <v/>
      </c>
      <c r="J24" s="6" t="str">
        <f t="array" ref="J24">IFERROR(INDEX($B$22:$B$610,SMALL(IF($A$22:$A$610=J$21,ROW(Roads!$A$22:$A$610)),Roads!$E24)-ROW(RoadList)),"")</f>
        <v/>
      </c>
      <c r="K24" s="6" t="str">
        <f t="array" ref="K24">IFERROR(INDEX($B$22:$B$610,SMALL(IF($A$22:$A$610=K$21,ROW(Roads!$A$22:$A$610)),Roads!$E24)-ROW(RoadList)),"")</f>
        <v/>
      </c>
      <c r="L24" s="6" t="str">
        <f t="array" ref="L24">IFERROR(INDEX($B$22:$B$610,SMALL(IF($A$22:$A$610=L$21,ROW(Roads!$A$22:$A$610)),Roads!$E24)-ROW(RoadList)),"")</f>
        <v/>
      </c>
      <c r="M24" s="6" t="str">
        <f t="array" ref="M24">IFERROR(INDEX($B$22:$B$610,SMALL(IF($A$22:$A$610=M$21,ROW(Roads!$A$22:$A$610)),Roads!$E24)-ROW(RoadList)),"")</f>
        <v/>
      </c>
      <c r="N24" s="6" t="str">
        <f t="array" ref="N24">IFERROR(INDEX($B$22:$B$610,SMALL(IF($A$22:$A$610=N$21,ROW(Roads!$A$22:$A$610)),Roads!$E24)-ROW(RoadList)),"")</f>
        <v/>
      </c>
      <c r="O24" s="6" t="str">
        <f t="array" ref="O24">IFERROR(INDEX($B$22:$B$610,SMALL(IF($A$22:$A$610=O$21,ROW(Roads!$A$22:$A$610)),Roads!$E24)-ROW(RoadList)),"")</f>
        <v/>
      </c>
      <c r="P24" s="6" t="str">
        <f t="array" ref="P24">IFERROR(INDEX($B$22:$B$610,SMALL(IF($A$22:$A$610=P$21,ROW(Roads!$A$22:$A$610)),Roads!$E24)-ROW(RoadList)),"")</f>
        <v/>
      </c>
    </row>
    <row r="25" spans="1:21">
      <c r="A25" s="5"/>
      <c r="B25" s="5"/>
      <c r="C25" t="s">
        <v>5</v>
      </c>
      <c r="D25" t="s">
        <v>10</v>
      </c>
      <c r="E25" s="6">
        <f t="shared" si="14"/>
        <v>4</v>
      </c>
      <c r="F25" s="6" t="str">
        <f t="array" ref="F25">IFERROR(INDEX($B$22:$B$610,SMALL(IF($A$22:$A$610=F$21,ROW(Roads!$A$22:$A$610)),Roads!$E25)-ROW(RoadList)),"")</f>
        <v/>
      </c>
      <c r="G25" s="6" t="str">
        <f t="array" ref="G25">IFERROR(INDEX($B$22:$B$610,SMALL(IF($A$22:$A$610=G$21,ROW(Roads!$A$22:$A$610)),Roads!$E25)-ROW(RoadList)),"")</f>
        <v/>
      </c>
      <c r="H25" s="6" t="str">
        <f t="array" ref="H25">IFERROR(INDEX($B$22:$B$610,SMALL(IF($A$22:$A$610=H$21,ROW(Roads!$A$22:$A$610)),Roads!$E25)-ROW(RoadList)),"")</f>
        <v/>
      </c>
      <c r="I25" s="6" t="str">
        <f t="array" ref="I25">IFERROR(INDEX($B$22:$B$610,SMALL(IF($A$22:$A$610=I$21,ROW(Roads!$A$22:$A$610)),Roads!$E25)-ROW(RoadList)),"")</f>
        <v/>
      </c>
      <c r="J25" s="6" t="str">
        <f t="array" ref="J25">IFERROR(INDEX($B$22:$B$610,SMALL(IF($A$22:$A$610=J$21,ROW(Roads!$A$22:$A$610)),Roads!$E25)-ROW(RoadList)),"")</f>
        <v/>
      </c>
      <c r="K25" s="6" t="str">
        <f t="array" ref="K25">IFERROR(INDEX($B$22:$B$610,SMALL(IF($A$22:$A$610=K$21,ROW(Roads!$A$22:$A$610)),Roads!$E25)-ROW(RoadList)),"")</f>
        <v/>
      </c>
      <c r="L25" s="6" t="str">
        <f t="array" ref="L25">IFERROR(INDEX($B$22:$B$610,SMALL(IF($A$22:$A$610=L$21,ROW(Roads!$A$22:$A$610)),Roads!$E25)-ROW(RoadList)),"")</f>
        <v/>
      </c>
      <c r="M25" s="6" t="str">
        <f t="array" ref="M25">IFERROR(INDEX($B$22:$B$610,SMALL(IF($A$22:$A$610=M$21,ROW(Roads!$A$22:$A$610)),Roads!$E25)-ROW(RoadList)),"")</f>
        <v/>
      </c>
      <c r="N25" s="6" t="str">
        <f t="array" ref="N25">IFERROR(INDEX($B$22:$B$610,SMALL(IF($A$22:$A$610=N$21,ROW(Roads!$A$22:$A$610)),Roads!$E25)-ROW(RoadList)),"")</f>
        <v/>
      </c>
      <c r="O25" s="6" t="str">
        <f t="array" ref="O25">IFERROR(INDEX($B$22:$B$610,SMALL(IF($A$22:$A$610=O$21,ROW(Roads!$A$22:$A$610)),Roads!$E25)-ROW(RoadList)),"")</f>
        <v/>
      </c>
      <c r="P25" s="6" t="str">
        <f t="array" ref="P25">IFERROR(INDEX($B$22:$B$610,SMALL(IF($A$22:$A$610=P$21,ROW(Roads!$A$22:$A$610)),Roads!$E25)-ROW(RoadList)),"")</f>
        <v/>
      </c>
    </row>
    <row r="26" spans="1:21">
      <c r="A26" s="5"/>
      <c r="B26" s="5"/>
      <c r="C26" t="s">
        <v>5</v>
      </c>
      <c r="D26" t="s">
        <v>8</v>
      </c>
      <c r="E26" s="6">
        <f t="shared" si="14"/>
        <v>5</v>
      </c>
      <c r="F26" s="6" t="str">
        <f t="array" ref="F26">IFERROR(INDEX($B$22:$B$610,SMALL(IF($A$22:$A$610=F$21,ROW(Roads!$A$22:$A$610)),Roads!$E26)-ROW(RoadList)),"")</f>
        <v/>
      </c>
      <c r="G26" s="6" t="str">
        <f t="array" ref="G26">IFERROR(INDEX($B$22:$B$610,SMALL(IF($A$22:$A$610=G$21,ROW(Roads!$A$22:$A$610)),Roads!$E26)-ROW(RoadList)),"")</f>
        <v/>
      </c>
      <c r="H26" s="6" t="str">
        <f t="array" ref="H26">IFERROR(INDEX($B$22:$B$610,SMALL(IF($A$22:$A$610=H$21,ROW(Roads!$A$22:$A$610)),Roads!$E26)-ROW(RoadList)),"")</f>
        <v/>
      </c>
      <c r="I26" s="6" t="str">
        <f t="array" ref="I26">IFERROR(INDEX($B$22:$B$610,SMALL(IF($A$22:$A$610=I$21,ROW(Roads!$A$22:$A$610)),Roads!$E26)-ROW(RoadList)),"")</f>
        <v/>
      </c>
      <c r="J26" s="6" t="str">
        <f t="array" ref="J26">IFERROR(INDEX($B$22:$B$610,SMALL(IF($A$22:$A$610=J$21,ROW(Roads!$A$22:$A$610)),Roads!$E26)-ROW(RoadList)),"")</f>
        <v/>
      </c>
      <c r="K26" s="6" t="str">
        <f t="array" ref="K26">IFERROR(INDEX($B$22:$B$610,SMALL(IF($A$22:$A$610=K$21,ROW(Roads!$A$22:$A$610)),Roads!$E26)-ROW(RoadList)),"")</f>
        <v/>
      </c>
      <c r="L26" s="6" t="str">
        <f t="array" ref="L26">IFERROR(INDEX($B$22:$B$610,SMALL(IF($A$22:$A$610=L$21,ROW(Roads!$A$22:$A$610)),Roads!$E26)-ROW(RoadList)),"")</f>
        <v/>
      </c>
      <c r="M26" s="6" t="str">
        <f t="array" ref="M26">IFERROR(INDEX($B$22:$B$610,SMALL(IF($A$22:$A$610=M$21,ROW(Roads!$A$22:$A$610)),Roads!$E26)-ROW(RoadList)),"")</f>
        <v/>
      </c>
      <c r="N26" s="6" t="str">
        <f t="array" ref="N26">IFERROR(INDEX($B$22:$B$610,SMALL(IF($A$22:$A$610=N$21,ROW(Roads!$A$22:$A$610)),Roads!$E26)-ROW(RoadList)),"")</f>
        <v/>
      </c>
      <c r="O26" s="6" t="str">
        <f t="array" ref="O26">IFERROR(INDEX($B$22:$B$610,SMALL(IF($A$22:$A$610=O$21,ROW(Roads!$A$22:$A$610)),Roads!$E26)-ROW(RoadList)),"")</f>
        <v/>
      </c>
      <c r="P26" s="6" t="str">
        <f t="array" ref="P26">IFERROR(INDEX($B$22:$B$610,SMALL(IF($A$22:$A$610=P$21,ROW(Roads!$A$22:$A$610)),Roads!$E26)-ROW(RoadList)),"")</f>
        <v/>
      </c>
    </row>
    <row r="27" spans="1:21">
      <c r="A27" s="5"/>
      <c r="B27" s="5"/>
      <c r="C27" t="s">
        <v>5</v>
      </c>
      <c r="D27" t="s">
        <v>11</v>
      </c>
      <c r="E27" s="6">
        <f t="shared" si="14"/>
        <v>6</v>
      </c>
      <c r="F27" s="6" t="str">
        <f t="array" ref="F27">IFERROR(INDEX($B$22:$B$610,SMALL(IF($A$22:$A$610=F$21,ROW(Roads!$A$22:$A$610)),Roads!$E27)-ROW(RoadList)),"")</f>
        <v/>
      </c>
      <c r="G27" s="6" t="str">
        <f t="array" ref="G27">IFERROR(INDEX($B$22:$B$610,SMALL(IF($A$22:$A$610=G$21,ROW(Roads!$A$22:$A$610)),Roads!$E27)-ROW(RoadList)),"")</f>
        <v/>
      </c>
      <c r="H27" s="6" t="str">
        <f t="array" ref="H27">IFERROR(INDEX($B$22:$B$610,SMALL(IF($A$22:$A$610=H$21,ROW(Roads!$A$22:$A$610)),Roads!$E27)-ROW(RoadList)),"")</f>
        <v/>
      </c>
      <c r="I27" s="6" t="str">
        <f t="array" ref="I27">IFERROR(INDEX($B$22:$B$610,SMALL(IF($A$22:$A$610=I$21,ROW(Roads!$A$22:$A$610)),Roads!$E27)-ROW(RoadList)),"")</f>
        <v/>
      </c>
      <c r="J27" s="6" t="str">
        <f t="array" ref="J27">IFERROR(INDEX($B$22:$B$610,SMALL(IF($A$22:$A$610=J$21,ROW(Roads!$A$22:$A$610)),Roads!$E27)-ROW(RoadList)),"")</f>
        <v/>
      </c>
      <c r="K27" s="6" t="str">
        <f t="array" ref="K27">IFERROR(INDEX($B$22:$B$610,SMALL(IF($A$22:$A$610=K$21,ROW(Roads!$A$22:$A$610)),Roads!$E27)-ROW(RoadList)),"")</f>
        <v/>
      </c>
      <c r="L27" s="6" t="str">
        <f t="array" ref="L27">IFERROR(INDEX($B$22:$B$610,SMALL(IF($A$22:$A$610=L$21,ROW(Roads!$A$22:$A$610)),Roads!$E27)-ROW(RoadList)),"")</f>
        <v/>
      </c>
      <c r="M27" s="6" t="str">
        <f t="array" ref="M27">IFERROR(INDEX($B$22:$B$610,SMALL(IF($A$22:$A$610=M$21,ROW(Roads!$A$22:$A$610)),Roads!$E27)-ROW(RoadList)),"")</f>
        <v/>
      </c>
      <c r="N27" s="6" t="str">
        <f t="array" ref="N27">IFERROR(INDEX($B$22:$B$610,SMALL(IF($A$22:$A$610=N$21,ROW(Roads!$A$22:$A$610)),Roads!$E27)-ROW(RoadList)),"")</f>
        <v/>
      </c>
      <c r="O27" s="6" t="str">
        <f t="array" ref="O27">IFERROR(INDEX($B$22:$B$610,SMALL(IF($A$22:$A$610=O$21,ROW(Roads!$A$22:$A$610)),Roads!$E27)-ROW(RoadList)),"")</f>
        <v/>
      </c>
      <c r="P27" s="6" t="str">
        <f t="array" ref="P27">IFERROR(INDEX($B$22:$B$610,SMALL(IF($A$22:$A$610=P$21,ROW(Roads!$A$22:$A$610)),Roads!$E27)-ROW(RoadList)),"")</f>
        <v/>
      </c>
    </row>
    <row r="28" spans="1:21">
      <c r="A28" s="5"/>
      <c r="B28" s="5"/>
      <c r="C28" t="s">
        <v>5</v>
      </c>
      <c r="D28" t="s">
        <v>12</v>
      </c>
      <c r="E28" s="6">
        <f t="shared" si="14"/>
        <v>7</v>
      </c>
      <c r="F28" s="6" t="str">
        <f t="array" ref="F28">IFERROR(INDEX($B$22:$B$610,SMALL(IF($A$22:$A$610=F$21,ROW(Roads!$A$22:$A$610)),Roads!$E28)-ROW(RoadList)),"")</f>
        <v/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/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/>
      </c>
      <c r="P28" s="6" t="str">
        <f t="array" ref="P28">IFERROR(INDEX($B$22:$B$610,SMALL(IF($A$22:$A$610=P$21,ROW(Roads!$A$22:$A$610)),Roads!$E28)-ROW(RoadList)),"")</f>
        <v/>
      </c>
    </row>
    <row r="29" spans="1:21">
      <c r="A29" s="5"/>
      <c r="B29" s="5"/>
      <c r="C29" t="s">
        <v>5</v>
      </c>
      <c r="D29" t="s">
        <v>19</v>
      </c>
      <c r="E29" s="6">
        <f t="shared" si="14"/>
        <v>8</v>
      </c>
      <c r="F29" s="6" t="str">
        <f t="array" ref="F29">IFERROR(INDEX($B$22:$B$610,SMALL(IF($A$22:$A$610=F$21,ROW(Roads!$A$22:$A$610)),Roads!$E29)-ROW(RoadList)),"")</f>
        <v/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/>
      <c r="B30" s="5"/>
      <c r="C30" t="s">
        <v>5</v>
      </c>
      <c r="D30" t="s">
        <v>13</v>
      </c>
      <c r="E30" s="6">
        <f t="shared" si="14"/>
        <v>9</v>
      </c>
      <c r="F30" s="6" t="str">
        <f t="array" ref="F30">IFERROR(INDEX($B$22:$B$610,SMALL(IF($A$22:$A$610=F$21,ROW(Roads!$A$22:$A$610)),Roads!$E30)-ROW(RoadList)),"")</f>
        <v/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/>
      <c r="B31" s="5"/>
      <c r="C31" t="s">
        <v>5</v>
      </c>
      <c r="D31" t="s">
        <v>14</v>
      </c>
      <c r="E31" s="6">
        <f t="shared" si="14"/>
        <v>10</v>
      </c>
      <c r="F31" s="6" t="str">
        <f t="array" ref="F31">IFERROR(INDEX($B$22:$B$610,SMALL(IF($A$22:$A$610=F$21,ROW(Roads!$A$22:$A$610)),Roads!$E31)-ROW(RoadList)),"")</f>
        <v/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/>
      <c r="B32" s="5"/>
      <c r="C32" t="s">
        <v>6</v>
      </c>
      <c r="D32" t="s">
        <v>5</v>
      </c>
      <c r="E32" s="6">
        <f t="shared" si="14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/>
      <c r="B33" s="5"/>
      <c r="C33" t="s">
        <v>6</v>
      </c>
      <c r="D33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/>
      <c r="B34" s="5"/>
      <c r="C34" t="s">
        <v>6</v>
      </c>
      <c r="D34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/>
      <c r="B35" s="5"/>
      <c r="C35" t="s">
        <v>6</v>
      </c>
      <c r="D3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/>
      <c r="B36" s="5"/>
      <c r="C36" t="s">
        <v>6</v>
      </c>
      <c r="D36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/>
      <c r="B37" s="5"/>
      <c r="C37" t="s">
        <v>6</v>
      </c>
      <c r="D37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/>
      <c r="B38" s="5"/>
      <c r="C38" t="s">
        <v>7</v>
      </c>
      <c r="D38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  <c r="C39" t="s">
        <v>7</v>
      </c>
      <c r="D39" t="s">
        <v>8</v>
      </c>
    </row>
    <row r="40" spans="1:16">
      <c r="A40" s="5"/>
      <c r="B40" s="5"/>
      <c r="C40" t="s">
        <v>7</v>
      </c>
      <c r="D40" t="s">
        <v>11</v>
      </c>
    </row>
    <row r="41" spans="1:16">
      <c r="A41" s="5"/>
      <c r="B41" s="5"/>
      <c r="C41" t="s">
        <v>7</v>
      </c>
      <c r="D41" t="s">
        <v>19</v>
      </c>
    </row>
    <row r="42" spans="1:16">
      <c r="A42" s="5"/>
      <c r="B42" s="5"/>
      <c r="C42" t="s">
        <v>7</v>
      </c>
      <c r="D42" t="s">
        <v>13</v>
      </c>
    </row>
    <row r="43" spans="1:16">
      <c r="A43" s="5"/>
      <c r="B43" s="5"/>
      <c r="C43" t="s">
        <v>7</v>
      </c>
      <c r="D43" t="s">
        <v>14</v>
      </c>
    </row>
    <row r="44" spans="1:16">
      <c r="A44" s="5"/>
      <c r="B44" s="5"/>
      <c r="C44" t="s">
        <v>9</v>
      </c>
      <c r="D44" t="s">
        <v>5</v>
      </c>
    </row>
    <row r="45" spans="1:16">
      <c r="A45" s="5"/>
      <c r="B45" s="5"/>
      <c r="C45" t="s">
        <v>9</v>
      </c>
      <c r="D45" t="s">
        <v>10</v>
      </c>
    </row>
    <row r="46" spans="1:16">
      <c r="A46" s="5"/>
      <c r="B46" s="5"/>
      <c r="C46" t="s">
        <v>9</v>
      </c>
      <c r="D46" t="s">
        <v>8</v>
      </c>
    </row>
    <row r="47" spans="1:16">
      <c r="A47" s="5"/>
      <c r="B47" s="5"/>
      <c r="C47" t="s">
        <v>9</v>
      </c>
      <c r="D47" t="s">
        <v>11</v>
      </c>
    </row>
    <row r="48" spans="1:16">
      <c r="A48" s="5"/>
      <c r="B48" s="5"/>
      <c r="C48" t="s">
        <v>9</v>
      </c>
      <c r="D48" t="s">
        <v>12</v>
      </c>
    </row>
    <row r="49" spans="1:4">
      <c r="A49" s="5"/>
      <c r="B49" s="5"/>
      <c r="C49" t="s">
        <v>9</v>
      </c>
      <c r="D49" t="s">
        <v>14</v>
      </c>
    </row>
    <row r="50" spans="1:4">
      <c r="A50" s="5"/>
      <c r="B50" s="5"/>
      <c r="C50" t="s">
        <v>10</v>
      </c>
      <c r="D50" t="s">
        <v>5</v>
      </c>
    </row>
    <row r="51" spans="1:4">
      <c r="A51" s="5"/>
      <c r="B51" s="5"/>
      <c r="C51" t="s">
        <v>10</v>
      </c>
      <c r="D51" t="s">
        <v>6</v>
      </c>
    </row>
    <row r="52" spans="1:4">
      <c r="A52" s="5"/>
      <c r="B52" s="5"/>
      <c r="C52" t="s">
        <v>10</v>
      </c>
      <c r="D52" t="s">
        <v>9</v>
      </c>
    </row>
    <row r="53" spans="1:4">
      <c r="A53" s="5"/>
      <c r="B53" s="5"/>
      <c r="C53" t="s">
        <v>10</v>
      </c>
      <c r="D53" t="s">
        <v>12</v>
      </c>
    </row>
    <row r="54" spans="1:4">
      <c r="A54" s="5"/>
      <c r="B54" s="5"/>
      <c r="C54" t="s">
        <v>10</v>
      </c>
      <c r="D54" t="s">
        <v>19</v>
      </c>
    </row>
    <row r="55" spans="1:4">
      <c r="A55" s="5"/>
      <c r="B55" s="5"/>
      <c r="C55" t="s">
        <v>10</v>
      </c>
      <c r="D55" t="s">
        <v>13</v>
      </c>
    </row>
    <row r="56" spans="1:4">
      <c r="A56" s="5"/>
      <c r="B56" s="5"/>
      <c r="C56" t="s">
        <v>10</v>
      </c>
      <c r="D56" t="s">
        <v>14</v>
      </c>
    </row>
    <row r="57" spans="1:4">
      <c r="A57" s="5"/>
      <c r="B57" s="5"/>
      <c r="C57" t="s">
        <v>8</v>
      </c>
      <c r="D57" t="s">
        <v>5</v>
      </c>
    </row>
    <row r="58" spans="1:4">
      <c r="A58" s="5"/>
      <c r="B58" s="5"/>
      <c r="C58" t="s">
        <v>8</v>
      </c>
      <c r="D58" t="s">
        <v>6</v>
      </c>
    </row>
    <row r="59" spans="1:4">
      <c r="A59" s="5"/>
      <c r="B59" s="5"/>
      <c r="C59" t="s">
        <v>8</v>
      </c>
      <c r="D59" t="s">
        <v>7</v>
      </c>
    </row>
    <row r="60" spans="1:4">
      <c r="A60" s="5"/>
      <c r="B60" s="5"/>
      <c r="C60" t="s">
        <v>8</v>
      </c>
      <c r="D60" t="s">
        <v>9</v>
      </c>
    </row>
    <row r="61" spans="1:4">
      <c r="A61" s="5"/>
      <c r="B61" s="5"/>
      <c r="C61" t="s">
        <v>8</v>
      </c>
      <c r="D61" t="s">
        <v>12</v>
      </c>
    </row>
    <row r="62" spans="1:4">
      <c r="A62" s="5"/>
      <c r="B62" s="5"/>
      <c r="C62" t="s">
        <v>8</v>
      </c>
      <c r="D62" t="s">
        <v>14</v>
      </c>
    </row>
    <row r="63" spans="1:4">
      <c r="A63" s="5"/>
      <c r="B63" s="5"/>
      <c r="C63" t="s">
        <v>11</v>
      </c>
      <c r="D63" t="s">
        <v>5</v>
      </c>
    </row>
    <row r="64" spans="1:4">
      <c r="A64" s="5"/>
      <c r="B64" s="5"/>
      <c r="C64" t="s">
        <v>11</v>
      </c>
      <c r="D64" t="s">
        <v>6</v>
      </c>
    </row>
    <row r="65" spans="1:4">
      <c r="A65" s="5"/>
      <c r="B65" s="5"/>
      <c r="C65" t="s">
        <v>11</v>
      </c>
      <c r="D65" t="s">
        <v>7</v>
      </c>
    </row>
    <row r="66" spans="1:4">
      <c r="A66" s="5"/>
      <c r="B66" s="5"/>
      <c r="C66" t="s">
        <v>11</v>
      </c>
      <c r="D66" t="s">
        <v>9</v>
      </c>
    </row>
    <row r="67" spans="1:4">
      <c r="A67" s="5"/>
      <c r="B67" s="5"/>
      <c r="C67" t="s">
        <v>11</v>
      </c>
      <c r="D67" t="s">
        <v>19</v>
      </c>
    </row>
    <row r="68" spans="1:4">
      <c r="A68" s="5"/>
      <c r="B68" s="5"/>
      <c r="C68" t="s">
        <v>11</v>
      </c>
      <c r="D68" t="s">
        <v>13</v>
      </c>
    </row>
    <row r="69" spans="1:4">
      <c r="A69" s="5"/>
      <c r="B69" s="5"/>
      <c r="C69" t="s">
        <v>12</v>
      </c>
      <c r="D69" t="s">
        <v>5</v>
      </c>
    </row>
    <row r="70" spans="1:4">
      <c r="A70" s="5"/>
      <c r="B70" s="5"/>
      <c r="C70" t="s">
        <v>12</v>
      </c>
      <c r="D70" t="s">
        <v>6</v>
      </c>
    </row>
    <row r="71" spans="1:4">
      <c r="A71" s="5"/>
      <c r="B71" s="5"/>
      <c r="C71" t="s">
        <v>12</v>
      </c>
      <c r="D71" t="s">
        <v>9</v>
      </c>
    </row>
    <row r="72" spans="1:4">
      <c r="A72" s="5"/>
      <c r="B72" s="5"/>
      <c r="C72" t="s">
        <v>12</v>
      </c>
      <c r="D72" t="s">
        <v>10</v>
      </c>
    </row>
    <row r="73" spans="1:4">
      <c r="A73" s="5"/>
      <c r="B73" s="5"/>
      <c r="C73" t="s">
        <v>12</v>
      </c>
      <c r="D73" t="s">
        <v>8</v>
      </c>
    </row>
    <row r="74" spans="1:4">
      <c r="A74" s="5"/>
      <c r="B74" s="5"/>
      <c r="C74" t="s">
        <v>12</v>
      </c>
      <c r="D74" t="s">
        <v>13</v>
      </c>
    </row>
    <row r="75" spans="1:4">
      <c r="A75" s="5"/>
      <c r="B75" s="5"/>
      <c r="C75" t="s">
        <v>19</v>
      </c>
      <c r="D75" t="s">
        <v>5</v>
      </c>
    </row>
    <row r="76" spans="1:4">
      <c r="A76" s="5"/>
      <c r="B76" s="5"/>
      <c r="C76" t="s">
        <v>19</v>
      </c>
      <c r="D76" t="s">
        <v>6</v>
      </c>
    </row>
    <row r="77" spans="1:4">
      <c r="A77" s="5"/>
      <c r="B77" s="5"/>
      <c r="C77" t="s">
        <v>19</v>
      </c>
      <c r="D77" t="s">
        <v>7</v>
      </c>
    </row>
    <row r="78" spans="1:4">
      <c r="A78" s="5"/>
      <c r="B78" s="5"/>
      <c r="C78" t="s">
        <v>19</v>
      </c>
      <c r="D78" t="s">
        <v>10</v>
      </c>
    </row>
    <row r="79" spans="1:4">
      <c r="A79" s="5"/>
      <c r="B79" s="5"/>
      <c r="C79" t="s">
        <v>19</v>
      </c>
      <c r="D79" t="s">
        <v>11</v>
      </c>
    </row>
    <row r="80" spans="1:4">
      <c r="A80" s="5"/>
      <c r="B80" s="5"/>
      <c r="C80" t="s">
        <v>19</v>
      </c>
      <c r="D80" t="s">
        <v>13</v>
      </c>
    </row>
    <row r="81" spans="1:4">
      <c r="A81" s="5"/>
      <c r="B81" s="5"/>
      <c r="C81" t="s">
        <v>19</v>
      </c>
      <c r="D81" t="s">
        <v>14</v>
      </c>
    </row>
    <row r="82" spans="1:4">
      <c r="A82" s="5"/>
      <c r="B82" s="5"/>
      <c r="C82" t="s">
        <v>13</v>
      </c>
      <c r="D82" t="s">
        <v>5</v>
      </c>
    </row>
    <row r="83" spans="1:4">
      <c r="A83" s="5"/>
      <c r="B83" s="5"/>
      <c r="C83" t="s">
        <v>13</v>
      </c>
      <c r="D83" t="s">
        <v>7</v>
      </c>
    </row>
    <row r="84" spans="1:4">
      <c r="A84" s="5"/>
      <c r="B84" s="5"/>
      <c r="C84" t="s">
        <v>13</v>
      </c>
      <c r="D84" t="s">
        <v>10</v>
      </c>
    </row>
    <row r="85" spans="1:4">
      <c r="A85" s="5"/>
      <c r="B85" s="5"/>
      <c r="C85" t="s">
        <v>13</v>
      </c>
      <c r="D85" t="s">
        <v>11</v>
      </c>
    </row>
    <row r="86" spans="1:4">
      <c r="A86" s="5"/>
      <c r="B86" s="5"/>
      <c r="C86" t="s">
        <v>13</v>
      </c>
      <c r="D86" t="s">
        <v>12</v>
      </c>
    </row>
    <row r="87" spans="1:4">
      <c r="A87" s="5"/>
      <c r="B87" s="5"/>
      <c r="C87" t="s">
        <v>13</v>
      </c>
      <c r="D87" t="s">
        <v>19</v>
      </c>
    </row>
    <row r="88" spans="1:4">
      <c r="A88" s="5"/>
      <c r="B88" s="5"/>
      <c r="C88" t="s">
        <v>14</v>
      </c>
      <c r="D88" t="s">
        <v>5</v>
      </c>
    </row>
    <row r="89" spans="1:4">
      <c r="A89" s="5"/>
      <c r="B89" s="5"/>
      <c r="C89" t="s">
        <v>14</v>
      </c>
      <c r="D89" t="s">
        <v>7</v>
      </c>
    </row>
    <row r="90" spans="1:4">
      <c r="A90" s="5"/>
      <c r="B90" s="5"/>
      <c r="C90" t="s">
        <v>14</v>
      </c>
      <c r="D90" t="s">
        <v>9</v>
      </c>
    </row>
    <row r="91" spans="1:4">
      <c r="A91" s="5"/>
      <c r="B91" s="5"/>
      <c r="C91" t="s">
        <v>14</v>
      </c>
      <c r="D91" t="s">
        <v>10</v>
      </c>
    </row>
    <row r="92" spans="1:4">
      <c r="A92" s="5"/>
      <c r="B92" s="5"/>
      <c r="C92" t="s">
        <v>14</v>
      </c>
      <c r="D92" t="s">
        <v>8</v>
      </c>
    </row>
    <row r="93" spans="1:4">
      <c r="A93" s="5"/>
      <c r="B93" s="5"/>
      <c r="C93" t="s">
        <v>14</v>
      </c>
      <c r="D93" t="s">
        <v>11</v>
      </c>
    </row>
    <row r="94" spans="1:4">
      <c r="A94" s="5"/>
      <c r="B94" s="5"/>
      <c r="C94" t="s">
        <v>14</v>
      </c>
      <c r="D94" t="s">
        <v>19</v>
      </c>
    </row>
    <row r="95" spans="1:4">
      <c r="A95" s="5"/>
      <c r="B95" s="5"/>
    </row>
    <row r="96" spans="1:4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>
      <selection activeCell="Q10" sqref="Q10"/>
    </sheetView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13.330872016745298</v>
      </c>
      <c r="R3">
        <f t="shared" ca="1" si="2"/>
        <v>13.342758066594104</v>
      </c>
      <c r="S3">
        <f t="shared" ca="1" si="2"/>
        <v>12.556562705332706</v>
      </c>
      <c r="T3">
        <f t="shared" ca="1" si="2"/>
        <v>13.663737174842611</v>
      </c>
      <c r="U3">
        <f t="shared" ca="1" si="2"/>
        <v>10.03805565268485</v>
      </c>
      <c r="V3">
        <f t="shared" ca="1" si="2"/>
        <v>12.257041807332699</v>
      </c>
      <c r="W3">
        <f t="shared" ca="1" si="2"/>
        <v>10.379831504880709</v>
      </c>
      <c r="X3">
        <f t="shared" ca="1" si="2"/>
        <v>14.066352779736917</v>
      </c>
      <c r="Y3">
        <f t="shared" ca="1" si="2"/>
        <v>13.001027947663747</v>
      </c>
      <c r="AA3" s="1" t="s">
        <v>6</v>
      </c>
      <c r="AB3">
        <v>500</v>
      </c>
      <c r="AD3">
        <f t="shared" ref="AC3:AL12" ca="1" si="3">300-50*RAND()</f>
        <v>274.59318632766991</v>
      </c>
      <c r="AE3">
        <f t="shared" ca="1" si="3"/>
        <v>267.84545635707082</v>
      </c>
      <c r="AF3">
        <f t="shared" ca="1" si="3"/>
        <v>290.68443537091628</v>
      </c>
      <c r="AG3">
        <f t="shared" ca="1" si="3"/>
        <v>267.098817598138</v>
      </c>
      <c r="AH3">
        <f t="shared" ca="1" si="3"/>
        <v>292.8153723987067</v>
      </c>
      <c r="AI3">
        <f t="shared" ca="1" si="3"/>
        <v>269.47876015665111</v>
      </c>
      <c r="AJ3">
        <f t="shared" ca="1" si="3"/>
        <v>295.26578714080938</v>
      </c>
      <c r="AK3">
        <f t="shared" ca="1" si="3"/>
        <v>290.20738771781333</v>
      </c>
      <c r="AL3">
        <f t="shared" ca="1" si="3"/>
        <v>259.6045064286925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11.72540278506248</v>
      </c>
      <c r="R4">
        <f t="shared" ca="1" si="2"/>
        <v>13.329098666239807</v>
      </c>
      <c r="S4">
        <f t="shared" ca="1" si="2"/>
        <v>10.556661947907383</v>
      </c>
      <c r="T4">
        <f t="shared" ca="1" si="2"/>
        <v>12.513322484966432</v>
      </c>
      <c r="U4">
        <f t="shared" ca="1" si="2"/>
        <v>13.507800851467659</v>
      </c>
      <c r="V4">
        <f t="shared" ca="1" si="2"/>
        <v>12.248529392130248</v>
      </c>
      <c r="W4">
        <f t="shared" ca="1" si="2"/>
        <v>13.361595413714653</v>
      </c>
      <c r="X4">
        <f t="shared" ca="1" si="2"/>
        <v>11.937986574574749</v>
      </c>
      <c r="Y4">
        <f t="shared" ca="1" si="2"/>
        <v>14.403161833700587</v>
      </c>
      <c r="AA4" s="1" t="s">
        <v>7</v>
      </c>
      <c r="AB4">
        <v>500</v>
      </c>
      <c r="AC4">
        <f t="shared" ca="1" si="3"/>
        <v>272.30832744424686</v>
      </c>
      <c r="AE4">
        <f t="shared" ca="1" si="3"/>
        <v>286.92540324525714</v>
      </c>
      <c r="AF4">
        <f t="shared" ca="1" si="3"/>
        <v>259.12217816463419</v>
      </c>
      <c r="AG4">
        <f t="shared" ca="1" si="3"/>
        <v>289.00557462238635</v>
      </c>
      <c r="AH4">
        <f t="shared" ca="1" si="3"/>
        <v>286.17485718992407</v>
      </c>
      <c r="AI4">
        <f t="shared" ca="1" si="3"/>
        <v>255.18017658040793</v>
      </c>
      <c r="AJ4">
        <f t="shared" ca="1" si="3"/>
        <v>268.26036664787449</v>
      </c>
      <c r="AK4">
        <f t="shared" ca="1" si="3"/>
        <v>275.9897209302282</v>
      </c>
      <c r="AL4">
        <f t="shared" ca="1" si="3"/>
        <v>259.71782598641107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10.787045372223536</v>
      </c>
      <c r="Q5">
        <f t="shared" ca="1" si="2"/>
        <v>13.984136997282171</v>
      </c>
      <c r="S5">
        <f t="shared" ca="1" si="2"/>
        <v>14.95048484390448</v>
      </c>
      <c r="T5">
        <f t="shared" ca="1" si="2"/>
        <v>10.355148092309181</v>
      </c>
      <c r="U5">
        <f t="shared" ca="1" si="2"/>
        <v>13.067209918474955</v>
      </c>
      <c r="V5">
        <f t="shared" ca="1" si="2"/>
        <v>12.348454836504734</v>
      </c>
      <c r="W5">
        <f t="shared" ca="1" si="2"/>
        <v>11.17104875376298</v>
      </c>
      <c r="X5">
        <f t="shared" ca="1" si="2"/>
        <v>11.856340933294504</v>
      </c>
      <c r="Y5">
        <f t="shared" ca="1" si="2"/>
        <v>12.792789782730171</v>
      </c>
      <c r="AA5" s="1" t="s">
        <v>8</v>
      </c>
      <c r="AB5">
        <v>500</v>
      </c>
      <c r="AC5">
        <f t="shared" ca="1" si="3"/>
        <v>269.43851729907732</v>
      </c>
      <c r="AD5">
        <f t="shared" ca="1" si="3"/>
        <v>284.55606217446484</v>
      </c>
      <c r="AF5">
        <f t="shared" ca="1" si="3"/>
        <v>258.12506674974389</v>
      </c>
      <c r="AG5">
        <f t="shared" ca="1" si="3"/>
        <v>256.99916881732645</v>
      </c>
      <c r="AH5">
        <f t="shared" ca="1" si="3"/>
        <v>271.21172461377677</v>
      </c>
      <c r="AI5">
        <f t="shared" ca="1" si="3"/>
        <v>296.63778023168993</v>
      </c>
      <c r="AJ5">
        <f t="shared" ca="1" si="3"/>
        <v>266.87792590849028</v>
      </c>
      <c r="AK5">
        <f t="shared" ca="1" si="3"/>
        <v>264.61653692186343</v>
      </c>
      <c r="AL5">
        <f t="shared" ca="1" si="3"/>
        <v>280.55462879088969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13.836907854878721</v>
      </c>
      <c r="Q6">
        <f t="shared" ca="1" si="2"/>
        <v>12.955315559336551</v>
      </c>
      <c r="R6">
        <f t="shared" ca="1" si="2"/>
        <v>14.806754029094588</v>
      </c>
      <c r="T6">
        <f t="shared" ca="1" si="2"/>
        <v>10.697358661723946</v>
      </c>
      <c r="U6">
        <f t="shared" ca="1" si="2"/>
        <v>10.767372905705912</v>
      </c>
      <c r="V6">
        <f t="shared" ca="1" si="2"/>
        <v>11.878680027523249</v>
      </c>
      <c r="W6">
        <f t="shared" ca="1" si="2"/>
        <v>11.296536708636999</v>
      </c>
      <c r="X6">
        <f t="shared" ca="1" si="2"/>
        <v>13.404794778779017</v>
      </c>
      <c r="Y6">
        <f t="shared" ca="1" si="2"/>
        <v>14.177663172456121</v>
      </c>
      <c r="AA6" s="1" t="s">
        <v>9</v>
      </c>
      <c r="AB6">
        <v>500</v>
      </c>
      <c r="AC6">
        <f t="shared" ca="1" si="3"/>
        <v>283.57948290654963</v>
      </c>
      <c r="AD6">
        <f t="shared" ca="1" si="3"/>
        <v>260.22439239577386</v>
      </c>
      <c r="AE6">
        <f t="shared" ca="1" si="3"/>
        <v>275.40537538593168</v>
      </c>
      <c r="AG6">
        <f t="shared" ca="1" si="3"/>
        <v>291.23639703688423</v>
      </c>
      <c r="AH6">
        <f t="shared" ca="1" si="3"/>
        <v>272.00599960827856</v>
      </c>
      <c r="AI6">
        <f t="shared" ca="1" si="3"/>
        <v>258.08940098118211</v>
      </c>
      <c r="AJ6">
        <f t="shared" ca="1" si="3"/>
        <v>271.70108048071165</v>
      </c>
      <c r="AK6">
        <f t="shared" ca="1" si="3"/>
        <v>277.25647665613411</v>
      </c>
      <c r="AL6">
        <f t="shared" ca="1" si="3"/>
        <v>282.04967802839479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12.127109668846586</v>
      </c>
      <c r="Q7">
        <f t="shared" ca="1" si="2"/>
        <v>14.906098571234589</v>
      </c>
      <c r="R7">
        <f t="shared" ca="1" si="2"/>
        <v>12.81249911211609</v>
      </c>
      <c r="S7">
        <f t="shared" ca="1" si="2"/>
        <v>11.506915821001979</v>
      </c>
      <c r="U7">
        <f t="shared" ca="1" si="2"/>
        <v>12.930898497038189</v>
      </c>
      <c r="V7">
        <f t="shared" ca="1" si="2"/>
        <v>14.737848939024902</v>
      </c>
      <c r="W7">
        <f t="shared" ca="1" si="2"/>
        <v>12.594190912587266</v>
      </c>
      <c r="X7">
        <f t="shared" ca="1" si="2"/>
        <v>13.511030998642054</v>
      </c>
      <c r="Y7">
        <f t="shared" ca="1" si="2"/>
        <v>11.267298946527774</v>
      </c>
      <c r="AA7" s="1" t="s">
        <v>10</v>
      </c>
      <c r="AB7">
        <v>500</v>
      </c>
      <c r="AC7">
        <f t="shared" ca="1" si="3"/>
        <v>252.54641681119853</v>
      </c>
      <c r="AD7">
        <f t="shared" ca="1" si="3"/>
        <v>278.58106557635057</v>
      </c>
      <c r="AE7">
        <f t="shared" ca="1" si="3"/>
        <v>298.47753253178172</v>
      </c>
      <c r="AF7">
        <f t="shared" ca="1" si="3"/>
        <v>260.89333782533316</v>
      </c>
      <c r="AH7">
        <f t="shared" ca="1" si="3"/>
        <v>287.44936217465636</v>
      </c>
      <c r="AI7">
        <f t="shared" ca="1" si="3"/>
        <v>263.97636339176398</v>
      </c>
      <c r="AJ7">
        <f t="shared" ca="1" si="3"/>
        <v>251.96082026444552</v>
      </c>
      <c r="AK7">
        <f t="shared" ca="1" si="3"/>
        <v>268.20120247020083</v>
      </c>
      <c r="AL7">
        <f t="shared" ca="1" si="3"/>
        <v>298.17396743362332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11.71156659515345</v>
      </c>
      <c r="Q8">
        <f t="shared" ca="1" si="2"/>
        <v>14.599391405854995</v>
      </c>
      <c r="R8">
        <f t="shared" ca="1" si="2"/>
        <v>13.9187699935382</v>
      </c>
      <c r="S8">
        <f t="shared" ca="1" si="2"/>
        <v>12.766291147567376</v>
      </c>
      <c r="T8">
        <f t="shared" ca="1" si="2"/>
        <v>11.344322586779583</v>
      </c>
      <c r="V8">
        <f t="shared" ca="1" si="2"/>
        <v>14.846080517691171</v>
      </c>
      <c r="W8">
        <f t="shared" ca="1" si="2"/>
        <v>12.468653514650923</v>
      </c>
      <c r="X8">
        <f t="shared" ca="1" si="2"/>
        <v>14.062905967083683</v>
      </c>
      <c r="Y8">
        <f t="shared" ca="1" si="2"/>
        <v>10.801595989436422</v>
      </c>
      <c r="AA8" s="1" t="s">
        <v>11</v>
      </c>
      <c r="AB8">
        <v>500</v>
      </c>
      <c r="AC8">
        <f t="shared" ca="1" si="3"/>
        <v>291.55135284522487</v>
      </c>
      <c r="AD8">
        <f t="shared" ca="1" si="3"/>
        <v>293.03511101244601</v>
      </c>
      <c r="AE8">
        <f t="shared" ca="1" si="3"/>
        <v>261.12100730782998</v>
      </c>
      <c r="AF8">
        <f t="shared" ca="1" si="3"/>
        <v>284.01531202961712</v>
      </c>
      <c r="AG8">
        <f t="shared" ca="1" si="3"/>
        <v>294.39056502400911</v>
      </c>
      <c r="AI8">
        <f t="shared" ca="1" si="3"/>
        <v>294.55722787239944</v>
      </c>
      <c r="AJ8">
        <f t="shared" ca="1" si="3"/>
        <v>268.00013004443667</v>
      </c>
      <c r="AK8">
        <f t="shared" ca="1" si="3"/>
        <v>283.85870626958587</v>
      </c>
      <c r="AL8">
        <f t="shared" ca="1" si="3"/>
        <v>250.33120953988183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14.151565756558057</v>
      </c>
      <c r="Q9">
        <f t="shared" ca="1" si="2"/>
        <v>12.902301651427694</v>
      </c>
      <c r="R9">
        <f t="shared" ca="1" si="2"/>
        <v>13.240216744798728</v>
      </c>
      <c r="S9">
        <f t="shared" ca="1" si="2"/>
        <v>14.307850181245733</v>
      </c>
      <c r="T9">
        <f t="shared" ca="1" si="2"/>
        <v>11.786456141917611</v>
      </c>
      <c r="U9">
        <f t="shared" ca="1" si="2"/>
        <v>10.449487008177821</v>
      </c>
      <c r="W9">
        <f t="shared" ca="1" si="2"/>
        <v>12.723758801121594</v>
      </c>
      <c r="X9">
        <f t="shared" ca="1" si="2"/>
        <v>14.714992596152619</v>
      </c>
      <c r="Y9">
        <f t="shared" ca="1" si="2"/>
        <v>14.956158766279625</v>
      </c>
      <c r="AA9" s="1" t="s">
        <v>12</v>
      </c>
      <c r="AB9">
        <v>500</v>
      </c>
      <c r="AC9">
        <f t="shared" ca="1" si="3"/>
        <v>282.45138257163649</v>
      </c>
      <c r="AD9">
        <f t="shared" ca="1" si="3"/>
        <v>279.11807073410984</v>
      </c>
      <c r="AE9">
        <f t="shared" ca="1" si="3"/>
        <v>278.46749381099119</v>
      </c>
      <c r="AF9">
        <f t="shared" ca="1" si="3"/>
        <v>285.46644926595445</v>
      </c>
      <c r="AG9">
        <f t="shared" ca="1" si="3"/>
        <v>266.79804848713405</v>
      </c>
      <c r="AH9">
        <f t="shared" ca="1" si="3"/>
        <v>268.80250080807036</v>
      </c>
      <c r="AJ9">
        <f t="shared" ca="1" si="3"/>
        <v>264.28527701453896</v>
      </c>
      <c r="AK9">
        <f t="shared" ca="1" si="3"/>
        <v>250.63715281226001</v>
      </c>
      <c r="AL9">
        <f t="shared" ca="1" si="3"/>
        <v>291.0356199889805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12.515733885421263</v>
      </c>
      <c r="Q10">
        <f t="shared" ca="1" si="2"/>
        <v>13.341119590666629</v>
      </c>
      <c r="R10">
        <f t="shared" ca="1" si="2"/>
        <v>11.431540934519981</v>
      </c>
      <c r="S10">
        <f t="shared" ca="1" si="2"/>
        <v>10.675718667025446</v>
      </c>
      <c r="T10">
        <f t="shared" ca="1" si="2"/>
        <v>14.785516111942496</v>
      </c>
      <c r="U10">
        <f t="shared" ca="1" si="2"/>
        <v>10.476467719542306</v>
      </c>
      <c r="V10">
        <f t="shared" ca="1" si="2"/>
        <v>13.368436721402105</v>
      </c>
      <c r="X10">
        <f t="shared" ca="1" si="2"/>
        <v>13.605551819011046</v>
      </c>
      <c r="Y10">
        <f t="shared" ca="1" si="2"/>
        <v>14.91122864336554</v>
      </c>
      <c r="AA10" s="1" t="s">
        <v>13</v>
      </c>
      <c r="AB10">
        <v>500</v>
      </c>
      <c r="AC10">
        <f t="shared" ca="1" si="3"/>
        <v>290.67989356128498</v>
      </c>
      <c r="AD10">
        <f t="shared" ca="1" si="3"/>
        <v>275.33556859105113</v>
      </c>
      <c r="AE10">
        <f t="shared" ca="1" si="3"/>
        <v>294.78748144956006</v>
      </c>
      <c r="AF10">
        <f t="shared" ca="1" si="3"/>
        <v>271.61418850487433</v>
      </c>
      <c r="AG10">
        <f t="shared" ca="1" si="3"/>
        <v>262.25960261101557</v>
      </c>
      <c r="AH10">
        <f t="shared" ca="1" si="3"/>
        <v>280.56450794683644</v>
      </c>
      <c r="AI10">
        <f t="shared" ca="1" si="3"/>
        <v>280.99471553145088</v>
      </c>
      <c r="AK10">
        <f t="shared" ca="1" si="3"/>
        <v>289.52863212402468</v>
      </c>
      <c r="AL10">
        <f t="shared" ca="1" si="3"/>
        <v>275.81621473239068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14.419878914674806</v>
      </c>
      <c r="Q11">
        <f t="shared" ca="1" si="2"/>
        <v>14.567431589456216</v>
      </c>
      <c r="R11">
        <f t="shared" ca="1" si="2"/>
        <v>13.164277337334562</v>
      </c>
      <c r="S11">
        <f t="shared" ca="1" si="2"/>
        <v>10.683960501651823</v>
      </c>
      <c r="T11">
        <f t="shared" ca="1" si="2"/>
        <v>10.156727482366458</v>
      </c>
      <c r="U11">
        <f t="shared" ca="1" si="2"/>
        <v>11.963446058995697</v>
      </c>
      <c r="V11">
        <f t="shared" ca="1" si="2"/>
        <v>11.975388599662203</v>
      </c>
      <c r="W11">
        <f t="shared" ca="1" si="2"/>
        <v>11.152464336263293</v>
      </c>
      <c r="Y11">
        <f t="shared" ca="1" si="2"/>
        <v>11.373663262135869</v>
      </c>
      <c r="AA11" s="1" t="s">
        <v>19</v>
      </c>
      <c r="AB11">
        <v>500</v>
      </c>
      <c r="AC11">
        <f t="shared" ca="1" si="3"/>
        <v>265.07375735402172</v>
      </c>
      <c r="AD11">
        <f t="shared" ca="1" si="3"/>
        <v>292.56782657380222</v>
      </c>
      <c r="AE11">
        <f t="shared" ca="1" si="3"/>
        <v>278.96915172041366</v>
      </c>
      <c r="AF11">
        <f t="shared" ca="1" si="3"/>
        <v>296.71361612318287</v>
      </c>
      <c r="AG11">
        <f t="shared" ca="1" si="3"/>
        <v>261.01377069443913</v>
      </c>
      <c r="AH11">
        <f t="shared" ca="1" si="3"/>
        <v>260.17245716874402</v>
      </c>
      <c r="AI11">
        <f t="shared" ca="1" si="3"/>
        <v>271.14513185322892</v>
      </c>
      <c r="AJ11">
        <f t="shared" ca="1" si="3"/>
        <v>294.37547233088532</v>
      </c>
      <c r="AL11">
        <f t="shared" ca="1" si="3"/>
        <v>275.16858361487346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13.948658280496032</v>
      </c>
      <c r="Q12">
        <f t="shared" ca="1" si="2"/>
        <v>13.367473253445379</v>
      </c>
      <c r="R12">
        <f t="shared" ca="1" si="2"/>
        <v>13.36671262032845</v>
      </c>
      <c r="S12">
        <f t="shared" ca="1" si="2"/>
        <v>14.536329598133394</v>
      </c>
      <c r="T12">
        <f t="shared" ca="1" si="2"/>
        <v>11.482213637998219</v>
      </c>
      <c r="U12">
        <f t="shared" ca="1" si="2"/>
        <v>13.091551798733216</v>
      </c>
      <c r="V12">
        <f t="shared" ca="1" si="2"/>
        <v>14.141777916263788</v>
      </c>
      <c r="W12">
        <f t="shared" ca="1" si="2"/>
        <v>13.410621245665631</v>
      </c>
      <c r="X12">
        <f t="shared" ca="1" si="2"/>
        <v>13.971498740877371</v>
      </c>
      <c r="AA12" s="1" t="s">
        <v>14</v>
      </c>
      <c r="AB12">
        <v>500</v>
      </c>
      <c r="AC12">
        <f t="shared" ca="1" si="3"/>
        <v>266.73262994355775</v>
      </c>
      <c r="AD12">
        <f t="shared" ca="1" si="3"/>
        <v>256.88986034556035</v>
      </c>
      <c r="AE12">
        <f t="shared" ca="1" si="3"/>
        <v>296.72923952483313</v>
      </c>
      <c r="AF12">
        <f t="shared" ca="1" si="3"/>
        <v>261.82191428704499</v>
      </c>
      <c r="AG12">
        <f t="shared" ca="1" si="3"/>
        <v>270.11477049134953</v>
      </c>
      <c r="AH12">
        <f t="shared" ca="1" si="3"/>
        <v>271.40949348430257</v>
      </c>
      <c r="AI12">
        <f t="shared" ca="1" si="3"/>
        <v>275.48124951098362</v>
      </c>
      <c r="AJ12">
        <f t="shared" ca="1" si="3"/>
        <v>284.3708963524623</v>
      </c>
      <c r="AK12">
        <f t="shared" ca="1" si="3"/>
        <v>256.57982665819026</v>
      </c>
    </row>
    <row r="18" spans="1:21">
      <c r="A18" t="s">
        <v>62</v>
      </c>
    </row>
    <row r="19" spans="1:21">
      <c r="A19" t="s">
        <v>61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63</v>
      </c>
      <c r="B21" s="1" t="s">
        <v>64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/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72"/>
  <sheetViews>
    <sheetView tabSelected="1" topLeftCell="A139" zoomScale="85" zoomScaleNormal="85" workbookViewId="0">
      <selection activeCell="B142" sqref="B142"/>
    </sheetView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>
        <f ca="1">IF(1-MOD(COLUMN(),2),20-RAND()*3,(10+RAND()*5)+2)</f>
        <v>16.15371870059759</v>
      </c>
      <c r="D3">
        <f t="shared" ref="D3:AH3" ca="1" si="2">IF(1-MOD(COLUMN(),2),20-RAND()*3,(10+RAND()*5)+2)</f>
        <v>19.669322994607626</v>
      </c>
      <c r="E3">
        <f t="shared" ca="1" si="2"/>
        <v>12.075013372924017</v>
      </c>
      <c r="F3">
        <f t="shared" ca="1" si="2"/>
        <v>17.727569548042926</v>
      </c>
      <c r="G3">
        <f t="shared" ca="1" si="2"/>
        <v>12.558686165999843</v>
      </c>
      <c r="H3">
        <f t="shared" ca="1" si="2"/>
        <v>18.841859523859959</v>
      </c>
      <c r="I3">
        <f t="shared" ca="1" si="2"/>
        <v>13.846277654352738</v>
      </c>
      <c r="J3">
        <f t="shared" ca="1" si="2"/>
        <v>18.204618195941059</v>
      </c>
      <c r="K3">
        <f t="shared" ca="1" si="2"/>
        <v>14.543093417508549</v>
      </c>
      <c r="L3">
        <f t="shared" ca="1" si="2"/>
        <v>19.203408373313763</v>
      </c>
      <c r="M3">
        <f t="shared" ca="1" si="2"/>
        <v>15.375249522367742</v>
      </c>
      <c r="N3">
        <f t="shared" ca="1" si="2"/>
        <v>17.136258917284998</v>
      </c>
      <c r="O3">
        <f t="shared" ca="1" si="2"/>
        <v>15.188627180056477</v>
      </c>
      <c r="P3">
        <f t="shared" ca="1" si="2"/>
        <v>17.904906948000928</v>
      </c>
      <c r="Q3">
        <f t="shared" ca="1" si="2"/>
        <v>16.666290557032568</v>
      </c>
      <c r="R3">
        <f t="shared" ca="1" si="2"/>
        <v>17.791023384826772</v>
      </c>
      <c r="S3">
        <f t="shared" ca="1" si="2"/>
        <v>12.159907649698303</v>
      </c>
      <c r="T3">
        <f t="shared" ca="1" si="2"/>
        <v>19.188847746807394</v>
      </c>
      <c r="U3">
        <f t="shared" ca="1" si="2"/>
        <v>16.960343716097839</v>
      </c>
      <c r="V3">
        <f t="shared" ca="1" si="2"/>
        <v>19.575701933881493</v>
      </c>
      <c r="W3">
        <f t="shared" ca="1" si="2"/>
        <v>15.091634858632759</v>
      </c>
      <c r="X3">
        <f t="shared" ca="1" si="2"/>
        <v>17.06830557503719</v>
      </c>
      <c r="Y3">
        <f t="shared" ca="1" si="2"/>
        <v>15.820013935625653</v>
      </c>
      <c r="Z3">
        <f t="shared" ca="1" si="2"/>
        <v>18.228683043518778</v>
      </c>
      <c r="AA3">
        <f t="shared" ca="1" si="2"/>
        <v>12.69161045821188</v>
      </c>
      <c r="AB3">
        <f t="shared" ca="1" si="2"/>
        <v>18.489157065522942</v>
      </c>
      <c r="AC3">
        <f t="shared" ca="1" si="2"/>
        <v>15.833058571867086</v>
      </c>
      <c r="AD3">
        <f t="shared" ca="1" si="2"/>
        <v>18.161624176523116</v>
      </c>
      <c r="AE3">
        <f t="shared" ca="1" si="2"/>
        <v>16.131435265474806</v>
      </c>
      <c r="AF3">
        <f t="shared" ca="1" si="2"/>
        <v>17.493270109991393</v>
      </c>
      <c r="AG3">
        <f t="shared" ca="1" si="2"/>
        <v>16.020144199039827</v>
      </c>
      <c r="AH3">
        <f t="shared" ca="1" si="2"/>
        <v>19.129664987234879</v>
      </c>
    </row>
    <row r="4" spans="1:34">
      <c r="A4" t="str">
        <f>CYF!A4</f>
        <v>Teff</v>
      </c>
      <c r="B4" t="str">
        <f>CYF!B4</f>
        <v>Afar</v>
      </c>
      <c r="C4">
        <f ca="1">IF(1-MOD(COLUMN(),2),20-RAND()*3,(10+RAND()*5)+2)-2</f>
        <v>10.466415355767799</v>
      </c>
      <c r="D4">
        <f t="shared" ref="D4:AH12" ca="1" si="3">IF(1-MOD(COLUMN(),2),20-RAND()*3,(10+RAND()*5)+2)-2</f>
        <v>16.698939401623228</v>
      </c>
      <c r="E4">
        <f t="shared" ca="1" si="3"/>
        <v>13.485575082935934</v>
      </c>
      <c r="F4">
        <f t="shared" ca="1" si="3"/>
        <v>16.183544971535557</v>
      </c>
      <c r="G4">
        <f t="shared" ca="1" si="3"/>
        <v>12.274061807698775</v>
      </c>
      <c r="H4">
        <f t="shared" ca="1" si="3"/>
        <v>16.894539456447429</v>
      </c>
      <c r="I4">
        <f t="shared" ca="1" si="3"/>
        <v>12.359101580899946</v>
      </c>
      <c r="J4">
        <f t="shared" ca="1" si="3"/>
        <v>15.249789204260477</v>
      </c>
      <c r="K4">
        <f t="shared" ca="1" si="3"/>
        <v>14.149877189832569</v>
      </c>
      <c r="L4">
        <f t="shared" ca="1" si="3"/>
        <v>15.157146820383765</v>
      </c>
      <c r="M4">
        <f t="shared" ca="1" si="3"/>
        <v>12.184247674235785</v>
      </c>
      <c r="N4">
        <f t="shared" ca="1" si="3"/>
        <v>15.545025594842741</v>
      </c>
      <c r="O4">
        <f t="shared" ca="1" si="3"/>
        <v>13.742751851512455</v>
      </c>
      <c r="P4">
        <f t="shared" ca="1" si="3"/>
        <v>16.318650847777334</v>
      </c>
      <c r="Q4">
        <f t="shared" ca="1" si="3"/>
        <v>11.373510266760221</v>
      </c>
      <c r="R4">
        <f t="shared" ca="1" si="3"/>
        <v>17.328731911220661</v>
      </c>
      <c r="S4">
        <f t="shared" ca="1" si="3"/>
        <v>11.971309449263561</v>
      </c>
      <c r="T4">
        <f t="shared" ca="1" si="3"/>
        <v>16.130578407769352</v>
      </c>
      <c r="U4">
        <f t="shared" ca="1" si="3"/>
        <v>13.132612508663239</v>
      </c>
      <c r="V4">
        <f t="shared" ca="1" si="3"/>
        <v>17.756521174790503</v>
      </c>
      <c r="W4">
        <f t="shared" ca="1" si="3"/>
        <v>13.092680568187578</v>
      </c>
      <c r="X4">
        <f t="shared" ca="1" si="3"/>
        <v>16.349595750462449</v>
      </c>
      <c r="Y4">
        <f t="shared" ca="1" si="3"/>
        <v>12.301959525752665</v>
      </c>
      <c r="Z4">
        <f t="shared" ca="1" si="3"/>
        <v>17.331537326240301</v>
      </c>
      <c r="AA4">
        <f t="shared" ca="1" si="3"/>
        <v>14.642364626389767</v>
      </c>
      <c r="AB4">
        <f t="shared" ca="1" si="3"/>
        <v>17.238666963111523</v>
      </c>
      <c r="AC4">
        <f t="shared" ca="1" si="3"/>
        <v>14.785657951644971</v>
      </c>
      <c r="AD4">
        <f t="shared" ca="1" si="3"/>
        <v>16.319132708895498</v>
      </c>
      <c r="AE4">
        <f t="shared" ca="1" si="3"/>
        <v>14.138584555259651</v>
      </c>
      <c r="AF4">
        <f t="shared" ca="1" si="3"/>
        <v>17.723997320944488</v>
      </c>
      <c r="AG4">
        <f t="shared" ca="1" si="3"/>
        <v>13.985603124098464</v>
      </c>
      <c r="AH4">
        <f t="shared" ca="1" si="3"/>
        <v>16.042464826578126</v>
      </c>
    </row>
    <row r="5" spans="1:34">
      <c r="A5" t="str">
        <f>CYF!A5</f>
        <v>Teff</v>
      </c>
      <c r="B5" t="str">
        <f>CYF!B5</f>
        <v>Amhara</v>
      </c>
      <c r="C5">
        <f t="shared" ref="C5:R14" ca="1" si="4">IF(1-MOD(COLUMN(),2),20-RAND()*3,(10+RAND()*5)+2)-2</f>
        <v>12.624548076480156</v>
      </c>
      <c r="D5">
        <f t="shared" ca="1" si="3"/>
        <v>15.158696773068669</v>
      </c>
      <c r="E5">
        <f t="shared" ca="1" si="3"/>
        <v>11.627704977924626</v>
      </c>
      <c r="F5">
        <f t="shared" ca="1" si="3"/>
        <v>16.638233938520827</v>
      </c>
      <c r="G5">
        <f t="shared" ca="1" si="3"/>
        <v>14.413376949926239</v>
      </c>
      <c r="H5">
        <f t="shared" ca="1" si="3"/>
        <v>17.211821097636737</v>
      </c>
      <c r="I5">
        <f t="shared" ca="1" si="3"/>
        <v>13.245255010743804</v>
      </c>
      <c r="J5">
        <f t="shared" ca="1" si="3"/>
        <v>15.684034577889875</v>
      </c>
      <c r="K5">
        <f t="shared" ca="1" si="3"/>
        <v>14.257601192688629</v>
      </c>
      <c r="L5">
        <f t="shared" ca="1" si="3"/>
        <v>16.17595690363661</v>
      </c>
      <c r="M5">
        <f t="shared" ca="1" si="3"/>
        <v>12.980562640382791</v>
      </c>
      <c r="N5">
        <f t="shared" ca="1" si="3"/>
        <v>17.634263211777409</v>
      </c>
      <c r="O5">
        <f t="shared" ca="1" si="3"/>
        <v>10.191541409614016</v>
      </c>
      <c r="P5">
        <f t="shared" ca="1" si="3"/>
        <v>17.756387402616827</v>
      </c>
      <c r="Q5">
        <f t="shared" ca="1" si="3"/>
        <v>10.562292470398431</v>
      </c>
      <c r="R5">
        <f t="shared" ca="1" si="3"/>
        <v>15.295010834760937</v>
      </c>
      <c r="S5">
        <f t="shared" ca="1" si="3"/>
        <v>11.121451752550646</v>
      </c>
      <c r="T5">
        <f t="shared" ca="1" si="3"/>
        <v>17.566921816897327</v>
      </c>
      <c r="U5">
        <f t="shared" ca="1" si="3"/>
        <v>10.015964656122586</v>
      </c>
      <c r="V5">
        <f t="shared" ca="1" si="3"/>
        <v>15.594183296055999</v>
      </c>
      <c r="W5">
        <f t="shared" ca="1" si="3"/>
        <v>13.809039995976951</v>
      </c>
      <c r="X5">
        <f t="shared" ca="1" si="3"/>
        <v>17.852459810163012</v>
      </c>
      <c r="Y5">
        <f t="shared" ca="1" si="3"/>
        <v>11.750498986082675</v>
      </c>
      <c r="Z5">
        <f t="shared" ca="1" si="3"/>
        <v>17.149534677531232</v>
      </c>
      <c r="AA5">
        <f t="shared" ca="1" si="3"/>
        <v>11.090567719710201</v>
      </c>
      <c r="AB5">
        <f t="shared" ca="1" si="3"/>
        <v>16.625864749933779</v>
      </c>
      <c r="AC5">
        <f t="shared" ca="1" si="3"/>
        <v>12.648651545261117</v>
      </c>
      <c r="AD5">
        <f t="shared" ca="1" si="3"/>
        <v>15.405047873215711</v>
      </c>
      <c r="AE5">
        <f t="shared" ca="1" si="3"/>
        <v>11.437133311643361</v>
      </c>
      <c r="AF5">
        <f t="shared" ca="1" si="3"/>
        <v>15.190053361456258</v>
      </c>
      <c r="AG5">
        <f t="shared" ca="1" si="3"/>
        <v>10.470416228718905</v>
      </c>
      <c r="AH5">
        <f t="shared" ca="1" si="3"/>
        <v>17.88083436031512</v>
      </c>
    </row>
    <row r="6" spans="1:34">
      <c r="A6" t="str">
        <f>CYF!A6</f>
        <v>Teff</v>
      </c>
      <c r="B6" t="str">
        <f>CYF!B6</f>
        <v>Gumuz</v>
      </c>
      <c r="C6">
        <f t="shared" ca="1" si="4"/>
        <v>12.78065528136537</v>
      </c>
      <c r="D6">
        <f t="shared" ca="1" si="3"/>
        <v>16.924646711095995</v>
      </c>
      <c r="E6">
        <f t="shared" ca="1" si="3"/>
        <v>13.656835873717657</v>
      </c>
      <c r="F6">
        <f t="shared" ca="1" si="3"/>
        <v>17.124554288751458</v>
      </c>
      <c r="G6">
        <f t="shared" ca="1" si="3"/>
        <v>14.056937481107699</v>
      </c>
      <c r="H6">
        <f t="shared" ca="1" si="3"/>
        <v>15.203853615086292</v>
      </c>
      <c r="I6">
        <f t="shared" ca="1" si="3"/>
        <v>14.172479420180355</v>
      </c>
      <c r="J6">
        <f t="shared" ca="1" si="3"/>
        <v>17.41537484136791</v>
      </c>
      <c r="K6">
        <f t="shared" ca="1" si="3"/>
        <v>10.237921488557893</v>
      </c>
      <c r="L6">
        <f t="shared" ca="1" si="3"/>
        <v>16.323422634689088</v>
      </c>
      <c r="M6">
        <f t="shared" ca="1" si="3"/>
        <v>11.600427689430827</v>
      </c>
      <c r="N6">
        <f t="shared" ca="1" si="3"/>
        <v>17.725307636452147</v>
      </c>
      <c r="O6">
        <f t="shared" ca="1" si="3"/>
        <v>12.26897416260876</v>
      </c>
      <c r="P6">
        <f t="shared" ca="1" si="3"/>
        <v>15.296285316702932</v>
      </c>
      <c r="Q6">
        <f t="shared" ca="1" si="3"/>
        <v>12.212432093084038</v>
      </c>
      <c r="R6">
        <f t="shared" ca="1" si="3"/>
        <v>16.75790088471614</v>
      </c>
      <c r="S6">
        <f t="shared" ca="1" si="3"/>
        <v>14.691260892670385</v>
      </c>
      <c r="T6">
        <f t="shared" ca="1" si="3"/>
        <v>15.58897458695683</v>
      </c>
      <c r="U6">
        <f t="shared" ca="1" si="3"/>
        <v>10.856841043139994</v>
      </c>
      <c r="V6">
        <f t="shared" ca="1" si="3"/>
        <v>15.990740567941447</v>
      </c>
      <c r="W6">
        <f t="shared" ca="1" si="3"/>
        <v>11.414085008709936</v>
      </c>
      <c r="X6">
        <f t="shared" ca="1" si="3"/>
        <v>15.88533463872238</v>
      </c>
      <c r="Y6">
        <f t="shared" ca="1" si="3"/>
        <v>11.508186563868236</v>
      </c>
      <c r="Z6">
        <f t="shared" ca="1" si="3"/>
        <v>15.677819072032289</v>
      </c>
      <c r="AA6">
        <f t="shared" ca="1" si="3"/>
        <v>12.442031850886316</v>
      </c>
      <c r="AB6">
        <f t="shared" ca="1" si="3"/>
        <v>17.193324531489079</v>
      </c>
      <c r="AC6">
        <f t="shared" ca="1" si="3"/>
        <v>14.705520435208946</v>
      </c>
      <c r="AD6">
        <f t="shared" ca="1" si="3"/>
        <v>17.143829263819512</v>
      </c>
      <c r="AE6">
        <f t="shared" ca="1" si="3"/>
        <v>10.260151459736806</v>
      </c>
      <c r="AF6">
        <f t="shared" ca="1" si="3"/>
        <v>15.930072660057888</v>
      </c>
      <c r="AG6">
        <f t="shared" ca="1" si="3"/>
        <v>10.515211510830603</v>
      </c>
      <c r="AH6">
        <f t="shared" ca="1" si="3"/>
        <v>17.28362473601323</v>
      </c>
    </row>
    <row r="7" spans="1:34">
      <c r="A7" t="str">
        <f>CYF!A7</f>
        <v>Teff</v>
      </c>
      <c r="B7" t="str">
        <f>CYF!B7</f>
        <v>DireDawa</v>
      </c>
      <c r="C7">
        <f t="shared" ca="1" si="4"/>
        <v>11.70122021845817</v>
      </c>
      <c r="D7">
        <f t="shared" ca="1" si="3"/>
        <v>15.720434861314875</v>
      </c>
      <c r="E7">
        <f t="shared" ca="1" si="3"/>
        <v>10.415003347868096</v>
      </c>
      <c r="F7">
        <f t="shared" ca="1" si="3"/>
        <v>17.322902969709723</v>
      </c>
      <c r="G7">
        <f t="shared" ca="1" si="3"/>
        <v>14.204625562485052</v>
      </c>
      <c r="H7">
        <f t="shared" ca="1" si="3"/>
        <v>15.058726927098633</v>
      </c>
      <c r="I7">
        <f t="shared" ca="1" si="3"/>
        <v>12.828851083723158</v>
      </c>
      <c r="J7">
        <f t="shared" ca="1" si="3"/>
        <v>17.749089270369094</v>
      </c>
      <c r="K7">
        <f t="shared" ca="1" si="3"/>
        <v>13.611863131549029</v>
      </c>
      <c r="L7">
        <f t="shared" ca="1" si="3"/>
        <v>15.273264851488026</v>
      </c>
      <c r="M7">
        <f t="shared" ca="1" si="3"/>
        <v>10.436570048621439</v>
      </c>
      <c r="N7">
        <f t="shared" ca="1" si="3"/>
        <v>17.195457083119791</v>
      </c>
      <c r="O7">
        <f t="shared" ca="1" si="3"/>
        <v>12.074930521547753</v>
      </c>
      <c r="P7">
        <f t="shared" ca="1" si="3"/>
        <v>15.701369521258947</v>
      </c>
      <c r="Q7">
        <f t="shared" ca="1" si="3"/>
        <v>13.329664676405164</v>
      </c>
      <c r="R7">
        <f t="shared" ca="1" si="3"/>
        <v>15.666343826094351</v>
      </c>
      <c r="S7">
        <f t="shared" ca="1" si="3"/>
        <v>13.13352779942317</v>
      </c>
      <c r="T7">
        <f t="shared" ca="1" si="3"/>
        <v>17.264264482773378</v>
      </c>
      <c r="U7">
        <f t="shared" ca="1" si="3"/>
        <v>12.259313972950411</v>
      </c>
      <c r="V7">
        <f t="shared" ca="1" si="3"/>
        <v>16.578846787508375</v>
      </c>
      <c r="W7">
        <f t="shared" ca="1" si="3"/>
        <v>13.353285545554083</v>
      </c>
      <c r="X7">
        <f t="shared" ca="1" si="3"/>
        <v>16.193969568387217</v>
      </c>
      <c r="Y7">
        <f t="shared" ca="1" si="3"/>
        <v>13.293771707478854</v>
      </c>
      <c r="Z7">
        <f t="shared" ca="1" si="3"/>
        <v>17.529475993069173</v>
      </c>
      <c r="AA7">
        <f t="shared" ca="1" si="3"/>
        <v>12.76994802948264</v>
      </c>
      <c r="AB7">
        <f t="shared" ca="1" si="3"/>
        <v>17.096890213668946</v>
      </c>
      <c r="AC7">
        <f t="shared" ca="1" si="3"/>
        <v>14.012521992895778</v>
      </c>
      <c r="AD7">
        <f t="shared" ca="1" si="3"/>
        <v>16.710113065723849</v>
      </c>
      <c r="AE7">
        <f t="shared" ca="1" si="3"/>
        <v>10.570626709340052</v>
      </c>
      <c r="AF7">
        <f t="shared" ca="1" si="3"/>
        <v>15.558770646665323</v>
      </c>
      <c r="AG7">
        <f t="shared" ca="1" si="3"/>
        <v>14.405176413614786</v>
      </c>
      <c r="AH7">
        <f t="shared" ca="1" si="3"/>
        <v>17.482069121929204</v>
      </c>
    </row>
    <row r="8" spans="1:34">
      <c r="A8" t="str">
        <f>CYF!A8</f>
        <v>Teff</v>
      </c>
      <c r="B8" t="str">
        <f>CYF!B8</f>
        <v>Gambela</v>
      </c>
      <c r="C8">
        <f t="shared" ca="1" si="4"/>
        <v>12.908284898625201</v>
      </c>
      <c r="D8">
        <f t="shared" ca="1" si="3"/>
        <v>17.969715069719108</v>
      </c>
      <c r="E8">
        <f t="shared" ca="1" si="3"/>
        <v>13.830467831629695</v>
      </c>
      <c r="F8">
        <f t="shared" ca="1" si="3"/>
        <v>15.315655934776579</v>
      </c>
      <c r="G8">
        <f t="shared" ca="1" si="3"/>
        <v>13.414179547107633</v>
      </c>
      <c r="H8">
        <f t="shared" ca="1" si="3"/>
        <v>17.354443983113796</v>
      </c>
      <c r="I8">
        <f t="shared" ca="1" si="3"/>
        <v>12.761315449284805</v>
      </c>
      <c r="J8">
        <f t="shared" ca="1" si="3"/>
        <v>17.216408347618952</v>
      </c>
      <c r="K8">
        <f t="shared" ca="1" si="3"/>
        <v>12.817581067027861</v>
      </c>
      <c r="L8">
        <f t="shared" ca="1" si="3"/>
        <v>16.842742285496108</v>
      </c>
      <c r="M8">
        <f t="shared" ca="1" si="3"/>
        <v>10.326109575497753</v>
      </c>
      <c r="N8">
        <f t="shared" ca="1" si="3"/>
        <v>15.648110588886944</v>
      </c>
      <c r="O8">
        <f t="shared" ca="1" si="3"/>
        <v>12.524425120370308</v>
      </c>
      <c r="P8">
        <f t="shared" ca="1" si="3"/>
        <v>17.197586037998377</v>
      </c>
      <c r="Q8">
        <f t="shared" ca="1" si="3"/>
        <v>11.880907423935641</v>
      </c>
      <c r="R8">
        <f t="shared" ca="1" si="3"/>
        <v>17.628520225959129</v>
      </c>
      <c r="S8">
        <f t="shared" ca="1" si="3"/>
        <v>14.006030550698931</v>
      </c>
      <c r="T8">
        <f t="shared" ca="1" si="3"/>
        <v>16.952992971123056</v>
      </c>
      <c r="U8">
        <f t="shared" ca="1" si="3"/>
        <v>13.904490533625067</v>
      </c>
      <c r="V8">
        <f t="shared" ca="1" si="3"/>
        <v>16.553297197224158</v>
      </c>
      <c r="W8">
        <f t="shared" ca="1" si="3"/>
        <v>13.292529059793051</v>
      </c>
      <c r="X8">
        <f t="shared" ca="1" si="3"/>
        <v>16.073270334540176</v>
      </c>
      <c r="Y8">
        <f t="shared" ca="1" si="3"/>
        <v>13.302158181704751</v>
      </c>
      <c r="Z8">
        <f t="shared" ca="1" si="3"/>
        <v>16.396214132843436</v>
      </c>
      <c r="AA8">
        <f t="shared" ca="1" si="3"/>
        <v>11.050105482971508</v>
      </c>
      <c r="AB8">
        <f t="shared" ca="1" si="3"/>
        <v>16.433125631222119</v>
      </c>
      <c r="AC8">
        <f t="shared" ca="1" si="3"/>
        <v>10.661793210526007</v>
      </c>
      <c r="AD8">
        <f t="shared" ca="1" si="3"/>
        <v>17.606848403093345</v>
      </c>
      <c r="AE8">
        <f t="shared" ca="1" si="3"/>
        <v>11.781342194913243</v>
      </c>
      <c r="AF8">
        <f t="shared" ca="1" si="3"/>
        <v>15.260148682118757</v>
      </c>
      <c r="AG8">
        <f t="shared" ca="1" si="3"/>
        <v>10.311321469121506</v>
      </c>
      <c r="AH8">
        <f t="shared" ca="1" si="3"/>
        <v>15.1999821407578</v>
      </c>
    </row>
    <row r="9" spans="1:34">
      <c r="A9" t="str">
        <f>CYF!A9</f>
        <v>Teff</v>
      </c>
      <c r="B9" t="str">
        <f>CYF!B9</f>
        <v>Harari</v>
      </c>
      <c r="C9">
        <f t="shared" ca="1" si="4"/>
        <v>14.768776390149121</v>
      </c>
      <c r="D9">
        <f t="shared" ca="1" si="3"/>
        <v>15.410101884749164</v>
      </c>
      <c r="E9">
        <f t="shared" ca="1" si="3"/>
        <v>11.358790181748983</v>
      </c>
      <c r="F9">
        <f t="shared" ca="1" si="3"/>
        <v>16.718457970623316</v>
      </c>
      <c r="G9">
        <f t="shared" ca="1" si="3"/>
        <v>11.213642887659347</v>
      </c>
      <c r="H9">
        <f t="shared" ca="1" si="3"/>
        <v>17.362984112154013</v>
      </c>
      <c r="I9">
        <f t="shared" ca="1" si="3"/>
        <v>10.063668447988199</v>
      </c>
      <c r="J9">
        <f t="shared" ca="1" si="3"/>
        <v>16.696127382741178</v>
      </c>
      <c r="K9">
        <f t="shared" ca="1" si="3"/>
        <v>10.775979083738799</v>
      </c>
      <c r="L9">
        <f t="shared" ca="1" si="3"/>
        <v>17.889890119308717</v>
      </c>
      <c r="M9">
        <f t="shared" ca="1" si="3"/>
        <v>10.116484506128753</v>
      </c>
      <c r="N9">
        <f t="shared" ca="1" si="3"/>
        <v>15.755438948396186</v>
      </c>
      <c r="O9">
        <f t="shared" ca="1" si="3"/>
        <v>14.984984760211034</v>
      </c>
      <c r="P9">
        <f t="shared" ca="1" si="3"/>
        <v>15.599178138639218</v>
      </c>
      <c r="Q9">
        <f t="shared" ca="1" si="3"/>
        <v>11.196926481733509</v>
      </c>
      <c r="R9">
        <f t="shared" ca="1" si="3"/>
        <v>16.816219081411141</v>
      </c>
      <c r="S9">
        <f t="shared" ca="1" si="3"/>
        <v>10.601270345366666</v>
      </c>
      <c r="T9">
        <f t="shared" ca="1" si="3"/>
        <v>16.910597394970779</v>
      </c>
      <c r="U9">
        <f t="shared" ca="1" si="3"/>
        <v>11.755576291456197</v>
      </c>
      <c r="V9">
        <f t="shared" ca="1" si="3"/>
        <v>15.591656219809735</v>
      </c>
      <c r="W9">
        <f t="shared" ca="1" si="3"/>
        <v>12.054043400636662</v>
      </c>
      <c r="X9">
        <f t="shared" ca="1" si="3"/>
        <v>15.705932384811014</v>
      </c>
      <c r="Y9">
        <f t="shared" ca="1" si="3"/>
        <v>14.112609008543121</v>
      </c>
      <c r="Z9">
        <f t="shared" ca="1" si="3"/>
        <v>15.549731497486778</v>
      </c>
      <c r="AA9">
        <f t="shared" ca="1" si="3"/>
        <v>12.748524124449148</v>
      </c>
      <c r="AB9">
        <f t="shared" ca="1" si="3"/>
        <v>15.291852045321527</v>
      </c>
      <c r="AC9">
        <f t="shared" ca="1" si="3"/>
        <v>10.141405571325631</v>
      </c>
      <c r="AD9">
        <f t="shared" ca="1" si="3"/>
        <v>15.688468649055224</v>
      </c>
      <c r="AE9">
        <f t="shared" ca="1" si="3"/>
        <v>14.224246221591855</v>
      </c>
      <c r="AF9">
        <f t="shared" ca="1" si="3"/>
        <v>17.184221857659995</v>
      </c>
      <c r="AG9">
        <f t="shared" ca="1" si="3"/>
        <v>10.37841140329752</v>
      </c>
      <c r="AH9">
        <f t="shared" ca="1" si="3"/>
        <v>16.822636326818095</v>
      </c>
    </row>
    <row r="10" spans="1:34">
      <c r="A10" t="str">
        <f>CYF!A10</f>
        <v>Teff</v>
      </c>
      <c r="B10" t="str">
        <f>CYF!B10</f>
        <v>Oromia</v>
      </c>
      <c r="C10">
        <f t="shared" ca="1" si="4"/>
        <v>14.999152931990569</v>
      </c>
      <c r="D10">
        <f t="shared" ca="1" si="3"/>
        <v>17.951415797787025</v>
      </c>
      <c r="E10">
        <f t="shared" ca="1" si="3"/>
        <v>14.223104858936946</v>
      </c>
      <c r="F10">
        <f t="shared" ca="1" si="3"/>
        <v>15.533742181682257</v>
      </c>
      <c r="G10">
        <f t="shared" ca="1" si="3"/>
        <v>14.024890511985966</v>
      </c>
      <c r="H10">
        <f t="shared" ca="1" si="3"/>
        <v>17.178218608283938</v>
      </c>
      <c r="I10">
        <f t="shared" ca="1" si="3"/>
        <v>13.973863661171837</v>
      </c>
      <c r="J10">
        <f t="shared" ca="1" si="3"/>
        <v>16.006653266745733</v>
      </c>
      <c r="K10">
        <f t="shared" ca="1" si="3"/>
        <v>10.317772137151424</v>
      </c>
      <c r="L10">
        <f t="shared" ca="1" si="3"/>
        <v>16.877078589208811</v>
      </c>
      <c r="M10">
        <f t="shared" ca="1" si="3"/>
        <v>10.521779389517913</v>
      </c>
      <c r="N10">
        <f t="shared" ca="1" si="3"/>
        <v>17.320784541835181</v>
      </c>
      <c r="O10">
        <f t="shared" ca="1" si="3"/>
        <v>10.78532938873</v>
      </c>
      <c r="P10">
        <f t="shared" ca="1" si="3"/>
        <v>17.048748595687137</v>
      </c>
      <c r="Q10">
        <f t="shared" ca="1" si="3"/>
        <v>14.305113287634672</v>
      </c>
      <c r="R10">
        <f t="shared" ca="1" si="3"/>
        <v>16.841607733625228</v>
      </c>
      <c r="S10">
        <f t="shared" ca="1" si="3"/>
        <v>11.515243214717765</v>
      </c>
      <c r="T10">
        <f t="shared" ca="1" si="3"/>
        <v>16.432773193076031</v>
      </c>
      <c r="U10">
        <f t="shared" ca="1" si="3"/>
        <v>11.095158271442175</v>
      </c>
      <c r="V10">
        <f t="shared" ca="1" si="3"/>
        <v>15.474862735701365</v>
      </c>
      <c r="W10">
        <f t="shared" ca="1" si="3"/>
        <v>14.221641384553173</v>
      </c>
      <c r="X10">
        <f t="shared" ca="1" si="3"/>
        <v>17.95375317166922</v>
      </c>
      <c r="Y10">
        <f t="shared" ca="1" si="3"/>
        <v>11.714667078928645</v>
      </c>
      <c r="Z10">
        <f t="shared" ca="1" si="3"/>
        <v>15.35342041776779</v>
      </c>
      <c r="AA10">
        <f t="shared" ca="1" si="3"/>
        <v>10.501472258391118</v>
      </c>
      <c r="AB10">
        <f t="shared" ca="1" si="3"/>
        <v>17.225685016319694</v>
      </c>
      <c r="AC10">
        <f t="shared" ca="1" si="3"/>
        <v>12.221618885260106</v>
      </c>
      <c r="AD10">
        <f t="shared" ca="1" si="3"/>
        <v>15.519365863435322</v>
      </c>
      <c r="AE10">
        <f t="shared" ca="1" si="3"/>
        <v>11.701721731946366</v>
      </c>
      <c r="AF10">
        <f t="shared" ca="1" si="3"/>
        <v>15.851218983589163</v>
      </c>
      <c r="AG10">
        <f t="shared" ca="1" si="3"/>
        <v>12.299644918252305</v>
      </c>
      <c r="AH10">
        <f t="shared" ca="1" si="3"/>
        <v>17.861286578203014</v>
      </c>
    </row>
    <row r="11" spans="1:34">
      <c r="A11" t="str">
        <f>CYF!A11</f>
        <v>Teff</v>
      </c>
      <c r="B11" t="str">
        <f>CYF!B11</f>
        <v>Somali</v>
      </c>
      <c r="C11">
        <f t="shared" ca="1" si="4"/>
        <v>11.435017515601594</v>
      </c>
      <c r="D11">
        <f t="shared" ca="1" si="3"/>
        <v>17.728592647935383</v>
      </c>
      <c r="E11">
        <f t="shared" ca="1" si="3"/>
        <v>14.226653743327446</v>
      </c>
      <c r="F11">
        <f t="shared" ca="1" si="3"/>
        <v>16.481698445124174</v>
      </c>
      <c r="G11">
        <f t="shared" ca="1" si="3"/>
        <v>12.315455004296352</v>
      </c>
      <c r="H11">
        <f t="shared" ca="1" si="3"/>
        <v>17.863722242124574</v>
      </c>
      <c r="I11">
        <f t="shared" ca="1" si="3"/>
        <v>10.204275475797813</v>
      </c>
      <c r="J11">
        <f t="shared" ca="1" si="3"/>
        <v>17.183558828099322</v>
      </c>
      <c r="K11">
        <f t="shared" ca="1" si="3"/>
        <v>14.735624622437165</v>
      </c>
      <c r="L11">
        <f t="shared" ca="1" si="3"/>
        <v>16.653852432545946</v>
      </c>
      <c r="M11">
        <f t="shared" ca="1" si="3"/>
        <v>11.559019317764056</v>
      </c>
      <c r="N11">
        <f t="shared" ca="1" si="3"/>
        <v>17.821462954237948</v>
      </c>
      <c r="O11">
        <f t="shared" ca="1" si="3"/>
        <v>10.897826239256622</v>
      </c>
      <c r="P11">
        <f t="shared" ca="1" si="3"/>
        <v>16.403518687988782</v>
      </c>
      <c r="Q11">
        <f t="shared" ca="1" si="3"/>
        <v>12.652560985115512</v>
      </c>
      <c r="R11">
        <f t="shared" ca="1" si="3"/>
        <v>17.901003874321049</v>
      </c>
      <c r="S11">
        <f t="shared" ca="1" si="3"/>
        <v>13.540463154191443</v>
      </c>
      <c r="T11">
        <f t="shared" ca="1" si="3"/>
        <v>16.346974251524038</v>
      </c>
      <c r="U11">
        <f t="shared" ca="1" si="3"/>
        <v>11.523158910260733</v>
      </c>
      <c r="V11">
        <f t="shared" ca="1" si="3"/>
        <v>16.317177229721619</v>
      </c>
      <c r="W11">
        <f t="shared" ca="1" si="3"/>
        <v>11.206322478479541</v>
      </c>
      <c r="X11">
        <f t="shared" ca="1" si="3"/>
        <v>17.723455185022981</v>
      </c>
      <c r="Y11">
        <f t="shared" ca="1" si="3"/>
        <v>10.22126843017514</v>
      </c>
      <c r="Z11">
        <f t="shared" ca="1" si="3"/>
        <v>15.663237891114051</v>
      </c>
      <c r="AA11">
        <f t="shared" ca="1" si="3"/>
        <v>14.71016758934789</v>
      </c>
      <c r="AB11">
        <f t="shared" ca="1" si="3"/>
        <v>15.39180651933</v>
      </c>
      <c r="AC11">
        <f t="shared" ca="1" si="3"/>
        <v>11.108154818399814</v>
      </c>
      <c r="AD11">
        <f t="shared" ca="1" si="3"/>
        <v>15.745038333641791</v>
      </c>
      <c r="AE11">
        <f t="shared" ca="1" si="3"/>
        <v>12.425441372937488</v>
      </c>
      <c r="AF11">
        <f t="shared" ca="1" si="3"/>
        <v>15.234955533489011</v>
      </c>
      <c r="AG11">
        <f t="shared" ca="1" si="3"/>
        <v>14.730393844822409</v>
      </c>
      <c r="AH11">
        <f t="shared" ca="1" si="3"/>
        <v>17.653796596856402</v>
      </c>
    </row>
    <row r="12" spans="1:34">
      <c r="A12" t="str">
        <f>CYF!A12</f>
        <v>Teff</v>
      </c>
      <c r="B12" t="str">
        <f>CYF!B12</f>
        <v>SNNPR</v>
      </c>
      <c r="C12">
        <f t="shared" ca="1" si="4"/>
        <v>13.322081227658774</v>
      </c>
      <c r="D12">
        <f t="shared" ca="1" si="3"/>
        <v>16.811271128658554</v>
      </c>
      <c r="E12">
        <f t="shared" ca="1" si="3"/>
        <v>12.637562901255649</v>
      </c>
      <c r="F12">
        <f t="shared" ca="1" si="3"/>
        <v>16.559462198789561</v>
      </c>
      <c r="G12">
        <f t="shared" ca="1" si="3"/>
        <v>10.216045482621212</v>
      </c>
      <c r="H12">
        <f t="shared" ca="1" si="3"/>
        <v>17.512611917018877</v>
      </c>
      <c r="I12">
        <f t="shared" ca="1" si="3"/>
        <v>10.799291809142826</v>
      </c>
      <c r="J12">
        <f t="shared" ca="1" si="3"/>
        <v>15.211570739611023</v>
      </c>
      <c r="K12">
        <f t="shared" ref="K12:Z13" ca="1" si="5">IF(1-MOD(COLUMN(),2),20-RAND()*3,(10+RAND()*5)+2)-2</f>
        <v>13.263933104527126</v>
      </c>
      <c r="L12">
        <f t="shared" ca="1" si="5"/>
        <v>17.936684360635919</v>
      </c>
      <c r="M12">
        <f t="shared" ca="1" si="5"/>
        <v>12.944458238565469</v>
      </c>
      <c r="N12">
        <f t="shared" ca="1" si="5"/>
        <v>15.404821846948007</v>
      </c>
      <c r="O12">
        <f t="shared" ca="1" si="5"/>
        <v>12.05852986942528</v>
      </c>
      <c r="P12">
        <f t="shared" ca="1" si="5"/>
        <v>16.144790698592686</v>
      </c>
      <c r="Q12">
        <f t="shared" ca="1" si="5"/>
        <v>13.15267448421729</v>
      </c>
      <c r="R12">
        <f t="shared" ca="1" si="5"/>
        <v>17.566216083414101</v>
      </c>
      <c r="S12">
        <f t="shared" ca="1" si="5"/>
        <v>12.038045641355481</v>
      </c>
      <c r="T12">
        <f t="shared" ca="1" si="5"/>
        <v>17.310757797829602</v>
      </c>
      <c r="U12">
        <f t="shared" ca="1" si="5"/>
        <v>13.942308064972776</v>
      </c>
      <c r="V12">
        <f t="shared" ca="1" si="5"/>
        <v>16.381491965008099</v>
      </c>
      <c r="W12">
        <f t="shared" ca="1" si="5"/>
        <v>11.468581850602112</v>
      </c>
      <c r="X12">
        <f t="shared" ca="1" si="5"/>
        <v>15.019515501365863</v>
      </c>
      <c r="Y12">
        <f t="shared" ca="1" si="5"/>
        <v>12.834807338590632</v>
      </c>
      <c r="Z12">
        <f t="shared" ca="1" si="5"/>
        <v>15.231213799731428</v>
      </c>
      <c r="AA12">
        <f t="shared" ref="AA12:AH13" ca="1" si="6">IF(1-MOD(COLUMN(),2),20-RAND()*3,(10+RAND()*5)+2)-2</f>
        <v>12.466078944678273</v>
      </c>
      <c r="AB12">
        <f t="shared" ca="1" si="6"/>
        <v>15.096222875776821</v>
      </c>
      <c r="AC12">
        <f t="shared" ca="1" si="6"/>
        <v>14.072440778196704</v>
      </c>
      <c r="AD12">
        <f t="shared" ca="1" si="6"/>
        <v>15.307906936526216</v>
      </c>
      <c r="AE12">
        <f t="shared" ca="1" si="6"/>
        <v>11.064970513240274</v>
      </c>
      <c r="AF12">
        <f t="shared" ca="1" si="6"/>
        <v>16.975126375217325</v>
      </c>
      <c r="AG12">
        <f t="shared" ca="1" si="6"/>
        <v>14.254056036357866</v>
      </c>
      <c r="AH12">
        <f t="shared" ca="1" si="6"/>
        <v>17.256982550177838</v>
      </c>
    </row>
    <row r="13" spans="1:34">
      <c r="A13" t="str">
        <f>CYF!A13</f>
        <v>Teff</v>
      </c>
      <c r="B13" t="str">
        <f>CYF!B13</f>
        <v>Tigray</v>
      </c>
      <c r="C13">
        <f t="shared" ca="1" si="4"/>
        <v>13.83157631128844</v>
      </c>
      <c r="D13">
        <f t="shared" ca="1" si="4"/>
        <v>16.913234338277249</v>
      </c>
      <c r="E13">
        <f t="shared" ca="1" si="4"/>
        <v>10.507570902436175</v>
      </c>
      <c r="F13">
        <f t="shared" ca="1" si="4"/>
        <v>17.989119179963808</v>
      </c>
      <c r="G13">
        <f t="shared" ca="1" si="4"/>
        <v>13.760131374133536</v>
      </c>
      <c r="H13">
        <f t="shared" ca="1" si="4"/>
        <v>15.027577706970611</v>
      </c>
      <c r="I13">
        <f t="shared" ca="1" si="4"/>
        <v>11.297879475372746</v>
      </c>
      <c r="J13">
        <f t="shared" ca="1" si="4"/>
        <v>16.722703138378318</v>
      </c>
      <c r="K13">
        <f t="shared" ca="1" si="4"/>
        <v>14.378636754428641</v>
      </c>
      <c r="L13">
        <f t="shared" ca="1" si="4"/>
        <v>16.989888544036042</v>
      </c>
      <c r="M13">
        <f t="shared" ca="1" si="4"/>
        <v>13.541036113201013</v>
      </c>
      <c r="N13">
        <f t="shared" ca="1" si="4"/>
        <v>15.890381292654759</v>
      </c>
      <c r="O13">
        <f t="shared" ca="1" si="4"/>
        <v>10.625737760518605</v>
      </c>
      <c r="P13">
        <f t="shared" ca="1" si="4"/>
        <v>16.508890272249879</v>
      </c>
      <c r="Q13">
        <f t="shared" ca="1" si="4"/>
        <v>13.828196850832288</v>
      </c>
      <c r="R13">
        <f t="shared" ca="1" si="4"/>
        <v>17.336363136914997</v>
      </c>
      <c r="S13">
        <f t="shared" ca="1" si="5"/>
        <v>11.068496510722772</v>
      </c>
      <c r="T13">
        <f t="shared" ca="1" si="5"/>
        <v>15.558634148261383</v>
      </c>
      <c r="U13">
        <f t="shared" ca="1" si="5"/>
        <v>10.398448779863815</v>
      </c>
      <c r="V13">
        <f t="shared" ca="1" si="5"/>
        <v>16.849898051217206</v>
      </c>
      <c r="W13">
        <f t="shared" ca="1" si="5"/>
        <v>13.147463598970447</v>
      </c>
      <c r="X13">
        <f t="shared" ca="1" si="5"/>
        <v>17.620492307080092</v>
      </c>
      <c r="Y13">
        <f t="shared" ca="1" si="5"/>
        <v>11.224187282247971</v>
      </c>
      <c r="Z13">
        <f t="shared" ca="1" si="5"/>
        <v>15.662565188265404</v>
      </c>
      <c r="AA13">
        <f t="shared" ca="1" si="6"/>
        <v>12.885577967164677</v>
      </c>
      <c r="AB13">
        <f t="shared" ca="1" si="6"/>
        <v>15.282352133670415</v>
      </c>
      <c r="AC13">
        <f t="shared" ca="1" si="6"/>
        <v>12.845077062129807</v>
      </c>
      <c r="AD13">
        <f t="shared" ca="1" si="6"/>
        <v>16.707723889036544</v>
      </c>
      <c r="AE13">
        <f t="shared" ca="1" si="6"/>
        <v>13.484558397791083</v>
      </c>
      <c r="AF13">
        <f t="shared" ca="1" si="6"/>
        <v>15.651519259111957</v>
      </c>
      <c r="AG13">
        <f t="shared" ca="1" si="6"/>
        <v>13.178475423008653</v>
      </c>
      <c r="AH13">
        <f t="shared" ca="1" si="6"/>
        <v>17.65533202806283</v>
      </c>
    </row>
    <row r="14" spans="1:34">
      <c r="A14" t="str">
        <f>CYF!A14</f>
        <v>Sorghum</v>
      </c>
      <c r="B14" t="str">
        <f>CYF!B14</f>
        <v>AddisAbaba</v>
      </c>
      <c r="C14">
        <f ca="1">IF(1-MOD(COLUMN(),2),25-RAND()*3,(18+RAND()*5))</f>
        <v>18.43489263150904</v>
      </c>
      <c r="D14">
        <f t="shared" ref="D14:AH22" ca="1" si="7">IF(1-MOD(COLUMN(),2),25-RAND()*3,(18+RAND()*5))</f>
        <v>23.967951524166349</v>
      </c>
      <c r="E14">
        <f t="shared" ca="1" si="7"/>
        <v>21.018200441161547</v>
      </c>
      <c r="F14">
        <f t="shared" ca="1" si="7"/>
        <v>22.760787423972175</v>
      </c>
      <c r="G14">
        <f t="shared" ca="1" si="7"/>
        <v>18.072303821595238</v>
      </c>
      <c r="H14">
        <f t="shared" ca="1" si="7"/>
        <v>23.971281495668126</v>
      </c>
      <c r="I14">
        <f t="shared" ca="1" si="7"/>
        <v>20.350942138928929</v>
      </c>
      <c r="J14">
        <f t="shared" ca="1" si="7"/>
        <v>22.387920423752934</v>
      </c>
      <c r="K14">
        <f t="shared" ca="1" si="7"/>
        <v>22.568118782410505</v>
      </c>
      <c r="L14">
        <f t="shared" ca="1" si="7"/>
        <v>22.284120839281975</v>
      </c>
      <c r="M14">
        <f t="shared" ca="1" si="7"/>
        <v>20.718346310652855</v>
      </c>
      <c r="N14">
        <f t="shared" ca="1" si="7"/>
        <v>23.123279064525725</v>
      </c>
      <c r="O14">
        <f t="shared" ca="1" si="7"/>
        <v>19.618716909789271</v>
      </c>
      <c r="P14">
        <f t="shared" ca="1" si="7"/>
        <v>24.85907098512552</v>
      </c>
      <c r="Q14">
        <f t="shared" ca="1" si="7"/>
        <v>19.673138014614295</v>
      </c>
      <c r="R14">
        <f t="shared" ca="1" si="7"/>
        <v>22.505484524472635</v>
      </c>
      <c r="S14">
        <f t="shared" ca="1" si="7"/>
        <v>22.665096645665898</v>
      </c>
      <c r="T14">
        <f t="shared" ca="1" si="7"/>
        <v>24.127354287361815</v>
      </c>
      <c r="U14">
        <f t="shared" ca="1" si="7"/>
        <v>18.980847040298247</v>
      </c>
      <c r="V14">
        <f t="shared" ca="1" si="7"/>
        <v>23.601736572897934</v>
      </c>
      <c r="W14">
        <f t="shared" ca="1" si="7"/>
        <v>22.280910771122013</v>
      </c>
      <c r="X14">
        <f t="shared" ca="1" si="7"/>
        <v>22.12126983073799</v>
      </c>
      <c r="Y14">
        <f t="shared" ca="1" si="7"/>
        <v>20.448728164666406</v>
      </c>
      <c r="Z14">
        <f t="shared" ca="1" si="7"/>
        <v>24.596312114101398</v>
      </c>
      <c r="AA14">
        <f t="shared" ca="1" si="7"/>
        <v>18.509706960962898</v>
      </c>
      <c r="AB14">
        <f t="shared" ca="1" si="7"/>
        <v>23.883397924016542</v>
      </c>
      <c r="AC14">
        <f t="shared" ca="1" si="7"/>
        <v>19.972524227503836</v>
      </c>
      <c r="AD14">
        <f t="shared" ca="1" si="7"/>
        <v>23.762406933723405</v>
      </c>
      <c r="AE14">
        <f t="shared" ca="1" si="7"/>
        <v>22.30511271869748</v>
      </c>
      <c r="AF14">
        <f t="shared" ca="1" si="7"/>
        <v>23.871436426600329</v>
      </c>
      <c r="AG14">
        <f t="shared" ca="1" si="7"/>
        <v>18.280731525859469</v>
      </c>
      <c r="AH14">
        <f t="shared" ca="1" si="7"/>
        <v>23.884434039383997</v>
      </c>
    </row>
    <row r="15" spans="1:34">
      <c r="A15" t="str">
        <f>CYF!A15</f>
        <v>Sorghum</v>
      </c>
      <c r="B15" t="str">
        <f>CYF!B15</f>
        <v>Afar</v>
      </c>
      <c r="C15">
        <f t="shared" ref="C15:R46" ca="1" si="8">IF(1-MOD(COLUMN(),2),25-RAND()*3,(18+RAND()*5))</f>
        <v>22.081747436666962</v>
      </c>
      <c r="D15">
        <f t="shared" ca="1" si="7"/>
        <v>24.648486377401209</v>
      </c>
      <c r="E15">
        <f t="shared" ca="1" si="7"/>
        <v>21.845529533578691</v>
      </c>
      <c r="F15">
        <f t="shared" ca="1" si="7"/>
        <v>22.254697127636021</v>
      </c>
      <c r="G15">
        <f t="shared" ca="1" si="7"/>
        <v>19.989640896979704</v>
      </c>
      <c r="H15">
        <f t="shared" ca="1" si="7"/>
        <v>23.585693614694076</v>
      </c>
      <c r="I15">
        <f t="shared" ca="1" si="7"/>
        <v>19.842973204665025</v>
      </c>
      <c r="J15">
        <f t="shared" ca="1" si="7"/>
        <v>23.158557764614685</v>
      </c>
      <c r="K15">
        <f t="shared" ca="1" si="7"/>
        <v>22.918400459662955</v>
      </c>
      <c r="L15">
        <f t="shared" ca="1" si="7"/>
        <v>22.815688838331923</v>
      </c>
      <c r="M15">
        <f t="shared" ca="1" si="7"/>
        <v>18.308992638377273</v>
      </c>
      <c r="N15">
        <f t="shared" ca="1" si="7"/>
        <v>22.498058541290067</v>
      </c>
      <c r="O15">
        <f t="shared" ca="1" si="7"/>
        <v>21.246122970322418</v>
      </c>
      <c r="P15">
        <f t="shared" ca="1" si="7"/>
        <v>23.65770662613064</v>
      </c>
      <c r="Q15">
        <f t="shared" ca="1" si="7"/>
        <v>19.354686278726565</v>
      </c>
      <c r="R15">
        <f t="shared" ca="1" si="7"/>
        <v>22.786729158406896</v>
      </c>
      <c r="S15">
        <f t="shared" ca="1" si="7"/>
        <v>21.818099473208115</v>
      </c>
      <c r="T15">
        <f t="shared" ca="1" si="7"/>
        <v>24.569050424965127</v>
      </c>
      <c r="U15">
        <f t="shared" ca="1" si="7"/>
        <v>22.450266402783324</v>
      </c>
      <c r="V15">
        <f t="shared" ca="1" si="7"/>
        <v>23.533876579726353</v>
      </c>
      <c r="W15">
        <f t="shared" ca="1" si="7"/>
        <v>20.147122475471512</v>
      </c>
      <c r="X15">
        <f t="shared" ca="1" si="7"/>
        <v>22.058689596877475</v>
      </c>
      <c r="Y15">
        <f t="shared" ca="1" si="7"/>
        <v>20.935037609438805</v>
      </c>
      <c r="Z15">
        <f t="shared" ca="1" si="7"/>
        <v>24.775277459695854</v>
      </c>
      <c r="AA15">
        <f t="shared" ca="1" si="7"/>
        <v>22.519917909496328</v>
      </c>
      <c r="AB15">
        <f t="shared" ca="1" si="7"/>
        <v>22.897377131063767</v>
      </c>
      <c r="AC15">
        <f t="shared" ca="1" si="7"/>
        <v>21.273830225789826</v>
      </c>
      <c r="AD15">
        <f t="shared" ca="1" si="7"/>
        <v>23.747967445204825</v>
      </c>
      <c r="AE15">
        <f t="shared" ca="1" si="7"/>
        <v>20.528473635667073</v>
      </c>
      <c r="AF15">
        <f t="shared" ca="1" si="7"/>
        <v>22.859853345782067</v>
      </c>
      <c r="AG15">
        <f t="shared" ca="1" si="7"/>
        <v>22.17208937478059</v>
      </c>
      <c r="AH15">
        <f t="shared" ca="1" si="7"/>
        <v>22.909278662409523</v>
      </c>
    </row>
    <row r="16" spans="1:34">
      <c r="A16" t="str">
        <f>CYF!A16</f>
        <v>Sorghum</v>
      </c>
      <c r="B16" t="str">
        <f>CYF!B16</f>
        <v>Amhara</v>
      </c>
      <c r="C16">
        <f t="shared" ca="1" si="8"/>
        <v>21.816644557180727</v>
      </c>
      <c r="D16">
        <f t="shared" ca="1" si="7"/>
        <v>22.373905653534475</v>
      </c>
      <c r="E16">
        <f t="shared" ca="1" si="7"/>
        <v>21.539942592605257</v>
      </c>
      <c r="F16">
        <f t="shared" ca="1" si="7"/>
        <v>23.413266297084554</v>
      </c>
      <c r="G16">
        <f t="shared" ca="1" si="7"/>
        <v>20.092324832620857</v>
      </c>
      <c r="H16">
        <f t="shared" ca="1" si="7"/>
        <v>24.991449715579915</v>
      </c>
      <c r="I16">
        <f t="shared" ca="1" si="7"/>
        <v>19.940912899726726</v>
      </c>
      <c r="J16">
        <f t="shared" ca="1" si="7"/>
        <v>24.797331849837274</v>
      </c>
      <c r="K16">
        <f t="shared" ca="1" si="7"/>
        <v>21.031674021355645</v>
      </c>
      <c r="L16">
        <f t="shared" ca="1" si="7"/>
        <v>22.495647916085005</v>
      </c>
      <c r="M16">
        <f t="shared" ca="1" si="7"/>
        <v>20.637355804200169</v>
      </c>
      <c r="N16">
        <f t="shared" ca="1" si="7"/>
        <v>23.271754399302889</v>
      </c>
      <c r="O16">
        <f t="shared" ca="1" si="7"/>
        <v>21.942848509560299</v>
      </c>
      <c r="P16">
        <f t="shared" ca="1" si="7"/>
        <v>24.699053846131065</v>
      </c>
      <c r="Q16">
        <f t="shared" ca="1" si="7"/>
        <v>19.839424590300329</v>
      </c>
      <c r="R16">
        <f t="shared" ca="1" si="7"/>
        <v>23.870112925780017</v>
      </c>
      <c r="S16">
        <f t="shared" ca="1" si="7"/>
        <v>18.548992959466347</v>
      </c>
      <c r="T16">
        <f t="shared" ca="1" si="7"/>
        <v>22.583482210115712</v>
      </c>
      <c r="U16">
        <f t="shared" ca="1" si="7"/>
        <v>19.858185938633092</v>
      </c>
      <c r="V16">
        <f t="shared" ca="1" si="7"/>
        <v>23.837551838346876</v>
      </c>
      <c r="W16">
        <f t="shared" ca="1" si="7"/>
        <v>18.73892766827074</v>
      </c>
      <c r="X16">
        <f t="shared" ca="1" si="7"/>
        <v>23.685172727610336</v>
      </c>
      <c r="Y16">
        <f t="shared" ca="1" si="7"/>
        <v>22.991319495611751</v>
      </c>
      <c r="Z16">
        <f t="shared" ca="1" si="7"/>
        <v>22.206443772196494</v>
      </c>
      <c r="AA16">
        <f t="shared" ca="1" si="7"/>
        <v>21.5405078548288</v>
      </c>
      <c r="AB16">
        <f t="shared" ca="1" si="7"/>
        <v>22.628251962632522</v>
      </c>
      <c r="AC16">
        <f t="shared" ca="1" si="7"/>
        <v>19.04131505901394</v>
      </c>
      <c r="AD16">
        <f t="shared" ca="1" si="7"/>
        <v>23.130769314633831</v>
      </c>
      <c r="AE16">
        <f t="shared" ca="1" si="7"/>
        <v>21.643045450655773</v>
      </c>
      <c r="AF16">
        <f t="shared" ca="1" si="7"/>
        <v>22.900598761430881</v>
      </c>
      <c r="AG16">
        <f t="shared" ca="1" si="7"/>
        <v>20.171578100864171</v>
      </c>
      <c r="AH16">
        <f t="shared" ca="1" si="7"/>
        <v>22.897056963347669</v>
      </c>
    </row>
    <row r="17" spans="1:34">
      <c r="A17" t="str">
        <f>CYF!A17</f>
        <v>Sorghum</v>
      </c>
      <c r="B17" t="str">
        <f>CYF!B17</f>
        <v>Gumuz</v>
      </c>
      <c r="C17">
        <f t="shared" ca="1" si="8"/>
        <v>20.23817028463106</v>
      </c>
      <c r="D17">
        <f t="shared" ca="1" si="7"/>
        <v>22.603614870519703</v>
      </c>
      <c r="E17">
        <f t="shared" ca="1" si="7"/>
        <v>18.749418709376652</v>
      </c>
      <c r="F17">
        <f t="shared" ca="1" si="7"/>
        <v>24.875465250792093</v>
      </c>
      <c r="G17">
        <f t="shared" ca="1" si="7"/>
        <v>19.853561451980919</v>
      </c>
      <c r="H17">
        <f t="shared" ca="1" si="7"/>
        <v>22.426336995470358</v>
      </c>
      <c r="I17">
        <f t="shared" ca="1" si="7"/>
        <v>19.797230035775613</v>
      </c>
      <c r="J17">
        <f t="shared" ca="1" si="7"/>
        <v>22.897123770391175</v>
      </c>
      <c r="K17">
        <f t="shared" ca="1" si="7"/>
        <v>21.653367733851571</v>
      </c>
      <c r="L17">
        <f t="shared" ca="1" si="7"/>
        <v>24.733507884204961</v>
      </c>
      <c r="M17">
        <f t="shared" ca="1" si="7"/>
        <v>18.860693370302968</v>
      </c>
      <c r="N17">
        <f t="shared" ca="1" si="7"/>
        <v>24.942562588385741</v>
      </c>
      <c r="O17">
        <f t="shared" ca="1" si="7"/>
        <v>20.045435381657011</v>
      </c>
      <c r="P17">
        <f t="shared" ca="1" si="7"/>
        <v>22.933175481325101</v>
      </c>
      <c r="Q17">
        <f t="shared" ca="1" si="7"/>
        <v>20.974983103644391</v>
      </c>
      <c r="R17">
        <f t="shared" ca="1" si="7"/>
        <v>24.303763827815267</v>
      </c>
      <c r="S17">
        <f t="shared" ca="1" si="7"/>
        <v>21.012125334602135</v>
      </c>
      <c r="T17">
        <f t="shared" ca="1" si="7"/>
        <v>22.416897953349263</v>
      </c>
      <c r="U17">
        <f t="shared" ca="1" si="7"/>
        <v>22.674544065332327</v>
      </c>
      <c r="V17">
        <f t="shared" ca="1" si="7"/>
        <v>24.619643089445198</v>
      </c>
      <c r="W17">
        <f t="shared" ca="1" si="7"/>
        <v>18.461703462653773</v>
      </c>
      <c r="X17">
        <f t="shared" ca="1" si="7"/>
        <v>22.170615075665641</v>
      </c>
      <c r="Y17">
        <f t="shared" ca="1" si="7"/>
        <v>21.708997932426854</v>
      </c>
      <c r="Z17">
        <f t="shared" ca="1" si="7"/>
        <v>23.077849824688862</v>
      </c>
      <c r="AA17">
        <f t="shared" ca="1" si="7"/>
        <v>18.709501539111503</v>
      </c>
      <c r="AB17">
        <f t="shared" ca="1" si="7"/>
        <v>22.810558053785314</v>
      </c>
      <c r="AC17">
        <f t="shared" ca="1" si="7"/>
        <v>18.918792578193145</v>
      </c>
      <c r="AD17">
        <f t="shared" ca="1" si="7"/>
        <v>22.507805616137837</v>
      </c>
      <c r="AE17">
        <f t="shared" ca="1" si="7"/>
        <v>22.659107571428024</v>
      </c>
      <c r="AF17">
        <f t="shared" ca="1" si="7"/>
        <v>23.084159445266348</v>
      </c>
      <c r="AG17">
        <f t="shared" ca="1" si="7"/>
        <v>21.928127603348077</v>
      </c>
      <c r="AH17">
        <f t="shared" ca="1" si="7"/>
        <v>22.141476143648813</v>
      </c>
    </row>
    <row r="18" spans="1:34">
      <c r="A18" t="str">
        <f>CYF!A18</f>
        <v>Sorghum</v>
      </c>
      <c r="B18" t="str">
        <f>CYF!B18</f>
        <v>DireDawa</v>
      </c>
      <c r="C18">
        <f t="shared" ca="1" si="8"/>
        <v>18.929535904430388</v>
      </c>
      <c r="D18">
        <f t="shared" ca="1" si="7"/>
        <v>22.63626626729026</v>
      </c>
      <c r="E18">
        <f t="shared" ca="1" si="7"/>
        <v>20.309517132455461</v>
      </c>
      <c r="F18">
        <f t="shared" ca="1" si="7"/>
        <v>22.891377780543145</v>
      </c>
      <c r="G18">
        <f t="shared" ca="1" si="7"/>
        <v>22.554697402887449</v>
      </c>
      <c r="H18">
        <f t="shared" ca="1" si="7"/>
        <v>23.905247285731825</v>
      </c>
      <c r="I18">
        <f t="shared" ca="1" si="7"/>
        <v>21.177261302805846</v>
      </c>
      <c r="J18">
        <f t="shared" ca="1" si="7"/>
        <v>22.688449794814222</v>
      </c>
      <c r="K18">
        <f t="shared" ca="1" si="7"/>
        <v>21.271519910935559</v>
      </c>
      <c r="L18">
        <f t="shared" ca="1" si="7"/>
        <v>22.971633014468722</v>
      </c>
      <c r="M18">
        <f t="shared" ca="1" si="7"/>
        <v>18.178788107216324</v>
      </c>
      <c r="N18">
        <f t="shared" ca="1" si="7"/>
        <v>22.331146089914615</v>
      </c>
      <c r="O18">
        <f t="shared" ca="1" si="7"/>
        <v>20.336153832743975</v>
      </c>
      <c r="P18">
        <f t="shared" ca="1" si="7"/>
        <v>23.386542649828108</v>
      </c>
      <c r="Q18">
        <f t="shared" ca="1" si="7"/>
        <v>21.101829450900961</v>
      </c>
      <c r="R18">
        <f t="shared" ca="1" si="7"/>
        <v>24.581440543766018</v>
      </c>
      <c r="S18">
        <f t="shared" ca="1" si="7"/>
        <v>22.531307334286865</v>
      </c>
      <c r="T18">
        <f t="shared" ca="1" si="7"/>
        <v>22.340578127514327</v>
      </c>
      <c r="U18">
        <f t="shared" ca="1" si="7"/>
        <v>18.172993504436128</v>
      </c>
      <c r="V18">
        <f t="shared" ca="1" si="7"/>
        <v>22.721633027565112</v>
      </c>
      <c r="W18">
        <f t="shared" ca="1" si="7"/>
        <v>18.119913030683119</v>
      </c>
      <c r="X18">
        <f t="shared" ca="1" si="7"/>
        <v>24.064043173968376</v>
      </c>
      <c r="Y18">
        <f t="shared" ca="1" si="7"/>
        <v>21.179042484891681</v>
      </c>
      <c r="Z18">
        <f t="shared" ca="1" si="7"/>
        <v>24.391487923964252</v>
      </c>
      <c r="AA18">
        <f t="shared" ca="1" si="7"/>
        <v>21.1948690797308</v>
      </c>
      <c r="AB18">
        <f t="shared" ca="1" si="7"/>
        <v>24.644050678298271</v>
      </c>
      <c r="AC18">
        <f t="shared" ca="1" si="7"/>
        <v>19.692772030774826</v>
      </c>
      <c r="AD18">
        <f t="shared" ca="1" si="7"/>
        <v>23.364328222968759</v>
      </c>
      <c r="AE18">
        <f t="shared" ca="1" si="7"/>
        <v>20.460306301204607</v>
      </c>
      <c r="AF18">
        <f t="shared" ca="1" si="7"/>
        <v>24.443626703616737</v>
      </c>
      <c r="AG18">
        <f t="shared" ca="1" si="7"/>
        <v>18.19121584242523</v>
      </c>
      <c r="AH18">
        <f t="shared" ca="1" si="7"/>
        <v>24.648021830965003</v>
      </c>
    </row>
    <row r="19" spans="1:34">
      <c r="A19" t="str">
        <f>CYF!A19</f>
        <v>Sorghum</v>
      </c>
      <c r="B19" t="str">
        <f>CYF!B19</f>
        <v>Gambela</v>
      </c>
      <c r="C19">
        <f t="shared" ca="1" si="8"/>
        <v>19.091357785429537</v>
      </c>
      <c r="D19">
        <f t="shared" ca="1" si="7"/>
        <v>24.448377263189965</v>
      </c>
      <c r="E19">
        <f t="shared" ca="1" si="7"/>
        <v>20.159703115143671</v>
      </c>
      <c r="F19">
        <f t="shared" ca="1" si="7"/>
        <v>24.799105918986402</v>
      </c>
      <c r="G19">
        <f t="shared" ca="1" si="7"/>
        <v>21.056966552163377</v>
      </c>
      <c r="H19">
        <f t="shared" ca="1" si="7"/>
        <v>22.313790506519474</v>
      </c>
      <c r="I19">
        <f t="shared" ca="1" si="7"/>
        <v>19.774110847616225</v>
      </c>
      <c r="J19">
        <f t="shared" ca="1" si="7"/>
        <v>24.226197691164831</v>
      </c>
      <c r="K19">
        <f t="shared" ca="1" si="7"/>
        <v>19.432271648166186</v>
      </c>
      <c r="L19">
        <f t="shared" ca="1" si="7"/>
        <v>24.290818175767313</v>
      </c>
      <c r="M19">
        <f t="shared" ca="1" si="7"/>
        <v>21.048424215245056</v>
      </c>
      <c r="N19">
        <f t="shared" ca="1" si="7"/>
        <v>24.820307015742234</v>
      </c>
      <c r="O19">
        <f t="shared" ca="1" si="7"/>
        <v>21.612360255453353</v>
      </c>
      <c r="P19">
        <f t="shared" ca="1" si="7"/>
        <v>24.306093613897279</v>
      </c>
      <c r="Q19">
        <f t="shared" ca="1" si="7"/>
        <v>20.160438252657706</v>
      </c>
      <c r="R19">
        <f t="shared" ca="1" si="7"/>
        <v>22.74661473946168</v>
      </c>
      <c r="S19">
        <f t="shared" ca="1" si="7"/>
        <v>19.213981632774857</v>
      </c>
      <c r="T19">
        <f t="shared" ca="1" si="7"/>
        <v>23.816067096234757</v>
      </c>
      <c r="U19">
        <f t="shared" ca="1" si="7"/>
        <v>22.728333763276559</v>
      </c>
      <c r="V19">
        <f t="shared" ca="1" si="7"/>
        <v>23.735593151750262</v>
      </c>
      <c r="W19">
        <f t="shared" ca="1" si="7"/>
        <v>20.308176614677183</v>
      </c>
      <c r="X19">
        <f t="shared" ca="1" si="7"/>
        <v>23.072631038688513</v>
      </c>
      <c r="Y19">
        <f t="shared" ca="1" si="7"/>
        <v>21.469122907879186</v>
      </c>
      <c r="Z19">
        <f t="shared" ca="1" si="7"/>
        <v>22.466616017329969</v>
      </c>
      <c r="AA19">
        <f t="shared" ca="1" si="7"/>
        <v>18.240158280675701</v>
      </c>
      <c r="AB19">
        <f t="shared" ca="1" si="7"/>
        <v>23.677319571930298</v>
      </c>
      <c r="AC19">
        <f t="shared" ca="1" si="7"/>
        <v>21.156501171641935</v>
      </c>
      <c r="AD19">
        <f t="shared" ca="1" si="7"/>
        <v>23.710758477954943</v>
      </c>
      <c r="AE19">
        <f t="shared" ca="1" si="7"/>
        <v>18.350243427993753</v>
      </c>
      <c r="AF19">
        <f t="shared" ca="1" si="7"/>
        <v>24.84440699182116</v>
      </c>
      <c r="AG19">
        <f t="shared" ca="1" si="7"/>
        <v>20.149645808148598</v>
      </c>
      <c r="AH19">
        <f t="shared" ca="1" si="7"/>
        <v>23.125872280453319</v>
      </c>
    </row>
    <row r="20" spans="1:34">
      <c r="A20" t="str">
        <f>CYF!A20</f>
        <v>Sorghum</v>
      </c>
      <c r="B20" t="str">
        <f>CYF!B20</f>
        <v>Harari</v>
      </c>
      <c r="C20">
        <f t="shared" ca="1" si="8"/>
        <v>21.66805679485379</v>
      </c>
      <c r="D20">
        <f t="shared" ca="1" si="7"/>
        <v>22.29563073599066</v>
      </c>
      <c r="E20">
        <f t="shared" ca="1" si="7"/>
        <v>19.218551728702291</v>
      </c>
      <c r="F20">
        <f t="shared" ca="1" si="7"/>
        <v>23.804584291349521</v>
      </c>
      <c r="G20">
        <f t="shared" ca="1" si="7"/>
        <v>19.201877023137989</v>
      </c>
      <c r="H20">
        <f t="shared" ca="1" si="7"/>
        <v>24.107768430760856</v>
      </c>
      <c r="I20">
        <f t="shared" ca="1" si="7"/>
        <v>21.12791156354152</v>
      </c>
      <c r="J20">
        <f t="shared" ca="1" si="7"/>
        <v>22.073846781386024</v>
      </c>
      <c r="K20">
        <f t="shared" ca="1" si="7"/>
        <v>19.846376827835826</v>
      </c>
      <c r="L20">
        <f t="shared" ca="1" si="7"/>
        <v>23.870003793891446</v>
      </c>
      <c r="M20">
        <f t="shared" ca="1" si="7"/>
        <v>19.84885876789323</v>
      </c>
      <c r="N20">
        <f t="shared" ca="1" si="7"/>
        <v>22.294187086978908</v>
      </c>
      <c r="O20">
        <f t="shared" ca="1" si="7"/>
        <v>18.326947587821085</v>
      </c>
      <c r="P20">
        <f t="shared" ca="1" si="7"/>
        <v>22.214539996157129</v>
      </c>
      <c r="Q20">
        <f t="shared" ca="1" si="7"/>
        <v>22.854258235046537</v>
      </c>
      <c r="R20">
        <f t="shared" ca="1" si="7"/>
        <v>23.070578787049445</v>
      </c>
      <c r="S20">
        <f t="shared" ca="1" si="7"/>
        <v>20.322768603178908</v>
      </c>
      <c r="T20">
        <f t="shared" ca="1" si="7"/>
        <v>24.084602027634979</v>
      </c>
      <c r="U20">
        <f t="shared" ca="1" si="7"/>
        <v>19.439584355643493</v>
      </c>
      <c r="V20">
        <f t="shared" ca="1" si="7"/>
        <v>22.282391347995681</v>
      </c>
      <c r="W20">
        <f t="shared" ca="1" si="7"/>
        <v>19.145116982584462</v>
      </c>
      <c r="X20">
        <f t="shared" ca="1" si="7"/>
        <v>23.770839566131887</v>
      </c>
      <c r="Y20">
        <f t="shared" ca="1" si="7"/>
        <v>20.376422014562575</v>
      </c>
      <c r="Z20">
        <f t="shared" ca="1" si="7"/>
        <v>22.761406722479364</v>
      </c>
      <c r="AA20">
        <f t="shared" ca="1" si="7"/>
        <v>18.509194984630948</v>
      </c>
      <c r="AB20">
        <f t="shared" ca="1" si="7"/>
        <v>23.703897529859816</v>
      </c>
      <c r="AC20">
        <f t="shared" ca="1" si="7"/>
        <v>18.471427045022427</v>
      </c>
      <c r="AD20">
        <f t="shared" ca="1" si="7"/>
        <v>22.526661746549593</v>
      </c>
      <c r="AE20">
        <f t="shared" ca="1" si="7"/>
        <v>20.63687109844977</v>
      </c>
      <c r="AF20">
        <f t="shared" ca="1" si="7"/>
        <v>24.528418240283077</v>
      </c>
      <c r="AG20">
        <f t="shared" ca="1" si="7"/>
        <v>22.616895143515158</v>
      </c>
      <c r="AH20">
        <f t="shared" ca="1" si="7"/>
        <v>22.002591155258173</v>
      </c>
    </row>
    <row r="21" spans="1:34">
      <c r="A21" t="str">
        <f>CYF!A21</f>
        <v>Sorghum</v>
      </c>
      <c r="B21" t="str">
        <f>CYF!B21</f>
        <v>Oromia</v>
      </c>
      <c r="C21">
        <f t="shared" ca="1" si="8"/>
        <v>22.494891662571696</v>
      </c>
      <c r="D21">
        <f t="shared" ca="1" si="7"/>
        <v>24.528658633523992</v>
      </c>
      <c r="E21">
        <f t="shared" ca="1" si="7"/>
        <v>18.832373229820032</v>
      </c>
      <c r="F21">
        <f t="shared" ca="1" si="7"/>
        <v>23.854074905688648</v>
      </c>
      <c r="G21">
        <f t="shared" ca="1" si="7"/>
        <v>19.892871651928388</v>
      </c>
      <c r="H21">
        <f t="shared" ca="1" si="7"/>
        <v>22.936299501596761</v>
      </c>
      <c r="I21">
        <f t="shared" ca="1" si="7"/>
        <v>19.304121496761194</v>
      </c>
      <c r="J21">
        <f t="shared" ca="1" si="7"/>
        <v>24.392239416703635</v>
      </c>
      <c r="K21">
        <f t="shared" ca="1" si="7"/>
        <v>19.321339235147622</v>
      </c>
      <c r="L21">
        <f t="shared" ca="1" si="7"/>
        <v>24.962854208145423</v>
      </c>
      <c r="M21">
        <f t="shared" ca="1" si="7"/>
        <v>19.945102887849355</v>
      </c>
      <c r="N21">
        <f t="shared" ca="1" si="7"/>
        <v>24.849553993188543</v>
      </c>
      <c r="O21">
        <f t="shared" ca="1" si="7"/>
        <v>22.344004628438984</v>
      </c>
      <c r="P21">
        <f t="shared" ca="1" si="7"/>
        <v>24.714930895112779</v>
      </c>
      <c r="Q21">
        <f t="shared" ca="1" si="7"/>
        <v>18.518174792179988</v>
      </c>
      <c r="R21">
        <f t="shared" ca="1" si="7"/>
        <v>23.589162853108633</v>
      </c>
      <c r="S21">
        <f t="shared" ca="1" si="7"/>
        <v>21.086523915051536</v>
      </c>
      <c r="T21">
        <f t="shared" ca="1" si="7"/>
        <v>22.31010615431962</v>
      </c>
      <c r="U21">
        <f t="shared" ca="1" si="7"/>
        <v>18.609471514869895</v>
      </c>
      <c r="V21">
        <f t="shared" ca="1" si="7"/>
        <v>22.699179966718614</v>
      </c>
      <c r="W21">
        <f t="shared" ca="1" si="7"/>
        <v>20.83380005594886</v>
      </c>
      <c r="X21">
        <f t="shared" ca="1" si="7"/>
        <v>22.890633877842749</v>
      </c>
      <c r="Y21">
        <f t="shared" ca="1" si="7"/>
        <v>22.511137083603934</v>
      </c>
      <c r="Z21">
        <f t="shared" ca="1" si="7"/>
        <v>22.09693549341323</v>
      </c>
      <c r="AA21">
        <f t="shared" ca="1" si="7"/>
        <v>19.044311251886331</v>
      </c>
      <c r="AB21">
        <f t="shared" ca="1" si="7"/>
        <v>23.156613419289286</v>
      </c>
      <c r="AC21">
        <f t="shared" ca="1" si="7"/>
        <v>21.924857360348096</v>
      </c>
      <c r="AD21">
        <f t="shared" ca="1" si="7"/>
        <v>24.187541038044461</v>
      </c>
      <c r="AE21">
        <f t="shared" ca="1" si="7"/>
        <v>21.241239811015259</v>
      </c>
      <c r="AF21">
        <f t="shared" ca="1" si="7"/>
        <v>24.568945383935741</v>
      </c>
      <c r="AG21">
        <f t="shared" ca="1" si="7"/>
        <v>19.907566206534121</v>
      </c>
      <c r="AH21">
        <f t="shared" ca="1" si="7"/>
        <v>22.684995063457528</v>
      </c>
    </row>
    <row r="22" spans="1:34">
      <c r="A22" t="str">
        <f>CYF!A22</f>
        <v>Sorghum</v>
      </c>
      <c r="B22" t="str">
        <f>CYF!B22</f>
        <v>Somali</v>
      </c>
      <c r="C22">
        <f t="shared" ca="1" si="8"/>
        <v>22.174179237249781</v>
      </c>
      <c r="D22">
        <f t="shared" ca="1" si="7"/>
        <v>23.870681394135215</v>
      </c>
      <c r="E22">
        <f t="shared" ca="1" si="7"/>
        <v>22.994062712066395</v>
      </c>
      <c r="F22">
        <f t="shared" ca="1" si="7"/>
        <v>23.759661772548711</v>
      </c>
      <c r="G22">
        <f t="shared" ca="1" si="7"/>
        <v>18.763259803990096</v>
      </c>
      <c r="H22">
        <f t="shared" ca="1" si="7"/>
        <v>24.13627685045255</v>
      </c>
      <c r="I22">
        <f t="shared" ca="1" si="7"/>
        <v>20.146560278486007</v>
      </c>
      <c r="J22">
        <f t="shared" ca="1" si="7"/>
        <v>24.751108937999152</v>
      </c>
      <c r="K22">
        <f t="shared" ref="K22:Z68" ca="1" si="9">IF(1-MOD(COLUMN(),2),25-RAND()*3,(18+RAND()*5))</f>
        <v>19.693403978143106</v>
      </c>
      <c r="L22">
        <f t="shared" ca="1" si="9"/>
        <v>24.6424212060797</v>
      </c>
      <c r="M22">
        <f t="shared" ca="1" si="9"/>
        <v>22.171855271194843</v>
      </c>
      <c r="N22">
        <f t="shared" ca="1" si="9"/>
        <v>24.999181820279865</v>
      </c>
      <c r="O22">
        <f t="shared" ca="1" si="9"/>
        <v>21.254824962086751</v>
      </c>
      <c r="P22">
        <f t="shared" ca="1" si="9"/>
        <v>23.964187533242068</v>
      </c>
      <c r="Q22">
        <f t="shared" ca="1" si="9"/>
        <v>20.898509549978812</v>
      </c>
      <c r="R22">
        <f t="shared" ca="1" si="9"/>
        <v>22.879123035039335</v>
      </c>
      <c r="S22">
        <f t="shared" ca="1" si="9"/>
        <v>22.267991886698347</v>
      </c>
      <c r="T22">
        <f t="shared" ca="1" si="9"/>
        <v>24.707630528664485</v>
      </c>
      <c r="U22">
        <f t="shared" ca="1" si="9"/>
        <v>18.275812852517237</v>
      </c>
      <c r="V22">
        <f t="shared" ca="1" si="9"/>
        <v>23.475888194220211</v>
      </c>
      <c r="W22">
        <f t="shared" ca="1" si="9"/>
        <v>18.251499050402074</v>
      </c>
      <c r="X22">
        <f t="shared" ca="1" si="9"/>
        <v>23.521035309936803</v>
      </c>
      <c r="Y22">
        <f t="shared" ca="1" si="9"/>
        <v>22.073068068300653</v>
      </c>
      <c r="Z22">
        <f t="shared" ca="1" si="9"/>
        <v>24.876440138192024</v>
      </c>
      <c r="AA22">
        <f t="shared" ref="AA22:AH68" ca="1" si="10">IF(1-MOD(COLUMN(),2),25-RAND()*3,(18+RAND()*5))</f>
        <v>18.487537370551319</v>
      </c>
      <c r="AB22">
        <f t="shared" ca="1" si="10"/>
        <v>24.36619144139511</v>
      </c>
      <c r="AC22">
        <f t="shared" ca="1" si="10"/>
        <v>18.57237883241066</v>
      </c>
      <c r="AD22">
        <f t="shared" ca="1" si="10"/>
        <v>24.109152982109567</v>
      </c>
      <c r="AE22">
        <f t="shared" ca="1" si="10"/>
        <v>21.263253215211929</v>
      </c>
      <c r="AF22">
        <f t="shared" ca="1" si="10"/>
        <v>22.294085007370185</v>
      </c>
      <c r="AG22">
        <f t="shared" ca="1" si="10"/>
        <v>18.608920821343251</v>
      </c>
      <c r="AH22">
        <f t="shared" ca="1" si="10"/>
        <v>22.878078752100691</v>
      </c>
    </row>
    <row r="23" spans="1:34">
      <c r="A23" t="str">
        <f>CYF!A23</f>
        <v>Sorghum</v>
      </c>
      <c r="B23" t="str">
        <f>CYF!B23</f>
        <v>SNNPR</v>
      </c>
      <c r="C23">
        <f t="shared" ca="1" si="8"/>
        <v>22.48310153722808</v>
      </c>
      <c r="D23">
        <f t="shared" ca="1" si="8"/>
        <v>22.227461139537763</v>
      </c>
      <c r="E23">
        <f t="shared" ca="1" si="8"/>
        <v>22.739661745560074</v>
      </c>
      <c r="F23">
        <f t="shared" ca="1" si="8"/>
        <v>24.129084158176564</v>
      </c>
      <c r="G23">
        <f t="shared" ca="1" si="8"/>
        <v>19.124032201070918</v>
      </c>
      <c r="H23">
        <f t="shared" ca="1" si="8"/>
        <v>23.707466559253902</v>
      </c>
      <c r="I23">
        <f t="shared" ca="1" si="8"/>
        <v>19.931342461468418</v>
      </c>
      <c r="J23">
        <f t="shared" ca="1" si="8"/>
        <v>24.597865907351679</v>
      </c>
      <c r="K23">
        <f t="shared" ca="1" si="8"/>
        <v>20.021957277552108</v>
      </c>
      <c r="L23">
        <f t="shared" ca="1" si="8"/>
        <v>22.57517245524199</v>
      </c>
      <c r="M23">
        <f t="shared" ca="1" si="8"/>
        <v>20.433186735534182</v>
      </c>
      <c r="N23">
        <f t="shared" ca="1" si="8"/>
        <v>24.80824428521618</v>
      </c>
      <c r="O23">
        <f t="shared" ca="1" si="8"/>
        <v>20.185392544375059</v>
      </c>
      <c r="P23">
        <f t="shared" ca="1" si="8"/>
        <v>24.529851067953889</v>
      </c>
      <c r="Q23">
        <f t="shared" ca="1" si="8"/>
        <v>19.050994665936425</v>
      </c>
      <c r="R23">
        <f t="shared" ca="1" si="8"/>
        <v>22.70941352973043</v>
      </c>
      <c r="S23">
        <f t="shared" ca="1" si="9"/>
        <v>19.321171990039293</v>
      </c>
      <c r="T23">
        <f t="shared" ca="1" si="9"/>
        <v>23.662083747366339</v>
      </c>
      <c r="U23">
        <f t="shared" ca="1" si="9"/>
        <v>19.647656759571081</v>
      </c>
      <c r="V23">
        <f t="shared" ca="1" si="9"/>
        <v>24.377563622301402</v>
      </c>
      <c r="W23">
        <f t="shared" ca="1" si="9"/>
        <v>19.242984761761548</v>
      </c>
      <c r="X23">
        <f t="shared" ca="1" si="9"/>
        <v>23.202540029173157</v>
      </c>
      <c r="Y23">
        <f t="shared" ca="1" si="9"/>
        <v>22.664582379891112</v>
      </c>
      <c r="Z23">
        <f t="shared" ca="1" si="9"/>
        <v>23.89666532050866</v>
      </c>
      <c r="AA23">
        <f t="shared" ca="1" si="10"/>
        <v>22.445096261237534</v>
      </c>
      <c r="AB23">
        <f t="shared" ca="1" si="10"/>
        <v>22.564019919439978</v>
      </c>
      <c r="AC23">
        <f t="shared" ca="1" si="10"/>
        <v>19.444693531763225</v>
      </c>
      <c r="AD23">
        <f t="shared" ca="1" si="10"/>
        <v>23.81757707500201</v>
      </c>
      <c r="AE23">
        <f t="shared" ca="1" si="10"/>
        <v>20.573687578359088</v>
      </c>
      <c r="AF23">
        <f t="shared" ca="1" si="10"/>
        <v>24.177872660715508</v>
      </c>
      <c r="AG23">
        <f t="shared" ca="1" si="10"/>
        <v>20.171299442105465</v>
      </c>
      <c r="AH23">
        <f t="shared" ca="1" si="10"/>
        <v>22.375723043817104</v>
      </c>
    </row>
    <row r="24" spans="1:34">
      <c r="A24" t="str">
        <f>CYF!A24</f>
        <v>Sorghum</v>
      </c>
      <c r="B24" t="str">
        <f>CYF!B24</f>
        <v>Tigray</v>
      </c>
      <c r="C24">
        <f t="shared" ca="1" si="8"/>
        <v>20.80556201261064</v>
      </c>
      <c r="D24">
        <f t="shared" ca="1" si="8"/>
        <v>23.44757009385971</v>
      </c>
      <c r="E24">
        <f t="shared" ca="1" si="8"/>
        <v>21.163380374075608</v>
      </c>
      <c r="F24">
        <f t="shared" ca="1" si="8"/>
        <v>22.849373228609235</v>
      </c>
      <c r="G24">
        <f t="shared" ca="1" si="8"/>
        <v>20.0381234865701</v>
      </c>
      <c r="H24">
        <f t="shared" ca="1" si="8"/>
        <v>22.534218301537052</v>
      </c>
      <c r="I24">
        <f t="shared" ca="1" si="8"/>
        <v>19.65741675614273</v>
      </c>
      <c r="J24">
        <f t="shared" ca="1" si="8"/>
        <v>24.918472769714022</v>
      </c>
      <c r="K24">
        <f t="shared" ca="1" si="8"/>
        <v>18.792162771465566</v>
      </c>
      <c r="L24">
        <f t="shared" ca="1" si="8"/>
        <v>24.744282547830629</v>
      </c>
      <c r="M24">
        <f t="shared" ca="1" si="8"/>
        <v>22.642868290241651</v>
      </c>
      <c r="N24">
        <f t="shared" ca="1" si="8"/>
        <v>22.650464167539273</v>
      </c>
      <c r="O24">
        <f t="shared" ca="1" si="8"/>
        <v>18.187865668512387</v>
      </c>
      <c r="P24">
        <f t="shared" ca="1" si="8"/>
        <v>24.923319524255717</v>
      </c>
      <c r="Q24">
        <f t="shared" ca="1" si="8"/>
        <v>20.943531454633323</v>
      </c>
      <c r="R24">
        <f t="shared" ca="1" si="8"/>
        <v>22.139343297381185</v>
      </c>
      <c r="S24">
        <f t="shared" ca="1" si="9"/>
        <v>21.293631658911156</v>
      </c>
      <c r="T24">
        <f t="shared" ca="1" si="9"/>
        <v>24.991160965598137</v>
      </c>
      <c r="U24">
        <f t="shared" ca="1" si="9"/>
        <v>19.069909327056745</v>
      </c>
      <c r="V24">
        <f t="shared" ca="1" si="9"/>
        <v>23.161461317111204</v>
      </c>
      <c r="W24">
        <f t="shared" ca="1" si="9"/>
        <v>22.316554598837421</v>
      </c>
      <c r="X24">
        <f t="shared" ca="1" si="9"/>
        <v>22.964866250397137</v>
      </c>
      <c r="Y24">
        <f t="shared" ca="1" si="9"/>
        <v>22.701227031756062</v>
      </c>
      <c r="Z24">
        <f t="shared" ca="1" si="9"/>
        <v>22.16202513653797</v>
      </c>
      <c r="AA24">
        <f t="shared" ca="1" si="10"/>
        <v>20.670327776652975</v>
      </c>
      <c r="AB24">
        <f t="shared" ca="1" si="10"/>
        <v>22.925773944502069</v>
      </c>
      <c r="AC24">
        <f t="shared" ca="1" si="10"/>
        <v>18.328665385489195</v>
      </c>
      <c r="AD24">
        <f t="shared" ca="1" si="10"/>
        <v>22.556767935760796</v>
      </c>
      <c r="AE24">
        <f t="shared" ca="1" si="10"/>
        <v>21.456149367787479</v>
      </c>
      <c r="AF24">
        <f t="shared" ca="1" si="10"/>
        <v>22.01263375017129</v>
      </c>
      <c r="AG24">
        <f t="shared" ca="1" si="10"/>
        <v>21.230774403223787</v>
      </c>
      <c r="AH24">
        <f t="shared" ca="1" si="10"/>
        <v>23.949168616715358</v>
      </c>
    </row>
    <row r="25" spans="1:34">
      <c r="A25" t="str">
        <f>CYF!A25</f>
        <v>Maize</v>
      </c>
      <c r="B25" t="str">
        <f>CYF!B25</f>
        <v>AddisAbaba</v>
      </c>
      <c r="C25">
        <f t="shared" ca="1" si="8"/>
        <v>22.249864978013608</v>
      </c>
      <c r="D25">
        <f t="shared" ca="1" si="8"/>
        <v>23.033156950285331</v>
      </c>
      <c r="E25">
        <f t="shared" ca="1" si="8"/>
        <v>22.719872559851567</v>
      </c>
      <c r="F25">
        <f t="shared" ca="1" si="8"/>
        <v>24.77216808780204</v>
      </c>
      <c r="G25">
        <f t="shared" ca="1" si="8"/>
        <v>21.474159870189506</v>
      </c>
      <c r="H25">
        <f t="shared" ca="1" si="8"/>
        <v>23.440330263645315</v>
      </c>
      <c r="I25">
        <f t="shared" ca="1" si="8"/>
        <v>22.083884543966619</v>
      </c>
      <c r="J25">
        <f t="shared" ca="1" si="8"/>
        <v>22.862540801513891</v>
      </c>
      <c r="K25">
        <f t="shared" ca="1" si="8"/>
        <v>19.235701604968387</v>
      </c>
      <c r="L25">
        <f t="shared" ca="1" si="8"/>
        <v>22.063001802309664</v>
      </c>
      <c r="M25">
        <f t="shared" ca="1" si="8"/>
        <v>21.127524098760563</v>
      </c>
      <c r="N25">
        <f t="shared" ca="1" si="8"/>
        <v>23.235438103417351</v>
      </c>
      <c r="O25">
        <f t="shared" ca="1" si="8"/>
        <v>19.507228117491255</v>
      </c>
      <c r="P25">
        <f t="shared" ca="1" si="8"/>
        <v>22.825167963948399</v>
      </c>
      <c r="Q25">
        <f t="shared" ca="1" si="8"/>
        <v>18.571937819514691</v>
      </c>
      <c r="R25">
        <f t="shared" ca="1" si="8"/>
        <v>24.511663299319189</v>
      </c>
      <c r="S25">
        <f t="shared" ca="1" si="9"/>
        <v>22.403127215554012</v>
      </c>
      <c r="T25">
        <f t="shared" ca="1" si="9"/>
        <v>24.129018362692626</v>
      </c>
      <c r="U25">
        <f t="shared" ca="1" si="9"/>
        <v>21.281645256185524</v>
      </c>
      <c r="V25">
        <f t="shared" ca="1" si="9"/>
        <v>24.75169353505737</v>
      </c>
      <c r="W25">
        <f t="shared" ca="1" si="9"/>
        <v>18.482806662250542</v>
      </c>
      <c r="X25">
        <f t="shared" ca="1" si="9"/>
        <v>24.323092711051626</v>
      </c>
      <c r="Y25">
        <f t="shared" ca="1" si="9"/>
        <v>21.819292166577984</v>
      </c>
      <c r="Z25">
        <f t="shared" ca="1" si="9"/>
        <v>24.200569266105074</v>
      </c>
      <c r="AA25">
        <f t="shared" ca="1" si="10"/>
        <v>21.441063308616002</v>
      </c>
      <c r="AB25">
        <f t="shared" ca="1" si="10"/>
        <v>22.57531848697441</v>
      </c>
      <c r="AC25">
        <f t="shared" ca="1" si="10"/>
        <v>18.538645472132199</v>
      </c>
      <c r="AD25">
        <f t="shared" ca="1" si="10"/>
        <v>23.614991722033498</v>
      </c>
      <c r="AE25">
        <f t="shared" ca="1" si="10"/>
        <v>20.531395717827003</v>
      </c>
      <c r="AF25">
        <f t="shared" ca="1" si="10"/>
        <v>24.955926735075312</v>
      </c>
      <c r="AG25">
        <f t="shared" ca="1" si="10"/>
        <v>20.576152141911244</v>
      </c>
      <c r="AH25">
        <f t="shared" ca="1" si="10"/>
        <v>23.995721843107038</v>
      </c>
    </row>
    <row r="26" spans="1:34">
      <c r="A26" t="str">
        <f>CYF!A26</f>
        <v>Maize</v>
      </c>
      <c r="B26" t="str">
        <f>CYF!B26</f>
        <v>Afar</v>
      </c>
      <c r="C26">
        <f t="shared" ca="1" si="8"/>
        <v>22.724331645105924</v>
      </c>
      <c r="D26">
        <f t="shared" ca="1" si="8"/>
        <v>22.758841547713587</v>
      </c>
      <c r="E26">
        <f t="shared" ca="1" si="8"/>
        <v>18.775552835271604</v>
      </c>
      <c r="F26">
        <f t="shared" ca="1" si="8"/>
        <v>23.721040226257834</v>
      </c>
      <c r="G26">
        <f t="shared" ca="1" si="8"/>
        <v>20.376295784294193</v>
      </c>
      <c r="H26">
        <f t="shared" ca="1" si="8"/>
        <v>23.667711115911239</v>
      </c>
      <c r="I26">
        <f t="shared" ca="1" si="8"/>
        <v>20.92350743717909</v>
      </c>
      <c r="J26">
        <f t="shared" ca="1" si="8"/>
        <v>24.969460484668005</v>
      </c>
      <c r="K26">
        <f t="shared" ca="1" si="8"/>
        <v>20.83008441612321</v>
      </c>
      <c r="L26">
        <f t="shared" ca="1" si="8"/>
        <v>22.72276874370117</v>
      </c>
      <c r="M26">
        <f t="shared" ca="1" si="8"/>
        <v>20.52019890448652</v>
      </c>
      <c r="N26">
        <f t="shared" ca="1" si="8"/>
        <v>22.484234578502964</v>
      </c>
      <c r="O26">
        <f t="shared" ca="1" si="8"/>
        <v>18.622136986366964</v>
      </c>
      <c r="P26">
        <f t="shared" ca="1" si="8"/>
        <v>22.209459781239278</v>
      </c>
      <c r="Q26">
        <f t="shared" ca="1" si="8"/>
        <v>19.285485915314329</v>
      </c>
      <c r="R26">
        <f t="shared" ca="1" si="8"/>
        <v>22.591832266407849</v>
      </c>
      <c r="S26">
        <f t="shared" ca="1" si="9"/>
        <v>20.682939157698655</v>
      </c>
      <c r="T26">
        <f t="shared" ca="1" si="9"/>
        <v>24.656256342010543</v>
      </c>
      <c r="U26">
        <f t="shared" ca="1" si="9"/>
        <v>19.458094465946747</v>
      </c>
      <c r="V26">
        <f t="shared" ca="1" si="9"/>
        <v>22.316204851428544</v>
      </c>
      <c r="W26">
        <f t="shared" ca="1" si="9"/>
        <v>18.843381219221651</v>
      </c>
      <c r="X26">
        <f t="shared" ca="1" si="9"/>
        <v>24.922229192729084</v>
      </c>
      <c r="Y26">
        <f t="shared" ca="1" si="9"/>
        <v>18.653042139075197</v>
      </c>
      <c r="Z26">
        <f t="shared" ca="1" si="9"/>
        <v>24.871439425252447</v>
      </c>
      <c r="AA26">
        <f t="shared" ca="1" si="10"/>
        <v>19.907431976736433</v>
      </c>
      <c r="AB26">
        <f t="shared" ca="1" si="10"/>
        <v>22.074547908405719</v>
      </c>
      <c r="AC26">
        <f t="shared" ca="1" si="10"/>
        <v>19.946132716222024</v>
      </c>
      <c r="AD26">
        <f t="shared" ca="1" si="10"/>
        <v>23.894415506642407</v>
      </c>
      <c r="AE26">
        <f t="shared" ca="1" si="10"/>
        <v>20.610545195291046</v>
      </c>
      <c r="AF26">
        <f t="shared" ca="1" si="10"/>
        <v>24.385672678179318</v>
      </c>
      <c r="AG26">
        <f t="shared" ca="1" si="10"/>
        <v>21.297530327013334</v>
      </c>
      <c r="AH26">
        <f t="shared" ca="1" si="10"/>
        <v>23.587999467489649</v>
      </c>
    </row>
    <row r="27" spans="1:34">
      <c r="A27" t="str">
        <f>CYF!A27</f>
        <v>Maize</v>
      </c>
      <c r="B27" t="str">
        <f>CYF!B27</f>
        <v>Amhara</v>
      </c>
      <c r="C27">
        <f t="shared" ca="1" si="8"/>
        <v>20.190941554337016</v>
      </c>
      <c r="D27">
        <f t="shared" ca="1" si="8"/>
        <v>22.893718873334091</v>
      </c>
      <c r="E27">
        <f t="shared" ca="1" si="8"/>
        <v>18.518228216499129</v>
      </c>
      <c r="F27">
        <f t="shared" ca="1" si="8"/>
        <v>22.445696914963616</v>
      </c>
      <c r="G27">
        <f t="shared" ca="1" si="8"/>
        <v>20.457250012106819</v>
      </c>
      <c r="H27">
        <f t="shared" ca="1" si="8"/>
        <v>23.549135812626698</v>
      </c>
      <c r="I27">
        <f t="shared" ca="1" si="8"/>
        <v>21.557127790127716</v>
      </c>
      <c r="J27">
        <f t="shared" ca="1" si="8"/>
        <v>24.037722461329363</v>
      </c>
      <c r="K27">
        <f t="shared" ca="1" si="8"/>
        <v>21.547815694725749</v>
      </c>
      <c r="L27">
        <f t="shared" ca="1" si="8"/>
        <v>22.701515069787337</v>
      </c>
      <c r="M27">
        <f t="shared" ca="1" si="8"/>
        <v>18.994819491699651</v>
      </c>
      <c r="N27">
        <f t="shared" ca="1" si="8"/>
        <v>24.987522949119043</v>
      </c>
      <c r="O27">
        <f t="shared" ca="1" si="8"/>
        <v>18.54231115053144</v>
      </c>
      <c r="P27">
        <f t="shared" ca="1" si="8"/>
        <v>23.76207439196623</v>
      </c>
      <c r="Q27">
        <f t="shared" ca="1" si="8"/>
        <v>22.768417848153383</v>
      </c>
      <c r="R27">
        <f t="shared" ca="1" si="8"/>
        <v>23.120074811771708</v>
      </c>
      <c r="S27">
        <f t="shared" ca="1" si="9"/>
        <v>21.645590401198017</v>
      </c>
      <c r="T27">
        <f t="shared" ca="1" si="9"/>
        <v>22.629034757499994</v>
      </c>
      <c r="U27">
        <f t="shared" ca="1" si="9"/>
        <v>21.670365696192295</v>
      </c>
      <c r="V27">
        <f t="shared" ca="1" si="9"/>
        <v>24.077808623677459</v>
      </c>
      <c r="W27">
        <f t="shared" ca="1" si="9"/>
        <v>21.787150337879883</v>
      </c>
      <c r="X27">
        <f t="shared" ca="1" si="9"/>
        <v>22.116048193846066</v>
      </c>
      <c r="Y27">
        <f t="shared" ca="1" si="9"/>
        <v>21.450821893087792</v>
      </c>
      <c r="Z27">
        <f t="shared" ca="1" si="9"/>
        <v>24.630743324217281</v>
      </c>
      <c r="AA27">
        <f t="shared" ca="1" si="10"/>
        <v>19.792465538099272</v>
      </c>
      <c r="AB27">
        <f t="shared" ca="1" si="10"/>
        <v>24.481058945632114</v>
      </c>
      <c r="AC27">
        <f t="shared" ca="1" si="10"/>
        <v>19.430278715479581</v>
      </c>
      <c r="AD27">
        <f t="shared" ca="1" si="10"/>
        <v>23.554913313048523</v>
      </c>
      <c r="AE27">
        <f t="shared" ca="1" si="10"/>
        <v>18.509241721379201</v>
      </c>
      <c r="AF27">
        <f t="shared" ca="1" si="10"/>
        <v>23.065053704803049</v>
      </c>
      <c r="AG27">
        <f t="shared" ca="1" si="10"/>
        <v>19.515729150006202</v>
      </c>
      <c r="AH27">
        <f t="shared" ca="1" si="10"/>
        <v>23.636815605613236</v>
      </c>
    </row>
    <row r="28" spans="1:34">
      <c r="A28" t="str">
        <f>CYF!A28</f>
        <v>Maize</v>
      </c>
      <c r="B28" t="str">
        <f>CYF!B28</f>
        <v>Gumuz</v>
      </c>
      <c r="C28">
        <f t="shared" ca="1" si="8"/>
        <v>18.459367576352992</v>
      </c>
      <c r="D28">
        <f t="shared" ca="1" si="8"/>
        <v>24.156476779964557</v>
      </c>
      <c r="E28">
        <f t="shared" ca="1" si="8"/>
        <v>18.388176726682211</v>
      </c>
      <c r="F28">
        <f t="shared" ca="1" si="8"/>
        <v>24.186606253936969</v>
      </c>
      <c r="G28">
        <f t="shared" ca="1" si="8"/>
        <v>20.658569608346827</v>
      </c>
      <c r="H28">
        <f t="shared" ca="1" si="8"/>
        <v>24.486784730594422</v>
      </c>
      <c r="I28">
        <f t="shared" ca="1" si="8"/>
        <v>19.43590292935032</v>
      </c>
      <c r="J28">
        <f t="shared" ca="1" si="8"/>
        <v>24.983145039332864</v>
      </c>
      <c r="K28">
        <f t="shared" ca="1" si="8"/>
        <v>18.470409111370643</v>
      </c>
      <c r="L28">
        <f t="shared" ca="1" si="8"/>
        <v>23.018482617562221</v>
      </c>
      <c r="M28">
        <f t="shared" ca="1" si="8"/>
        <v>18.396846072344907</v>
      </c>
      <c r="N28">
        <f t="shared" ca="1" si="8"/>
        <v>22.415938587103383</v>
      </c>
      <c r="O28">
        <f t="shared" ca="1" si="8"/>
        <v>20.85241014857732</v>
      </c>
      <c r="P28">
        <f t="shared" ca="1" si="8"/>
        <v>24.472177631834839</v>
      </c>
      <c r="Q28">
        <f t="shared" ca="1" si="8"/>
        <v>19.647710327287204</v>
      </c>
      <c r="R28">
        <f t="shared" ca="1" si="8"/>
        <v>22.022157769759374</v>
      </c>
      <c r="S28">
        <f t="shared" ca="1" si="9"/>
        <v>20.982316683181516</v>
      </c>
      <c r="T28">
        <f t="shared" ca="1" si="9"/>
        <v>22.132834549261091</v>
      </c>
      <c r="U28">
        <f t="shared" ca="1" si="9"/>
        <v>19.158497656087292</v>
      </c>
      <c r="V28">
        <f t="shared" ca="1" si="9"/>
        <v>24.841077685645651</v>
      </c>
      <c r="W28">
        <f t="shared" ca="1" si="9"/>
        <v>21.81489519084025</v>
      </c>
      <c r="X28">
        <f t="shared" ca="1" si="9"/>
        <v>24.318254389682743</v>
      </c>
      <c r="Y28">
        <f t="shared" ca="1" si="9"/>
        <v>19.243300517790942</v>
      </c>
      <c r="Z28">
        <f t="shared" ca="1" si="9"/>
        <v>23.457440996460779</v>
      </c>
      <c r="AA28">
        <f t="shared" ca="1" si="10"/>
        <v>20.541280304436334</v>
      </c>
      <c r="AB28">
        <f t="shared" ca="1" si="10"/>
        <v>22.960060814337464</v>
      </c>
      <c r="AC28">
        <f t="shared" ca="1" si="10"/>
        <v>21.389193616613248</v>
      </c>
      <c r="AD28">
        <f t="shared" ca="1" si="10"/>
        <v>23.690822552400032</v>
      </c>
      <c r="AE28">
        <f t="shared" ca="1" si="10"/>
        <v>21.388138639237468</v>
      </c>
      <c r="AF28">
        <f t="shared" ca="1" si="10"/>
        <v>23.947683517513031</v>
      </c>
      <c r="AG28">
        <f t="shared" ca="1" si="10"/>
        <v>20.454894714804873</v>
      </c>
      <c r="AH28">
        <f t="shared" ca="1" si="10"/>
        <v>24.868061176330592</v>
      </c>
    </row>
    <row r="29" spans="1:34">
      <c r="A29" t="str">
        <f>CYF!A29</f>
        <v>Maize</v>
      </c>
      <c r="B29" t="str">
        <f>CYF!B29</f>
        <v>DireDawa</v>
      </c>
      <c r="C29">
        <f t="shared" ca="1" si="8"/>
        <v>21.814804919723301</v>
      </c>
      <c r="D29">
        <f t="shared" ca="1" si="8"/>
        <v>24.945063424638398</v>
      </c>
      <c r="E29">
        <f t="shared" ca="1" si="8"/>
        <v>18.685108485000221</v>
      </c>
      <c r="F29">
        <f t="shared" ca="1" si="8"/>
        <v>24.153889349412388</v>
      </c>
      <c r="G29">
        <f t="shared" ca="1" si="8"/>
        <v>18.477670033176697</v>
      </c>
      <c r="H29">
        <f t="shared" ca="1" si="8"/>
        <v>23.378094501878195</v>
      </c>
      <c r="I29">
        <f t="shared" ca="1" si="8"/>
        <v>20.615563786392617</v>
      </c>
      <c r="J29">
        <f t="shared" ca="1" si="8"/>
        <v>22.641483420372474</v>
      </c>
      <c r="K29">
        <f t="shared" ca="1" si="8"/>
        <v>21.9599003782048</v>
      </c>
      <c r="L29">
        <f t="shared" ca="1" si="8"/>
        <v>23.952514645327369</v>
      </c>
      <c r="M29">
        <f t="shared" ca="1" si="8"/>
        <v>21.973649022788955</v>
      </c>
      <c r="N29">
        <f t="shared" ca="1" si="8"/>
        <v>23.445664930105846</v>
      </c>
      <c r="O29">
        <f t="shared" ca="1" si="8"/>
        <v>21.903364383053258</v>
      </c>
      <c r="P29">
        <f t="shared" ca="1" si="8"/>
        <v>24.324868872799314</v>
      </c>
      <c r="Q29">
        <f t="shared" ca="1" si="8"/>
        <v>18.870104157185473</v>
      </c>
      <c r="R29">
        <f t="shared" ca="1" si="8"/>
        <v>22.15969001169519</v>
      </c>
      <c r="S29">
        <f t="shared" ca="1" si="9"/>
        <v>20.265347681933051</v>
      </c>
      <c r="T29">
        <f t="shared" ca="1" si="9"/>
        <v>23.085757271176359</v>
      </c>
      <c r="U29">
        <f t="shared" ca="1" si="9"/>
        <v>21.266793132267615</v>
      </c>
      <c r="V29">
        <f t="shared" ca="1" si="9"/>
        <v>22.331793876801932</v>
      </c>
      <c r="W29">
        <f t="shared" ca="1" si="9"/>
        <v>20.642842631347541</v>
      </c>
      <c r="X29">
        <f t="shared" ca="1" si="9"/>
        <v>22.484222311618367</v>
      </c>
      <c r="Y29">
        <f t="shared" ca="1" si="9"/>
        <v>20.444342721733403</v>
      </c>
      <c r="Z29">
        <f t="shared" ca="1" si="9"/>
        <v>24.323224913922438</v>
      </c>
      <c r="AA29">
        <f t="shared" ca="1" si="10"/>
        <v>20.16092282043574</v>
      </c>
      <c r="AB29">
        <f t="shared" ca="1" si="10"/>
        <v>22.61957906986698</v>
      </c>
      <c r="AC29">
        <f t="shared" ca="1" si="10"/>
        <v>20.598383795699355</v>
      </c>
      <c r="AD29">
        <f t="shared" ca="1" si="10"/>
        <v>24.250752638321252</v>
      </c>
      <c r="AE29">
        <f t="shared" ca="1" si="10"/>
        <v>20.021015521003569</v>
      </c>
      <c r="AF29">
        <f t="shared" ca="1" si="10"/>
        <v>22.32639745194518</v>
      </c>
      <c r="AG29">
        <f t="shared" ca="1" si="10"/>
        <v>22.498720886463328</v>
      </c>
      <c r="AH29">
        <f t="shared" ca="1" si="10"/>
        <v>23.909593798178051</v>
      </c>
    </row>
    <row r="30" spans="1:34">
      <c r="A30" t="str">
        <f>CYF!A30</f>
        <v>Maize</v>
      </c>
      <c r="B30" t="str">
        <f>CYF!B30</f>
        <v>Gambela</v>
      </c>
      <c r="C30">
        <f t="shared" ca="1" si="8"/>
        <v>19.954452111962475</v>
      </c>
      <c r="D30">
        <f t="shared" ca="1" si="8"/>
        <v>23.051804609246211</v>
      </c>
      <c r="E30">
        <f t="shared" ca="1" si="8"/>
        <v>20.472148293844761</v>
      </c>
      <c r="F30">
        <f t="shared" ca="1" si="8"/>
        <v>23.544123281392068</v>
      </c>
      <c r="G30">
        <f t="shared" ca="1" si="8"/>
        <v>18.802329278949152</v>
      </c>
      <c r="H30">
        <f t="shared" ca="1" si="8"/>
        <v>22.789281981589571</v>
      </c>
      <c r="I30">
        <f t="shared" ca="1" si="8"/>
        <v>19.558767472491287</v>
      </c>
      <c r="J30">
        <f t="shared" ca="1" si="8"/>
        <v>22.997330993077682</v>
      </c>
      <c r="K30">
        <f t="shared" ca="1" si="8"/>
        <v>20.966505447252956</v>
      </c>
      <c r="L30">
        <f t="shared" ca="1" si="8"/>
        <v>23.217132028642254</v>
      </c>
      <c r="M30">
        <f t="shared" ca="1" si="8"/>
        <v>19.598710255133764</v>
      </c>
      <c r="N30">
        <f t="shared" ca="1" si="8"/>
        <v>22.721407019413192</v>
      </c>
      <c r="O30">
        <f t="shared" ca="1" si="8"/>
        <v>19.299719670854451</v>
      </c>
      <c r="P30">
        <f t="shared" ca="1" si="8"/>
        <v>22.869667872044484</v>
      </c>
      <c r="Q30">
        <f t="shared" ca="1" si="8"/>
        <v>21.962664648730474</v>
      </c>
      <c r="R30">
        <f t="shared" ca="1" si="8"/>
        <v>24.107771032555569</v>
      </c>
      <c r="S30">
        <f t="shared" ca="1" si="9"/>
        <v>22.547906068449851</v>
      </c>
      <c r="T30">
        <f t="shared" ca="1" si="9"/>
        <v>24.89273874507214</v>
      </c>
      <c r="U30">
        <f t="shared" ca="1" si="9"/>
        <v>22.984405367123504</v>
      </c>
      <c r="V30">
        <f t="shared" ca="1" si="9"/>
        <v>23.943143679082596</v>
      </c>
      <c r="W30">
        <f t="shared" ca="1" si="9"/>
        <v>20.837852904233827</v>
      </c>
      <c r="X30">
        <f t="shared" ca="1" si="9"/>
        <v>24.449777736972582</v>
      </c>
      <c r="Y30">
        <f t="shared" ca="1" si="9"/>
        <v>21.709982789945158</v>
      </c>
      <c r="Z30">
        <f t="shared" ca="1" si="9"/>
        <v>22.614382968922456</v>
      </c>
      <c r="AA30">
        <f t="shared" ca="1" si="10"/>
        <v>19.476127369278597</v>
      </c>
      <c r="AB30">
        <f t="shared" ca="1" si="10"/>
        <v>22.723073767084262</v>
      </c>
      <c r="AC30">
        <f t="shared" ca="1" si="10"/>
        <v>18.097724928849647</v>
      </c>
      <c r="AD30">
        <f t="shared" ca="1" si="10"/>
        <v>22.79224008549091</v>
      </c>
      <c r="AE30">
        <f t="shared" ca="1" si="10"/>
        <v>22.305228852705895</v>
      </c>
      <c r="AF30">
        <f t="shared" ca="1" si="10"/>
        <v>24.964400090568663</v>
      </c>
      <c r="AG30">
        <f t="shared" ca="1" si="10"/>
        <v>22.38791310523245</v>
      </c>
      <c r="AH30">
        <f t="shared" ca="1" si="10"/>
        <v>23.499200456649742</v>
      </c>
    </row>
    <row r="31" spans="1:34">
      <c r="A31" t="str">
        <f>CYF!A31</f>
        <v>Maize</v>
      </c>
      <c r="B31" t="str">
        <f>CYF!B31</f>
        <v>Harari</v>
      </c>
      <c r="C31">
        <f t="shared" ca="1" si="8"/>
        <v>18.793469350516585</v>
      </c>
      <c r="D31">
        <f t="shared" ca="1" si="8"/>
        <v>22.867787101962644</v>
      </c>
      <c r="E31">
        <f t="shared" ca="1" si="8"/>
        <v>19.707286949772801</v>
      </c>
      <c r="F31">
        <f t="shared" ca="1" si="8"/>
        <v>22.98667695641948</v>
      </c>
      <c r="G31">
        <f t="shared" ca="1" si="8"/>
        <v>21.357803683709758</v>
      </c>
      <c r="H31">
        <f t="shared" ca="1" si="8"/>
        <v>24.123311643643479</v>
      </c>
      <c r="I31">
        <f t="shared" ca="1" si="8"/>
        <v>19.365045933257512</v>
      </c>
      <c r="J31">
        <f t="shared" ca="1" si="8"/>
        <v>23.553364193746951</v>
      </c>
      <c r="K31">
        <f t="shared" ca="1" si="8"/>
        <v>22.5826956802835</v>
      </c>
      <c r="L31">
        <f t="shared" ca="1" si="8"/>
        <v>23.879119248591895</v>
      </c>
      <c r="M31">
        <f t="shared" ca="1" si="8"/>
        <v>18.747513581235079</v>
      </c>
      <c r="N31">
        <f t="shared" ca="1" si="8"/>
        <v>22.396870343333283</v>
      </c>
      <c r="O31">
        <f t="shared" ca="1" si="8"/>
        <v>19.518167184124056</v>
      </c>
      <c r="P31">
        <f t="shared" ca="1" si="8"/>
        <v>22.690094444189263</v>
      </c>
      <c r="Q31">
        <f t="shared" ca="1" si="8"/>
        <v>21.354147411123382</v>
      </c>
      <c r="R31">
        <f t="shared" ca="1" si="8"/>
        <v>23.684253220250451</v>
      </c>
      <c r="S31">
        <f t="shared" ca="1" si="9"/>
        <v>20.19107553493831</v>
      </c>
      <c r="T31">
        <f t="shared" ca="1" si="9"/>
        <v>24.621458643404768</v>
      </c>
      <c r="U31">
        <f t="shared" ca="1" si="9"/>
        <v>21.105187089536159</v>
      </c>
      <c r="V31">
        <f t="shared" ca="1" si="9"/>
        <v>23.593520916393498</v>
      </c>
      <c r="W31">
        <f t="shared" ca="1" si="9"/>
        <v>19.717852687176197</v>
      </c>
      <c r="X31">
        <f t="shared" ca="1" si="9"/>
        <v>23.184791011727992</v>
      </c>
      <c r="Y31">
        <f t="shared" ca="1" si="9"/>
        <v>22.589067682861945</v>
      </c>
      <c r="Z31">
        <f t="shared" ca="1" si="9"/>
        <v>24.555963042393696</v>
      </c>
      <c r="AA31">
        <f t="shared" ca="1" si="10"/>
        <v>18.520685133058063</v>
      </c>
      <c r="AB31">
        <f t="shared" ca="1" si="10"/>
        <v>24.303530928822696</v>
      </c>
      <c r="AC31">
        <f t="shared" ca="1" si="10"/>
        <v>20.225407167542851</v>
      </c>
      <c r="AD31">
        <f t="shared" ca="1" si="10"/>
        <v>24.199223072236659</v>
      </c>
      <c r="AE31">
        <f t="shared" ca="1" si="10"/>
        <v>19.475788888426596</v>
      </c>
      <c r="AF31">
        <f t="shared" ca="1" si="10"/>
        <v>22.36234296672956</v>
      </c>
      <c r="AG31">
        <f t="shared" ca="1" si="10"/>
        <v>22.234674541134108</v>
      </c>
      <c r="AH31">
        <f t="shared" ca="1" si="10"/>
        <v>22.270138014018379</v>
      </c>
    </row>
    <row r="32" spans="1:34">
      <c r="A32" t="str">
        <f>CYF!A32</f>
        <v>Maize</v>
      </c>
      <c r="B32" t="str">
        <f>CYF!B32</f>
        <v>Oromia</v>
      </c>
      <c r="C32">
        <f t="shared" ca="1" si="8"/>
        <v>21.73907243935647</v>
      </c>
      <c r="D32">
        <f t="shared" ca="1" si="8"/>
        <v>23.98523508005951</v>
      </c>
      <c r="E32">
        <f t="shared" ca="1" si="8"/>
        <v>22.5955055935651</v>
      </c>
      <c r="F32">
        <f t="shared" ca="1" si="8"/>
        <v>23.836714585013173</v>
      </c>
      <c r="G32">
        <f t="shared" ca="1" si="8"/>
        <v>18.939144931199877</v>
      </c>
      <c r="H32">
        <f t="shared" ca="1" si="8"/>
        <v>22.743426797051264</v>
      </c>
      <c r="I32">
        <f t="shared" ca="1" si="8"/>
        <v>22.13872924067492</v>
      </c>
      <c r="J32">
        <f t="shared" ca="1" si="8"/>
        <v>22.917218932534158</v>
      </c>
      <c r="K32">
        <f t="shared" ca="1" si="8"/>
        <v>19.41665988311507</v>
      </c>
      <c r="L32">
        <f t="shared" ca="1" si="8"/>
        <v>23.507320429114387</v>
      </c>
      <c r="M32">
        <f t="shared" ca="1" si="8"/>
        <v>18.894806149894123</v>
      </c>
      <c r="N32">
        <f t="shared" ca="1" si="8"/>
        <v>23.482828575112929</v>
      </c>
      <c r="O32">
        <f t="shared" ca="1" si="8"/>
        <v>21.312176051613015</v>
      </c>
      <c r="P32">
        <f t="shared" ca="1" si="8"/>
        <v>24.122271058738221</v>
      </c>
      <c r="Q32">
        <f t="shared" ca="1" si="8"/>
        <v>21.791550396497932</v>
      </c>
      <c r="R32">
        <f t="shared" ca="1" si="8"/>
        <v>22.108196241711809</v>
      </c>
      <c r="S32">
        <f t="shared" ca="1" si="9"/>
        <v>18.473220578021678</v>
      </c>
      <c r="T32">
        <f t="shared" ca="1" si="9"/>
        <v>23.118307368837701</v>
      </c>
      <c r="U32">
        <f t="shared" ca="1" si="9"/>
        <v>19.321954090760048</v>
      </c>
      <c r="V32">
        <f t="shared" ca="1" si="9"/>
        <v>23.973332334286031</v>
      </c>
      <c r="W32">
        <f t="shared" ca="1" si="9"/>
        <v>21.289000820395142</v>
      </c>
      <c r="X32">
        <f t="shared" ca="1" si="9"/>
        <v>22.994104159035167</v>
      </c>
      <c r="Y32">
        <f t="shared" ca="1" si="9"/>
        <v>22.8475278371799</v>
      </c>
      <c r="Z32">
        <f t="shared" ca="1" si="9"/>
        <v>24.263078974691496</v>
      </c>
      <c r="AA32">
        <f t="shared" ca="1" si="10"/>
        <v>18.726410183300636</v>
      </c>
      <c r="AB32">
        <f t="shared" ca="1" si="10"/>
        <v>22.058799523950746</v>
      </c>
      <c r="AC32">
        <f t="shared" ca="1" si="10"/>
        <v>21.813943433131357</v>
      </c>
      <c r="AD32">
        <f t="shared" ca="1" si="10"/>
        <v>22.201247033290453</v>
      </c>
      <c r="AE32">
        <f t="shared" ca="1" si="10"/>
        <v>19.553591717109715</v>
      </c>
      <c r="AF32">
        <f t="shared" ca="1" si="10"/>
        <v>24.944504591399589</v>
      </c>
      <c r="AG32">
        <f t="shared" ca="1" si="10"/>
        <v>19.490163114428629</v>
      </c>
      <c r="AH32">
        <f t="shared" ca="1" si="10"/>
        <v>22.443931187696545</v>
      </c>
    </row>
    <row r="33" spans="1:34">
      <c r="A33" t="str">
        <f>CYF!A33</f>
        <v>Maize</v>
      </c>
      <c r="B33" t="str">
        <f>CYF!B33</f>
        <v>Somali</v>
      </c>
      <c r="C33">
        <f t="shared" ca="1" si="8"/>
        <v>19.416246602947435</v>
      </c>
      <c r="D33">
        <f t="shared" ca="1" si="8"/>
        <v>24.882213362454475</v>
      </c>
      <c r="E33">
        <f t="shared" ca="1" si="8"/>
        <v>19.448389033109098</v>
      </c>
      <c r="F33">
        <f t="shared" ca="1" si="8"/>
        <v>24.522132698450847</v>
      </c>
      <c r="G33">
        <f t="shared" ca="1" si="8"/>
        <v>18.808142452324585</v>
      </c>
      <c r="H33">
        <f t="shared" ca="1" si="8"/>
        <v>24.514846471404034</v>
      </c>
      <c r="I33">
        <f t="shared" ca="1" si="8"/>
        <v>21.846696763209398</v>
      </c>
      <c r="J33">
        <f t="shared" ca="1" si="8"/>
        <v>24.048040055210226</v>
      </c>
      <c r="K33">
        <f t="shared" ca="1" si="8"/>
        <v>19.401002607512858</v>
      </c>
      <c r="L33">
        <f t="shared" ca="1" si="8"/>
        <v>22.314539802058416</v>
      </c>
      <c r="M33">
        <f t="shared" ca="1" si="8"/>
        <v>22.896513046998535</v>
      </c>
      <c r="N33">
        <f t="shared" ca="1" si="8"/>
        <v>23.148563907261124</v>
      </c>
      <c r="O33">
        <f t="shared" ca="1" si="8"/>
        <v>21.227535497972781</v>
      </c>
      <c r="P33">
        <f t="shared" ca="1" si="8"/>
        <v>22.835019070170109</v>
      </c>
      <c r="Q33">
        <f t="shared" ca="1" si="8"/>
        <v>20.185960817831067</v>
      </c>
      <c r="R33">
        <f t="shared" ca="1" si="8"/>
        <v>23.347871708471313</v>
      </c>
      <c r="S33">
        <f t="shared" ca="1" si="9"/>
        <v>22.412703880532568</v>
      </c>
      <c r="T33">
        <f t="shared" ca="1" si="9"/>
        <v>23.008520285620261</v>
      </c>
      <c r="U33">
        <f t="shared" ca="1" si="9"/>
        <v>18.779892050170162</v>
      </c>
      <c r="V33">
        <f t="shared" ca="1" si="9"/>
        <v>22.1403928672493</v>
      </c>
      <c r="W33">
        <f t="shared" ca="1" si="9"/>
        <v>21.144614497541497</v>
      </c>
      <c r="X33">
        <f t="shared" ca="1" si="9"/>
        <v>24.56180880724791</v>
      </c>
      <c r="Y33">
        <f t="shared" ca="1" si="9"/>
        <v>22.643213468495453</v>
      </c>
      <c r="Z33">
        <f t="shared" ca="1" si="9"/>
        <v>24.182417729802083</v>
      </c>
      <c r="AA33">
        <f t="shared" ca="1" si="10"/>
        <v>22.147815008543471</v>
      </c>
      <c r="AB33">
        <f t="shared" ca="1" si="10"/>
        <v>23.4234068871794</v>
      </c>
      <c r="AC33">
        <f t="shared" ca="1" si="10"/>
        <v>22.482070124592497</v>
      </c>
      <c r="AD33">
        <f t="shared" ca="1" si="10"/>
        <v>24.040967216855996</v>
      </c>
      <c r="AE33">
        <f t="shared" ca="1" si="10"/>
        <v>18.72554339760552</v>
      </c>
      <c r="AF33">
        <f t="shared" ca="1" si="10"/>
        <v>23.973324489102712</v>
      </c>
      <c r="AG33">
        <f t="shared" ca="1" si="10"/>
        <v>21.48883609507709</v>
      </c>
      <c r="AH33">
        <f t="shared" ca="1" si="10"/>
        <v>24.902431279353411</v>
      </c>
    </row>
    <row r="34" spans="1:34">
      <c r="A34" t="str">
        <f>CYF!A34</f>
        <v>Maize</v>
      </c>
      <c r="B34" t="str">
        <f>CYF!B34</f>
        <v>SNNPR</v>
      </c>
      <c r="C34">
        <f t="shared" ca="1" si="8"/>
        <v>20.023451141492785</v>
      </c>
      <c r="D34">
        <f t="shared" ca="1" si="8"/>
        <v>22.600676790034129</v>
      </c>
      <c r="E34">
        <f t="shared" ca="1" si="8"/>
        <v>18.162506011358253</v>
      </c>
      <c r="F34">
        <f t="shared" ca="1" si="8"/>
        <v>22.708686308539274</v>
      </c>
      <c r="G34">
        <f t="shared" ca="1" si="8"/>
        <v>19.895136975435353</v>
      </c>
      <c r="H34">
        <f t="shared" ca="1" si="8"/>
        <v>23.127084077918141</v>
      </c>
      <c r="I34">
        <f t="shared" ca="1" si="8"/>
        <v>21.511177355152935</v>
      </c>
      <c r="J34">
        <f t="shared" ca="1" si="8"/>
        <v>24.18645511675637</v>
      </c>
      <c r="K34">
        <f t="shared" ca="1" si="8"/>
        <v>20.91973015692195</v>
      </c>
      <c r="L34">
        <f t="shared" ca="1" si="8"/>
        <v>22.210401075979505</v>
      </c>
      <c r="M34">
        <f t="shared" ca="1" si="8"/>
        <v>18.543180357063331</v>
      </c>
      <c r="N34">
        <f t="shared" ca="1" si="8"/>
        <v>22.57982433458918</v>
      </c>
      <c r="O34">
        <f t="shared" ca="1" si="8"/>
        <v>21.448996732378674</v>
      </c>
      <c r="P34">
        <f t="shared" ca="1" si="8"/>
        <v>23.094578790550425</v>
      </c>
      <c r="Q34">
        <f t="shared" ca="1" si="8"/>
        <v>18.6456206075738</v>
      </c>
      <c r="R34">
        <f t="shared" ca="1" si="8"/>
        <v>23.371256427322791</v>
      </c>
      <c r="S34">
        <f t="shared" ca="1" si="9"/>
        <v>21.45802780466072</v>
      </c>
      <c r="T34">
        <f t="shared" ca="1" si="9"/>
        <v>22.460255029642255</v>
      </c>
      <c r="U34">
        <f t="shared" ca="1" si="9"/>
        <v>21.467686517723717</v>
      </c>
      <c r="V34">
        <f t="shared" ca="1" si="9"/>
        <v>24.937518292731287</v>
      </c>
      <c r="W34">
        <f t="shared" ca="1" si="9"/>
        <v>20.288759704677762</v>
      </c>
      <c r="X34">
        <f t="shared" ca="1" si="9"/>
        <v>22.723559307795256</v>
      </c>
      <c r="Y34">
        <f t="shared" ca="1" si="9"/>
        <v>22.511939568203641</v>
      </c>
      <c r="Z34">
        <f t="shared" ca="1" si="9"/>
        <v>24.938974134898956</v>
      </c>
      <c r="AA34">
        <f t="shared" ca="1" si="10"/>
        <v>22.212431650659667</v>
      </c>
      <c r="AB34">
        <f t="shared" ca="1" si="10"/>
        <v>23.226830796089363</v>
      </c>
      <c r="AC34">
        <f t="shared" ca="1" si="10"/>
        <v>22.037178999524262</v>
      </c>
      <c r="AD34">
        <f t="shared" ca="1" si="10"/>
        <v>22.27780930766184</v>
      </c>
      <c r="AE34">
        <f t="shared" ca="1" si="10"/>
        <v>19.201153964088647</v>
      </c>
      <c r="AF34">
        <f t="shared" ca="1" si="10"/>
        <v>23.700089537118117</v>
      </c>
      <c r="AG34">
        <f t="shared" ca="1" si="10"/>
        <v>21.077682235969064</v>
      </c>
      <c r="AH34">
        <f t="shared" ca="1" si="10"/>
        <v>23.210835128539383</v>
      </c>
    </row>
    <row r="35" spans="1:34">
      <c r="A35" t="str">
        <f>CYF!A35</f>
        <v>Maize</v>
      </c>
      <c r="B35" t="str">
        <f>CYF!B35</f>
        <v>Tigray</v>
      </c>
      <c r="C35">
        <f t="shared" ca="1" si="8"/>
        <v>21.987699211174853</v>
      </c>
      <c r="D35">
        <f t="shared" ca="1" si="8"/>
        <v>22.134810278070081</v>
      </c>
      <c r="E35">
        <f t="shared" ca="1" si="8"/>
        <v>22.127894387905378</v>
      </c>
      <c r="F35">
        <f t="shared" ca="1" si="8"/>
        <v>22.548931758604613</v>
      </c>
      <c r="G35">
        <f t="shared" ca="1" si="8"/>
        <v>20.910577617339232</v>
      </c>
      <c r="H35">
        <f t="shared" ca="1" si="8"/>
        <v>24.770666355409109</v>
      </c>
      <c r="I35">
        <f t="shared" ca="1" si="8"/>
        <v>18.818316075001121</v>
      </c>
      <c r="J35">
        <f t="shared" ca="1" si="8"/>
        <v>22.782362360876352</v>
      </c>
      <c r="K35">
        <f t="shared" ca="1" si="8"/>
        <v>19.410111630930651</v>
      </c>
      <c r="L35">
        <f t="shared" ca="1" si="8"/>
        <v>23.746557958457835</v>
      </c>
      <c r="M35">
        <f t="shared" ca="1" si="8"/>
        <v>21.539070243192096</v>
      </c>
      <c r="N35">
        <f t="shared" ca="1" si="8"/>
        <v>23.021464272888092</v>
      </c>
      <c r="O35">
        <f t="shared" ca="1" si="8"/>
        <v>18.250869752539948</v>
      </c>
      <c r="P35">
        <f t="shared" ca="1" si="8"/>
        <v>22.406613225146629</v>
      </c>
      <c r="Q35">
        <f t="shared" ca="1" si="8"/>
        <v>21.724125405009175</v>
      </c>
      <c r="R35">
        <f t="shared" ca="1" si="8"/>
        <v>24.199943562735353</v>
      </c>
      <c r="S35">
        <f t="shared" ca="1" si="9"/>
        <v>21.78876578870927</v>
      </c>
      <c r="T35">
        <f t="shared" ca="1" si="9"/>
        <v>22.543624490459646</v>
      </c>
      <c r="U35">
        <f t="shared" ca="1" si="9"/>
        <v>19.460757278449478</v>
      </c>
      <c r="V35">
        <f t="shared" ca="1" si="9"/>
        <v>23.863886038904841</v>
      </c>
      <c r="W35">
        <f t="shared" ca="1" si="9"/>
        <v>18.658155930952084</v>
      </c>
      <c r="X35">
        <f t="shared" ca="1" si="9"/>
        <v>24.024015787997147</v>
      </c>
      <c r="Y35">
        <f t="shared" ca="1" si="9"/>
        <v>21.787064728512913</v>
      </c>
      <c r="Z35">
        <f t="shared" ca="1" si="9"/>
        <v>23.664335882769123</v>
      </c>
      <c r="AA35">
        <f t="shared" ca="1" si="10"/>
        <v>22.257922634198657</v>
      </c>
      <c r="AB35">
        <f t="shared" ca="1" si="10"/>
        <v>23.068168077174121</v>
      </c>
      <c r="AC35">
        <f t="shared" ca="1" si="10"/>
        <v>20.450539990439502</v>
      </c>
      <c r="AD35">
        <f t="shared" ca="1" si="10"/>
        <v>24.667007226554222</v>
      </c>
      <c r="AE35">
        <f t="shared" ca="1" si="10"/>
        <v>19.767228151283451</v>
      </c>
      <c r="AF35">
        <f t="shared" ca="1" si="10"/>
        <v>23.967549889035148</v>
      </c>
      <c r="AG35">
        <f t="shared" ca="1" si="10"/>
        <v>21.550963907115975</v>
      </c>
      <c r="AH35">
        <f t="shared" ca="1" si="10"/>
        <v>24.508358830793121</v>
      </c>
    </row>
    <row r="36" spans="1:34">
      <c r="A36" t="str">
        <f>CYF!A36</f>
        <v>Lentils</v>
      </c>
      <c r="B36" t="str">
        <f>CYF!B36</f>
        <v>AddisAbaba</v>
      </c>
      <c r="C36">
        <f t="shared" ca="1" si="8"/>
        <v>20.057997650660209</v>
      </c>
      <c r="D36">
        <f t="shared" ca="1" si="8"/>
        <v>22.624583346773285</v>
      </c>
      <c r="E36">
        <f t="shared" ca="1" si="8"/>
        <v>20.761414671117464</v>
      </c>
      <c r="F36">
        <f t="shared" ca="1" si="8"/>
        <v>23.799075907299706</v>
      </c>
      <c r="G36">
        <f t="shared" ca="1" si="8"/>
        <v>20.324251486764357</v>
      </c>
      <c r="H36">
        <f t="shared" ca="1" si="8"/>
        <v>24.656529462649235</v>
      </c>
      <c r="I36">
        <f t="shared" ca="1" si="8"/>
        <v>19.146693426601558</v>
      </c>
      <c r="J36">
        <f t="shared" ca="1" si="8"/>
        <v>22.304186272270304</v>
      </c>
      <c r="K36">
        <f t="shared" ca="1" si="8"/>
        <v>21.231640562203513</v>
      </c>
      <c r="L36">
        <f t="shared" ca="1" si="8"/>
        <v>22.706388217719496</v>
      </c>
      <c r="M36">
        <f t="shared" ca="1" si="8"/>
        <v>19.01986904650478</v>
      </c>
      <c r="N36">
        <f t="shared" ca="1" si="8"/>
        <v>24.463770008524239</v>
      </c>
      <c r="O36">
        <f t="shared" ca="1" si="8"/>
        <v>22.97743642326239</v>
      </c>
      <c r="P36">
        <f t="shared" ca="1" si="8"/>
        <v>23.893320987471487</v>
      </c>
      <c r="Q36">
        <f t="shared" ca="1" si="8"/>
        <v>20.720422171559449</v>
      </c>
      <c r="R36">
        <f t="shared" ca="1" si="8"/>
        <v>23.556012736413628</v>
      </c>
      <c r="S36">
        <f t="shared" ca="1" si="9"/>
        <v>20.203528926705864</v>
      </c>
      <c r="T36">
        <f t="shared" ca="1" si="9"/>
        <v>24.288272443958032</v>
      </c>
      <c r="U36">
        <f t="shared" ca="1" si="9"/>
        <v>20.585656565020862</v>
      </c>
      <c r="V36">
        <f t="shared" ca="1" si="9"/>
        <v>22.187087959016239</v>
      </c>
      <c r="W36">
        <f t="shared" ca="1" si="9"/>
        <v>19.059462103834569</v>
      </c>
      <c r="X36">
        <f t="shared" ca="1" si="9"/>
        <v>24.14714675702265</v>
      </c>
      <c r="Y36">
        <f t="shared" ca="1" si="9"/>
        <v>20.837348272664066</v>
      </c>
      <c r="Z36">
        <f t="shared" ca="1" si="9"/>
        <v>23.716344068719671</v>
      </c>
      <c r="AA36">
        <f t="shared" ca="1" si="10"/>
        <v>19.655578661146865</v>
      </c>
      <c r="AB36">
        <f t="shared" ca="1" si="10"/>
        <v>24.382764978506987</v>
      </c>
      <c r="AC36">
        <f t="shared" ca="1" si="10"/>
        <v>21.112365254156572</v>
      </c>
      <c r="AD36">
        <f t="shared" ca="1" si="10"/>
        <v>23.290164385955585</v>
      </c>
      <c r="AE36">
        <f t="shared" ca="1" si="10"/>
        <v>21.252707097279576</v>
      </c>
      <c r="AF36">
        <f t="shared" ca="1" si="10"/>
        <v>24.411403420899902</v>
      </c>
      <c r="AG36">
        <f t="shared" ca="1" si="10"/>
        <v>20.347745658930066</v>
      </c>
      <c r="AH36">
        <f t="shared" ca="1" si="10"/>
        <v>22.626347897592879</v>
      </c>
    </row>
    <row r="37" spans="1:34">
      <c r="A37" t="str">
        <f>CYF!A37</f>
        <v>Lentils</v>
      </c>
      <c r="B37" t="str">
        <f>CYF!B37</f>
        <v>Afar</v>
      </c>
      <c r="C37">
        <f t="shared" ca="1" si="8"/>
        <v>22.10231092832456</v>
      </c>
      <c r="D37">
        <f t="shared" ca="1" si="8"/>
        <v>24.525382613386842</v>
      </c>
      <c r="E37">
        <f t="shared" ca="1" si="8"/>
        <v>20.130875085902431</v>
      </c>
      <c r="F37">
        <f t="shared" ca="1" si="8"/>
        <v>23.886223545040568</v>
      </c>
      <c r="G37">
        <f t="shared" ca="1" si="8"/>
        <v>22.026442334665237</v>
      </c>
      <c r="H37">
        <f t="shared" ca="1" si="8"/>
        <v>24.035679702942417</v>
      </c>
      <c r="I37">
        <f t="shared" ca="1" si="8"/>
        <v>20.167290569213208</v>
      </c>
      <c r="J37">
        <f t="shared" ca="1" si="8"/>
        <v>24.706131518051073</v>
      </c>
      <c r="K37">
        <f t="shared" ca="1" si="8"/>
        <v>19.015968094579421</v>
      </c>
      <c r="L37">
        <f t="shared" ca="1" si="8"/>
        <v>23.279903382169902</v>
      </c>
      <c r="M37">
        <f t="shared" ca="1" si="8"/>
        <v>22.914733433855126</v>
      </c>
      <c r="N37">
        <f t="shared" ca="1" si="8"/>
        <v>22.158217313033415</v>
      </c>
      <c r="O37">
        <f t="shared" ca="1" si="8"/>
        <v>21.343566825893852</v>
      </c>
      <c r="P37">
        <f t="shared" ca="1" si="8"/>
        <v>22.82878568857608</v>
      </c>
      <c r="Q37">
        <f t="shared" ca="1" si="8"/>
        <v>21.200278977648132</v>
      </c>
      <c r="R37">
        <f t="shared" ca="1" si="8"/>
        <v>24.576652967315422</v>
      </c>
      <c r="S37">
        <f t="shared" ca="1" si="9"/>
        <v>20.558146654231731</v>
      </c>
      <c r="T37">
        <f t="shared" ca="1" si="9"/>
        <v>23.419808423799541</v>
      </c>
      <c r="U37">
        <f t="shared" ca="1" si="9"/>
        <v>20.554543487669171</v>
      </c>
      <c r="V37">
        <f t="shared" ca="1" si="9"/>
        <v>24.47657106290729</v>
      </c>
      <c r="W37">
        <f t="shared" ca="1" si="9"/>
        <v>19.727612304979015</v>
      </c>
      <c r="X37">
        <f t="shared" ca="1" si="9"/>
        <v>22.002013576022261</v>
      </c>
      <c r="Y37">
        <f t="shared" ca="1" si="9"/>
        <v>18.094197758750521</v>
      </c>
      <c r="Z37">
        <f t="shared" ca="1" si="9"/>
        <v>22.627208234776152</v>
      </c>
      <c r="AA37">
        <f t="shared" ca="1" si="10"/>
        <v>20.18893714747319</v>
      </c>
      <c r="AB37">
        <f t="shared" ca="1" si="10"/>
        <v>22.025420142522979</v>
      </c>
      <c r="AC37">
        <f t="shared" ca="1" si="10"/>
        <v>22.182407798332957</v>
      </c>
      <c r="AD37">
        <f t="shared" ca="1" si="10"/>
        <v>23.066741506126363</v>
      </c>
      <c r="AE37">
        <f t="shared" ca="1" si="10"/>
        <v>18.641237424496605</v>
      </c>
      <c r="AF37">
        <f t="shared" ca="1" si="10"/>
        <v>24.056645491723856</v>
      </c>
      <c r="AG37">
        <f t="shared" ca="1" si="10"/>
        <v>21.497770959600629</v>
      </c>
      <c r="AH37">
        <f t="shared" ca="1" si="10"/>
        <v>23.038243372355932</v>
      </c>
    </row>
    <row r="38" spans="1:34">
      <c r="A38" t="str">
        <f>CYF!A38</f>
        <v>Lentils</v>
      </c>
      <c r="B38" t="str">
        <f>CYF!B38</f>
        <v>Amhara</v>
      </c>
      <c r="C38">
        <f t="shared" ca="1" si="8"/>
        <v>21.055703455857945</v>
      </c>
      <c r="D38">
        <f t="shared" ca="1" si="8"/>
        <v>22.740744948600756</v>
      </c>
      <c r="E38">
        <f t="shared" ca="1" si="8"/>
        <v>21.76618381601007</v>
      </c>
      <c r="F38">
        <f t="shared" ca="1" si="8"/>
        <v>22.728460602173094</v>
      </c>
      <c r="G38">
        <f t="shared" ca="1" si="8"/>
        <v>18.575969969144513</v>
      </c>
      <c r="H38">
        <f t="shared" ca="1" si="8"/>
        <v>23.872839480963094</v>
      </c>
      <c r="I38">
        <f t="shared" ca="1" si="8"/>
        <v>18.003629097173356</v>
      </c>
      <c r="J38">
        <f t="shared" ref="J38:Y68" ca="1" si="11">IF(1-MOD(COLUMN(),2),25-RAND()*3,(18+RAND()*5))</f>
        <v>24.221828666418656</v>
      </c>
      <c r="K38">
        <f t="shared" ca="1" si="11"/>
        <v>20.994748610637298</v>
      </c>
      <c r="L38">
        <f t="shared" ca="1" si="11"/>
        <v>23.865317681834643</v>
      </c>
      <c r="M38">
        <f t="shared" ca="1" si="11"/>
        <v>21.890505976243514</v>
      </c>
      <c r="N38">
        <f t="shared" ca="1" si="11"/>
        <v>22.308959099350183</v>
      </c>
      <c r="O38">
        <f t="shared" ca="1" si="11"/>
        <v>22.856084827788884</v>
      </c>
      <c r="P38">
        <f t="shared" ca="1" si="11"/>
        <v>24.264389516109869</v>
      </c>
      <c r="Q38">
        <f t="shared" ca="1" si="11"/>
        <v>20.859648372439381</v>
      </c>
      <c r="R38">
        <f t="shared" ca="1" si="11"/>
        <v>22.84541554960289</v>
      </c>
      <c r="S38">
        <f t="shared" ca="1" si="11"/>
        <v>21.056964960670189</v>
      </c>
      <c r="T38">
        <f t="shared" ca="1" si="11"/>
        <v>24.486457890365429</v>
      </c>
      <c r="U38">
        <f t="shared" ca="1" si="11"/>
        <v>19.629045860675038</v>
      </c>
      <c r="V38">
        <f t="shared" ca="1" si="11"/>
        <v>23.201736013553447</v>
      </c>
      <c r="W38">
        <f t="shared" ca="1" si="11"/>
        <v>21.143045300454467</v>
      </c>
      <c r="X38">
        <f t="shared" ca="1" si="11"/>
        <v>24.301025350182524</v>
      </c>
      <c r="Y38">
        <f t="shared" ca="1" si="11"/>
        <v>19.426647612718213</v>
      </c>
      <c r="Z38">
        <f t="shared" ca="1" si="9"/>
        <v>24.499790959067226</v>
      </c>
      <c r="AA38">
        <f t="shared" ca="1" si="10"/>
        <v>21.847023398532265</v>
      </c>
      <c r="AB38">
        <f t="shared" ca="1" si="10"/>
        <v>22.062035904390502</v>
      </c>
      <c r="AC38">
        <f t="shared" ca="1" si="10"/>
        <v>18.318746847065597</v>
      </c>
      <c r="AD38">
        <f t="shared" ca="1" si="10"/>
        <v>22.418908852404233</v>
      </c>
      <c r="AE38">
        <f t="shared" ca="1" si="10"/>
        <v>20.974782028688665</v>
      </c>
      <c r="AF38">
        <f t="shared" ca="1" si="10"/>
        <v>23.613156916763895</v>
      </c>
      <c r="AG38">
        <f t="shared" ca="1" si="10"/>
        <v>20.862955717635558</v>
      </c>
      <c r="AH38">
        <f t="shared" ca="1" si="10"/>
        <v>22.354230950507084</v>
      </c>
    </row>
    <row r="39" spans="1:34">
      <c r="A39" t="str">
        <f>CYF!A39</f>
        <v>Lentils</v>
      </c>
      <c r="B39" t="str">
        <f>CYF!B39</f>
        <v>Gumuz</v>
      </c>
      <c r="C39">
        <f t="shared" ref="C39:R68" ca="1" si="12">IF(1-MOD(COLUMN(),2),25-RAND()*3,(18+RAND()*5))</f>
        <v>20.78435223957392</v>
      </c>
      <c r="D39">
        <f t="shared" ca="1" si="12"/>
        <v>24.313492286184591</v>
      </c>
      <c r="E39">
        <f t="shared" ca="1" si="12"/>
        <v>21.043766362059571</v>
      </c>
      <c r="F39">
        <f t="shared" ca="1" si="12"/>
        <v>24.051986614919187</v>
      </c>
      <c r="G39">
        <f t="shared" ca="1" si="12"/>
        <v>18.494941244584336</v>
      </c>
      <c r="H39">
        <f t="shared" ca="1" si="12"/>
        <v>22.379387161224287</v>
      </c>
      <c r="I39">
        <f t="shared" ca="1" si="12"/>
        <v>22.954131938996845</v>
      </c>
      <c r="J39">
        <f t="shared" ca="1" si="12"/>
        <v>23.971610729488656</v>
      </c>
      <c r="K39">
        <f t="shared" ca="1" si="12"/>
        <v>21.328884721291235</v>
      </c>
      <c r="L39">
        <f t="shared" ca="1" si="12"/>
        <v>23.016331416393911</v>
      </c>
      <c r="M39">
        <f t="shared" ca="1" si="12"/>
        <v>21.587920910941058</v>
      </c>
      <c r="N39">
        <f t="shared" ca="1" si="12"/>
        <v>22.130784358517641</v>
      </c>
      <c r="O39">
        <f t="shared" ca="1" si="12"/>
        <v>22.450265918536989</v>
      </c>
      <c r="P39">
        <f t="shared" ca="1" si="12"/>
        <v>23.804954144442188</v>
      </c>
      <c r="Q39">
        <f t="shared" ca="1" si="12"/>
        <v>20.341487527807917</v>
      </c>
      <c r="R39">
        <f t="shared" ca="1" si="12"/>
        <v>24.726692327574366</v>
      </c>
      <c r="S39">
        <f t="shared" ca="1" si="11"/>
        <v>20.752826170013314</v>
      </c>
      <c r="T39">
        <f t="shared" ca="1" si="11"/>
        <v>22.919693752881471</v>
      </c>
      <c r="U39">
        <f t="shared" ca="1" si="11"/>
        <v>21.083383744302623</v>
      </c>
      <c r="V39">
        <f t="shared" ca="1" si="11"/>
        <v>24.564748257450272</v>
      </c>
      <c r="W39">
        <f t="shared" ca="1" si="11"/>
        <v>21.60746011720159</v>
      </c>
      <c r="X39">
        <f t="shared" ca="1" si="11"/>
        <v>22.720298007864887</v>
      </c>
      <c r="Y39">
        <f t="shared" ca="1" si="11"/>
        <v>21.326942330343279</v>
      </c>
      <c r="Z39">
        <f t="shared" ca="1" si="9"/>
        <v>22.277951316711423</v>
      </c>
      <c r="AA39">
        <f t="shared" ca="1" si="10"/>
        <v>18.713507626938956</v>
      </c>
      <c r="AB39">
        <f t="shared" ca="1" si="10"/>
        <v>22.106915700711692</v>
      </c>
      <c r="AC39">
        <f t="shared" ca="1" si="10"/>
        <v>18.208391776308162</v>
      </c>
      <c r="AD39">
        <f t="shared" ca="1" si="10"/>
        <v>23.505721475046773</v>
      </c>
      <c r="AE39">
        <f t="shared" ca="1" si="10"/>
        <v>22.559696716766616</v>
      </c>
      <c r="AF39">
        <f t="shared" ca="1" si="10"/>
        <v>23.157180679673125</v>
      </c>
      <c r="AG39">
        <f t="shared" ca="1" si="10"/>
        <v>18.030430638826623</v>
      </c>
      <c r="AH39">
        <f t="shared" ca="1" si="10"/>
        <v>24.422911754795724</v>
      </c>
    </row>
    <row r="40" spans="1:34">
      <c r="A40" t="str">
        <f>CYF!A40</f>
        <v>Lentils</v>
      </c>
      <c r="B40" t="str">
        <f>CYF!B40</f>
        <v>DireDawa</v>
      </c>
      <c r="C40">
        <f t="shared" ca="1" si="12"/>
        <v>21.778747980572753</v>
      </c>
      <c r="D40">
        <f t="shared" ca="1" si="12"/>
        <v>24.091406856236855</v>
      </c>
      <c r="E40">
        <f t="shared" ca="1" si="12"/>
        <v>19.810537061362794</v>
      </c>
      <c r="F40">
        <f t="shared" ca="1" si="12"/>
        <v>23.907563944915001</v>
      </c>
      <c r="G40">
        <f t="shared" ca="1" si="12"/>
        <v>18.337046355566972</v>
      </c>
      <c r="H40">
        <f t="shared" ca="1" si="12"/>
        <v>24.66934791367893</v>
      </c>
      <c r="I40">
        <f t="shared" ca="1" si="12"/>
        <v>21.778254056367629</v>
      </c>
      <c r="J40">
        <f t="shared" ca="1" si="12"/>
        <v>22.867936152295201</v>
      </c>
      <c r="K40">
        <f t="shared" ca="1" si="12"/>
        <v>22.691218005378893</v>
      </c>
      <c r="L40">
        <f t="shared" ca="1" si="12"/>
        <v>24.191442889441824</v>
      </c>
      <c r="M40">
        <f t="shared" ca="1" si="12"/>
        <v>22.273828150325439</v>
      </c>
      <c r="N40">
        <f t="shared" ca="1" si="12"/>
        <v>24.294848405466972</v>
      </c>
      <c r="O40">
        <f t="shared" ca="1" si="12"/>
        <v>19.927576598964453</v>
      </c>
      <c r="P40">
        <f t="shared" ca="1" si="12"/>
        <v>24.706232792235014</v>
      </c>
      <c r="Q40">
        <f t="shared" ca="1" si="12"/>
        <v>19.509779700812341</v>
      </c>
      <c r="R40">
        <f t="shared" ca="1" si="12"/>
        <v>23.551331515991485</v>
      </c>
      <c r="S40">
        <f t="shared" ca="1" si="11"/>
        <v>21.36354418049682</v>
      </c>
      <c r="T40">
        <f t="shared" ca="1" si="11"/>
        <v>22.436755390545954</v>
      </c>
      <c r="U40">
        <f t="shared" ca="1" si="11"/>
        <v>20.051724486194427</v>
      </c>
      <c r="V40">
        <f t="shared" ca="1" si="11"/>
        <v>22.977158611067811</v>
      </c>
      <c r="W40">
        <f t="shared" ca="1" si="11"/>
        <v>21.630150430769106</v>
      </c>
      <c r="X40">
        <f t="shared" ca="1" si="11"/>
        <v>22.94732508396396</v>
      </c>
      <c r="Y40">
        <f t="shared" ca="1" si="11"/>
        <v>19.635083748946744</v>
      </c>
      <c r="Z40">
        <f t="shared" ca="1" si="9"/>
        <v>24.957413618824869</v>
      </c>
      <c r="AA40">
        <f t="shared" ca="1" si="10"/>
        <v>20.475711049477923</v>
      </c>
      <c r="AB40">
        <f t="shared" ca="1" si="10"/>
        <v>24.894120644436054</v>
      </c>
      <c r="AC40">
        <f t="shared" ca="1" si="10"/>
        <v>21.860566100911196</v>
      </c>
      <c r="AD40">
        <f t="shared" ca="1" si="10"/>
        <v>24.602225769677109</v>
      </c>
      <c r="AE40">
        <f t="shared" ca="1" si="10"/>
        <v>20.778126102500284</v>
      </c>
      <c r="AF40">
        <f t="shared" ca="1" si="10"/>
        <v>24.934533882427424</v>
      </c>
      <c r="AG40">
        <f t="shared" ca="1" si="10"/>
        <v>19.970892010579306</v>
      </c>
      <c r="AH40">
        <f t="shared" ca="1" si="10"/>
        <v>23.395867740568864</v>
      </c>
    </row>
    <row r="41" spans="1:34">
      <c r="A41" t="str">
        <f>CYF!A41</f>
        <v>Lentils</v>
      </c>
      <c r="B41" t="str">
        <f>CYF!B41</f>
        <v>Gambela</v>
      </c>
      <c r="C41">
        <f t="shared" ca="1" si="12"/>
        <v>19.345271488471418</v>
      </c>
      <c r="D41">
        <f t="shared" ca="1" si="12"/>
        <v>24.510084486986763</v>
      </c>
      <c r="E41">
        <f t="shared" ca="1" si="12"/>
        <v>19.287867259801089</v>
      </c>
      <c r="F41">
        <f t="shared" ca="1" si="12"/>
        <v>23.622783728001707</v>
      </c>
      <c r="G41">
        <f t="shared" ca="1" si="12"/>
        <v>21.333868965419285</v>
      </c>
      <c r="H41">
        <f t="shared" ca="1" si="12"/>
        <v>23.55160017476674</v>
      </c>
      <c r="I41">
        <f t="shared" ca="1" si="12"/>
        <v>18.574210877977354</v>
      </c>
      <c r="J41">
        <f t="shared" ca="1" si="12"/>
        <v>22.864307127161602</v>
      </c>
      <c r="K41">
        <f t="shared" ca="1" si="12"/>
        <v>20.085512246273101</v>
      </c>
      <c r="L41">
        <f t="shared" ca="1" si="12"/>
        <v>22.023020609645059</v>
      </c>
      <c r="M41">
        <f t="shared" ca="1" si="12"/>
        <v>20.61703485089922</v>
      </c>
      <c r="N41">
        <f t="shared" ca="1" si="12"/>
        <v>23.886677321736492</v>
      </c>
      <c r="O41">
        <f t="shared" ca="1" si="12"/>
        <v>19.98555346800136</v>
      </c>
      <c r="P41">
        <f t="shared" ca="1" si="12"/>
        <v>24.784457001449532</v>
      </c>
      <c r="Q41">
        <f t="shared" ca="1" si="12"/>
        <v>21.403273724091601</v>
      </c>
      <c r="R41">
        <f t="shared" ca="1" si="12"/>
        <v>23.895760440734357</v>
      </c>
      <c r="S41">
        <f t="shared" ca="1" si="11"/>
        <v>20.161977100144096</v>
      </c>
      <c r="T41">
        <f t="shared" ca="1" si="11"/>
        <v>22.985017888414589</v>
      </c>
      <c r="U41">
        <f t="shared" ca="1" si="11"/>
        <v>19.240653757008776</v>
      </c>
      <c r="V41">
        <f t="shared" ca="1" si="11"/>
        <v>23.538807756373807</v>
      </c>
      <c r="W41">
        <f t="shared" ca="1" si="11"/>
        <v>19.369796476425329</v>
      </c>
      <c r="X41">
        <f t="shared" ca="1" si="11"/>
        <v>24.538456279268825</v>
      </c>
      <c r="Y41">
        <f t="shared" ca="1" si="11"/>
        <v>18.835098633188775</v>
      </c>
      <c r="Z41">
        <f t="shared" ca="1" si="9"/>
        <v>22.467522709228216</v>
      </c>
      <c r="AA41">
        <f t="shared" ca="1" si="10"/>
        <v>18.151730439882833</v>
      </c>
      <c r="AB41">
        <f t="shared" ca="1" si="10"/>
        <v>23.901210828911076</v>
      </c>
      <c r="AC41">
        <f t="shared" ca="1" si="10"/>
        <v>18.58376570412452</v>
      </c>
      <c r="AD41">
        <f t="shared" ca="1" si="10"/>
        <v>22.300261564460381</v>
      </c>
      <c r="AE41">
        <f t="shared" ca="1" si="10"/>
        <v>22.960871975264922</v>
      </c>
      <c r="AF41">
        <f t="shared" ca="1" si="10"/>
        <v>22.625994831833118</v>
      </c>
      <c r="AG41">
        <f t="shared" ca="1" si="10"/>
        <v>20.095456919138272</v>
      </c>
      <c r="AH41">
        <f t="shared" ca="1" si="10"/>
        <v>24.233012422986807</v>
      </c>
    </row>
    <row r="42" spans="1:34">
      <c r="A42" t="str">
        <f>CYF!A42</f>
        <v>Lentils</v>
      </c>
      <c r="B42" t="str">
        <f>CYF!B42</f>
        <v>Harari</v>
      </c>
      <c r="C42">
        <f t="shared" ca="1" si="12"/>
        <v>18.301083519573236</v>
      </c>
      <c r="D42">
        <f t="shared" ca="1" si="12"/>
        <v>23.683954123154866</v>
      </c>
      <c r="E42">
        <f t="shared" ca="1" si="12"/>
        <v>18.478194270120163</v>
      </c>
      <c r="F42">
        <f t="shared" ca="1" si="12"/>
        <v>23.054379969325012</v>
      </c>
      <c r="G42">
        <f t="shared" ca="1" si="12"/>
        <v>18.761135022839106</v>
      </c>
      <c r="H42">
        <f t="shared" ca="1" si="12"/>
        <v>23.546462398233324</v>
      </c>
      <c r="I42">
        <f t="shared" ca="1" si="12"/>
        <v>21.620923344681454</v>
      </c>
      <c r="J42">
        <f t="shared" ca="1" si="12"/>
        <v>23.404525581328123</v>
      </c>
      <c r="K42">
        <f t="shared" ca="1" si="12"/>
        <v>21.79521290287261</v>
      </c>
      <c r="L42">
        <f t="shared" ca="1" si="12"/>
        <v>22.282384314994406</v>
      </c>
      <c r="M42">
        <f t="shared" ca="1" si="12"/>
        <v>22.188639558824313</v>
      </c>
      <c r="N42">
        <f t="shared" ca="1" si="12"/>
        <v>22.924746361226937</v>
      </c>
      <c r="O42">
        <f t="shared" ca="1" si="12"/>
        <v>22.788961603057281</v>
      </c>
      <c r="P42">
        <f t="shared" ca="1" si="12"/>
        <v>24.868286033449895</v>
      </c>
      <c r="Q42">
        <f t="shared" ca="1" si="12"/>
        <v>21.992423953240774</v>
      </c>
      <c r="R42">
        <f t="shared" ca="1" si="12"/>
        <v>24.030574944056305</v>
      </c>
      <c r="S42">
        <f t="shared" ca="1" si="11"/>
        <v>20.504868786757001</v>
      </c>
      <c r="T42">
        <f t="shared" ca="1" si="11"/>
        <v>24.33199445081182</v>
      </c>
      <c r="U42">
        <f t="shared" ca="1" si="11"/>
        <v>20.635836629814641</v>
      </c>
      <c r="V42">
        <f t="shared" ca="1" si="11"/>
        <v>22.243595865983494</v>
      </c>
      <c r="W42">
        <f t="shared" ca="1" si="11"/>
        <v>22.836510068099031</v>
      </c>
      <c r="X42">
        <f t="shared" ca="1" si="11"/>
        <v>24.234014392124887</v>
      </c>
      <c r="Y42">
        <f t="shared" ca="1" si="11"/>
        <v>18.837920867334084</v>
      </c>
      <c r="Z42">
        <f t="shared" ca="1" si="9"/>
        <v>23.551768141770513</v>
      </c>
      <c r="AA42">
        <f t="shared" ca="1" si="10"/>
        <v>21.556188189582411</v>
      </c>
      <c r="AB42">
        <f t="shared" ca="1" si="10"/>
        <v>22.080266968660453</v>
      </c>
      <c r="AC42">
        <f t="shared" ca="1" si="10"/>
        <v>22.448707329213292</v>
      </c>
      <c r="AD42">
        <f t="shared" ca="1" si="10"/>
        <v>24.156515086794197</v>
      </c>
      <c r="AE42">
        <f t="shared" ca="1" si="10"/>
        <v>21.989712858859939</v>
      </c>
      <c r="AF42">
        <f t="shared" ca="1" si="10"/>
        <v>23.333567393727154</v>
      </c>
      <c r="AG42">
        <f t="shared" ca="1" si="10"/>
        <v>21.107823062316402</v>
      </c>
      <c r="AH42">
        <f t="shared" ca="1" si="10"/>
        <v>23.241128851805428</v>
      </c>
    </row>
    <row r="43" spans="1:34">
      <c r="A43" t="str">
        <f>CYF!A43</f>
        <v>Lentils</v>
      </c>
      <c r="B43" t="str">
        <f>CYF!B43</f>
        <v>Oromia</v>
      </c>
      <c r="C43">
        <f t="shared" ca="1" si="12"/>
        <v>19.30455607533937</v>
      </c>
      <c r="D43">
        <f t="shared" ca="1" si="12"/>
        <v>22.595061620689219</v>
      </c>
      <c r="E43">
        <f t="shared" ca="1" si="12"/>
        <v>19.168639691509473</v>
      </c>
      <c r="F43">
        <f t="shared" ca="1" si="12"/>
        <v>24.3467253826628</v>
      </c>
      <c r="G43">
        <f t="shared" ca="1" si="12"/>
        <v>21.558556867791758</v>
      </c>
      <c r="H43">
        <f t="shared" ca="1" si="12"/>
        <v>22.952607590885403</v>
      </c>
      <c r="I43">
        <f t="shared" ca="1" si="12"/>
        <v>21.195120982698114</v>
      </c>
      <c r="J43">
        <f t="shared" ca="1" si="12"/>
        <v>23.63152067150882</v>
      </c>
      <c r="K43">
        <f t="shared" ca="1" si="12"/>
        <v>22.195184107914628</v>
      </c>
      <c r="L43">
        <f t="shared" ca="1" si="12"/>
        <v>22.402296704170766</v>
      </c>
      <c r="M43">
        <f t="shared" ca="1" si="12"/>
        <v>21.538694314711904</v>
      </c>
      <c r="N43">
        <f t="shared" ca="1" si="12"/>
        <v>22.525045988961242</v>
      </c>
      <c r="O43">
        <f t="shared" ca="1" si="12"/>
        <v>20.396657067369453</v>
      </c>
      <c r="P43">
        <f t="shared" ca="1" si="12"/>
        <v>23.664545641295867</v>
      </c>
      <c r="Q43">
        <f t="shared" ca="1" si="12"/>
        <v>19.242490286493442</v>
      </c>
      <c r="R43">
        <f t="shared" ca="1" si="12"/>
        <v>22.45463431731217</v>
      </c>
      <c r="S43">
        <f t="shared" ca="1" si="11"/>
        <v>19.91527676249455</v>
      </c>
      <c r="T43">
        <f t="shared" ca="1" si="11"/>
        <v>22.515091127074328</v>
      </c>
      <c r="U43">
        <f t="shared" ca="1" si="11"/>
        <v>18.920925512400885</v>
      </c>
      <c r="V43">
        <f t="shared" ca="1" si="11"/>
        <v>23.243906168989831</v>
      </c>
      <c r="W43">
        <f t="shared" ca="1" si="11"/>
        <v>18.028714497679871</v>
      </c>
      <c r="X43">
        <f t="shared" ca="1" si="11"/>
        <v>23.681374274692477</v>
      </c>
      <c r="Y43">
        <f t="shared" ca="1" si="11"/>
        <v>18.816336366626551</v>
      </c>
      <c r="Z43">
        <f t="shared" ca="1" si="9"/>
        <v>24.956282308555117</v>
      </c>
      <c r="AA43">
        <f t="shared" ca="1" si="10"/>
        <v>20.339476399147706</v>
      </c>
      <c r="AB43">
        <f t="shared" ca="1" si="10"/>
        <v>23.268418853796906</v>
      </c>
      <c r="AC43">
        <f t="shared" ca="1" si="10"/>
        <v>21.495385575296854</v>
      </c>
      <c r="AD43">
        <f t="shared" ca="1" si="10"/>
        <v>24.688926538394025</v>
      </c>
      <c r="AE43">
        <f t="shared" ca="1" si="10"/>
        <v>21.446564889324971</v>
      </c>
      <c r="AF43">
        <f t="shared" ca="1" si="10"/>
        <v>24.342618330212332</v>
      </c>
      <c r="AG43">
        <f t="shared" ca="1" si="10"/>
        <v>19.09939512936953</v>
      </c>
      <c r="AH43">
        <f t="shared" ca="1" si="10"/>
        <v>24.036298783358639</v>
      </c>
    </row>
    <row r="44" spans="1:34">
      <c r="A44" t="str">
        <f>CYF!A44</f>
        <v>Lentils</v>
      </c>
      <c r="B44" t="str">
        <f>CYF!B44</f>
        <v>Somali</v>
      </c>
      <c r="C44">
        <f t="shared" ca="1" si="12"/>
        <v>20.800079792610781</v>
      </c>
      <c r="D44">
        <f t="shared" ca="1" si="12"/>
        <v>22.648923172381551</v>
      </c>
      <c r="E44">
        <f t="shared" ca="1" si="12"/>
        <v>20.789378753212613</v>
      </c>
      <c r="F44">
        <f t="shared" ca="1" si="12"/>
        <v>24.587134895982167</v>
      </c>
      <c r="G44">
        <f t="shared" ca="1" si="12"/>
        <v>19.955583670194262</v>
      </c>
      <c r="H44">
        <f t="shared" ca="1" si="12"/>
        <v>24.769838581792346</v>
      </c>
      <c r="I44">
        <f t="shared" ca="1" si="12"/>
        <v>21.989851766713279</v>
      </c>
      <c r="J44">
        <f t="shared" ca="1" si="12"/>
        <v>22.362688955067533</v>
      </c>
      <c r="K44">
        <f t="shared" ca="1" si="12"/>
        <v>21.84744682568358</v>
      </c>
      <c r="L44">
        <f t="shared" ca="1" si="12"/>
        <v>23.830041099506186</v>
      </c>
      <c r="M44">
        <f t="shared" ca="1" si="12"/>
        <v>22.536589126927915</v>
      </c>
      <c r="N44">
        <f t="shared" ca="1" si="12"/>
        <v>23.653131828725094</v>
      </c>
      <c r="O44">
        <f t="shared" ca="1" si="12"/>
        <v>20.539996313618339</v>
      </c>
      <c r="P44">
        <f t="shared" ca="1" si="12"/>
        <v>24.551242547606865</v>
      </c>
      <c r="Q44">
        <f t="shared" ca="1" si="12"/>
        <v>22.990790528823382</v>
      </c>
      <c r="R44">
        <f t="shared" ca="1" si="12"/>
        <v>23.911315425245672</v>
      </c>
      <c r="S44">
        <f t="shared" ca="1" si="11"/>
        <v>19.919676096456133</v>
      </c>
      <c r="T44">
        <f t="shared" ca="1" si="11"/>
        <v>23.638417348758658</v>
      </c>
      <c r="U44">
        <f t="shared" ca="1" si="11"/>
        <v>22.231916925398643</v>
      </c>
      <c r="V44">
        <f t="shared" ca="1" si="11"/>
        <v>22.437328402298455</v>
      </c>
      <c r="W44">
        <f t="shared" ca="1" si="11"/>
        <v>18.955062351364042</v>
      </c>
      <c r="X44">
        <f t="shared" ca="1" si="11"/>
        <v>24.959347761523127</v>
      </c>
      <c r="Y44">
        <f t="shared" ca="1" si="11"/>
        <v>21.968019309410312</v>
      </c>
      <c r="Z44">
        <f t="shared" ca="1" si="9"/>
        <v>24.737167049199041</v>
      </c>
      <c r="AA44">
        <f t="shared" ca="1" si="10"/>
        <v>18.207293759295887</v>
      </c>
      <c r="AB44">
        <f t="shared" ca="1" si="10"/>
        <v>23.41021602843519</v>
      </c>
      <c r="AC44">
        <f t="shared" ca="1" si="10"/>
        <v>18.914358651075993</v>
      </c>
      <c r="AD44">
        <f t="shared" ca="1" si="10"/>
        <v>24.785653503739226</v>
      </c>
      <c r="AE44">
        <f t="shared" ca="1" si="10"/>
        <v>18.989098889578031</v>
      </c>
      <c r="AF44">
        <f t="shared" ca="1" si="10"/>
        <v>24.94335488298578</v>
      </c>
      <c r="AG44">
        <f t="shared" ca="1" si="10"/>
        <v>21.38000038194647</v>
      </c>
      <c r="AH44">
        <f t="shared" ca="1" si="10"/>
        <v>22.726241381101953</v>
      </c>
    </row>
    <row r="45" spans="1:34">
      <c r="A45" t="str">
        <f>CYF!A45</f>
        <v>Lentils</v>
      </c>
      <c r="B45" t="str">
        <f>CYF!B45</f>
        <v>SNNPR</v>
      </c>
      <c r="C45">
        <f t="shared" ca="1" si="12"/>
        <v>20.889845092246571</v>
      </c>
      <c r="D45">
        <f t="shared" ca="1" si="12"/>
        <v>23.453415530355606</v>
      </c>
      <c r="E45">
        <f t="shared" ca="1" si="12"/>
        <v>21.74615766413303</v>
      </c>
      <c r="F45">
        <f t="shared" ca="1" si="12"/>
        <v>22.989822303242054</v>
      </c>
      <c r="G45">
        <f t="shared" ca="1" si="12"/>
        <v>18.992937188704005</v>
      </c>
      <c r="H45">
        <f t="shared" ca="1" si="12"/>
        <v>24.444186039057641</v>
      </c>
      <c r="I45">
        <f t="shared" ca="1" si="12"/>
        <v>18.742601645331785</v>
      </c>
      <c r="J45">
        <f t="shared" ca="1" si="12"/>
        <v>24.624982782484331</v>
      </c>
      <c r="K45">
        <f t="shared" ca="1" si="12"/>
        <v>21.808868817583317</v>
      </c>
      <c r="L45">
        <f t="shared" ca="1" si="12"/>
        <v>23.376083689147816</v>
      </c>
      <c r="M45">
        <f t="shared" ca="1" si="12"/>
        <v>21.627020988096717</v>
      </c>
      <c r="N45">
        <f t="shared" ca="1" si="12"/>
        <v>23.483751737935776</v>
      </c>
      <c r="O45">
        <f t="shared" ca="1" si="12"/>
        <v>20.288043153596753</v>
      </c>
      <c r="P45">
        <f t="shared" ca="1" si="12"/>
        <v>22.719580980493323</v>
      </c>
      <c r="Q45">
        <f t="shared" ca="1" si="12"/>
        <v>19.226942257014827</v>
      </c>
      <c r="R45">
        <f t="shared" ca="1" si="12"/>
        <v>24.260910824678305</v>
      </c>
      <c r="S45">
        <f t="shared" ca="1" si="11"/>
        <v>21.708366780530721</v>
      </c>
      <c r="T45">
        <f t="shared" ca="1" si="11"/>
        <v>22.276640486527427</v>
      </c>
      <c r="U45">
        <f t="shared" ca="1" si="11"/>
        <v>21.235505121648607</v>
      </c>
      <c r="V45">
        <f t="shared" ca="1" si="11"/>
        <v>22.062310170087486</v>
      </c>
      <c r="W45">
        <f t="shared" ca="1" si="11"/>
        <v>20.380566666179043</v>
      </c>
      <c r="X45">
        <f t="shared" ca="1" si="11"/>
        <v>23.193746682860834</v>
      </c>
      <c r="Y45">
        <f t="shared" ca="1" si="11"/>
        <v>20.239636163632184</v>
      </c>
      <c r="Z45">
        <f t="shared" ca="1" si="9"/>
        <v>24.074480814507538</v>
      </c>
      <c r="AA45">
        <f t="shared" ca="1" si="10"/>
        <v>20.200276869402437</v>
      </c>
      <c r="AB45">
        <f t="shared" ca="1" si="10"/>
        <v>24.97135625610693</v>
      </c>
      <c r="AC45">
        <f t="shared" ca="1" si="10"/>
        <v>21.224548559617123</v>
      </c>
      <c r="AD45">
        <f t="shared" ca="1" si="10"/>
        <v>22.375556963471766</v>
      </c>
      <c r="AE45">
        <f t="shared" ca="1" si="10"/>
        <v>18.727141861016793</v>
      </c>
      <c r="AF45">
        <f t="shared" ca="1" si="10"/>
        <v>23.499696543382363</v>
      </c>
      <c r="AG45">
        <f t="shared" ca="1" si="10"/>
        <v>22.257038721906412</v>
      </c>
      <c r="AH45">
        <f t="shared" ca="1" si="10"/>
        <v>23.654798368676879</v>
      </c>
    </row>
    <row r="46" spans="1:34">
      <c r="A46" t="str">
        <f>CYF!A46</f>
        <v>Lentils</v>
      </c>
      <c r="B46" t="str">
        <f>CYF!B46</f>
        <v>Tigray</v>
      </c>
      <c r="C46">
        <f t="shared" ca="1" si="12"/>
        <v>22.463963526094929</v>
      </c>
      <c r="D46">
        <f t="shared" ca="1" si="12"/>
        <v>22.247195517289484</v>
      </c>
      <c r="E46">
        <f t="shared" ca="1" si="12"/>
        <v>20.589066885688318</v>
      </c>
      <c r="F46">
        <f t="shared" ca="1" si="12"/>
        <v>22.781208855518528</v>
      </c>
      <c r="G46">
        <f t="shared" ca="1" si="12"/>
        <v>18.270168336864653</v>
      </c>
      <c r="H46">
        <f t="shared" ca="1" si="12"/>
        <v>24.453600257800442</v>
      </c>
      <c r="I46">
        <f t="shared" ca="1" si="12"/>
        <v>22.491593919910279</v>
      </c>
      <c r="J46">
        <f t="shared" ca="1" si="12"/>
        <v>24.134753942932988</v>
      </c>
      <c r="K46">
        <f t="shared" ca="1" si="12"/>
        <v>21.203372077274032</v>
      </c>
      <c r="L46">
        <f t="shared" ca="1" si="12"/>
        <v>23.827880694456496</v>
      </c>
      <c r="M46">
        <f t="shared" ca="1" si="12"/>
        <v>20.514524348205875</v>
      </c>
      <c r="N46">
        <f t="shared" ca="1" si="12"/>
        <v>24.175909753118884</v>
      </c>
      <c r="O46">
        <f t="shared" ca="1" si="12"/>
        <v>20.106703614024088</v>
      </c>
      <c r="P46">
        <f t="shared" ca="1" si="12"/>
        <v>23.960458455354232</v>
      </c>
      <c r="Q46">
        <f t="shared" ca="1" si="12"/>
        <v>18.176065670711921</v>
      </c>
      <c r="R46">
        <f t="shared" ca="1" si="12"/>
        <v>23.149742892408092</v>
      </c>
      <c r="S46">
        <f t="shared" ca="1" si="11"/>
        <v>21.091907514946648</v>
      </c>
      <c r="T46">
        <f t="shared" ca="1" si="11"/>
        <v>23.589611699064605</v>
      </c>
      <c r="U46">
        <f t="shared" ca="1" si="11"/>
        <v>19.770335005202725</v>
      </c>
      <c r="V46">
        <f t="shared" ca="1" si="11"/>
        <v>24.840529041799801</v>
      </c>
      <c r="W46">
        <f t="shared" ca="1" si="11"/>
        <v>21.947231670271599</v>
      </c>
      <c r="X46">
        <f t="shared" ca="1" si="11"/>
        <v>24.064905436387324</v>
      </c>
      <c r="Y46">
        <f t="shared" ca="1" si="11"/>
        <v>18.36456872574842</v>
      </c>
      <c r="Z46">
        <f t="shared" ca="1" si="9"/>
        <v>22.844591844629196</v>
      </c>
      <c r="AA46">
        <f t="shared" ca="1" si="10"/>
        <v>21.287897422924278</v>
      </c>
      <c r="AB46">
        <f t="shared" ca="1" si="10"/>
        <v>23.908801297649756</v>
      </c>
      <c r="AC46">
        <f t="shared" ca="1" si="10"/>
        <v>22.101501861288597</v>
      </c>
      <c r="AD46">
        <f t="shared" ca="1" si="10"/>
        <v>22.654963494291874</v>
      </c>
      <c r="AE46">
        <f t="shared" ca="1" si="10"/>
        <v>19.589524587614306</v>
      </c>
      <c r="AF46">
        <f t="shared" ca="1" si="10"/>
        <v>22.812419717993553</v>
      </c>
      <c r="AG46">
        <f t="shared" ca="1" si="10"/>
        <v>19.432192130459633</v>
      </c>
      <c r="AH46">
        <f t="shared" ca="1" si="10"/>
        <v>22.707561904709678</v>
      </c>
    </row>
    <row r="47" spans="1:34">
      <c r="A47" t="str">
        <f>CYF!A47</f>
        <v>Vegetables</v>
      </c>
      <c r="B47" t="str">
        <f>CYF!B47</f>
        <v>AddisAbaba</v>
      </c>
      <c r="C47">
        <f t="shared" ca="1" si="12"/>
        <v>21.213289252228265</v>
      </c>
      <c r="D47">
        <f t="shared" ca="1" si="12"/>
        <v>24.472522564338931</v>
      </c>
      <c r="E47">
        <f t="shared" ca="1" si="12"/>
        <v>19.936116744195012</v>
      </c>
      <c r="F47">
        <f t="shared" ca="1" si="12"/>
        <v>24.285778342334538</v>
      </c>
      <c r="G47">
        <f t="shared" ca="1" si="12"/>
        <v>21.368313121256197</v>
      </c>
      <c r="H47">
        <f t="shared" ca="1" si="12"/>
        <v>22.075692995492982</v>
      </c>
      <c r="I47">
        <f t="shared" ca="1" si="12"/>
        <v>18.362565646432024</v>
      </c>
      <c r="J47">
        <f t="shared" ca="1" si="12"/>
        <v>23.959830570017839</v>
      </c>
      <c r="K47">
        <f t="shared" ca="1" si="12"/>
        <v>18.05308583892544</v>
      </c>
      <c r="L47">
        <f t="shared" ca="1" si="12"/>
        <v>24.352958131275717</v>
      </c>
      <c r="M47">
        <f t="shared" ca="1" si="12"/>
        <v>20.470203900408467</v>
      </c>
      <c r="N47">
        <f t="shared" ca="1" si="12"/>
        <v>22.448381131951184</v>
      </c>
      <c r="O47">
        <f t="shared" ca="1" si="12"/>
        <v>18.6534179729831</v>
      </c>
      <c r="P47">
        <f t="shared" ca="1" si="12"/>
        <v>22.827127641149389</v>
      </c>
      <c r="Q47">
        <f t="shared" ca="1" si="12"/>
        <v>22.447981731604756</v>
      </c>
      <c r="R47">
        <f t="shared" ca="1" si="12"/>
        <v>22.25835536164757</v>
      </c>
      <c r="S47">
        <f t="shared" ca="1" si="11"/>
        <v>19.846389651400987</v>
      </c>
      <c r="T47">
        <f t="shared" ca="1" si="11"/>
        <v>24.834433965910183</v>
      </c>
      <c r="U47">
        <f t="shared" ca="1" si="11"/>
        <v>21.904456269791403</v>
      </c>
      <c r="V47">
        <f t="shared" ca="1" si="11"/>
        <v>23.91352434553546</v>
      </c>
      <c r="W47">
        <f t="shared" ca="1" si="11"/>
        <v>19.046734439312281</v>
      </c>
      <c r="X47">
        <f t="shared" ca="1" si="11"/>
        <v>22.826794668968137</v>
      </c>
      <c r="Y47">
        <f t="shared" ca="1" si="11"/>
        <v>19.446651849983532</v>
      </c>
      <c r="Z47">
        <f t="shared" ca="1" si="9"/>
        <v>24.847836359757562</v>
      </c>
      <c r="AA47">
        <f t="shared" ca="1" si="10"/>
        <v>21.310349563185639</v>
      </c>
      <c r="AB47">
        <f t="shared" ca="1" si="10"/>
        <v>22.603067085309423</v>
      </c>
      <c r="AC47">
        <f t="shared" ca="1" si="10"/>
        <v>21.723490494674309</v>
      </c>
      <c r="AD47">
        <f t="shared" ca="1" si="10"/>
        <v>23.349197032859372</v>
      </c>
      <c r="AE47">
        <f t="shared" ca="1" si="10"/>
        <v>22.533507389090531</v>
      </c>
      <c r="AF47">
        <f t="shared" ca="1" si="10"/>
        <v>22.948736854114117</v>
      </c>
      <c r="AG47">
        <f t="shared" ca="1" si="10"/>
        <v>21.58720644020363</v>
      </c>
      <c r="AH47">
        <f t="shared" ca="1" si="10"/>
        <v>22.593404087684146</v>
      </c>
    </row>
    <row r="48" spans="1:34">
      <c r="A48" t="str">
        <f>CYF!A48</f>
        <v>Vegetables</v>
      </c>
      <c r="B48" t="str">
        <f>CYF!B48</f>
        <v>Afar</v>
      </c>
      <c r="C48">
        <f t="shared" ca="1" si="12"/>
        <v>20.601730975108495</v>
      </c>
      <c r="D48">
        <f t="shared" ca="1" si="12"/>
        <v>22.002306672416118</v>
      </c>
      <c r="E48">
        <f t="shared" ca="1" si="12"/>
        <v>21.939571267690539</v>
      </c>
      <c r="F48">
        <f t="shared" ca="1" si="12"/>
        <v>22.801230188413644</v>
      </c>
      <c r="G48">
        <f t="shared" ca="1" si="12"/>
        <v>21.587139277117132</v>
      </c>
      <c r="H48">
        <f t="shared" ca="1" si="12"/>
        <v>24.087076139988291</v>
      </c>
      <c r="I48">
        <f t="shared" ca="1" si="12"/>
        <v>22.764224486882647</v>
      </c>
      <c r="J48">
        <f t="shared" ca="1" si="12"/>
        <v>24.642911537630344</v>
      </c>
      <c r="K48">
        <f t="shared" ca="1" si="12"/>
        <v>19.887395245360537</v>
      </c>
      <c r="L48">
        <f t="shared" ca="1" si="12"/>
        <v>22.923406398420024</v>
      </c>
      <c r="M48">
        <f t="shared" ca="1" si="12"/>
        <v>18.752318074248191</v>
      </c>
      <c r="N48">
        <f t="shared" ca="1" si="12"/>
        <v>24.808713811321649</v>
      </c>
      <c r="O48">
        <f t="shared" ca="1" si="12"/>
        <v>19.233137530554057</v>
      </c>
      <c r="P48">
        <f t="shared" ca="1" si="12"/>
        <v>24.747402584388169</v>
      </c>
      <c r="Q48">
        <f t="shared" ca="1" si="12"/>
        <v>20.399404101109248</v>
      </c>
      <c r="R48">
        <f t="shared" ca="1" si="12"/>
        <v>23.172044698496915</v>
      </c>
      <c r="S48">
        <f t="shared" ca="1" si="11"/>
        <v>22.946600242622324</v>
      </c>
      <c r="T48">
        <f t="shared" ca="1" si="11"/>
        <v>23.849548304991835</v>
      </c>
      <c r="U48">
        <f t="shared" ca="1" si="11"/>
        <v>21.652999715410544</v>
      </c>
      <c r="V48">
        <f t="shared" ca="1" si="11"/>
        <v>22.508482665128987</v>
      </c>
      <c r="W48">
        <f t="shared" ca="1" si="11"/>
        <v>21.411061617394441</v>
      </c>
      <c r="X48">
        <f t="shared" ca="1" si="11"/>
        <v>22.525928413522362</v>
      </c>
      <c r="Y48">
        <f t="shared" ca="1" si="11"/>
        <v>19.40901335514987</v>
      </c>
      <c r="Z48">
        <f t="shared" ca="1" si="9"/>
        <v>22.713188864196873</v>
      </c>
      <c r="AA48">
        <f t="shared" ca="1" si="10"/>
        <v>19.373566590137145</v>
      </c>
      <c r="AB48">
        <f t="shared" ca="1" si="10"/>
        <v>23.584815927330776</v>
      </c>
      <c r="AC48">
        <f t="shared" ca="1" si="10"/>
        <v>19.123574690907681</v>
      </c>
      <c r="AD48">
        <f t="shared" ca="1" si="10"/>
        <v>24.977879358832549</v>
      </c>
      <c r="AE48">
        <f t="shared" ca="1" si="10"/>
        <v>21.833571272140698</v>
      </c>
      <c r="AF48">
        <f t="shared" ca="1" si="10"/>
        <v>23.604490051879338</v>
      </c>
      <c r="AG48">
        <f t="shared" ca="1" si="10"/>
        <v>19.870292070830242</v>
      </c>
      <c r="AH48">
        <f t="shared" ca="1" si="10"/>
        <v>22.826433480595185</v>
      </c>
    </row>
    <row r="49" spans="1:34">
      <c r="A49" t="str">
        <f>CYF!A49</f>
        <v>Vegetables</v>
      </c>
      <c r="B49" t="str">
        <f>CYF!B49</f>
        <v>Amhara</v>
      </c>
      <c r="C49">
        <f t="shared" ca="1" si="12"/>
        <v>22.178349035413056</v>
      </c>
      <c r="D49">
        <f t="shared" ca="1" si="12"/>
        <v>24.409258572926259</v>
      </c>
      <c r="E49">
        <f t="shared" ca="1" si="12"/>
        <v>20.47225738536973</v>
      </c>
      <c r="F49">
        <f t="shared" ca="1" si="12"/>
        <v>24.171397776499028</v>
      </c>
      <c r="G49">
        <f t="shared" ca="1" si="12"/>
        <v>20.677234678996122</v>
      </c>
      <c r="H49">
        <f t="shared" ca="1" si="12"/>
        <v>24.869842483693684</v>
      </c>
      <c r="I49">
        <f t="shared" ca="1" si="12"/>
        <v>20.556406715658778</v>
      </c>
      <c r="J49">
        <f t="shared" ca="1" si="12"/>
        <v>24.049989349896336</v>
      </c>
      <c r="K49">
        <f t="shared" ca="1" si="12"/>
        <v>18.193203062140082</v>
      </c>
      <c r="L49">
        <f t="shared" ca="1" si="12"/>
        <v>23.843579128589571</v>
      </c>
      <c r="M49">
        <f t="shared" ca="1" si="12"/>
        <v>19.418578142088663</v>
      </c>
      <c r="N49">
        <f t="shared" ca="1" si="12"/>
        <v>24.379912706561853</v>
      </c>
      <c r="O49">
        <f t="shared" ca="1" si="12"/>
        <v>22.974038404861748</v>
      </c>
      <c r="P49">
        <f t="shared" ca="1" si="12"/>
        <v>24.295075763261735</v>
      </c>
      <c r="Q49">
        <f t="shared" ca="1" si="12"/>
        <v>20.701653577079181</v>
      </c>
      <c r="R49">
        <f t="shared" ca="1" si="12"/>
        <v>23.131944097774884</v>
      </c>
      <c r="S49">
        <f t="shared" ca="1" si="11"/>
        <v>19.285956236933256</v>
      </c>
      <c r="T49">
        <f t="shared" ca="1" si="11"/>
        <v>23.612926697502008</v>
      </c>
      <c r="U49">
        <f t="shared" ca="1" si="11"/>
        <v>21.976705830827548</v>
      </c>
      <c r="V49">
        <f t="shared" ca="1" si="11"/>
        <v>22.432734562567418</v>
      </c>
      <c r="W49">
        <f t="shared" ca="1" si="11"/>
        <v>21.80040514608228</v>
      </c>
      <c r="X49">
        <f t="shared" ca="1" si="11"/>
        <v>23.298443625286524</v>
      </c>
      <c r="Y49">
        <f t="shared" ca="1" si="11"/>
        <v>18.174859195539888</v>
      </c>
      <c r="Z49">
        <f t="shared" ca="1" si="9"/>
        <v>22.433854801459255</v>
      </c>
      <c r="AA49">
        <f t="shared" ca="1" si="10"/>
        <v>19.329080638671851</v>
      </c>
      <c r="AB49">
        <f t="shared" ca="1" si="10"/>
        <v>24.676653814275529</v>
      </c>
      <c r="AC49">
        <f t="shared" ca="1" si="10"/>
        <v>21.96148336248369</v>
      </c>
      <c r="AD49">
        <f t="shared" ca="1" si="10"/>
        <v>24.168775863614631</v>
      </c>
      <c r="AE49">
        <f t="shared" ca="1" si="10"/>
        <v>20.887633555811412</v>
      </c>
      <c r="AF49">
        <f t="shared" ca="1" si="10"/>
        <v>24.035666656062222</v>
      </c>
      <c r="AG49">
        <f t="shared" ca="1" si="10"/>
        <v>19.371701871898782</v>
      </c>
      <c r="AH49">
        <f t="shared" ca="1" si="10"/>
        <v>22.695673650264766</v>
      </c>
    </row>
    <row r="50" spans="1:34">
      <c r="A50" t="str">
        <f>CYF!A50</f>
        <v>Vegetables</v>
      </c>
      <c r="B50" t="str">
        <f>CYF!B50</f>
        <v>Gumuz</v>
      </c>
      <c r="C50">
        <f t="shared" ca="1" si="12"/>
        <v>20.30256268847895</v>
      </c>
      <c r="D50">
        <f t="shared" ca="1" si="12"/>
        <v>22.979402151862409</v>
      </c>
      <c r="E50">
        <f t="shared" ca="1" si="12"/>
        <v>20.162416246276994</v>
      </c>
      <c r="F50">
        <f t="shared" ca="1" si="12"/>
        <v>22.830007493099632</v>
      </c>
      <c r="G50">
        <f t="shared" ca="1" si="12"/>
        <v>19.551487176703475</v>
      </c>
      <c r="H50">
        <f t="shared" ca="1" si="12"/>
        <v>23.164259895048932</v>
      </c>
      <c r="I50">
        <f t="shared" ca="1" si="12"/>
        <v>22.142693610721317</v>
      </c>
      <c r="J50">
        <f t="shared" ca="1" si="12"/>
        <v>22.214567254940544</v>
      </c>
      <c r="K50">
        <f t="shared" ca="1" si="12"/>
        <v>18.684068641755115</v>
      </c>
      <c r="L50">
        <f t="shared" ca="1" si="12"/>
        <v>23.667183246976236</v>
      </c>
      <c r="M50">
        <f t="shared" ca="1" si="12"/>
        <v>20.540828590850335</v>
      </c>
      <c r="N50">
        <f t="shared" ca="1" si="12"/>
        <v>22.460694302888619</v>
      </c>
      <c r="O50">
        <f t="shared" ca="1" si="12"/>
        <v>18.545213979732292</v>
      </c>
      <c r="P50">
        <f t="shared" ca="1" si="12"/>
        <v>23.957967186647178</v>
      </c>
      <c r="Q50">
        <f t="shared" ca="1" si="12"/>
        <v>18.680044036466416</v>
      </c>
      <c r="R50">
        <f t="shared" ca="1" si="12"/>
        <v>23.950804308659244</v>
      </c>
      <c r="S50">
        <f t="shared" ca="1" si="11"/>
        <v>20.662584157664476</v>
      </c>
      <c r="T50">
        <f t="shared" ca="1" si="11"/>
        <v>24.900883843254189</v>
      </c>
      <c r="U50">
        <f t="shared" ca="1" si="11"/>
        <v>18.667114860443682</v>
      </c>
      <c r="V50">
        <f t="shared" ca="1" si="11"/>
        <v>22.396674994656681</v>
      </c>
      <c r="W50">
        <f t="shared" ca="1" si="11"/>
        <v>20.33785024295479</v>
      </c>
      <c r="X50">
        <f t="shared" ca="1" si="11"/>
        <v>23.908145615644127</v>
      </c>
      <c r="Y50">
        <f t="shared" ca="1" si="11"/>
        <v>20.781311544277841</v>
      </c>
      <c r="Z50">
        <f t="shared" ca="1" si="9"/>
        <v>23.446184951876571</v>
      </c>
      <c r="AA50">
        <f t="shared" ca="1" si="10"/>
        <v>19.285550243372544</v>
      </c>
      <c r="AB50">
        <f t="shared" ca="1" si="10"/>
        <v>23.31174724608308</v>
      </c>
      <c r="AC50">
        <f t="shared" ca="1" si="10"/>
        <v>19.002221824366398</v>
      </c>
      <c r="AD50">
        <f t="shared" ca="1" si="10"/>
        <v>22.043990129371448</v>
      </c>
      <c r="AE50">
        <f t="shared" ca="1" si="10"/>
        <v>19.795775385064015</v>
      </c>
      <c r="AF50">
        <f t="shared" ca="1" si="10"/>
        <v>23.948301607535747</v>
      </c>
      <c r="AG50">
        <f t="shared" ca="1" si="10"/>
        <v>21.959470798884141</v>
      </c>
      <c r="AH50">
        <f t="shared" ca="1" si="10"/>
        <v>23.322933731204039</v>
      </c>
    </row>
    <row r="51" spans="1:34">
      <c r="A51" t="str">
        <f>CYF!A51</f>
        <v>Vegetables</v>
      </c>
      <c r="B51" t="str">
        <f>CYF!B51</f>
        <v>DireDawa</v>
      </c>
      <c r="C51">
        <f t="shared" ca="1" si="12"/>
        <v>20.108829976143912</v>
      </c>
      <c r="D51">
        <f t="shared" ca="1" si="12"/>
        <v>23.116060209697338</v>
      </c>
      <c r="E51">
        <f t="shared" ca="1" si="12"/>
        <v>19.78121613286369</v>
      </c>
      <c r="F51">
        <f t="shared" ca="1" si="12"/>
        <v>22.686580335709476</v>
      </c>
      <c r="G51">
        <f t="shared" ca="1" si="12"/>
        <v>20.562254518748851</v>
      </c>
      <c r="H51">
        <f t="shared" ca="1" si="12"/>
        <v>24.609604442114708</v>
      </c>
      <c r="I51">
        <f t="shared" ca="1" si="12"/>
        <v>20.395965119140378</v>
      </c>
      <c r="J51">
        <f t="shared" ca="1" si="12"/>
        <v>23.560963815054901</v>
      </c>
      <c r="K51">
        <f t="shared" ca="1" si="12"/>
        <v>20.889841013361767</v>
      </c>
      <c r="L51">
        <f t="shared" ca="1" si="12"/>
        <v>22.460230468916407</v>
      </c>
      <c r="M51">
        <f t="shared" ca="1" si="12"/>
        <v>21.401055111476612</v>
      </c>
      <c r="N51">
        <f t="shared" ca="1" si="12"/>
        <v>23.729915741393356</v>
      </c>
      <c r="O51">
        <f t="shared" ca="1" si="12"/>
        <v>19.65471825883591</v>
      </c>
      <c r="P51">
        <f t="shared" ca="1" si="12"/>
        <v>22.152562685449187</v>
      </c>
      <c r="Q51">
        <f t="shared" ca="1" si="12"/>
        <v>18.840298739139701</v>
      </c>
      <c r="R51">
        <f t="shared" ca="1" si="12"/>
        <v>24.046764617131938</v>
      </c>
      <c r="S51">
        <f t="shared" ca="1" si="11"/>
        <v>18.686039678579714</v>
      </c>
      <c r="T51">
        <f t="shared" ca="1" si="11"/>
        <v>23.61340908191675</v>
      </c>
      <c r="U51">
        <f t="shared" ca="1" si="11"/>
        <v>19.614590006986415</v>
      </c>
      <c r="V51">
        <f t="shared" ca="1" si="11"/>
        <v>24.035393979998183</v>
      </c>
      <c r="W51">
        <f t="shared" ca="1" si="11"/>
        <v>18.906623501620661</v>
      </c>
      <c r="X51">
        <f t="shared" ca="1" si="11"/>
        <v>22.113134295830005</v>
      </c>
      <c r="Y51">
        <f t="shared" ca="1" si="11"/>
        <v>21.295747707310738</v>
      </c>
      <c r="Z51">
        <f t="shared" ca="1" si="9"/>
        <v>24.655136689004266</v>
      </c>
      <c r="AA51">
        <f t="shared" ca="1" si="10"/>
        <v>18.452291944846234</v>
      </c>
      <c r="AB51">
        <f t="shared" ca="1" si="10"/>
        <v>24.733197881207357</v>
      </c>
      <c r="AC51">
        <f t="shared" ca="1" si="10"/>
        <v>20.056243457031545</v>
      </c>
      <c r="AD51">
        <f t="shared" ca="1" si="10"/>
        <v>24.945497399129572</v>
      </c>
      <c r="AE51">
        <f t="shared" ca="1" si="10"/>
        <v>21.993530393080782</v>
      </c>
      <c r="AF51">
        <f t="shared" ca="1" si="10"/>
        <v>23.328509312899264</v>
      </c>
      <c r="AG51">
        <f t="shared" ca="1" si="10"/>
        <v>19.472401289723486</v>
      </c>
      <c r="AH51">
        <f t="shared" ca="1" si="10"/>
        <v>23.625504423724067</v>
      </c>
    </row>
    <row r="52" spans="1:34">
      <c r="A52" t="str">
        <f>CYF!A52</f>
        <v>Vegetables</v>
      </c>
      <c r="B52" t="str">
        <f>CYF!B52</f>
        <v>Gambela</v>
      </c>
      <c r="C52">
        <f t="shared" ca="1" si="12"/>
        <v>21.211371979621099</v>
      </c>
      <c r="D52">
        <f t="shared" ca="1" si="12"/>
        <v>23.510372523433546</v>
      </c>
      <c r="E52">
        <f t="shared" ca="1" si="12"/>
        <v>18.100538424810168</v>
      </c>
      <c r="F52">
        <f t="shared" ca="1" si="12"/>
        <v>24.136584587399419</v>
      </c>
      <c r="G52">
        <f t="shared" ca="1" si="12"/>
        <v>21.717191788827591</v>
      </c>
      <c r="H52">
        <f t="shared" ca="1" si="12"/>
        <v>24.176903287624935</v>
      </c>
      <c r="I52">
        <f t="shared" ca="1" si="12"/>
        <v>22.723477652773084</v>
      </c>
      <c r="J52">
        <f t="shared" ca="1" si="12"/>
        <v>22.059031196279395</v>
      </c>
      <c r="K52">
        <f t="shared" ca="1" si="12"/>
        <v>19.039384830589103</v>
      </c>
      <c r="L52">
        <f t="shared" ca="1" si="12"/>
        <v>22.553917137519626</v>
      </c>
      <c r="M52">
        <f t="shared" ca="1" si="12"/>
        <v>22.282979185323818</v>
      </c>
      <c r="N52">
        <f t="shared" ca="1" si="12"/>
        <v>24.803149274755523</v>
      </c>
      <c r="O52">
        <f t="shared" ca="1" si="12"/>
        <v>19.075531476492149</v>
      </c>
      <c r="P52">
        <f t="shared" ca="1" si="12"/>
        <v>23.837791111776387</v>
      </c>
      <c r="Q52">
        <f t="shared" ca="1" si="12"/>
        <v>19.739288055464442</v>
      </c>
      <c r="R52">
        <f t="shared" ca="1" si="12"/>
        <v>22.863322139804303</v>
      </c>
      <c r="S52">
        <f t="shared" ca="1" si="11"/>
        <v>21.011706525171984</v>
      </c>
      <c r="T52">
        <f t="shared" ca="1" si="11"/>
        <v>23.268586715064504</v>
      </c>
      <c r="U52">
        <f t="shared" ca="1" si="11"/>
        <v>21.706018004818471</v>
      </c>
      <c r="V52">
        <f t="shared" ca="1" si="11"/>
        <v>24.23911467745345</v>
      </c>
      <c r="W52">
        <f t="shared" ca="1" si="11"/>
        <v>18.246105052903527</v>
      </c>
      <c r="X52">
        <f t="shared" ca="1" si="11"/>
        <v>22.086204301622256</v>
      </c>
      <c r="Y52">
        <f t="shared" ca="1" si="11"/>
        <v>18.528619978648798</v>
      </c>
      <c r="Z52">
        <f t="shared" ca="1" si="9"/>
        <v>22.793669716867925</v>
      </c>
      <c r="AA52">
        <f t="shared" ca="1" si="10"/>
        <v>18.817900957616047</v>
      </c>
      <c r="AB52">
        <f t="shared" ca="1" si="10"/>
        <v>24.778692020792136</v>
      </c>
      <c r="AC52">
        <f t="shared" ca="1" si="10"/>
        <v>20.55937882847919</v>
      </c>
      <c r="AD52">
        <f t="shared" ca="1" si="10"/>
        <v>24.342069055129187</v>
      </c>
      <c r="AE52">
        <f t="shared" ca="1" si="10"/>
        <v>18.834178195305864</v>
      </c>
      <c r="AF52">
        <f t="shared" ca="1" si="10"/>
        <v>24.507159538557623</v>
      </c>
      <c r="AG52">
        <f t="shared" ca="1" si="10"/>
        <v>22.245724091119683</v>
      </c>
      <c r="AH52">
        <f t="shared" ca="1" si="10"/>
        <v>23.192982696175228</v>
      </c>
    </row>
    <row r="53" spans="1:34">
      <c r="A53" t="str">
        <f>CYF!A53</f>
        <v>Vegetables</v>
      </c>
      <c r="B53" t="str">
        <f>CYF!B53</f>
        <v>Harari</v>
      </c>
      <c r="C53">
        <f t="shared" ca="1" si="12"/>
        <v>18.887812972838297</v>
      </c>
      <c r="D53">
        <f t="shared" ca="1" si="12"/>
        <v>22.867961993271802</v>
      </c>
      <c r="E53">
        <f t="shared" ca="1" si="12"/>
        <v>20.098349067162083</v>
      </c>
      <c r="F53">
        <f t="shared" ca="1" si="12"/>
        <v>24.055787696294935</v>
      </c>
      <c r="G53">
        <f t="shared" ca="1" si="12"/>
        <v>21.12186441778422</v>
      </c>
      <c r="H53">
        <f t="shared" ca="1" si="12"/>
        <v>24.60561456691979</v>
      </c>
      <c r="I53">
        <f t="shared" ca="1" si="12"/>
        <v>22.543140306037785</v>
      </c>
      <c r="J53">
        <f t="shared" ca="1" si="12"/>
        <v>24.726702034846259</v>
      </c>
      <c r="K53">
        <f t="shared" ca="1" si="12"/>
        <v>18.658737348857837</v>
      </c>
      <c r="L53">
        <f t="shared" ca="1" si="12"/>
        <v>22.892512497686134</v>
      </c>
      <c r="M53">
        <f t="shared" ca="1" si="12"/>
        <v>20.531272494581188</v>
      </c>
      <c r="N53">
        <f t="shared" ca="1" si="12"/>
        <v>23.366767039394265</v>
      </c>
      <c r="O53">
        <f t="shared" ca="1" si="12"/>
        <v>19.941725065959741</v>
      </c>
      <c r="P53">
        <f t="shared" ca="1" si="12"/>
        <v>22.888512257871504</v>
      </c>
      <c r="Q53">
        <f t="shared" ca="1" si="12"/>
        <v>22.827950242101036</v>
      </c>
      <c r="R53">
        <f t="shared" ca="1" si="12"/>
        <v>24.842949900692837</v>
      </c>
      <c r="S53">
        <f t="shared" ca="1" si="11"/>
        <v>22.914559156218679</v>
      </c>
      <c r="T53">
        <f t="shared" ca="1" si="11"/>
        <v>23.36728318472311</v>
      </c>
      <c r="U53">
        <f t="shared" ca="1" si="11"/>
        <v>19.941957691900452</v>
      </c>
      <c r="V53">
        <f t="shared" ca="1" si="11"/>
        <v>22.399474787402784</v>
      </c>
      <c r="W53">
        <f t="shared" ca="1" si="11"/>
        <v>22.932337271896909</v>
      </c>
      <c r="X53">
        <f t="shared" ca="1" si="11"/>
        <v>23.516782743017995</v>
      </c>
      <c r="Y53">
        <f t="shared" ca="1" si="11"/>
        <v>21.087003453357898</v>
      </c>
      <c r="Z53">
        <f t="shared" ca="1" si="9"/>
        <v>23.222964097100572</v>
      </c>
      <c r="AA53">
        <f t="shared" ca="1" si="10"/>
        <v>20.848073866933607</v>
      </c>
      <c r="AB53">
        <f t="shared" ca="1" si="10"/>
        <v>24.200532748148646</v>
      </c>
      <c r="AC53">
        <f t="shared" ca="1" si="10"/>
        <v>20.162377354871797</v>
      </c>
      <c r="AD53">
        <f t="shared" ca="1" si="10"/>
        <v>23.062842824274497</v>
      </c>
      <c r="AE53">
        <f t="shared" ca="1" si="10"/>
        <v>18.322657281617669</v>
      </c>
      <c r="AF53">
        <f t="shared" ca="1" si="10"/>
        <v>24.484389362059215</v>
      </c>
      <c r="AG53">
        <f t="shared" ca="1" si="10"/>
        <v>21.668120183230691</v>
      </c>
      <c r="AH53">
        <f t="shared" ref="D53:AH68" ca="1" si="13">IF(1-MOD(COLUMN(),2),25-RAND()*3,(18+RAND()*5))</f>
        <v>22.302834899346884</v>
      </c>
    </row>
    <row r="54" spans="1:34">
      <c r="A54" t="str">
        <f>CYF!A54</f>
        <v>Vegetables</v>
      </c>
      <c r="B54" t="str">
        <f>CYF!B54</f>
        <v>Oromia</v>
      </c>
      <c r="C54">
        <f t="shared" ca="1" si="12"/>
        <v>19.55362481560325</v>
      </c>
      <c r="D54">
        <f t="shared" ca="1" si="13"/>
        <v>22.561042650766613</v>
      </c>
      <c r="E54">
        <f t="shared" ca="1" si="13"/>
        <v>21.83323766588876</v>
      </c>
      <c r="F54">
        <f t="shared" ca="1" si="13"/>
        <v>24.993660921218694</v>
      </c>
      <c r="G54">
        <f t="shared" ca="1" si="13"/>
        <v>19.797070329696702</v>
      </c>
      <c r="H54">
        <f t="shared" ca="1" si="13"/>
        <v>22.253557676206398</v>
      </c>
      <c r="I54">
        <f t="shared" ca="1" si="13"/>
        <v>19.271314735917031</v>
      </c>
      <c r="J54">
        <f t="shared" ca="1" si="13"/>
        <v>23.627514609803701</v>
      </c>
      <c r="K54">
        <f t="shared" ca="1" si="13"/>
        <v>22.236451276504454</v>
      </c>
      <c r="L54">
        <f t="shared" ca="1" si="13"/>
        <v>23.156316388818908</v>
      </c>
      <c r="M54">
        <f t="shared" ca="1" si="13"/>
        <v>22.01878353443832</v>
      </c>
      <c r="N54">
        <f t="shared" ca="1" si="13"/>
        <v>22.797732154906384</v>
      </c>
      <c r="O54">
        <f t="shared" ca="1" si="13"/>
        <v>19.88582269327998</v>
      </c>
      <c r="P54">
        <f t="shared" ca="1" si="13"/>
        <v>23.919939359066017</v>
      </c>
      <c r="Q54">
        <f t="shared" ca="1" si="13"/>
        <v>22.497093676864367</v>
      </c>
      <c r="R54">
        <f t="shared" ca="1" si="13"/>
        <v>22.603806811541766</v>
      </c>
      <c r="S54">
        <f t="shared" ca="1" si="13"/>
        <v>22.366971806885829</v>
      </c>
      <c r="T54">
        <f t="shared" ca="1" si="13"/>
        <v>22.776849309358958</v>
      </c>
      <c r="U54">
        <f t="shared" ca="1" si="13"/>
        <v>19.659596035117747</v>
      </c>
      <c r="V54">
        <f t="shared" ca="1" si="13"/>
        <v>24.670432736144214</v>
      </c>
      <c r="W54">
        <f t="shared" ca="1" si="13"/>
        <v>21.210058685709647</v>
      </c>
      <c r="X54">
        <f t="shared" ca="1" si="13"/>
        <v>23.378796741463592</v>
      </c>
      <c r="Y54">
        <f t="shared" ca="1" si="13"/>
        <v>20.485929275948088</v>
      </c>
      <c r="Z54">
        <f t="shared" ca="1" si="13"/>
        <v>24.43651277358331</v>
      </c>
      <c r="AA54">
        <f t="shared" ca="1" si="13"/>
        <v>21.610560056952178</v>
      </c>
      <c r="AB54">
        <f t="shared" ca="1" si="13"/>
        <v>22.489378187862343</v>
      </c>
      <c r="AC54">
        <f t="shared" ca="1" si="13"/>
        <v>19.990610167039581</v>
      </c>
      <c r="AD54">
        <f t="shared" ca="1" si="13"/>
        <v>22.802120972938805</v>
      </c>
      <c r="AE54">
        <f t="shared" ca="1" si="13"/>
        <v>21.675174537694517</v>
      </c>
      <c r="AF54">
        <f t="shared" ca="1" si="13"/>
        <v>23.381726836175087</v>
      </c>
      <c r="AG54">
        <f t="shared" ca="1" si="13"/>
        <v>22.832270534988176</v>
      </c>
      <c r="AH54">
        <f t="shared" ca="1" si="13"/>
        <v>22.342769775326747</v>
      </c>
    </row>
    <row r="55" spans="1:34">
      <c r="A55" t="str">
        <f>CYF!A55</f>
        <v>Vegetables</v>
      </c>
      <c r="B55" t="str">
        <f>CYF!B55</f>
        <v>Somali</v>
      </c>
      <c r="C55">
        <f t="shared" ca="1" si="12"/>
        <v>21.063632192347917</v>
      </c>
      <c r="D55">
        <f t="shared" ca="1" si="13"/>
        <v>24.316943625190003</v>
      </c>
      <c r="E55">
        <f t="shared" ca="1" si="13"/>
        <v>20.190281236883763</v>
      </c>
      <c r="F55">
        <f t="shared" ca="1" si="13"/>
        <v>22.801681732307458</v>
      </c>
      <c r="G55">
        <f t="shared" ca="1" si="13"/>
        <v>21.225457622048932</v>
      </c>
      <c r="H55">
        <f t="shared" ca="1" si="13"/>
        <v>24.599078868723609</v>
      </c>
      <c r="I55">
        <f t="shared" ca="1" si="13"/>
        <v>19.69064749557046</v>
      </c>
      <c r="J55">
        <f t="shared" ca="1" si="13"/>
        <v>22.76271240378885</v>
      </c>
      <c r="K55">
        <f t="shared" ca="1" si="13"/>
        <v>21.996797331911388</v>
      </c>
      <c r="L55">
        <f t="shared" ca="1" si="13"/>
        <v>23.502584077823244</v>
      </c>
      <c r="M55">
        <f t="shared" ca="1" si="13"/>
        <v>21.562488496337835</v>
      </c>
      <c r="N55">
        <f t="shared" ca="1" si="13"/>
        <v>24.430692148568394</v>
      </c>
      <c r="O55">
        <f t="shared" ca="1" si="13"/>
        <v>21.804861142538819</v>
      </c>
      <c r="P55">
        <f t="shared" ca="1" si="13"/>
        <v>24.312543332709147</v>
      </c>
      <c r="Q55">
        <f t="shared" ca="1" si="13"/>
        <v>21.161956452435671</v>
      </c>
      <c r="R55">
        <f t="shared" ca="1" si="13"/>
        <v>23.902545208174335</v>
      </c>
      <c r="S55">
        <f t="shared" ca="1" si="13"/>
        <v>22.26849648862493</v>
      </c>
      <c r="T55">
        <f t="shared" ca="1" si="13"/>
        <v>24.025663437343262</v>
      </c>
      <c r="U55">
        <f t="shared" ca="1" si="13"/>
        <v>19.322190013590692</v>
      </c>
      <c r="V55">
        <f t="shared" ca="1" si="13"/>
        <v>22.388211268511565</v>
      </c>
      <c r="W55">
        <f t="shared" ca="1" si="13"/>
        <v>21.175007624773663</v>
      </c>
      <c r="X55">
        <f t="shared" ca="1" si="13"/>
        <v>22.147383619167492</v>
      </c>
      <c r="Y55">
        <f t="shared" ca="1" si="13"/>
        <v>21.004009117455968</v>
      </c>
      <c r="Z55">
        <f t="shared" ca="1" si="13"/>
        <v>22.088351666498589</v>
      </c>
      <c r="AA55">
        <f t="shared" ca="1" si="13"/>
        <v>19.315305296913962</v>
      </c>
      <c r="AB55">
        <f t="shared" ca="1" si="13"/>
        <v>23.166876146618183</v>
      </c>
      <c r="AC55">
        <f t="shared" ca="1" si="13"/>
        <v>20.013563847551435</v>
      </c>
      <c r="AD55">
        <f t="shared" ca="1" si="13"/>
        <v>23.311438463953579</v>
      </c>
      <c r="AE55">
        <f t="shared" ca="1" si="13"/>
        <v>18.707465171342079</v>
      </c>
      <c r="AF55">
        <f t="shared" ca="1" si="13"/>
        <v>23.612295190683422</v>
      </c>
      <c r="AG55">
        <f t="shared" ca="1" si="13"/>
        <v>21.337988998635868</v>
      </c>
      <c r="AH55">
        <f t="shared" ca="1" si="13"/>
        <v>23.142750061771793</v>
      </c>
    </row>
    <row r="56" spans="1:34">
      <c r="A56" t="str">
        <f>CYF!A56</f>
        <v>Vegetables</v>
      </c>
      <c r="B56" t="str">
        <f>CYF!B56</f>
        <v>SNNPR</v>
      </c>
      <c r="C56">
        <f t="shared" ca="1" si="12"/>
        <v>22.245935821401073</v>
      </c>
      <c r="D56">
        <f t="shared" ca="1" si="13"/>
        <v>23.672338414324937</v>
      </c>
      <c r="E56">
        <f t="shared" ca="1" si="13"/>
        <v>21.346959415576489</v>
      </c>
      <c r="F56">
        <f t="shared" ca="1" si="13"/>
        <v>22.243110819262643</v>
      </c>
      <c r="G56">
        <f t="shared" ca="1" si="13"/>
        <v>19.471570487203728</v>
      </c>
      <c r="H56">
        <f t="shared" ca="1" si="13"/>
        <v>23.145520615440663</v>
      </c>
      <c r="I56">
        <f t="shared" ca="1" si="13"/>
        <v>18.414451932652145</v>
      </c>
      <c r="J56">
        <f t="shared" ca="1" si="13"/>
        <v>24.793168230960465</v>
      </c>
      <c r="K56">
        <f t="shared" ca="1" si="13"/>
        <v>18.757822236057841</v>
      </c>
      <c r="L56">
        <f t="shared" ca="1" si="13"/>
        <v>23.763390144754137</v>
      </c>
      <c r="M56">
        <f t="shared" ca="1" si="13"/>
        <v>22.063131401766672</v>
      </c>
      <c r="N56">
        <f t="shared" ca="1" si="13"/>
        <v>22.611024727701658</v>
      </c>
      <c r="O56">
        <f t="shared" ca="1" si="13"/>
        <v>19.491847254466236</v>
      </c>
      <c r="P56">
        <f t="shared" ca="1" si="13"/>
        <v>24.973115053939782</v>
      </c>
      <c r="Q56">
        <f t="shared" ca="1" si="13"/>
        <v>22.784275759557026</v>
      </c>
      <c r="R56">
        <f t="shared" ca="1" si="13"/>
        <v>24.404386529931298</v>
      </c>
      <c r="S56">
        <f t="shared" ca="1" si="13"/>
        <v>18.152808815678508</v>
      </c>
      <c r="T56">
        <f t="shared" ca="1" si="13"/>
        <v>22.05870363586304</v>
      </c>
      <c r="U56">
        <f t="shared" ca="1" si="13"/>
        <v>20.186130683139783</v>
      </c>
      <c r="V56">
        <f t="shared" ca="1" si="13"/>
        <v>22.747798490308298</v>
      </c>
      <c r="W56">
        <f t="shared" ca="1" si="13"/>
        <v>18.343905581057598</v>
      </c>
      <c r="X56">
        <f t="shared" ca="1" si="13"/>
        <v>23.581791865810509</v>
      </c>
      <c r="Y56">
        <f t="shared" ca="1" si="13"/>
        <v>21.0039952035069</v>
      </c>
      <c r="Z56">
        <f t="shared" ca="1" si="13"/>
        <v>22.144059635365615</v>
      </c>
      <c r="AA56">
        <f t="shared" ca="1" si="13"/>
        <v>20.003439342487283</v>
      </c>
      <c r="AB56">
        <f t="shared" ca="1" si="13"/>
        <v>24.493889696580236</v>
      </c>
      <c r="AC56">
        <f t="shared" ca="1" si="13"/>
        <v>18.430926918777597</v>
      </c>
      <c r="AD56">
        <f t="shared" ca="1" si="13"/>
        <v>22.504128490547629</v>
      </c>
      <c r="AE56">
        <f t="shared" ca="1" si="13"/>
        <v>20.971030201694472</v>
      </c>
      <c r="AF56">
        <f t="shared" ca="1" si="13"/>
        <v>24.111148831490123</v>
      </c>
      <c r="AG56">
        <f t="shared" ca="1" si="13"/>
        <v>20.822628466152651</v>
      </c>
      <c r="AH56">
        <f t="shared" ca="1" si="13"/>
        <v>23.373503451576919</v>
      </c>
    </row>
    <row r="57" spans="1:34">
      <c r="A57" t="str">
        <f>CYF!A57</f>
        <v>Vegetables</v>
      </c>
      <c r="B57" t="str">
        <f>CYF!B57</f>
        <v>Tigray</v>
      </c>
      <c r="C57">
        <f t="shared" ca="1" si="12"/>
        <v>18.236489927237614</v>
      </c>
      <c r="D57">
        <f t="shared" ca="1" si="13"/>
        <v>22.299623448585567</v>
      </c>
      <c r="E57">
        <f t="shared" ca="1" si="13"/>
        <v>21.273096251300071</v>
      </c>
      <c r="F57">
        <f t="shared" ca="1" si="13"/>
        <v>23.239452758439345</v>
      </c>
      <c r="G57">
        <f t="shared" ca="1" si="13"/>
        <v>18.014822421266583</v>
      </c>
      <c r="H57">
        <f t="shared" ca="1" si="13"/>
        <v>23.415783334304066</v>
      </c>
      <c r="I57">
        <f t="shared" ca="1" si="13"/>
        <v>20.605195515740586</v>
      </c>
      <c r="J57">
        <f t="shared" ca="1" si="13"/>
        <v>23.136401495806506</v>
      </c>
      <c r="K57">
        <f t="shared" ca="1" si="13"/>
        <v>18.449349262002588</v>
      </c>
      <c r="L57">
        <f t="shared" ca="1" si="13"/>
        <v>23.282161196369678</v>
      </c>
      <c r="M57">
        <f t="shared" ca="1" si="13"/>
        <v>22.050572088509007</v>
      </c>
      <c r="N57">
        <f t="shared" ca="1" si="13"/>
        <v>23.210236774712953</v>
      </c>
      <c r="O57">
        <f t="shared" ca="1" si="13"/>
        <v>18.240627049152565</v>
      </c>
      <c r="P57">
        <f t="shared" ca="1" si="13"/>
        <v>24.12652847950519</v>
      </c>
      <c r="Q57">
        <f t="shared" ca="1" si="13"/>
        <v>19.90942829625407</v>
      </c>
      <c r="R57">
        <f t="shared" ca="1" si="13"/>
        <v>22.506084218221549</v>
      </c>
      <c r="S57">
        <f t="shared" ca="1" si="13"/>
        <v>18.963115376803348</v>
      </c>
      <c r="T57">
        <f t="shared" ca="1" si="13"/>
        <v>22.582495541255046</v>
      </c>
      <c r="U57">
        <f t="shared" ca="1" si="13"/>
        <v>21.701933117439388</v>
      </c>
      <c r="V57">
        <f t="shared" ca="1" si="13"/>
        <v>22.041905874977903</v>
      </c>
      <c r="W57">
        <f t="shared" ca="1" si="13"/>
        <v>20.575803529362226</v>
      </c>
      <c r="X57">
        <f t="shared" ca="1" si="13"/>
        <v>24.553616804152174</v>
      </c>
      <c r="Y57">
        <f t="shared" ca="1" si="13"/>
        <v>19.625695973815766</v>
      </c>
      <c r="Z57">
        <f t="shared" ca="1" si="13"/>
        <v>24.491498722483783</v>
      </c>
      <c r="AA57">
        <f t="shared" ca="1" si="13"/>
        <v>18.768940729904838</v>
      </c>
      <c r="AB57">
        <f t="shared" ca="1" si="13"/>
        <v>24.702149208925153</v>
      </c>
      <c r="AC57">
        <f t="shared" ca="1" si="13"/>
        <v>19.273670866125443</v>
      </c>
      <c r="AD57">
        <f t="shared" ca="1" si="13"/>
        <v>22.958388244924418</v>
      </c>
      <c r="AE57">
        <f t="shared" ca="1" si="13"/>
        <v>21.96202820667893</v>
      </c>
      <c r="AF57">
        <f t="shared" ca="1" si="13"/>
        <v>22.688916096809461</v>
      </c>
      <c r="AG57">
        <f t="shared" ca="1" si="13"/>
        <v>20.72597744280473</v>
      </c>
      <c r="AH57">
        <f t="shared" ca="1" si="13"/>
        <v>22.410462574408967</v>
      </c>
    </row>
    <row r="58" spans="1:34">
      <c r="A58" t="str">
        <f>CYF!A58</f>
        <v>Coffee</v>
      </c>
      <c r="B58" t="str">
        <f>CYF!B58</f>
        <v>AddisAbaba</v>
      </c>
      <c r="C58">
        <f t="shared" ca="1" si="12"/>
        <v>22.390802507832191</v>
      </c>
      <c r="D58">
        <f t="shared" ca="1" si="13"/>
        <v>22.158878458332453</v>
      </c>
      <c r="E58">
        <f t="shared" ca="1" si="13"/>
        <v>20.445841542416943</v>
      </c>
      <c r="F58">
        <f t="shared" ca="1" si="13"/>
        <v>23.675969189516923</v>
      </c>
      <c r="G58">
        <f t="shared" ca="1" si="13"/>
        <v>19.591008936813985</v>
      </c>
      <c r="H58">
        <f t="shared" ca="1" si="13"/>
        <v>22.451119047457912</v>
      </c>
      <c r="I58">
        <f t="shared" ca="1" si="13"/>
        <v>20.919791285965879</v>
      </c>
      <c r="J58">
        <f t="shared" ca="1" si="13"/>
        <v>22.266391200523877</v>
      </c>
      <c r="K58">
        <f t="shared" ca="1" si="13"/>
        <v>18.922704599471668</v>
      </c>
      <c r="L58">
        <f t="shared" ca="1" si="13"/>
        <v>22.841420475983984</v>
      </c>
      <c r="M58">
        <f t="shared" ca="1" si="13"/>
        <v>20.328356275397191</v>
      </c>
      <c r="N58">
        <f t="shared" ca="1" si="13"/>
        <v>23.622680720322045</v>
      </c>
      <c r="O58">
        <f t="shared" ca="1" si="13"/>
        <v>19.091886873316493</v>
      </c>
      <c r="P58">
        <f t="shared" ca="1" si="13"/>
        <v>24.636904462677997</v>
      </c>
      <c r="Q58">
        <f t="shared" ca="1" si="13"/>
        <v>18.726655405313412</v>
      </c>
      <c r="R58">
        <f t="shared" ca="1" si="13"/>
        <v>23.177076829162537</v>
      </c>
      <c r="S58">
        <f t="shared" ca="1" si="13"/>
        <v>21.568129572331571</v>
      </c>
      <c r="T58">
        <f t="shared" ca="1" si="13"/>
        <v>22.531741872519156</v>
      </c>
      <c r="U58">
        <f t="shared" ca="1" si="13"/>
        <v>19.379405372769533</v>
      </c>
      <c r="V58">
        <f t="shared" ca="1" si="13"/>
        <v>23.023812813707558</v>
      </c>
      <c r="W58">
        <f t="shared" ca="1" si="13"/>
        <v>20.129680055651811</v>
      </c>
      <c r="X58">
        <f t="shared" ca="1" si="13"/>
        <v>22.125505272511642</v>
      </c>
      <c r="Y58">
        <f t="shared" ca="1" si="13"/>
        <v>22.863600594647814</v>
      </c>
      <c r="Z58">
        <f t="shared" ca="1" si="13"/>
        <v>22.7278837525621</v>
      </c>
      <c r="AA58">
        <f t="shared" ca="1" si="13"/>
        <v>22.029243012765701</v>
      </c>
      <c r="AB58">
        <f t="shared" ca="1" si="13"/>
        <v>22.861613198414723</v>
      </c>
      <c r="AC58">
        <f t="shared" ca="1" si="13"/>
        <v>22.621102456090469</v>
      </c>
      <c r="AD58">
        <f t="shared" ca="1" si="13"/>
        <v>22.07458174514522</v>
      </c>
      <c r="AE58">
        <f t="shared" ca="1" si="13"/>
        <v>19.256323771050738</v>
      </c>
      <c r="AF58">
        <f t="shared" ca="1" si="13"/>
        <v>24.15258669120929</v>
      </c>
      <c r="AG58">
        <f t="shared" ca="1" si="13"/>
        <v>20.7424703218799</v>
      </c>
      <c r="AH58">
        <f t="shared" ca="1" si="13"/>
        <v>24.580290584957272</v>
      </c>
    </row>
    <row r="59" spans="1:34">
      <c r="A59" t="str">
        <f>CYF!A59</f>
        <v>Coffee</v>
      </c>
      <c r="B59" t="str">
        <f>CYF!B59</f>
        <v>Afar</v>
      </c>
      <c r="C59">
        <f t="shared" ca="1" si="12"/>
        <v>19.804417167386578</v>
      </c>
      <c r="D59">
        <f t="shared" ca="1" si="13"/>
        <v>23.96357477652095</v>
      </c>
      <c r="E59">
        <f t="shared" ca="1" si="13"/>
        <v>21.945370235005729</v>
      </c>
      <c r="F59">
        <f t="shared" ca="1" si="13"/>
        <v>24.252856702936672</v>
      </c>
      <c r="G59">
        <f t="shared" ca="1" si="13"/>
        <v>18.944440254241613</v>
      </c>
      <c r="H59">
        <f t="shared" ca="1" si="13"/>
        <v>23.818381966300844</v>
      </c>
      <c r="I59">
        <f t="shared" ca="1" si="13"/>
        <v>19.994234534343597</v>
      </c>
      <c r="J59">
        <f t="shared" ca="1" si="13"/>
        <v>23.202799762856479</v>
      </c>
      <c r="K59">
        <f t="shared" ca="1" si="13"/>
        <v>19.07648214845068</v>
      </c>
      <c r="L59">
        <f t="shared" ca="1" si="13"/>
        <v>23.637737976300905</v>
      </c>
      <c r="M59">
        <f t="shared" ca="1" si="13"/>
        <v>19.105593123400389</v>
      </c>
      <c r="N59">
        <f t="shared" ca="1" si="13"/>
        <v>23.484760339528997</v>
      </c>
      <c r="O59">
        <f t="shared" ca="1" si="13"/>
        <v>19.329995513348017</v>
      </c>
      <c r="P59">
        <f t="shared" ca="1" si="13"/>
        <v>23.689771947650254</v>
      </c>
      <c r="Q59">
        <f t="shared" ca="1" si="13"/>
        <v>20.117069827408628</v>
      </c>
      <c r="R59">
        <f t="shared" ca="1" si="13"/>
        <v>22.877551619415602</v>
      </c>
      <c r="S59">
        <f t="shared" ca="1" si="13"/>
        <v>18.921067936547949</v>
      </c>
      <c r="T59">
        <f t="shared" ca="1" si="13"/>
        <v>24.318554808224444</v>
      </c>
      <c r="U59">
        <f t="shared" ca="1" si="13"/>
        <v>21.57911083098416</v>
      </c>
      <c r="V59">
        <f t="shared" ca="1" si="13"/>
        <v>23.57204161285404</v>
      </c>
      <c r="W59">
        <f t="shared" ca="1" si="13"/>
        <v>21.998203927732543</v>
      </c>
      <c r="X59">
        <f t="shared" ca="1" si="13"/>
        <v>22.09877773379819</v>
      </c>
      <c r="Y59">
        <f t="shared" ca="1" si="13"/>
        <v>21.020419087776627</v>
      </c>
      <c r="Z59">
        <f t="shared" ca="1" si="13"/>
        <v>24.216182152553902</v>
      </c>
      <c r="AA59">
        <f t="shared" ca="1" si="13"/>
        <v>21.417037007557969</v>
      </c>
      <c r="AB59">
        <f t="shared" ca="1" si="13"/>
        <v>22.44358860569055</v>
      </c>
      <c r="AC59">
        <f t="shared" ca="1" si="13"/>
        <v>18.959257310123824</v>
      </c>
      <c r="AD59">
        <f t="shared" ca="1" si="13"/>
        <v>22.928304002240132</v>
      </c>
      <c r="AE59">
        <f t="shared" ca="1" si="13"/>
        <v>21.886933012125482</v>
      </c>
      <c r="AF59">
        <f t="shared" ca="1" si="13"/>
        <v>23.232862579844937</v>
      </c>
      <c r="AG59">
        <f t="shared" ca="1" si="13"/>
        <v>19.578005082046534</v>
      </c>
      <c r="AH59">
        <f t="shared" ca="1" si="13"/>
        <v>24.999655176417811</v>
      </c>
    </row>
    <row r="60" spans="1:34">
      <c r="A60" t="str">
        <f>CYF!A60</f>
        <v>Coffee</v>
      </c>
      <c r="B60" t="str">
        <f>CYF!B60</f>
        <v>Amhara</v>
      </c>
      <c r="C60">
        <f t="shared" ca="1" si="12"/>
        <v>18.513541319220071</v>
      </c>
      <c r="D60">
        <f t="shared" ca="1" si="13"/>
        <v>23.82452686718408</v>
      </c>
      <c r="E60">
        <f t="shared" ca="1" si="13"/>
        <v>20.038126402296431</v>
      </c>
      <c r="F60">
        <f t="shared" ca="1" si="13"/>
        <v>23.434966932722809</v>
      </c>
      <c r="G60">
        <f t="shared" ca="1" si="13"/>
        <v>19.888087056389551</v>
      </c>
      <c r="H60">
        <f t="shared" ca="1" si="13"/>
        <v>23.783018697077509</v>
      </c>
      <c r="I60">
        <f t="shared" ca="1" si="13"/>
        <v>19.104996428216023</v>
      </c>
      <c r="J60">
        <f t="shared" ca="1" si="13"/>
        <v>24.172159381487678</v>
      </c>
      <c r="K60">
        <f t="shared" ca="1" si="13"/>
        <v>21.323435764210672</v>
      </c>
      <c r="L60">
        <f t="shared" ca="1" si="13"/>
        <v>22.917782959086786</v>
      </c>
      <c r="M60">
        <f t="shared" ca="1" si="13"/>
        <v>20.464467714851487</v>
      </c>
      <c r="N60">
        <f t="shared" ca="1" si="13"/>
        <v>23.5404392641247</v>
      </c>
      <c r="O60">
        <f t="shared" ca="1" si="13"/>
        <v>22.705731105025876</v>
      </c>
      <c r="P60">
        <f t="shared" ca="1" si="13"/>
        <v>24.194575719255525</v>
      </c>
      <c r="Q60">
        <f t="shared" ca="1" si="13"/>
        <v>21.950524213359159</v>
      </c>
      <c r="R60">
        <f t="shared" ca="1" si="13"/>
        <v>24.303470504769493</v>
      </c>
      <c r="S60">
        <f t="shared" ca="1" si="13"/>
        <v>20.472449156520845</v>
      </c>
      <c r="T60">
        <f t="shared" ca="1" si="13"/>
        <v>24.734202830983435</v>
      </c>
      <c r="U60">
        <f t="shared" ca="1" si="13"/>
        <v>20.367128254430469</v>
      </c>
      <c r="V60">
        <f t="shared" ca="1" si="13"/>
        <v>22.159583640034185</v>
      </c>
      <c r="W60">
        <f t="shared" ca="1" si="13"/>
        <v>19.006763377626068</v>
      </c>
      <c r="X60">
        <f t="shared" ca="1" si="13"/>
        <v>23.630863375896727</v>
      </c>
      <c r="Y60">
        <f t="shared" ca="1" si="13"/>
        <v>19.884846160956904</v>
      </c>
      <c r="Z60">
        <f t="shared" ca="1" si="13"/>
        <v>22.297424040500417</v>
      </c>
      <c r="AA60">
        <f t="shared" ca="1" si="13"/>
        <v>20.215723128239269</v>
      </c>
      <c r="AB60">
        <f t="shared" ca="1" si="13"/>
        <v>24.510336446607166</v>
      </c>
      <c r="AC60">
        <f t="shared" ca="1" si="13"/>
        <v>21.512503179899795</v>
      </c>
      <c r="AD60">
        <f t="shared" ca="1" si="13"/>
        <v>22.265418713130323</v>
      </c>
      <c r="AE60">
        <f t="shared" ca="1" si="13"/>
        <v>22.292847879906191</v>
      </c>
      <c r="AF60">
        <f t="shared" ca="1" si="13"/>
        <v>23.395253958133285</v>
      </c>
      <c r="AG60">
        <f t="shared" ca="1" si="13"/>
        <v>22.769361571781445</v>
      </c>
      <c r="AH60">
        <f t="shared" ca="1" si="13"/>
        <v>23.98362317937541</v>
      </c>
    </row>
    <row r="61" spans="1:34">
      <c r="A61" t="str">
        <f>CYF!A61</f>
        <v>Coffee</v>
      </c>
      <c r="B61" t="str">
        <f>CYF!B61</f>
        <v>Gumuz</v>
      </c>
      <c r="C61">
        <f t="shared" ca="1" si="12"/>
        <v>21.998455338713249</v>
      </c>
      <c r="D61">
        <f t="shared" ca="1" si="13"/>
        <v>23.507990821039321</v>
      </c>
      <c r="E61">
        <f t="shared" ca="1" si="13"/>
        <v>19.831602008755162</v>
      </c>
      <c r="F61">
        <f t="shared" ca="1" si="13"/>
        <v>23.736559795178383</v>
      </c>
      <c r="G61">
        <f t="shared" ca="1" si="13"/>
        <v>20.015409627488097</v>
      </c>
      <c r="H61">
        <f t="shared" ca="1" si="13"/>
        <v>24.634707459314939</v>
      </c>
      <c r="I61">
        <f t="shared" ca="1" si="13"/>
        <v>21.085921858442873</v>
      </c>
      <c r="J61">
        <f t="shared" ca="1" si="13"/>
        <v>22.861147570958707</v>
      </c>
      <c r="K61">
        <f t="shared" ca="1" si="13"/>
        <v>21.707376263047848</v>
      </c>
      <c r="L61">
        <f t="shared" ca="1" si="13"/>
        <v>24.70550956791509</v>
      </c>
      <c r="M61">
        <f t="shared" ca="1" si="13"/>
        <v>21.780918788683643</v>
      </c>
      <c r="N61">
        <f t="shared" ca="1" si="13"/>
        <v>23.264129968712396</v>
      </c>
      <c r="O61">
        <f t="shared" ca="1" si="13"/>
        <v>18.904200747585136</v>
      </c>
      <c r="P61">
        <f t="shared" ca="1" si="13"/>
        <v>24.372977951001918</v>
      </c>
      <c r="Q61">
        <f t="shared" ca="1" si="13"/>
        <v>18.320469339168262</v>
      </c>
      <c r="R61">
        <f t="shared" ca="1" si="13"/>
        <v>24.771246272364522</v>
      </c>
      <c r="S61">
        <f t="shared" ca="1" si="13"/>
        <v>22.210495614092011</v>
      </c>
      <c r="T61">
        <f t="shared" ca="1" si="13"/>
        <v>23.979276532492083</v>
      </c>
      <c r="U61">
        <f t="shared" ca="1" si="13"/>
        <v>20.155625897019231</v>
      </c>
      <c r="V61">
        <f t="shared" ca="1" si="13"/>
        <v>24.38129536361788</v>
      </c>
      <c r="W61">
        <f t="shared" ca="1" si="13"/>
        <v>20.884990493768925</v>
      </c>
      <c r="X61">
        <f t="shared" ca="1" si="13"/>
        <v>22.826720919648491</v>
      </c>
      <c r="Y61">
        <f t="shared" ca="1" si="13"/>
        <v>20.760754670211114</v>
      </c>
      <c r="Z61">
        <f t="shared" ca="1" si="13"/>
        <v>22.792221183384118</v>
      </c>
      <c r="AA61">
        <f t="shared" ca="1" si="13"/>
        <v>18.686104830106654</v>
      </c>
      <c r="AB61">
        <f t="shared" ca="1" si="13"/>
        <v>24.708790820150622</v>
      </c>
      <c r="AC61">
        <f t="shared" ca="1" si="13"/>
        <v>22.491674877659293</v>
      </c>
      <c r="AD61">
        <f t="shared" ca="1" si="13"/>
        <v>22.680844353338752</v>
      </c>
      <c r="AE61">
        <f t="shared" ca="1" si="13"/>
        <v>22.939663094957595</v>
      </c>
      <c r="AF61">
        <f t="shared" ca="1" si="13"/>
        <v>22.968292623202139</v>
      </c>
      <c r="AG61">
        <f t="shared" ca="1" si="13"/>
        <v>19.527059576138459</v>
      </c>
      <c r="AH61">
        <f t="shared" ca="1" si="13"/>
        <v>23.410363212438</v>
      </c>
    </row>
    <row r="62" spans="1:34">
      <c r="A62" t="str">
        <f>CYF!A62</f>
        <v>Coffee</v>
      </c>
      <c r="B62" t="str">
        <f>CYF!B62</f>
        <v>DireDawa</v>
      </c>
      <c r="C62">
        <f t="shared" ca="1" si="12"/>
        <v>18.108491975870582</v>
      </c>
      <c r="D62">
        <f t="shared" ca="1" si="13"/>
        <v>24.928147150850524</v>
      </c>
      <c r="E62">
        <f t="shared" ca="1" si="13"/>
        <v>20.770039042094648</v>
      </c>
      <c r="F62">
        <f t="shared" ca="1" si="13"/>
        <v>24.918484607622478</v>
      </c>
      <c r="G62">
        <f t="shared" ca="1" si="13"/>
        <v>21.852257435100821</v>
      </c>
      <c r="H62">
        <f t="shared" ca="1" si="13"/>
        <v>23.664191719665538</v>
      </c>
      <c r="I62">
        <f t="shared" ca="1" si="13"/>
        <v>22.99098320118086</v>
      </c>
      <c r="J62">
        <f t="shared" ref="J62:Y68" ca="1" si="14">IF(1-MOD(COLUMN(),2),25-RAND()*3,(18+RAND()*5))</f>
        <v>22.546770115686911</v>
      </c>
      <c r="K62">
        <f t="shared" ca="1" si="14"/>
        <v>22.026329847706545</v>
      </c>
      <c r="L62">
        <f t="shared" ca="1" si="14"/>
        <v>22.406162575012619</v>
      </c>
      <c r="M62">
        <f t="shared" ca="1" si="14"/>
        <v>19.424363454592591</v>
      </c>
      <c r="N62">
        <f t="shared" ca="1" si="14"/>
        <v>23.353245421757904</v>
      </c>
      <c r="O62">
        <f t="shared" ca="1" si="14"/>
        <v>22.682041158304635</v>
      </c>
      <c r="P62">
        <f t="shared" ca="1" si="14"/>
        <v>22.05952396367119</v>
      </c>
      <c r="Q62">
        <f t="shared" ca="1" si="14"/>
        <v>18.365828655965647</v>
      </c>
      <c r="R62">
        <f t="shared" ca="1" si="14"/>
        <v>22.827295337105273</v>
      </c>
      <c r="S62">
        <f t="shared" ca="1" si="14"/>
        <v>21.72117911444527</v>
      </c>
      <c r="T62">
        <f t="shared" ca="1" si="14"/>
        <v>22.168460287078638</v>
      </c>
      <c r="U62">
        <f t="shared" ca="1" si="14"/>
        <v>18.786159653095552</v>
      </c>
      <c r="V62">
        <f t="shared" ca="1" si="14"/>
        <v>23.708181847532757</v>
      </c>
      <c r="W62">
        <f t="shared" ca="1" si="14"/>
        <v>20.352874893588744</v>
      </c>
      <c r="X62">
        <f t="shared" ca="1" si="14"/>
        <v>22.890706192644821</v>
      </c>
      <c r="Y62">
        <f t="shared" ca="1" si="14"/>
        <v>20.494439890478386</v>
      </c>
      <c r="Z62">
        <f t="shared" ref="Z62:AH68" ca="1" si="15">IF(1-MOD(COLUMN(),2),25-RAND()*3,(18+RAND()*5))</f>
        <v>24.508840030976049</v>
      </c>
      <c r="AA62">
        <f t="shared" ca="1" si="15"/>
        <v>20.441097526219632</v>
      </c>
      <c r="AB62">
        <f t="shared" ca="1" si="15"/>
        <v>24.344203645996959</v>
      </c>
      <c r="AC62">
        <f t="shared" ca="1" si="15"/>
        <v>18.135312550963217</v>
      </c>
      <c r="AD62">
        <f t="shared" ca="1" si="15"/>
        <v>22.252956211505648</v>
      </c>
      <c r="AE62">
        <f t="shared" ca="1" si="15"/>
        <v>22.412030926054079</v>
      </c>
      <c r="AF62">
        <f t="shared" ca="1" si="15"/>
        <v>23.486471719054823</v>
      </c>
      <c r="AG62">
        <f t="shared" ca="1" si="15"/>
        <v>18.975271122913206</v>
      </c>
      <c r="AH62">
        <f t="shared" ca="1" si="15"/>
        <v>24.261837403501339</v>
      </c>
    </row>
    <row r="63" spans="1:34">
      <c r="A63" t="str">
        <f>CYF!A63</f>
        <v>Coffee</v>
      </c>
      <c r="B63" t="str">
        <f>CYF!B63</f>
        <v>Gambela</v>
      </c>
      <c r="C63">
        <f t="shared" ca="1" si="12"/>
        <v>21.186494317725757</v>
      </c>
      <c r="D63">
        <f t="shared" ca="1" si="12"/>
        <v>22.764204257028538</v>
      </c>
      <c r="E63">
        <f t="shared" ca="1" si="12"/>
        <v>19.487730722507088</v>
      </c>
      <c r="F63">
        <f t="shared" ca="1" si="12"/>
        <v>24.291095657261415</v>
      </c>
      <c r="G63">
        <f t="shared" ca="1" si="12"/>
        <v>18.77653362054788</v>
      </c>
      <c r="H63">
        <f t="shared" ca="1" si="12"/>
        <v>23.728907939976938</v>
      </c>
      <c r="I63">
        <f t="shared" ref="I63:X68" ca="1" si="16">IF(1-MOD(COLUMN(),2),25-RAND()*3,(18+RAND()*5))</f>
        <v>20.946807831954526</v>
      </c>
      <c r="J63">
        <f t="shared" ca="1" si="16"/>
        <v>24.124236135811397</v>
      </c>
      <c r="K63">
        <f t="shared" ca="1" si="16"/>
        <v>21.581507266202955</v>
      </c>
      <c r="L63">
        <f t="shared" ca="1" si="16"/>
        <v>22.978577275047556</v>
      </c>
      <c r="M63">
        <f t="shared" ca="1" si="16"/>
        <v>18.275210929055088</v>
      </c>
      <c r="N63">
        <f t="shared" ca="1" si="16"/>
        <v>23.25478421271194</v>
      </c>
      <c r="O63">
        <f t="shared" ca="1" si="16"/>
        <v>20.351756795746137</v>
      </c>
      <c r="P63">
        <f t="shared" ca="1" si="16"/>
        <v>23.841970629711437</v>
      </c>
      <c r="Q63">
        <f t="shared" ca="1" si="16"/>
        <v>21.979591127171975</v>
      </c>
      <c r="R63">
        <f t="shared" ca="1" si="16"/>
        <v>22.941351670694424</v>
      </c>
      <c r="S63">
        <f t="shared" ca="1" si="16"/>
        <v>22.542343858414153</v>
      </c>
      <c r="T63">
        <f t="shared" ca="1" si="16"/>
        <v>23.638207599953823</v>
      </c>
      <c r="U63">
        <f t="shared" ca="1" si="16"/>
        <v>19.578604730571509</v>
      </c>
      <c r="V63">
        <f t="shared" ca="1" si="16"/>
        <v>24.394128635000985</v>
      </c>
      <c r="W63">
        <f t="shared" ca="1" si="16"/>
        <v>20.867315376229033</v>
      </c>
      <c r="X63">
        <f t="shared" ca="1" si="16"/>
        <v>23.518110762972764</v>
      </c>
      <c r="Y63">
        <f t="shared" ca="1" si="14"/>
        <v>20.432324929563055</v>
      </c>
      <c r="Z63">
        <f t="shared" ca="1" si="15"/>
        <v>24.133290578103331</v>
      </c>
      <c r="AA63">
        <f t="shared" ca="1" si="15"/>
        <v>18.141121854933751</v>
      </c>
      <c r="AB63">
        <f t="shared" ca="1" si="15"/>
        <v>24.694455672272106</v>
      </c>
      <c r="AC63">
        <f t="shared" ca="1" si="15"/>
        <v>18.491949269631263</v>
      </c>
      <c r="AD63">
        <f t="shared" ca="1" si="15"/>
        <v>22.560859842085307</v>
      </c>
      <c r="AE63">
        <f t="shared" ca="1" si="15"/>
        <v>21.746648083251532</v>
      </c>
      <c r="AF63">
        <f t="shared" ca="1" si="15"/>
        <v>23.790802818097841</v>
      </c>
      <c r="AG63">
        <f t="shared" ca="1" si="15"/>
        <v>18.353783945788756</v>
      </c>
      <c r="AH63">
        <f t="shared" ca="1" si="15"/>
        <v>24.245659094713616</v>
      </c>
    </row>
    <row r="64" spans="1:34">
      <c r="A64" t="str">
        <f>CYF!A64</f>
        <v>Coffee</v>
      </c>
      <c r="B64" t="str">
        <f>CYF!B64</f>
        <v>Harari</v>
      </c>
      <c r="C64">
        <f t="shared" ref="C64:R68" ca="1" si="17">IF(1-MOD(COLUMN(),2),25-RAND()*3,(18+RAND()*5))</f>
        <v>19.378956174903557</v>
      </c>
      <c r="D64">
        <f t="shared" ca="1" si="17"/>
        <v>23.721976550499079</v>
      </c>
      <c r="E64">
        <f t="shared" ca="1" si="17"/>
        <v>21.003179606944357</v>
      </c>
      <c r="F64">
        <f t="shared" ca="1" si="17"/>
        <v>23.552462991930728</v>
      </c>
      <c r="G64">
        <f t="shared" ca="1" si="17"/>
        <v>20.861636851979942</v>
      </c>
      <c r="H64">
        <f t="shared" ca="1" si="17"/>
        <v>24.957855998825828</v>
      </c>
      <c r="I64">
        <f t="shared" ca="1" si="17"/>
        <v>18.445696907667408</v>
      </c>
      <c r="J64">
        <f t="shared" ca="1" si="17"/>
        <v>22.890233697317818</v>
      </c>
      <c r="K64">
        <f t="shared" ca="1" si="17"/>
        <v>22.393548829940002</v>
      </c>
      <c r="L64">
        <f t="shared" ca="1" si="17"/>
        <v>22.929939807078025</v>
      </c>
      <c r="M64">
        <f t="shared" ca="1" si="17"/>
        <v>22.890196431805641</v>
      </c>
      <c r="N64">
        <f t="shared" ca="1" si="17"/>
        <v>22.194187347267437</v>
      </c>
      <c r="O64">
        <f t="shared" ca="1" si="17"/>
        <v>18.949492361379914</v>
      </c>
      <c r="P64">
        <f t="shared" ca="1" si="17"/>
        <v>22.467083177100491</v>
      </c>
      <c r="Q64">
        <f t="shared" ca="1" si="17"/>
        <v>21.945314621131089</v>
      </c>
      <c r="R64">
        <f t="shared" ca="1" si="17"/>
        <v>22.528830330338259</v>
      </c>
      <c r="S64">
        <f t="shared" ca="1" si="16"/>
        <v>19.18319244022798</v>
      </c>
      <c r="T64">
        <f t="shared" ca="1" si="16"/>
        <v>24.86434091456772</v>
      </c>
      <c r="U64">
        <f t="shared" ca="1" si="16"/>
        <v>19.439060819242844</v>
      </c>
      <c r="V64">
        <f t="shared" ca="1" si="16"/>
        <v>23.424234346337393</v>
      </c>
      <c r="W64">
        <f t="shared" ca="1" si="16"/>
        <v>21.489026949117882</v>
      </c>
      <c r="X64">
        <f t="shared" ca="1" si="16"/>
        <v>22.285804562702737</v>
      </c>
      <c r="Y64">
        <f t="shared" ca="1" si="14"/>
        <v>19.388103204571113</v>
      </c>
      <c r="Z64">
        <f t="shared" ca="1" si="15"/>
        <v>23.384168761664419</v>
      </c>
      <c r="AA64">
        <f t="shared" ca="1" si="15"/>
        <v>22.485404850131708</v>
      </c>
      <c r="AB64">
        <f t="shared" ca="1" si="15"/>
        <v>24.920500958103094</v>
      </c>
      <c r="AC64">
        <f t="shared" ca="1" si="15"/>
        <v>20.336378312237677</v>
      </c>
      <c r="AD64">
        <f t="shared" ca="1" si="15"/>
        <v>23.766029186977324</v>
      </c>
      <c r="AE64">
        <f t="shared" ca="1" si="15"/>
        <v>18.846943514978147</v>
      </c>
      <c r="AF64">
        <f t="shared" ca="1" si="15"/>
        <v>23.393851383422398</v>
      </c>
      <c r="AG64">
        <f t="shared" ca="1" si="15"/>
        <v>21.706120502394775</v>
      </c>
      <c r="AH64">
        <f t="shared" ca="1" si="15"/>
        <v>23.078735809836374</v>
      </c>
    </row>
    <row r="65" spans="1:34">
      <c r="A65" t="str">
        <f>CYF!A65</f>
        <v>Coffee</v>
      </c>
      <c r="B65" t="str">
        <f>CYF!B65</f>
        <v>Oromia</v>
      </c>
      <c r="C65">
        <f t="shared" ca="1" si="17"/>
        <v>19.057177740432159</v>
      </c>
      <c r="D65">
        <f t="shared" ca="1" si="17"/>
        <v>24.580376562497019</v>
      </c>
      <c r="E65">
        <f t="shared" ca="1" si="17"/>
        <v>20.556433241181097</v>
      </c>
      <c r="F65">
        <f t="shared" ca="1" si="17"/>
        <v>24.130956049424157</v>
      </c>
      <c r="G65">
        <f t="shared" ca="1" si="17"/>
        <v>21.757462771714657</v>
      </c>
      <c r="H65">
        <f t="shared" ca="1" si="17"/>
        <v>24.153642245200949</v>
      </c>
      <c r="I65">
        <f t="shared" ca="1" si="17"/>
        <v>21.720273436983124</v>
      </c>
      <c r="J65">
        <f t="shared" ca="1" si="17"/>
        <v>24.71554276875969</v>
      </c>
      <c r="K65">
        <f t="shared" ca="1" si="17"/>
        <v>20.069218487695984</v>
      </c>
      <c r="L65">
        <f t="shared" ca="1" si="17"/>
        <v>23.88659620640648</v>
      </c>
      <c r="M65">
        <f t="shared" ca="1" si="17"/>
        <v>21.671707146963261</v>
      </c>
      <c r="N65">
        <f t="shared" ca="1" si="17"/>
        <v>24.448050321498702</v>
      </c>
      <c r="O65">
        <f t="shared" ca="1" si="17"/>
        <v>18.832365716435291</v>
      </c>
      <c r="P65">
        <f t="shared" ca="1" si="17"/>
        <v>22.484882733617784</v>
      </c>
      <c r="Q65">
        <f t="shared" ca="1" si="17"/>
        <v>20.719204077592025</v>
      </c>
      <c r="R65">
        <f t="shared" ca="1" si="17"/>
        <v>23.767175775913998</v>
      </c>
      <c r="S65">
        <f t="shared" ca="1" si="16"/>
        <v>19.25006834646679</v>
      </c>
      <c r="T65">
        <f t="shared" ca="1" si="16"/>
        <v>22.182917245623152</v>
      </c>
      <c r="U65">
        <f t="shared" ca="1" si="16"/>
        <v>19.298416130144997</v>
      </c>
      <c r="V65">
        <f t="shared" ca="1" si="16"/>
        <v>22.456425218658723</v>
      </c>
      <c r="W65">
        <f t="shared" ca="1" si="16"/>
        <v>19.282314358517283</v>
      </c>
      <c r="X65">
        <f t="shared" ca="1" si="16"/>
        <v>22.019718924589071</v>
      </c>
      <c r="Y65">
        <f t="shared" ca="1" si="14"/>
        <v>21.928566873308473</v>
      </c>
      <c r="Z65">
        <f t="shared" ca="1" si="15"/>
        <v>24.890083290798113</v>
      </c>
      <c r="AA65">
        <f t="shared" ca="1" si="15"/>
        <v>20.784007866315321</v>
      </c>
      <c r="AB65">
        <f t="shared" ca="1" si="15"/>
        <v>23.798212198878286</v>
      </c>
      <c r="AC65">
        <f t="shared" ca="1" si="15"/>
        <v>20.364370135342483</v>
      </c>
      <c r="AD65">
        <f t="shared" ca="1" si="15"/>
        <v>22.527911750303666</v>
      </c>
      <c r="AE65">
        <f t="shared" ca="1" si="15"/>
        <v>22.92234259818952</v>
      </c>
      <c r="AF65">
        <f t="shared" ca="1" si="15"/>
        <v>24.161422532163122</v>
      </c>
      <c r="AG65">
        <f t="shared" ca="1" si="15"/>
        <v>21.860176008418094</v>
      </c>
      <c r="AH65">
        <f t="shared" ca="1" si="15"/>
        <v>22.294670397884268</v>
      </c>
    </row>
    <row r="66" spans="1:34">
      <c r="A66" t="str">
        <f>CYF!A66</f>
        <v>Coffee</v>
      </c>
      <c r="B66" t="str">
        <f>CYF!B66</f>
        <v>Somali</v>
      </c>
      <c r="C66">
        <f t="shared" ca="1" si="17"/>
        <v>21.396285403617522</v>
      </c>
      <c r="D66">
        <f t="shared" ca="1" si="17"/>
        <v>23.011190086295731</v>
      </c>
      <c r="E66">
        <f t="shared" ca="1" si="17"/>
        <v>20.735527479027819</v>
      </c>
      <c r="F66">
        <f t="shared" ca="1" si="17"/>
        <v>24.678489142172481</v>
      </c>
      <c r="G66">
        <f t="shared" ca="1" si="17"/>
        <v>21.373578488137454</v>
      </c>
      <c r="H66">
        <f t="shared" ca="1" si="17"/>
        <v>24.773149089894861</v>
      </c>
      <c r="I66">
        <f t="shared" ca="1" si="17"/>
        <v>20.386127739094636</v>
      </c>
      <c r="J66">
        <f t="shared" ca="1" si="17"/>
        <v>24.937419635481856</v>
      </c>
      <c r="K66">
        <f t="shared" ca="1" si="17"/>
        <v>21.890921970688943</v>
      </c>
      <c r="L66">
        <f t="shared" ca="1" si="17"/>
        <v>22.666886318146428</v>
      </c>
      <c r="M66">
        <f t="shared" ca="1" si="17"/>
        <v>21.253704856853528</v>
      </c>
      <c r="N66">
        <f t="shared" ca="1" si="17"/>
        <v>23.916403512770284</v>
      </c>
      <c r="O66">
        <f t="shared" ca="1" si="17"/>
        <v>22.285289694478521</v>
      </c>
      <c r="P66">
        <f t="shared" ca="1" si="17"/>
        <v>22.566713825107534</v>
      </c>
      <c r="Q66">
        <f t="shared" ca="1" si="17"/>
        <v>20.733429097281807</v>
      </c>
      <c r="R66">
        <f t="shared" ca="1" si="17"/>
        <v>22.722497661372039</v>
      </c>
      <c r="S66">
        <f t="shared" ca="1" si="16"/>
        <v>19.123588052318848</v>
      </c>
      <c r="T66">
        <f t="shared" ca="1" si="16"/>
        <v>24.479796797099961</v>
      </c>
      <c r="U66">
        <f t="shared" ca="1" si="16"/>
        <v>22.094005206922354</v>
      </c>
      <c r="V66">
        <f t="shared" ca="1" si="16"/>
        <v>22.207561738511522</v>
      </c>
      <c r="W66">
        <f t="shared" ca="1" si="16"/>
        <v>22.491643780633847</v>
      </c>
      <c r="X66">
        <f t="shared" ca="1" si="16"/>
        <v>23.922105052872492</v>
      </c>
      <c r="Y66">
        <f t="shared" ca="1" si="14"/>
        <v>22.957532022412664</v>
      </c>
      <c r="Z66">
        <f t="shared" ca="1" si="15"/>
        <v>23.287628768209256</v>
      </c>
      <c r="AA66">
        <f t="shared" ca="1" si="15"/>
        <v>22.797617451882047</v>
      </c>
      <c r="AB66">
        <f t="shared" ca="1" si="15"/>
        <v>22.106573644289227</v>
      </c>
      <c r="AC66">
        <f t="shared" ca="1" si="15"/>
        <v>21.75588204691811</v>
      </c>
      <c r="AD66">
        <f t="shared" ca="1" si="15"/>
        <v>23.134883764309876</v>
      </c>
      <c r="AE66">
        <f t="shared" ca="1" si="15"/>
        <v>19.722519289830586</v>
      </c>
      <c r="AF66">
        <f t="shared" ca="1" si="15"/>
        <v>23.609241497552727</v>
      </c>
      <c r="AG66">
        <f t="shared" ca="1" si="15"/>
        <v>19.279415572786398</v>
      </c>
      <c r="AH66">
        <f t="shared" ca="1" si="15"/>
        <v>22.470152685214437</v>
      </c>
    </row>
    <row r="67" spans="1:34">
      <c r="A67" t="str">
        <f>CYF!A67</f>
        <v>Coffee</v>
      </c>
      <c r="B67" t="str">
        <f>CYF!B67</f>
        <v>SNNPR</v>
      </c>
      <c r="C67">
        <f t="shared" ca="1" si="17"/>
        <v>21.394839866183464</v>
      </c>
      <c r="D67">
        <f t="shared" ca="1" si="17"/>
        <v>24.371131569310528</v>
      </c>
      <c r="E67">
        <f t="shared" ca="1" si="17"/>
        <v>22.956609637304179</v>
      </c>
      <c r="F67">
        <f t="shared" ca="1" si="17"/>
        <v>22.940233266578968</v>
      </c>
      <c r="G67">
        <f t="shared" ca="1" si="17"/>
        <v>22.192651309768273</v>
      </c>
      <c r="H67">
        <f t="shared" ca="1" si="17"/>
        <v>22.646149547769173</v>
      </c>
      <c r="I67">
        <f t="shared" ca="1" si="17"/>
        <v>19.709198481274985</v>
      </c>
      <c r="J67">
        <f t="shared" ca="1" si="17"/>
        <v>23.481998932352678</v>
      </c>
      <c r="K67">
        <f t="shared" ca="1" si="17"/>
        <v>18.553002149402559</v>
      </c>
      <c r="L67">
        <f t="shared" ca="1" si="17"/>
        <v>24.140565200819129</v>
      </c>
      <c r="M67">
        <f t="shared" ca="1" si="17"/>
        <v>22.806150764671184</v>
      </c>
      <c r="N67">
        <f t="shared" ca="1" si="17"/>
        <v>23.149791000472309</v>
      </c>
      <c r="O67">
        <f t="shared" ca="1" si="17"/>
        <v>20.718834184479935</v>
      </c>
      <c r="P67">
        <f t="shared" ca="1" si="17"/>
        <v>24.777595634204999</v>
      </c>
      <c r="Q67">
        <f t="shared" ca="1" si="17"/>
        <v>19.595015445222206</v>
      </c>
      <c r="R67">
        <f t="shared" ca="1" si="17"/>
        <v>22.569746795316426</v>
      </c>
      <c r="S67">
        <f t="shared" ca="1" si="16"/>
        <v>20.153741796395966</v>
      </c>
      <c r="T67">
        <f t="shared" ca="1" si="16"/>
        <v>24.541759948084987</v>
      </c>
      <c r="U67">
        <f t="shared" ca="1" si="16"/>
        <v>20.177108344373167</v>
      </c>
      <c r="V67">
        <f t="shared" ca="1" si="16"/>
        <v>23.21937205898212</v>
      </c>
      <c r="W67">
        <f t="shared" ca="1" si="16"/>
        <v>20.056104434140803</v>
      </c>
      <c r="X67">
        <f t="shared" ca="1" si="16"/>
        <v>23.002204183287532</v>
      </c>
      <c r="Y67">
        <f t="shared" ca="1" si="14"/>
        <v>20.671907460855618</v>
      </c>
      <c r="Z67">
        <f t="shared" ca="1" si="15"/>
        <v>24.692164734174515</v>
      </c>
      <c r="AA67">
        <f t="shared" ca="1" si="15"/>
        <v>20.075751608971164</v>
      </c>
      <c r="AB67">
        <f t="shared" ca="1" si="15"/>
        <v>22.580976512013859</v>
      </c>
      <c r="AC67">
        <f t="shared" ca="1" si="15"/>
        <v>18.903965111602787</v>
      </c>
      <c r="AD67">
        <f t="shared" ca="1" si="15"/>
        <v>22.376140276980944</v>
      </c>
      <c r="AE67">
        <f t="shared" ca="1" si="15"/>
        <v>22.989868057189689</v>
      </c>
      <c r="AF67">
        <f t="shared" ca="1" si="15"/>
        <v>22.786260812573996</v>
      </c>
      <c r="AG67">
        <f t="shared" ca="1" si="15"/>
        <v>21.701168155402737</v>
      </c>
      <c r="AH67">
        <f t="shared" ca="1" si="15"/>
        <v>22.915328507700163</v>
      </c>
    </row>
    <row r="68" spans="1:34">
      <c r="A68" t="str">
        <f>CYF!A68</f>
        <v>Coffee</v>
      </c>
      <c r="B68" t="str">
        <f>CYF!B68</f>
        <v>Tigray</v>
      </c>
      <c r="C68">
        <f t="shared" ca="1" si="17"/>
        <v>21.870816795239691</v>
      </c>
      <c r="D68">
        <f t="shared" ca="1" si="17"/>
        <v>24.377559162786984</v>
      </c>
      <c r="E68">
        <f t="shared" ca="1" si="17"/>
        <v>20.116166381956969</v>
      </c>
      <c r="F68">
        <f t="shared" ca="1" si="17"/>
        <v>24.140807303545767</v>
      </c>
      <c r="G68">
        <f t="shared" ca="1" si="17"/>
        <v>22.315022921212645</v>
      </c>
      <c r="H68">
        <f t="shared" ca="1" si="17"/>
        <v>24.592407532585707</v>
      </c>
      <c r="I68">
        <f t="shared" ca="1" si="17"/>
        <v>19.573370966107664</v>
      </c>
      <c r="J68">
        <f t="shared" ca="1" si="17"/>
        <v>22.505019788810333</v>
      </c>
      <c r="K68">
        <f t="shared" ca="1" si="17"/>
        <v>21.454941302687075</v>
      </c>
      <c r="L68">
        <f t="shared" ca="1" si="17"/>
        <v>24.125065299419212</v>
      </c>
      <c r="M68">
        <f t="shared" ca="1" si="17"/>
        <v>19.690506196836388</v>
      </c>
      <c r="N68">
        <f t="shared" ca="1" si="17"/>
        <v>23.458197686669017</v>
      </c>
      <c r="O68">
        <f t="shared" ca="1" si="17"/>
        <v>21.084907904313475</v>
      </c>
      <c r="P68">
        <f t="shared" ca="1" si="17"/>
        <v>24.53675051600792</v>
      </c>
      <c r="Q68">
        <f t="shared" ca="1" si="17"/>
        <v>21.932283884972449</v>
      </c>
      <c r="R68">
        <f t="shared" ca="1" si="17"/>
        <v>22.584349768795573</v>
      </c>
      <c r="S68">
        <f t="shared" ca="1" si="16"/>
        <v>22.45062919578551</v>
      </c>
      <c r="T68">
        <f t="shared" ca="1" si="16"/>
        <v>23.118730833970677</v>
      </c>
      <c r="U68">
        <f t="shared" ca="1" si="16"/>
        <v>21.658587054375342</v>
      </c>
      <c r="V68">
        <f t="shared" ca="1" si="16"/>
        <v>22.964333327707873</v>
      </c>
      <c r="W68">
        <f t="shared" ca="1" si="16"/>
        <v>18.512277605782966</v>
      </c>
      <c r="X68">
        <f t="shared" ca="1" si="16"/>
        <v>24.146980434892878</v>
      </c>
      <c r="Y68">
        <f t="shared" ca="1" si="14"/>
        <v>19.33800564814193</v>
      </c>
      <c r="Z68">
        <f t="shared" ca="1" si="15"/>
        <v>24.096555834989225</v>
      </c>
      <c r="AA68">
        <f t="shared" ca="1" si="15"/>
        <v>18.719323017969579</v>
      </c>
      <c r="AB68">
        <f t="shared" ca="1" si="15"/>
        <v>24.67298536085222</v>
      </c>
      <c r="AC68">
        <f t="shared" ca="1" si="15"/>
        <v>22.113038881063659</v>
      </c>
      <c r="AD68">
        <f t="shared" ca="1" si="15"/>
        <v>23.955478487593048</v>
      </c>
      <c r="AE68">
        <f t="shared" ca="1" si="15"/>
        <v>20.433474803499891</v>
      </c>
      <c r="AF68">
        <f t="shared" ca="1" si="15"/>
        <v>23.214620570006414</v>
      </c>
      <c r="AG68">
        <f t="shared" ca="1" si="15"/>
        <v>18.456657561196621</v>
      </c>
      <c r="AH68">
        <f t="shared" ca="1" si="15"/>
        <v>22.102702749047332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1000</v>
      </c>
      <c r="C102">
        <v>1000</v>
      </c>
      <c r="D102">
        <v>1000</v>
      </c>
      <c r="E102">
        <v>1000</v>
      </c>
      <c r="F102">
        <v>1000</v>
      </c>
      <c r="G102">
        <v>1000</v>
      </c>
      <c r="H102">
        <v>1000</v>
      </c>
      <c r="I102">
        <v>1000</v>
      </c>
      <c r="J102">
        <v>1000</v>
      </c>
      <c r="K102">
        <v>1000</v>
      </c>
      <c r="L102">
        <v>1000</v>
      </c>
      <c r="M102">
        <v>1000</v>
      </c>
      <c r="N102">
        <v>1000</v>
      </c>
      <c r="O102">
        <v>1000</v>
      </c>
      <c r="P102">
        <v>1000</v>
      </c>
      <c r="Q102">
        <v>1000</v>
      </c>
    </row>
    <row r="103" spans="1:17">
      <c r="A103" t="str">
        <v>Afar</v>
      </c>
      <c r="B103">
        <v>1000</v>
      </c>
      <c r="C103">
        <v>1000</v>
      </c>
      <c r="D103">
        <v>1000</v>
      </c>
      <c r="E103">
        <v>1000</v>
      </c>
      <c r="F103">
        <v>1000</v>
      </c>
      <c r="G103">
        <v>1000</v>
      </c>
      <c r="H103">
        <v>1000</v>
      </c>
      <c r="I103">
        <v>1000</v>
      </c>
      <c r="J103">
        <v>1000</v>
      </c>
      <c r="K103">
        <v>1000</v>
      </c>
      <c r="L103">
        <v>1000</v>
      </c>
      <c r="M103">
        <v>1000</v>
      </c>
      <c r="N103">
        <v>1000</v>
      </c>
      <c r="O103">
        <v>1000</v>
      </c>
      <c r="P103">
        <v>1000</v>
      </c>
      <c r="Q103">
        <v>1000</v>
      </c>
    </row>
    <row r="104" spans="1:17">
      <c r="A104" t="str">
        <v>Amhara</v>
      </c>
      <c r="B104">
        <v>1000</v>
      </c>
      <c r="C104">
        <v>1000</v>
      </c>
      <c r="D104">
        <v>1000</v>
      </c>
      <c r="E104">
        <v>1000</v>
      </c>
      <c r="F104">
        <v>1000</v>
      </c>
      <c r="G104">
        <v>1000</v>
      </c>
      <c r="H104">
        <v>1000</v>
      </c>
      <c r="I104">
        <v>1000</v>
      </c>
      <c r="J104">
        <v>1000</v>
      </c>
      <c r="K104">
        <v>1000</v>
      </c>
      <c r="L104">
        <v>1000</v>
      </c>
      <c r="M104">
        <v>1000</v>
      </c>
      <c r="N104">
        <v>1000</v>
      </c>
      <c r="O104">
        <v>1000</v>
      </c>
      <c r="P104">
        <v>1000</v>
      </c>
      <c r="Q104">
        <v>1000</v>
      </c>
    </row>
    <row r="105" spans="1:17">
      <c r="A105" t="str">
        <v>Gumuz</v>
      </c>
      <c r="B105">
        <v>1000</v>
      </c>
      <c r="C105">
        <v>1000</v>
      </c>
      <c r="D105">
        <v>1000</v>
      </c>
      <c r="E105">
        <v>1000</v>
      </c>
      <c r="F105">
        <v>1000</v>
      </c>
      <c r="G105">
        <v>1000</v>
      </c>
      <c r="H105">
        <v>1000</v>
      </c>
      <c r="I105">
        <v>1000</v>
      </c>
      <c r="J105">
        <v>1000</v>
      </c>
      <c r="K105">
        <v>1000</v>
      </c>
      <c r="L105">
        <v>1000</v>
      </c>
      <c r="M105">
        <v>1000</v>
      </c>
      <c r="N105">
        <v>1000</v>
      </c>
      <c r="O105">
        <v>1000</v>
      </c>
      <c r="P105">
        <v>1000</v>
      </c>
      <c r="Q105">
        <v>1000</v>
      </c>
    </row>
    <row r="106" spans="1:17">
      <c r="A106" t="str">
        <v>DireDawa</v>
      </c>
      <c r="B106">
        <v>1000</v>
      </c>
      <c r="C106">
        <v>1000</v>
      </c>
      <c r="D106">
        <v>1000</v>
      </c>
      <c r="E106">
        <v>1000</v>
      </c>
      <c r="F106">
        <v>1000</v>
      </c>
      <c r="G106">
        <v>1000</v>
      </c>
      <c r="H106">
        <v>1000</v>
      </c>
      <c r="I106">
        <v>1000</v>
      </c>
      <c r="J106">
        <v>1000</v>
      </c>
      <c r="K106">
        <v>1000</v>
      </c>
      <c r="L106">
        <v>1000</v>
      </c>
      <c r="M106">
        <v>1000</v>
      </c>
      <c r="N106">
        <v>1000</v>
      </c>
      <c r="O106">
        <v>1000</v>
      </c>
      <c r="P106">
        <v>1000</v>
      </c>
      <c r="Q106">
        <v>1000</v>
      </c>
    </row>
    <row r="107" spans="1:17">
      <c r="A107" t="str">
        <v>Gambela</v>
      </c>
      <c r="B107">
        <v>1000</v>
      </c>
      <c r="C107">
        <v>1000</v>
      </c>
      <c r="D107">
        <v>1000</v>
      </c>
      <c r="E107">
        <v>1000</v>
      </c>
      <c r="F107">
        <v>1000</v>
      </c>
      <c r="G107">
        <v>1000</v>
      </c>
      <c r="H107">
        <v>1000</v>
      </c>
      <c r="I107">
        <v>1000</v>
      </c>
      <c r="J107">
        <v>1000</v>
      </c>
      <c r="K107">
        <v>1000</v>
      </c>
      <c r="L107">
        <v>1000</v>
      </c>
      <c r="M107">
        <v>1000</v>
      </c>
      <c r="N107">
        <v>1000</v>
      </c>
      <c r="O107">
        <v>1000</v>
      </c>
      <c r="P107">
        <v>1000</v>
      </c>
      <c r="Q107">
        <v>1000</v>
      </c>
    </row>
    <row r="108" spans="1:17">
      <c r="A108" t="str">
        <v>Harari</v>
      </c>
      <c r="B108">
        <v>1000</v>
      </c>
      <c r="C108">
        <v>1000</v>
      </c>
      <c r="D108">
        <v>1000</v>
      </c>
      <c r="E108">
        <v>1000</v>
      </c>
      <c r="F108">
        <v>1000</v>
      </c>
      <c r="G108">
        <v>1000</v>
      </c>
      <c r="H108">
        <v>1000</v>
      </c>
      <c r="I108">
        <v>1000</v>
      </c>
      <c r="J108">
        <v>1000</v>
      </c>
      <c r="K108">
        <v>1000</v>
      </c>
      <c r="L108">
        <v>1000</v>
      </c>
      <c r="M108">
        <v>1000</v>
      </c>
      <c r="N108">
        <v>1000</v>
      </c>
      <c r="O108">
        <v>1000</v>
      </c>
      <c r="P108">
        <v>1000</v>
      </c>
      <c r="Q108">
        <v>1000</v>
      </c>
    </row>
    <row r="109" spans="1:17">
      <c r="A109" t="str">
        <v>Oromia</v>
      </c>
      <c r="B109">
        <v>1000</v>
      </c>
      <c r="C109">
        <v>1000</v>
      </c>
      <c r="D109">
        <v>1000</v>
      </c>
      <c r="E109">
        <v>1000</v>
      </c>
      <c r="F109">
        <v>1000</v>
      </c>
      <c r="G109">
        <v>1000</v>
      </c>
      <c r="H109">
        <v>1000</v>
      </c>
      <c r="I109">
        <v>1000</v>
      </c>
      <c r="J109">
        <v>1000</v>
      </c>
      <c r="K109">
        <v>1000</v>
      </c>
      <c r="L109">
        <v>1000</v>
      </c>
      <c r="M109">
        <v>1000</v>
      </c>
      <c r="N109">
        <v>1000</v>
      </c>
      <c r="O109">
        <v>1000</v>
      </c>
      <c r="P109">
        <v>1000</v>
      </c>
      <c r="Q109">
        <v>1000</v>
      </c>
    </row>
    <row r="110" spans="1:17">
      <c r="A110" t="str">
        <v>Somali</v>
      </c>
      <c r="B110">
        <v>1000</v>
      </c>
      <c r="C110">
        <v>1000</v>
      </c>
      <c r="D110">
        <v>1000</v>
      </c>
      <c r="E110">
        <v>1000</v>
      </c>
      <c r="F110">
        <v>1000</v>
      </c>
      <c r="G110">
        <v>1000</v>
      </c>
      <c r="H110">
        <v>1000</v>
      </c>
      <c r="I110">
        <v>1000</v>
      </c>
      <c r="J110">
        <v>1000</v>
      </c>
      <c r="K110">
        <v>1000</v>
      </c>
      <c r="L110">
        <v>1000</v>
      </c>
      <c r="M110">
        <v>1000</v>
      </c>
      <c r="N110">
        <v>1000</v>
      </c>
      <c r="O110">
        <v>1000</v>
      </c>
      <c r="P110">
        <v>1000</v>
      </c>
      <c r="Q110">
        <v>1000</v>
      </c>
    </row>
    <row r="111" spans="1:17">
      <c r="A111" t="str">
        <v>SNNPR</v>
      </c>
      <c r="B111">
        <v>1000</v>
      </c>
      <c r="C111">
        <v>1000</v>
      </c>
      <c r="D111">
        <v>1000</v>
      </c>
      <c r="E111">
        <v>1000</v>
      </c>
      <c r="F111">
        <v>1000</v>
      </c>
      <c r="G111">
        <v>1000</v>
      </c>
      <c r="H111">
        <v>1000</v>
      </c>
      <c r="I111">
        <v>1000</v>
      </c>
      <c r="J111">
        <v>1000</v>
      </c>
      <c r="K111">
        <v>1000</v>
      </c>
      <c r="L111">
        <v>1000</v>
      </c>
      <c r="M111">
        <v>1000</v>
      </c>
      <c r="N111">
        <v>1000</v>
      </c>
      <c r="O111">
        <v>1000</v>
      </c>
      <c r="P111">
        <v>1000</v>
      </c>
      <c r="Q111">
        <v>1000</v>
      </c>
    </row>
    <row r="112" spans="1:17">
      <c r="A112" t="str">
        <v>Tigray</v>
      </c>
      <c r="B112">
        <v>1000</v>
      </c>
      <c r="C112">
        <v>1000</v>
      </c>
      <c r="D112">
        <v>1000</v>
      </c>
      <c r="E112">
        <v>1000</v>
      </c>
      <c r="F112">
        <v>1000</v>
      </c>
      <c r="G112">
        <v>1000</v>
      </c>
      <c r="H112">
        <v>1000</v>
      </c>
      <c r="I112">
        <v>1000</v>
      </c>
      <c r="J112">
        <v>1000</v>
      </c>
      <c r="K112">
        <v>1000</v>
      </c>
      <c r="L112">
        <v>1000</v>
      </c>
      <c r="M112">
        <v>1000</v>
      </c>
      <c r="N112">
        <v>1000</v>
      </c>
      <c r="O112">
        <v>1000</v>
      </c>
      <c r="P112">
        <v>1000</v>
      </c>
      <c r="Q112">
        <v>1000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>
      <c r="A123" t="str">
        <v>Afar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>
      <c r="A124" t="str">
        <v>Amhara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>
      <c r="A125" t="str">
        <v>Gumuz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>
      <c r="A126" t="str">
        <v>DireDawa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>
      <c r="A127" t="str">
        <v>Gambela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>
      <c r="A128" t="str">
        <v>Harari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>
      <c r="A129" t="str">
        <v>Oromia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>
      <c r="A130" t="str">
        <v>Somali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>
      <c r="A131" t="str">
        <v>SNNPR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>
      <c r="A132" t="str">
        <v>Tigray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41" spans="1:17">
      <c r="A141" t="str">
        <f t="array" ref="A141:A151">Nodes</f>
        <v>AddisAbaba</v>
      </c>
      <c r="B141" s="3">
        <v>120</v>
      </c>
    </row>
    <row r="142" spans="1:17">
      <c r="A142" t="str">
        <v>Afar</v>
      </c>
      <c r="B142" s="3">
        <v>100</v>
      </c>
    </row>
    <row r="143" spans="1:17">
      <c r="A143" t="str">
        <v>Amhara</v>
      </c>
      <c r="B143" s="3">
        <v>100</v>
      </c>
    </row>
    <row r="144" spans="1:17">
      <c r="A144" t="str">
        <v>Gumuz</v>
      </c>
      <c r="B144" s="3">
        <v>100</v>
      </c>
    </row>
    <row r="145" spans="1:2">
      <c r="A145" t="str">
        <v>DireDawa</v>
      </c>
      <c r="B145" s="3">
        <v>100</v>
      </c>
    </row>
    <row r="146" spans="1:2">
      <c r="A146" t="str">
        <v>Gambela</v>
      </c>
      <c r="B146" s="3">
        <v>100</v>
      </c>
    </row>
    <row r="147" spans="1:2">
      <c r="A147" t="str">
        <v>Harari</v>
      </c>
      <c r="B147" s="3">
        <v>100</v>
      </c>
    </row>
    <row r="148" spans="1:2">
      <c r="A148" t="str">
        <v>Oromia</v>
      </c>
      <c r="B148" s="3">
        <v>100</v>
      </c>
    </row>
    <row r="149" spans="1:2">
      <c r="A149" t="str">
        <v>Somali</v>
      </c>
      <c r="B149" s="3">
        <v>100</v>
      </c>
    </row>
    <row r="150" spans="1:2">
      <c r="A150" t="str">
        <v>SNNPR</v>
      </c>
      <c r="B150" s="3">
        <v>100</v>
      </c>
    </row>
    <row r="151" spans="1:2">
      <c r="A151" t="str">
        <v>Tigray</v>
      </c>
      <c r="B151" s="3">
        <v>100</v>
      </c>
    </row>
    <row r="161" spans="1:7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</row>
    <row r="162" spans="1:7">
      <c r="A162" t="str">
        <f t="array" ref="A162:A172">Nodes</f>
        <v>AddisAbaba</v>
      </c>
      <c r="B162" s="2">
        <f>$B141*0.5</f>
        <v>60</v>
      </c>
      <c r="C162" s="2">
        <f>$B141*0.2</f>
        <v>24</v>
      </c>
      <c r="D162" s="2">
        <f>$B141*0.1</f>
        <v>12</v>
      </c>
      <c r="E162" s="2">
        <f>$B141*0.05</f>
        <v>6</v>
      </c>
      <c r="F162" s="2">
        <f>$B141*0.03</f>
        <v>3.5999999999999996</v>
      </c>
      <c r="G162" s="2">
        <f>$B141*0.03</f>
        <v>3.5999999999999996</v>
      </c>
    </row>
    <row r="163" spans="1:7">
      <c r="A163" t="str">
        <v>Afar</v>
      </c>
      <c r="B163" s="2">
        <f t="shared" ref="B163:B172" si="18">$B142*0.5</f>
        <v>50</v>
      </c>
      <c r="C163" s="2">
        <f t="shared" ref="C163:C172" si="19">$B142*0.2</f>
        <v>20</v>
      </c>
      <c r="D163" s="2">
        <f t="shared" ref="D163:D172" si="20">$B142*0.1</f>
        <v>10</v>
      </c>
      <c r="E163" s="2">
        <f t="shared" ref="E163:E172" si="21">$B142*0.05</f>
        <v>5</v>
      </c>
      <c r="F163" s="2">
        <f t="shared" ref="F163:G163" si="22">$B142*0.03</f>
        <v>3</v>
      </c>
      <c r="G163" s="2">
        <f t="shared" si="22"/>
        <v>3</v>
      </c>
    </row>
    <row r="164" spans="1:7">
      <c r="A164" t="str">
        <v>Amhara</v>
      </c>
      <c r="B164" s="2">
        <f t="shared" si="18"/>
        <v>50</v>
      </c>
      <c r="C164" s="2">
        <f t="shared" si="19"/>
        <v>20</v>
      </c>
      <c r="D164" s="2">
        <f t="shared" si="20"/>
        <v>10</v>
      </c>
      <c r="E164" s="2">
        <f t="shared" si="21"/>
        <v>5</v>
      </c>
      <c r="F164" s="2">
        <f t="shared" ref="F164:G164" si="23">$B143*0.03</f>
        <v>3</v>
      </c>
      <c r="G164" s="2">
        <f t="shared" si="23"/>
        <v>3</v>
      </c>
    </row>
    <row r="165" spans="1:7">
      <c r="A165" t="str">
        <v>Gumuz</v>
      </c>
      <c r="B165" s="2">
        <f t="shared" si="18"/>
        <v>50</v>
      </c>
      <c r="C165" s="2">
        <f t="shared" si="19"/>
        <v>20</v>
      </c>
      <c r="D165" s="2">
        <f t="shared" si="20"/>
        <v>10</v>
      </c>
      <c r="E165" s="2">
        <f t="shared" si="21"/>
        <v>5</v>
      </c>
      <c r="F165" s="2">
        <f t="shared" ref="F165:G165" si="24">$B144*0.03</f>
        <v>3</v>
      </c>
      <c r="G165" s="2">
        <f t="shared" si="24"/>
        <v>3</v>
      </c>
    </row>
    <row r="166" spans="1:7">
      <c r="A166" t="str">
        <v>DireDawa</v>
      </c>
      <c r="B166" s="2">
        <f t="shared" si="18"/>
        <v>50</v>
      </c>
      <c r="C166" s="2">
        <f t="shared" si="19"/>
        <v>20</v>
      </c>
      <c r="D166" s="2">
        <f t="shared" si="20"/>
        <v>10</v>
      </c>
      <c r="E166" s="2">
        <f t="shared" si="21"/>
        <v>5</v>
      </c>
      <c r="F166" s="2">
        <f t="shared" ref="F166:G166" si="25">$B145*0.03</f>
        <v>3</v>
      </c>
      <c r="G166" s="2">
        <f t="shared" si="25"/>
        <v>3</v>
      </c>
    </row>
    <row r="167" spans="1:7">
      <c r="A167" t="str">
        <v>Gambela</v>
      </c>
      <c r="B167" s="2">
        <f t="shared" si="18"/>
        <v>50</v>
      </c>
      <c r="C167" s="2">
        <f t="shared" si="19"/>
        <v>20</v>
      </c>
      <c r="D167" s="2">
        <f t="shared" si="20"/>
        <v>10</v>
      </c>
      <c r="E167" s="2">
        <f t="shared" si="21"/>
        <v>5</v>
      </c>
      <c r="F167" s="2">
        <f t="shared" ref="F167:G167" si="26">$B146*0.03</f>
        <v>3</v>
      </c>
      <c r="G167" s="2">
        <f t="shared" si="26"/>
        <v>3</v>
      </c>
    </row>
    <row r="168" spans="1:7">
      <c r="A168" t="str">
        <v>Harari</v>
      </c>
      <c r="B168" s="2">
        <f t="shared" si="18"/>
        <v>50</v>
      </c>
      <c r="C168" s="2">
        <f t="shared" si="19"/>
        <v>20</v>
      </c>
      <c r="D168" s="2">
        <f t="shared" si="20"/>
        <v>10</v>
      </c>
      <c r="E168" s="2">
        <f t="shared" si="21"/>
        <v>5</v>
      </c>
      <c r="F168" s="2">
        <f t="shared" ref="F168:G168" si="27">$B147*0.03</f>
        <v>3</v>
      </c>
      <c r="G168" s="2">
        <f t="shared" si="27"/>
        <v>3</v>
      </c>
    </row>
    <row r="169" spans="1:7">
      <c r="A169" t="str">
        <v>Oromia</v>
      </c>
      <c r="B169" s="2">
        <f t="shared" si="18"/>
        <v>50</v>
      </c>
      <c r="C169" s="2">
        <f t="shared" si="19"/>
        <v>20</v>
      </c>
      <c r="D169" s="2">
        <f t="shared" si="20"/>
        <v>10</v>
      </c>
      <c r="E169" s="2">
        <f t="shared" si="21"/>
        <v>5</v>
      </c>
      <c r="F169" s="2">
        <f t="shared" ref="F169:G169" si="28">$B148*0.03</f>
        <v>3</v>
      </c>
      <c r="G169" s="2">
        <f t="shared" si="28"/>
        <v>3</v>
      </c>
    </row>
    <row r="170" spans="1:7">
      <c r="A170" t="str">
        <v>Somali</v>
      </c>
      <c r="B170" s="2">
        <f t="shared" si="18"/>
        <v>50</v>
      </c>
      <c r="C170" s="2">
        <f t="shared" si="19"/>
        <v>20</v>
      </c>
      <c r="D170" s="2">
        <f t="shared" si="20"/>
        <v>10</v>
      </c>
      <c r="E170" s="2">
        <f t="shared" si="21"/>
        <v>5</v>
      </c>
      <c r="F170" s="2">
        <f t="shared" ref="F170:G170" si="29">$B149*0.03</f>
        <v>3</v>
      </c>
      <c r="G170" s="2">
        <f t="shared" si="29"/>
        <v>3</v>
      </c>
    </row>
    <row r="171" spans="1:7">
      <c r="A171" t="str">
        <v>SNNPR</v>
      </c>
      <c r="B171" s="2">
        <f t="shared" si="18"/>
        <v>50</v>
      </c>
      <c r="C171" s="2">
        <f t="shared" si="19"/>
        <v>20</v>
      </c>
      <c r="D171" s="2">
        <f t="shared" si="20"/>
        <v>10</v>
      </c>
      <c r="E171" s="2">
        <f t="shared" si="21"/>
        <v>5</v>
      </c>
      <c r="F171" s="2">
        <f t="shared" ref="F171:G171" si="30">$B150*0.03</f>
        <v>3</v>
      </c>
      <c r="G171" s="2">
        <f t="shared" si="30"/>
        <v>3</v>
      </c>
    </row>
    <row r="172" spans="1:7">
      <c r="A172" t="str">
        <v>Tigray</v>
      </c>
      <c r="B172" s="2">
        <f t="shared" si="18"/>
        <v>50</v>
      </c>
      <c r="C172" s="2">
        <f t="shared" si="19"/>
        <v>20</v>
      </c>
      <c r="D172" s="2">
        <f t="shared" si="20"/>
        <v>10</v>
      </c>
      <c r="E172" s="2">
        <f t="shared" si="21"/>
        <v>5</v>
      </c>
      <c r="F172" s="2">
        <f t="shared" ref="F172:G172" si="31">$B151*0.03</f>
        <v>3</v>
      </c>
      <c r="G172" s="2">
        <f t="shared" si="31"/>
        <v>3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1" sqref="C1:AH2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v>0.2</v>
      </c>
      <c r="D3" s="2">
        <v>0.2</v>
      </c>
      <c r="E3" s="2">
        <v>0.2</v>
      </c>
      <c r="F3" s="2">
        <v>0.2</v>
      </c>
      <c r="G3" s="2">
        <v>0.2</v>
      </c>
      <c r="H3" s="2">
        <v>0.2</v>
      </c>
      <c r="I3" s="2">
        <v>0.2</v>
      </c>
      <c r="J3" s="2">
        <v>0.2</v>
      </c>
      <c r="K3" s="2">
        <v>0.2</v>
      </c>
      <c r="L3" s="2">
        <v>0.2</v>
      </c>
      <c r="M3" s="2">
        <v>0.2</v>
      </c>
      <c r="N3" s="2">
        <v>0.2</v>
      </c>
      <c r="O3" s="2">
        <v>0.2</v>
      </c>
      <c r="P3" s="2">
        <v>0.2</v>
      </c>
      <c r="Q3" s="2">
        <v>0.2</v>
      </c>
      <c r="R3" s="2">
        <v>0.2</v>
      </c>
      <c r="S3" s="2">
        <v>0.2</v>
      </c>
      <c r="T3" s="2">
        <v>0.2</v>
      </c>
      <c r="U3" s="2">
        <v>0.2</v>
      </c>
      <c r="V3" s="2">
        <v>0.2</v>
      </c>
      <c r="W3" s="2">
        <v>0.2</v>
      </c>
      <c r="X3" s="2">
        <v>0.2</v>
      </c>
      <c r="Y3" s="2">
        <v>0.2</v>
      </c>
      <c r="Z3" s="2">
        <v>0.2</v>
      </c>
      <c r="AA3" s="2">
        <v>0.2</v>
      </c>
      <c r="AB3" s="2">
        <v>0.2</v>
      </c>
      <c r="AC3" s="2">
        <v>0.2</v>
      </c>
      <c r="AD3" s="2">
        <v>0.2</v>
      </c>
      <c r="AE3" s="2">
        <v>0.2</v>
      </c>
      <c r="AF3" s="2">
        <v>0.2</v>
      </c>
      <c r="AG3" s="2">
        <v>0.2</v>
      </c>
      <c r="AH3" s="2">
        <v>0.2</v>
      </c>
    </row>
    <row r="4" spans="1:34">
      <c r="A4" t="str">
        <f>sets!$H$3</f>
        <v>Teff</v>
      </c>
      <c r="B4" t="str">
        <v>Afar</v>
      </c>
      <c r="C4" s="2">
        <v>0.2</v>
      </c>
      <c r="D4" s="2">
        <v>0.2</v>
      </c>
      <c r="E4" s="2">
        <v>0.2</v>
      </c>
      <c r="F4" s="2">
        <v>0.2</v>
      </c>
      <c r="G4" s="2">
        <v>0.2</v>
      </c>
      <c r="H4" s="2">
        <v>0.2</v>
      </c>
      <c r="I4" s="2">
        <v>0.2</v>
      </c>
      <c r="J4" s="2">
        <v>0.2</v>
      </c>
      <c r="K4" s="2">
        <v>0.2</v>
      </c>
      <c r="L4" s="2">
        <v>0.2</v>
      </c>
      <c r="M4" s="2">
        <v>0.2</v>
      </c>
      <c r="N4" s="2">
        <v>0.2</v>
      </c>
      <c r="O4" s="2">
        <v>0.2</v>
      </c>
      <c r="P4" s="2">
        <v>0.2</v>
      </c>
      <c r="Q4" s="2">
        <v>0.2</v>
      </c>
      <c r="R4" s="2">
        <v>0.2</v>
      </c>
      <c r="S4" s="2">
        <v>0.2</v>
      </c>
      <c r="T4" s="2">
        <v>0.2</v>
      </c>
      <c r="U4" s="2">
        <v>0.2</v>
      </c>
      <c r="V4" s="2">
        <v>0.2</v>
      </c>
      <c r="W4" s="2">
        <v>0.2</v>
      </c>
      <c r="X4" s="2">
        <v>0.2</v>
      </c>
      <c r="Y4" s="2">
        <v>0.2</v>
      </c>
      <c r="Z4" s="2">
        <v>0.2</v>
      </c>
      <c r="AA4" s="2">
        <v>0.2</v>
      </c>
      <c r="AB4" s="2">
        <v>0.2</v>
      </c>
      <c r="AC4" s="2">
        <v>0.2</v>
      </c>
      <c r="AD4" s="2">
        <v>0.2</v>
      </c>
      <c r="AE4" s="2">
        <v>0.2</v>
      </c>
      <c r="AF4" s="2">
        <v>0.2</v>
      </c>
      <c r="AG4" s="2">
        <v>0.2</v>
      </c>
      <c r="AH4" s="2">
        <v>0.2</v>
      </c>
    </row>
    <row r="5" spans="1:34">
      <c r="A5" t="str">
        <f>sets!$H$3</f>
        <v>Teff</v>
      </c>
      <c r="B5" t="str">
        <v>Amhara</v>
      </c>
      <c r="C5" s="2">
        <v>0.2</v>
      </c>
      <c r="D5" s="2">
        <v>0.2</v>
      </c>
      <c r="E5" s="2">
        <v>0.2</v>
      </c>
      <c r="F5" s="2">
        <v>0.2</v>
      </c>
      <c r="G5" s="2">
        <v>0.2</v>
      </c>
      <c r="H5" s="2">
        <v>0.2</v>
      </c>
      <c r="I5" s="2">
        <v>0.2</v>
      </c>
      <c r="J5" s="2">
        <v>0.2</v>
      </c>
      <c r="K5" s="2">
        <v>0.2</v>
      </c>
      <c r="L5" s="2">
        <v>0.2</v>
      </c>
      <c r="M5" s="2">
        <v>0.2</v>
      </c>
      <c r="N5" s="2">
        <v>0.2</v>
      </c>
      <c r="O5" s="2">
        <v>0.2</v>
      </c>
      <c r="P5" s="2">
        <v>0.2</v>
      </c>
      <c r="Q5" s="2">
        <v>0.2</v>
      </c>
      <c r="R5" s="2">
        <v>0.2</v>
      </c>
      <c r="S5" s="2">
        <v>0.2</v>
      </c>
      <c r="T5" s="2">
        <v>0.2</v>
      </c>
      <c r="U5" s="2">
        <v>0.2</v>
      </c>
      <c r="V5" s="2">
        <v>0.2</v>
      </c>
      <c r="W5" s="2">
        <v>0.2</v>
      </c>
      <c r="X5" s="2">
        <v>0.2</v>
      </c>
      <c r="Y5" s="2">
        <v>0.2</v>
      </c>
      <c r="Z5" s="2">
        <v>0.2</v>
      </c>
      <c r="AA5" s="2">
        <v>0.2</v>
      </c>
      <c r="AB5" s="2">
        <v>0.2</v>
      </c>
      <c r="AC5" s="2">
        <v>0.2</v>
      </c>
      <c r="AD5" s="2">
        <v>0.2</v>
      </c>
      <c r="AE5" s="2">
        <v>0.2</v>
      </c>
      <c r="AF5" s="2">
        <v>0.2</v>
      </c>
      <c r="AG5" s="2">
        <v>0.2</v>
      </c>
      <c r="AH5" s="2">
        <v>0.2</v>
      </c>
    </row>
    <row r="6" spans="1:34">
      <c r="A6" t="str">
        <f>sets!$H$3</f>
        <v>Teff</v>
      </c>
      <c r="B6" t="str">
        <v>Gumuz</v>
      </c>
      <c r="C6" s="2">
        <v>0.2</v>
      </c>
      <c r="D6" s="2">
        <v>0.2</v>
      </c>
      <c r="E6" s="2">
        <v>0.2</v>
      </c>
      <c r="F6" s="2">
        <v>0.2</v>
      </c>
      <c r="G6" s="2">
        <v>0.2</v>
      </c>
      <c r="H6" s="2">
        <v>0.2</v>
      </c>
      <c r="I6" s="2">
        <v>0.2</v>
      </c>
      <c r="J6" s="2">
        <v>0.2</v>
      </c>
      <c r="K6" s="2">
        <v>0.2</v>
      </c>
      <c r="L6" s="2">
        <v>0.2</v>
      </c>
      <c r="M6" s="2">
        <v>0.2</v>
      </c>
      <c r="N6" s="2">
        <v>0.2</v>
      </c>
      <c r="O6" s="2">
        <v>0.2</v>
      </c>
      <c r="P6" s="2">
        <v>0.2</v>
      </c>
      <c r="Q6" s="2">
        <v>0.2</v>
      </c>
      <c r="R6" s="2">
        <v>0.2</v>
      </c>
      <c r="S6" s="2">
        <v>0.2</v>
      </c>
      <c r="T6" s="2">
        <v>0.2</v>
      </c>
      <c r="U6" s="2">
        <v>0.2</v>
      </c>
      <c r="V6" s="2">
        <v>0.2</v>
      </c>
      <c r="W6" s="2">
        <v>0.2</v>
      </c>
      <c r="X6" s="2">
        <v>0.2</v>
      </c>
      <c r="Y6" s="2">
        <v>0.2</v>
      </c>
      <c r="Z6" s="2">
        <v>0.2</v>
      </c>
      <c r="AA6" s="2">
        <v>0.2</v>
      </c>
      <c r="AB6" s="2">
        <v>0.2</v>
      </c>
      <c r="AC6" s="2">
        <v>0.2</v>
      </c>
      <c r="AD6" s="2">
        <v>0.2</v>
      </c>
      <c r="AE6" s="2">
        <v>0.2</v>
      </c>
      <c r="AF6" s="2">
        <v>0.2</v>
      </c>
      <c r="AG6" s="2">
        <v>0.2</v>
      </c>
      <c r="AH6" s="2">
        <v>0.2</v>
      </c>
    </row>
    <row r="7" spans="1:34">
      <c r="A7" t="str">
        <f>sets!$H$3</f>
        <v>Teff</v>
      </c>
      <c r="B7" t="str">
        <v>DireDawa</v>
      </c>
      <c r="C7" s="2">
        <v>0.2</v>
      </c>
      <c r="D7" s="2">
        <v>0.2</v>
      </c>
      <c r="E7" s="2">
        <v>0.2</v>
      </c>
      <c r="F7" s="2">
        <v>0.2</v>
      </c>
      <c r="G7" s="2">
        <v>0.2</v>
      </c>
      <c r="H7" s="2">
        <v>0.2</v>
      </c>
      <c r="I7" s="2">
        <v>0.2</v>
      </c>
      <c r="J7" s="2">
        <v>0.2</v>
      </c>
      <c r="K7" s="2">
        <v>0.2</v>
      </c>
      <c r="L7" s="2">
        <v>0.2</v>
      </c>
      <c r="M7" s="2">
        <v>0.2</v>
      </c>
      <c r="N7" s="2">
        <v>0.2</v>
      </c>
      <c r="O7" s="2">
        <v>0.2</v>
      </c>
      <c r="P7" s="2">
        <v>0.2</v>
      </c>
      <c r="Q7" s="2">
        <v>0.2</v>
      </c>
      <c r="R7" s="2">
        <v>0.2</v>
      </c>
      <c r="S7" s="2">
        <v>0.2</v>
      </c>
      <c r="T7" s="2">
        <v>0.2</v>
      </c>
      <c r="U7" s="2">
        <v>0.2</v>
      </c>
      <c r="V7" s="2">
        <v>0.2</v>
      </c>
      <c r="W7" s="2">
        <v>0.2</v>
      </c>
      <c r="X7" s="2">
        <v>0.2</v>
      </c>
      <c r="Y7" s="2">
        <v>0.2</v>
      </c>
      <c r="Z7" s="2">
        <v>0.2</v>
      </c>
      <c r="AA7" s="2">
        <v>0.2</v>
      </c>
      <c r="AB7" s="2">
        <v>0.2</v>
      </c>
      <c r="AC7" s="2">
        <v>0.2</v>
      </c>
      <c r="AD7" s="2">
        <v>0.2</v>
      </c>
      <c r="AE7" s="2">
        <v>0.2</v>
      </c>
      <c r="AF7" s="2">
        <v>0.2</v>
      </c>
      <c r="AG7" s="2">
        <v>0.2</v>
      </c>
      <c r="AH7" s="2">
        <v>0.2</v>
      </c>
    </row>
    <row r="8" spans="1:34">
      <c r="A8" t="str">
        <f>sets!$H$3</f>
        <v>Teff</v>
      </c>
      <c r="B8" t="str">
        <v>Gambela</v>
      </c>
      <c r="C8" s="2">
        <v>0.2</v>
      </c>
      <c r="D8" s="2">
        <v>0.2</v>
      </c>
      <c r="E8" s="2">
        <v>0.2</v>
      </c>
      <c r="F8" s="2">
        <v>0.2</v>
      </c>
      <c r="G8" s="2">
        <v>0.2</v>
      </c>
      <c r="H8" s="2">
        <v>0.2</v>
      </c>
      <c r="I8" s="2">
        <v>0.2</v>
      </c>
      <c r="J8" s="2">
        <v>0.2</v>
      </c>
      <c r="K8" s="2">
        <v>0.2</v>
      </c>
      <c r="L8" s="2">
        <v>0.2</v>
      </c>
      <c r="M8" s="2">
        <v>0.2</v>
      </c>
      <c r="N8" s="2">
        <v>0.2</v>
      </c>
      <c r="O8" s="2">
        <v>0.2</v>
      </c>
      <c r="P8" s="2">
        <v>0.2</v>
      </c>
      <c r="Q8" s="2">
        <v>0.2</v>
      </c>
      <c r="R8" s="2">
        <v>0.2</v>
      </c>
      <c r="S8" s="2">
        <v>0.2</v>
      </c>
      <c r="T8" s="2">
        <v>0.2</v>
      </c>
      <c r="U8" s="2">
        <v>0.2</v>
      </c>
      <c r="V8" s="2">
        <v>0.2</v>
      </c>
      <c r="W8" s="2">
        <v>0.2</v>
      </c>
      <c r="X8" s="2">
        <v>0.2</v>
      </c>
      <c r="Y8" s="2">
        <v>0.2</v>
      </c>
      <c r="Z8" s="2">
        <v>0.2</v>
      </c>
      <c r="AA8" s="2">
        <v>0.2</v>
      </c>
      <c r="AB8" s="2">
        <v>0.2</v>
      </c>
      <c r="AC8" s="2">
        <v>0.2</v>
      </c>
      <c r="AD8" s="2">
        <v>0.2</v>
      </c>
      <c r="AE8" s="2">
        <v>0.2</v>
      </c>
      <c r="AF8" s="2">
        <v>0.2</v>
      </c>
      <c r="AG8" s="2">
        <v>0.2</v>
      </c>
      <c r="AH8" s="2">
        <v>0.2</v>
      </c>
    </row>
    <row r="9" spans="1:34">
      <c r="A9" t="str">
        <f>sets!$H$3</f>
        <v>Teff</v>
      </c>
      <c r="B9" t="str">
        <v>Harari</v>
      </c>
      <c r="C9" s="2">
        <v>0.2</v>
      </c>
      <c r="D9" s="2">
        <v>0.2</v>
      </c>
      <c r="E9" s="2">
        <v>0.2</v>
      </c>
      <c r="F9" s="2">
        <v>0.2</v>
      </c>
      <c r="G9" s="2">
        <v>0.2</v>
      </c>
      <c r="H9" s="2">
        <v>0.2</v>
      </c>
      <c r="I9" s="2">
        <v>0.2</v>
      </c>
      <c r="J9" s="2">
        <v>0.2</v>
      </c>
      <c r="K9" s="2">
        <v>0.2</v>
      </c>
      <c r="L9" s="2">
        <v>0.2</v>
      </c>
      <c r="M9" s="2">
        <v>0.2</v>
      </c>
      <c r="N9" s="2">
        <v>0.2</v>
      </c>
      <c r="O9" s="2">
        <v>0.2</v>
      </c>
      <c r="P9" s="2">
        <v>0.2</v>
      </c>
      <c r="Q9" s="2">
        <v>0.2</v>
      </c>
      <c r="R9" s="2">
        <v>0.2</v>
      </c>
      <c r="S9" s="2">
        <v>0.2</v>
      </c>
      <c r="T9" s="2">
        <v>0.2</v>
      </c>
      <c r="U9" s="2">
        <v>0.2</v>
      </c>
      <c r="V9" s="2">
        <v>0.2</v>
      </c>
      <c r="W9" s="2">
        <v>0.2</v>
      </c>
      <c r="X9" s="2">
        <v>0.2</v>
      </c>
      <c r="Y9" s="2">
        <v>0.2</v>
      </c>
      <c r="Z9" s="2">
        <v>0.2</v>
      </c>
      <c r="AA9" s="2">
        <v>0.2</v>
      </c>
      <c r="AB9" s="2">
        <v>0.2</v>
      </c>
      <c r="AC9" s="2">
        <v>0.2</v>
      </c>
      <c r="AD9" s="2">
        <v>0.2</v>
      </c>
      <c r="AE9" s="2">
        <v>0.2</v>
      </c>
      <c r="AF9" s="2">
        <v>0.2</v>
      </c>
      <c r="AG9" s="2">
        <v>0.2</v>
      </c>
      <c r="AH9" s="2">
        <v>0.2</v>
      </c>
    </row>
    <row r="10" spans="1:34">
      <c r="A10" t="str">
        <f>sets!$H$3</f>
        <v>Teff</v>
      </c>
      <c r="B10" t="str">
        <v>Oromia</v>
      </c>
      <c r="C10" s="2">
        <v>0.2</v>
      </c>
      <c r="D10" s="2">
        <v>0.2</v>
      </c>
      <c r="E10" s="2">
        <v>0.2</v>
      </c>
      <c r="F10" s="2">
        <v>0.2</v>
      </c>
      <c r="G10" s="2">
        <v>0.2</v>
      </c>
      <c r="H10" s="2">
        <v>0.2</v>
      </c>
      <c r="I10" s="2">
        <v>0.2</v>
      </c>
      <c r="J10" s="2">
        <v>0.2</v>
      </c>
      <c r="K10" s="2">
        <v>0.2</v>
      </c>
      <c r="L10" s="2">
        <v>0.2</v>
      </c>
      <c r="M10" s="2">
        <v>0.2</v>
      </c>
      <c r="N10" s="2">
        <v>0.2</v>
      </c>
      <c r="O10" s="2">
        <v>0.2</v>
      </c>
      <c r="P10" s="2">
        <v>0.2</v>
      </c>
      <c r="Q10" s="2">
        <v>0.2</v>
      </c>
      <c r="R10" s="2">
        <v>0.2</v>
      </c>
      <c r="S10" s="2">
        <v>0.2</v>
      </c>
      <c r="T10" s="2">
        <v>0.2</v>
      </c>
      <c r="U10" s="2">
        <v>0.2</v>
      </c>
      <c r="V10" s="2">
        <v>0.2</v>
      </c>
      <c r="W10" s="2">
        <v>0.2</v>
      </c>
      <c r="X10" s="2">
        <v>0.2</v>
      </c>
      <c r="Y10" s="2">
        <v>0.2</v>
      </c>
      <c r="Z10" s="2">
        <v>0.2</v>
      </c>
      <c r="AA10" s="2">
        <v>0.2</v>
      </c>
      <c r="AB10" s="2">
        <v>0.2</v>
      </c>
      <c r="AC10" s="2">
        <v>0.2</v>
      </c>
      <c r="AD10" s="2">
        <v>0.2</v>
      </c>
      <c r="AE10" s="2">
        <v>0.2</v>
      </c>
      <c r="AF10" s="2">
        <v>0.2</v>
      </c>
      <c r="AG10" s="2">
        <v>0.2</v>
      </c>
      <c r="AH10" s="2">
        <v>0.2</v>
      </c>
    </row>
    <row r="11" spans="1:34">
      <c r="A11" t="str">
        <f>sets!$H$3</f>
        <v>Teff</v>
      </c>
      <c r="B11" t="str">
        <v>Somali</v>
      </c>
      <c r="C11" s="2">
        <v>0.2</v>
      </c>
      <c r="D11" s="2">
        <v>0.2</v>
      </c>
      <c r="E11" s="2">
        <v>0.2</v>
      </c>
      <c r="F11" s="2">
        <v>0.2</v>
      </c>
      <c r="G11" s="2">
        <v>0.2</v>
      </c>
      <c r="H11" s="2">
        <v>0.2</v>
      </c>
      <c r="I11" s="2">
        <v>0.2</v>
      </c>
      <c r="J11" s="2">
        <v>0.2</v>
      </c>
      <c r="K11" s="2">
        <v>0.2</v>
      </c>
      <c r="L11" s="2">
        <v>0.2</v>
      </c>
      <c r="M11" s="2">
        <v>0.2</v>
      </c>
      <c r="N11" s="2">
        <v>0.2</v>
      </c>
      <c r="O11" s="2">
        <v>0.2</v>
      </c>
      <c r="P11" s="2">
        <v>0.2</v>
      </c>
      <c r="Q11" s="2">
        <v>0.2</v>
      </c>
      <c r="R11" s="2">
        <v>0.2</v>
      </c>
      <c r="S11" s="2">
        <v>0.2</v>
      </c>
      <c r="T11" s="2">
        <v>0.2</v>
      </c>
      <c r="U11" s="2">
        <v>0.2</v>
      </c>
      <c r="V11" s="2">
        <v>0.2</v>
      </c>
      <c r="W11" s="2">
        <v>0.2</v>
      </c>
      <c r="X11" s="2">
        <v>0.2</v>
      </c>
      <c r="Y11" s="2">
        <v>0.2</v>
      </c>
      <c r="Z11" s="2">
        <v>0.2</v>
      </c>
      <c r="AA11" s="2">
        <v>0.2</v>
      </c>
      <c r="AB11" s="2">
        <v>0.2</v>
      </c>
      <c r="AC11" s="2">
        <v>0.2</v>
      </c>
      <c r="AD11" s="2">
        <v>0.2</v>
      </c>
      <c r="AE11" s="2">
        <v>0.2</v>
      </c>
      <c r="AF11" s="2">
        <v>0.2</v>
      </c>
      <c r="AG11" s="2">
        <v>0.2</v>
      </c>
      <c r="AH11" s="2">
        <v>0.2</v>
      </c>
    </row>
    <row r="12" spans="1:34">
      <c r="A12" t="str">
        <f>sets!$H$3</f>
        <v>Teff</v>
      </c>
      <c r="B12" t="str">
        <v>SNNPR</v>
      </c>
      <c r="C12" s="2">
        <v>0.2</v>
      </c>
      <c r="D12" s="2">
        <v>0.2</v>
      </c>
      <c r="E12" s="2">
        <v>0.2</v>
      </c>
      <c r="F12" s="2">
        <v>0.2</v>
      </c>
      <c r="G12" s="2">
        <v>0.2</v>
      </c>
      <c r="H12" s="2">
        <v>0.2</v>
      </c>
      <c r="I12" s="2">
        <v>0.2</v>
      </c>
      <c r="J12" s="2">
        <v>0.2</v>
      </c>
      <c r="K12" s="2">
        <v>0.2</v>
      </c>
      <c r="L12" s="2">
        <v>0.2</v>
      </c>
      <c r="M12" s="2">
        <v>0.2</v>
      </c>
      <c r="N12" s="2">
        <v>0.2</v>
      </c>
      <c r="O12" s="2">
        <v>0.2</v>
      </c>
      <c r="P12" s="2">
        <v>0.2</v>
      </c>
      <c r="Q12" s="2">
        <v>0.2</v>
      </c>
      <c r="R12" s="2">
        <v>0.2</v>
      </c>
      <c r="S12" s="2">
        <v>0.2</v>
      </c>
      <c r="T12" s="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>
        <v>0.2</v>
      </c>
      <c r="AG12" s="2">
        <v>0.2</v>
      </c>
      <c r="AH12" s="2">
        <v>0.2</v>
      </c>
    </row>
    <row r="13" spans="1:34">
      <c r="A13" t="str">
        <f>sets!$H$3</f>
        <v>Teff</v>
      </c>
      <c r="B13" t="str">
        <v>Tigray</v>
      </c>
      <c r="C13" s="2">
        <v>0.2</v>
      </c>
      <c r="D13" s="2">
        <v>0.2</v>
      </c>
      <c r="E13" s="2">
        <v>0.2</v>
      </c>
      <c r="F13" s="2">
        <v>0.2</v>
      </c>
      <c r="G13" s="2">
        <v>0.2</v>
      </c>
      <c r="H13" s="2">
        <v>0.2</v>
      </c>
      <c r="I13" s="2">
        <v>0.2</v>
      </c>
      <c r="J13" s="2">
        <v>0.2</v>
      </c>
      <c r="K13" s="2">
        <v>0.2</v>
      </c>
      <c r="L13" s="2">
        <v>0.2</v>
      </c>
      <c r="M13" s="2">
        <v>0.2</v>
      </c>
      <c r="N13" s="2">
        <v>0.2</v>
      </c>
      <c r="O13" s="2">
        <v>0.2</v>
      </c>
      <c r="P13" s="2">
        <v>0.2</v>
      </c>
      <c r="Q13" s="2">
        <v>0.2</v>
      </c>
      <c r="R13" s="2">
        <v>0.2</v>
      </c>
      <c r="S13" s="2">
        <v>0.2</v>
      </c>
      <c r="T13" s="2">
        <v>0.2</v>
      </c>
      <c r="U13" s="2">
        <v>0.2</v>
      </c>
      <c r="V13" s="2">
        <v>0.2</v>
      </c>
      <c r="W13" s="2">
        <v>0.2</v>
      </c>
      <c r="X13" s="2">
        <v>0.2</v>
      </c>
      <c r="Y13" s="2">
        <v>0.2</v>
      </c>
      <c r="Z13" s="2">
        <v>0.2</v>
      </c>
      <c r="AA13" s="2">
        <v>0.2</v>
      </c>
      <c r="AB13" s="2">
        <v>0.2</v>
      </c>
      <c r="AC13" s="2">
        <v>0.2</v>
      </c>
      <c r="AD13" s="2">
        <v>0.2</v>
      </c>
      <c r="AE13" s="2">
        <v>0.2</v>
      </c>
      <c r="AF13" s="2">
        <v>0.2</v>
      </c>
      <c r="AG13" s="2">
        <v>0.2</v>
      </c>
      <c r="AH13" s="2">
        <v>0.2</v>
      </c>
    </row>
    <row r="14" spans="1:34">
      <c r="A14" t="str">
        <f t="shared" ref="A14:A45" si="2">INDEX(Food,MATCH(A3,Food,0)+1)</f>
        <v>Sorghum</v>
      </c>
      <c r="B14" t="str">
        <f>B3</f>
        <v>AddisAbaba</v>
      </c>
      <c r="C14" s="2">
        <v>0.2</v>
      </c>
      <c r="D14" s="2">
        <v>0.2</v>
      </c>
      <c r="E14" s="2">
        <v>0.2</v>
      </c>
      <c r="F14" s="2">
        <v>0.2</v>
      </c>
      <c r="G14" s="2">
        <v>0.2</v>
      </c>
      <c r="H14" s="2">
        <v>0.2</v>
      </c>
      <c r="I14" s="2">
        <v>0.2</v>
      </c>
      <c r="J14" s="2">
        <v>0.2</v>
      </c>
      <c r="K14" s="2">
        <v>0.2</v>
      </c>
      <c r="L14" s="2">
        <v>0.2</v>
      </c>
      <c r="M14" s="2">
        <v>0.2</v>
      </c>
      <c r="N14" s="2">
        <v>0.2</v>
      </c>
      <c r="O14" s="2">
        <v>0.2</v>
      </c>
      <c r="P14" s="2">
        <v>0.2</v>
      </c>
      <c r="Q14" s="2">
        <v>0.2</v>
      </c>
      <c r="R14" s="2">
        <v>0.2</v>
      </c>
      <c r="S14" s="2">
        <v>0.2</v>
      </c>
      <c r="T14" s="2">
        <v>0.2</v>
      </c>
      <c r="U14" s="2">
        <v>0.2</v>
      </c>
      <c r="V14" s="2">
        <v>0.2</v>
      </c>
      <c r="W14" s="2">
        <v>0.2</v>
      </c>
      <c r="X14" s="2">
        <v>0.2</v>
      </c>
      <c r="Y14" s="2">
        <v>0.2</v>
      </c>
      <c r="Z14" s="2">
        <v>0.2</v>
      </c>
      <c r="AA14" s="2">
        <v>0.2</v>
      </c>
      <c r="AB14" s="2">
        <v>0.2</v>
      </c>
      <c r="AC14" s="2">
        <v>0.2</v>
      </c>
      <c r="AD14" s="2">
        <v>0.2</v>
      </c>
      <c r="AE14" s="2">
        <v>0.2</v>
      </c>
      <c r="AF14" s="2">
        <v>0.2</v>
      </c>
      <c r="AG14" s="2">
        <v>0.2</v>
      </c>
      <c r="AH14" s="2">
        <v>0.2</v>
      </c>
    </row>
    <row r="15" spans="1:34">
      <c r="A15" t="str">
        <f t="shared" si="2"/>
        <v>Sorghum</v>
      </c>
      <c r="B15" t="str">
        <f t="shared" ref="B15:B68" si="3">B4</f>
        <v>Afar</v>
      </c>
      <c r="C15" s="2">
        <v>0.2</v>
      </c>
      <c r="D15" s="2">
        <v>0.2</v>
      </c>
      <c r="E15" s="2">
        <v>0.2</v>
      </c>
      <c r="F15" s="2">
        <v>0.2</v>
      </c>
      <c r="G15" s="2">
        <v>0.2</v>
      </c>
      <c r="H15" s="2">
        <v>0.2</v>
      </c>
      <c r="I15" s="2">
        <v>0.2</v>
      </c>
      <c r="J15" s="2">
        <v>0.2</v>
      </c>
      <c r="K15" s="2">
        <v>0.2</v>
      </c>
      <c r="L15" s="2">
        <v>0.2</v>
      </c>
      <c r="M15" s="2">
        <v>0.2</v>
      </c>
      <c r="N15" s="2">
        <v>0.2</v>
      </c>
      <c r="O15" s="2">
        <v>0.2</v>
      </c>
      <c r="P15" s="2">
        <v>0.2</v>
      </c>
      <c r="Q15" s="2">
        <v>0.2</v>
      </c>
      <c r="R15" s="2">
        <v>0.2</v>
      </c>
      <c r="S15" s="2">
        <v>0.2</v>
      </c>
      <c r="T15" s="2">
        <v>0.2</v>
      </c>
      <c r="U15" s="2">
        <v>0.2</v>
      </c>
      <c r="V15" s="2">
        <v>0.2</v>
      </c>
      <c r="W15" s="2">
        <v>0.2</v>
      </c>
      <c r="X15" s="2">
        <v>0.2</v>
      </c>
      <c r="Y15" s="2">
        <v>0.2</v>
      </c>
      <c r="Z15" s="2">
        <v>0.2</v>
      </c>
      <c r="AA15" s="2">
        <v>0.2</v>
      </c>
      <c r="AB15" s="2">
        <v>0.2</v>
      </c>
      <c r="AC15" s="2">
        <v>0.2</v>
      </c>
      <c r="AD15" s="2">
        <v>0.2</v>
      </c>
      <c r="AE15" s="2">
        <v>0.2</v>
      </c>
      <c r="AF15" s="2">
        <v>0.2</v>
      </c>
      <c r="AG15" s="2">
        <v>0.2</v>
      </c>
      <c r="AH15" s="2">
        <v>0.2</v>
      </c>
    </row>
    <row r="16" spans="1:34">
      <c r="A16" t="str">
        <f t="shared" si="2"/>
        <v>Sorghum</v>
      </c>
      <c r="B16" t="str">
        <f t="shared" si="3"/>
        <v>Amhara</v>
      </c>
      <c r="C16" s="2">
        <v>0.2</v>
      </c>
      <c r="D16" s="2">
        <v>0.2</v>
      </c>
      <c r="E16" s="2">
        <v>0.2</v>
      </c>
      <c r="F16" s="2">
        <v>0.2</v>
      </c>
      <c r="G16" s="2">
        <v>0.2</v>
      </c>
      <c r="H16" s="2">
        <v>0.2</v>
      </c>
      <c r="I16" s="2">
        <v>0.2</v>
      </c>
      <c r="J16" s="2">
        <v>0.2</v>
      </c>
      <c r="K16" s="2">
        <v>0.2</v>
      </c>
      <c r="L16" s="2">
        <v>0.2</v>
      </c>
      <c r="M16" s="2">
        <v>0.2</v>
      </c>
      <c r="N16" s="2">
        <v>0.2</v>
      </c>
      <c r="O16" s="2">
        <v>0.2</v>
      </c>
      <c r="P16" s="2">
        <v>0.2</v>
      </c>
      <c r="Q16" s="2">
        <v>0.2</v>
      </c>
      <c r="R16" s="2">
        <v>0.2</v>
      </c>
      <c r="S16" s="2">
        <v>0.2</v>
      </c>
      <c r="T16" s="2">
        <v>0.2</v>
      </c>
      <c r="U16" s="2">
        <v>0.2</v>
      </c>
      <c r="V16" s="2">
        <v>0.2</v>
      </c>
      <c r="W16" s="2">
        <v>0.2</v>
      </c>
      <c r="X16" s="2">
        <v>0.2</v>
      </c>
      <c r="Y16" s="2">
        <v>0.2</v>
      </c>
      <c r="Z16" s="2">
        <v>0.2</v>
      </c>
      <c r="AA16" s="2">
        <v>0.2</v>
      </c>
      <c r="AB16" s="2">
        <v>0.2</v>
      </c>
      <c r="AC16" s="2">
        <v>0.2</v>
      </c>
      <c r="AD16" s="2">
        <v>0.2</v>
      </c>
      <c r="AE16" s="2">
        <v>0.2</v>
      </c>
      <c r="AF16" s="2">
        <v>0.2</v>
      </c>
      <c r="AG16" s="2">
        <v>0.2</v>
      </c>
      <c r="AH16" s="2">
        <v>0.2</v>
      </c>
    </row>
    <row r="17" spans="1:34">
      <c r="A17" t="str">
        <f t="shared" si="2"/>
        <v>Sorghum</v>
      </c>
      <c r="B17" t="str">
        <f t="shared" si="3"/>
        <v>Gumuz</v>
      </c>
      <c r="C17" s="2">
        <v>0.2</v>
      </c>
      <c r="D17" s="2">
        <v>0.2</v>
      </c>
      <c r="E17" s="2">
        <v>0.2</v>
      </c>
      <c r="F17" s="2">
        <v>0.2</v>
      </c>
      <c r="G17" s="2">
        <v>0.2</v>
      </c>
      <c r="H17" s="2">
        <v>0.2</v>
      </c>
      <c r="I17" s="2">
        <v>0.2</v>
      </c>
      <c r="J17" s="2">
        <v>0.2</v>
      </c>
      <c r="K17" s="2">
        <v>0.2</v>
      </c>
      <c r="L17" s="2">
        <v>0.2</v>
      </c>
      <c r="M17" s="2">
        <v>0.2</v>
      </c>
      <c r="N17" s="2">
        <v>0.2</v>
      </c>
      <c r="O17" s="2">
        <v>0.2</v>
      </c>
      <c r="P17" s="2">
        <v>0.2</v>
      </c>
      <c r="Q17" s="2">
        <v>0.2</v>
      </c>
      <c r="R17" s="2">
        <v>0.2</v>
      </c>
      <c r="S17" s="2">
        <v>0.2</v>
      </c>
      <c r="T17" s="2">
        <v>0.2</v>
      </c>
      <c r="U17" s="2">
        <v>0.2</v>
      </c>
      <c r="V17" s="2">
        <v>0.2</v>
      </c>
      <c r="W17" s="2">
        <v>0.2</v>
      </c>
      <c r="X17" s="2">
        <v>0.2</v>
      </c>
      <c r="Y17" s="2">
        <v>0.2</v>
      </c>
      <c r="Z17" s="2">
        <v>0.2</v>
      </c>
      <c r="AA17" s="2">
        <v>0.2</v>
      </c>
      <c r="AB17" s="2">
        <v>0.2</v>
      </c>
      <c r="AC17" s="2">
        <v>0.2</v>
      </c>
      <c r="AD17" s="2">
        <v>0.2</v>
      </c>
      <c r="AE17" s="2">
        <v>0.2</v>
      </c>
      <c r="AF17" s="2">
        <v>0.2</v>
      </c>
      <c r="AG17" s="2">
        <v>0.2</v>
      </c>
      <c r="AH17" s="2">
        <v>0.2</v>
      </c>
    </row>
    <row r="18" spans="1:34">
      <c r="A18" t="str">
        <f t="shared" si="2"/>
        <v>Sorghum</v>
      </c>
      <c r="B18" t="str">
        <f t="shared" si="3"/>
        <v>DireDawa</v>
      </c>
      <c r="C18" s="2">
        <v>0.2</v>
      </c>
      <c r="D18" s="2">
        <v>0.2</v>
      </c>
      <c r="E18" s="2">
        <v>0.2</v>
      </c>
      <c r="F18" s="2">
        <v>0.2</v>
      </c>
      <c r="G18" s="2">
        <v>0.2</v>
      </c>
      <c r="H18" s="2">
        <v>0.2</v>
      </c>
      <c r="I18" s="2">
        <v>0.2</v>
      </c>
      <c r="J18" s="2">
        <v>0.2</v>
      </c>
      <c r="K18" s="2">
        <v>0.2</v>
      </c>
      <c r="L18" s="2">
        <v>0.2</v>
      </c>
      <c r="M18" s="2">
        <v>0.2</v>
      </c>
      <c r="N18" s="2">
        <v>0.2</v>
      </c>
      <c r="O18" s="2">
        <v>0.2</v>
      </c>
      <c r="P18" s="2">
        <v>0.2</v>
      </c>
      <c r="Q18" s="2">
        <v>0.2</v>
      </c>
      <c r="R18" s="2">
        <v>0.2</v>
      </c>
      <c r="S18" s="2">
        <v>0.2</v>
      </c>
      <c r="T18" s="2">
        <v>0.2</v>
      </c>
      <c r="U18" s="2">
        <v>0.2</v>
      </c>
      <c r="V18" s="2">
        <v>0.2</v>
      </c>
      <c r="W18" s="2">
        <v>0.2</v>
      </c>
      <c r="X18" s="2">
        <v>0.2</v>
      </c>
      <c r="Y18" s="2">
        <v>0.2</v>
      </c>
      <c r="Z18" s="2">
        <v>0.2</v>
      </c>
      <c r="AA18" s="2">
        <v>0.2</v>
      </c>
      <c r="AB18" s="2">
        <v>0.2</v>
      </c>
      <c r="AC18" s="2">
        <v>0.2</v>
      </c>
      <c r="AD18" s="2">
        <v>0.2</v>
      </c>
      <c r="AE18" s="2">
        <v>0.2</v>
      </c>
      <c r="AF18" s="2">
        <v>0.2</v>
      </c>
      <c r="AG18" s="2">
        <v>0.2</v>
      </c>
      <c r="AH18" s="2">
        <v>0.2</v>
      </c>
    </row>
    <row r="19" spans="1:34">
      <c r="A19" t="str">
        <f t="shared" si="2"/>
        <v>Sorghum</v>
      </c>
      <c r="B19" t="str">
        <f t="shared" si="3"/>
        <v>Gambela</v>
      </c>
      <c r="C19" s="2">
        <v>0.2</v>
      </c>
      <c r="D19" s="2">
        <v>0.2</v>
      </c>
      <c r="E19" s="2">
        <v>0.2</v>
      </c>
      <c r="F19" s="2">
        <v>0.2</v>
      </c>
      <c r="G19" s="2">
        <v>0.2</v>
      </c>
      <c r="H19" s="2">
        <v>0.2</v>
      </c>
      <c r="I19" s="2">
        <v>0.2</v>
      </c>
      <c r="J19" s="2">
        <v>0.2</v>
      </c>
      <c r="K19" s="2">
        <v>0.2</v>
      </c>
      <c r="L19" s="2">
        <v>0.2</v>
      </c>
      <c r="M19" s="2">
        <v>0.2</v>
      </c>
      <c r="N19" s="2">
        <v>0.2</v>
      </c>
      <c r="O19" s="2">
        <v>0.2</v>
      </c>
      <c r="P19" s="2">
        <v>0.2</v>
      </c>
      <c r="Q19" s="2">
        <v>0.2</v>
      </c>
      <c r="R19" s="2">
        <v>0.2</v>
      </c>
      <c r="S19" s="2">
        <v>0.2</v>
      </c>
      <c r="T19" s="2">
        <v>0.2</v>
      </c>
      <c r="U19" s="2">
        <v>0.2</v>
      </c>
      <c r="V19" s="2">
        <v>0.2</v>
      </c>
      <c r="W19" s="2">
        <v>0.2</v>
      </c>
      <c r="X19" s="2">
        <v>0.2</v>
      </c>
      <c r="Y19" s="2">
        <v>0.2</v>
      </c>
      <c r="Z19" s="2">
        <v>0.2</v>
      </c>
      <c r="AA19" s="2">
        <v>0.2</v>
      </c>
      <c r="AB19" s="2">
        <v>0.2</v>
      </c>
      <c r="AC19" s="2">
        <v>0.2</v>
      </c>
      <c r="AD19" s="2">
        <v>0.2</v>
      </c>
      <c r="AE19" s="2">
        <v>0.2</v>
      </c>
      <c r="AF19" s="2">
        <v>0.2</v>
      </c>
      <c r="AG19" s="2">
        <v>0.2</v>
      </c>
      <c r="AH19" s="2">
        <v>0.2</v>
      </c>
    </row>
    <row r="20" spans="1:34">
      <c r="A20" t="str">
        <f t="shared" si="2"/>
        <v>Sorghum</v>
      </c>
      <c r="B20" t="str">
        <f t="shared" si="3"/>
        <v>Harari</v>
      </c>
      <c r="C20" s="2">
        <v>0.2</v>
      </c>
      <c r="D20" s="2">
        <v>0.2</v>
      </c>
      <c r="E20" s="2">
        <v>0.2</v>
      </c>
      <c r="F20" s="2">
        <v>0.2</v>
      </c>
      <c r="G20" s="2">
        <v>0.2</v>
      </c>
      <c r="H20" s="2">
        <v>0.2</v>
      </c>
      <c r="I20" s="2">
        <v>0.2</v>
      </c>
      <c r="J20" s="2">
        <v>0.2</v>
      </c>
      <c r="K20" s="2">
        <v>0.2</v>
      </c>
      <c r="L20" s="2">
        <v>0.2</v>
      </c>
      <c r="M20" s="2">
        <v>0.2</v>
      </c>
      <c r="N20" s="2">
        <v>0.2</v>
      </c>
      <c r="O20" s="2">
        <v>0.2</v>
      </c>
      <c r="P20" s="2">
        <v>0.2</v>
      </c>
      <c r="Q20" s="2">
        <v>0.2</v>
      </c>
      <c r="R20" s="2">
        <v>0.2</v>
      </c>
      <c r="S20" s="2">
        <v>0.2</v>
      </c>
      <c r="T20" s="2">
        <v>0.2</v>
      </c>
      <c r="U20" s="2">
        <v>0.2</v>
      </c>
      <c r="V20" s="2">
        <v>0.2</v>
      </c>
      <c r="W20" s="2">
        <v>0.2</v>
      </c>
      <c r="X20" s="2">
        <v>0.2</v>
      </c>
      <c r="Y20" s="2">
        <v>0.2</v>
      </c>
      <c r="Z20" s="2">
        <v>0.2</v>
      </c>
      <c r="AA20" s="2">
        <v>0.2</v>
      </c>
      <c r="AB20" s="2">
        <v>0.2</v>
      </c>
      <c r="AC20" s="2">
        <v>0.2</v>
      </c>
      <c r="AD20" s="2">
        <v>0.2</v>
      </c>
      <c r="AE20" s="2">
        <v>0.2</v>
      </c>
      <c r="AF20" s="2">
        <v>0.2</v>
      </c>
      <c r="AG20" s="2">
        <v>0.2</v>
      </c>
      <c r="AH20" s="2">
        <v>0.2</v>
      </c>
    </row>
    <row r="21" spans="1:34">
      <c r="A21" t="str">
        <f t="shared" si="2"/>
        <v>Sorghum</v>
      </c>
      <c r="B21" t="str">
        <f t="shared" si="3"/>
        <v>Oromia</v>
      </c>
      <c r="C21" s="2">
        <v>0.2</v>
      </c>
      <c r="D21" s="2">
        <v>0.2</v>
      </c>
      <c r="E21" s="2">
        <v>0.2</v>
      </c>
      <c r="F21" s="2">
        <v>0.2</v>
      </c>
      <c r="G21" s="2">
        <v>0.2</v>
      </c>
      <c r="H21" s="2">
        <v>0.2</v>
      </c>
      <c r="I21" s="2">
        <v>0.2</v>
      </c>
      <c r="J21" s="2">
        <v>0.2</v>
      </c>
      <c r="K21" s="2">
        <v>0.2</v>
      </c>
      <c r="L21" s="2">
        <v>0.2</v>
      </c>
      <c r="M21" s="2">
        <v>0.2</v>
      </c>
      <c r="N21" s="2">
        <v>0.2</v>
      </c>
      <c r="O21" s="2">
        <v>0.2</v>
      </c>
      <c r="P21" s="2">
        <v>0.2</v>
      </c>
      <c r="Q21" s="2">
        <v>0.2</v>
      </c>
      <c r="R21" s="2">
        <v>0.2</v>
      </c>
      <c r="S21" s="2">
        <v>0.2</v>
      </c>
      <c r="T21" s="2">
        <v>0.2</v>
      </c>
      <c r="U21" s="2">
        <v>0.2</v>
      </c>
      <c r="V21" s="2">
        <v>0.2</v>
      </c>
      <c r="W21" s="2">
        <v>0.2</v>
      </c>
      <c r="X21" s="2">
        <v>0.2</v>
      </c>
      <c r="Y21" s="2">
        <v>0.2</v>
      </c>
      <c r="Z21" s="2">
        <v>0.2</v>
      </c>
      <c r="AA21" s="2">
        <v>0.2</v>
      </c>
      <c r="AB21" s="2">
        <v>0.2</v>
      </c>
      <c r="AC21" s="2">
        <v>0.2</v>
      </c>
      <c r="AD21" s="2">
        <v>0.2</v>
      </c>
      <c r="AE21" s="2">
        <v>0.2</v>
      </c>
      <c r="AF21" s="2">
        <v>0.2</v>
      </c>
      <c r="AG21" s="2">
        <v>0.2</v>
      </c>
      <c r="AH21" s="2">
        <v>0.2</v>
      </c>
    </row>
    <row r="22" spans="1:34">
      <c r="A22" t="str">
        <f t="shared" si="2"/>
        <v>Sorghum</v>
      </c>
      <c r="B22" t="str">
        <f t="shared" si="3"/>
        <v>Somali</v>
      </c>
      <c r="C22" s="2">
        <v>0.2</v>
      </c>
      <c r="D22" s="2">
        <v>0.2</v>
      </c>
      <c r="E22" s="2">
        <v>0.2</v>
      </c>
      <c r="F22" s="2">
        <v>0.2</v>
      </c>
      <c r="G22" s="2">
        <v>0.2</v>
      </c>
      <c r="H22" s="2">
        <v>0.2</v>
      </c>
      <c r="I22" s="2">
        <v>0.2</v>
      </c>
      <c r="J22" s="2">
        <v>0.2</v>
      </c>
      <c r="K22" s="2">
        <v>0.2</v>
      </c>
      <c r="L22" s="2">
        <v>0.2</v>
      </c>
      <c r="M22" s="2">
        <v>0.2</v>
      </c>
      <c r="N22" s="2">
        <v>0.2</v>
      </c>
      <c r="O22" s="2">
        <v>0.2</v>
      </c>
      <c r="P22" s="2">
        <v>0.2</v>
      </c>
      <c r="Q22" s="2">
        <v>0.2</v>
      </c>
      <c r="R22" s="2">
        <v>0.2</v>
      </c>
      <c r="S22" s="2">
        <v>0.2</v>
      </c>
      <c r="T22" s="2">
        <v>0.2</v>
      </c>
      <c r="U22" s="2">
        <v>0.2</v>
      </c>
      <c r="V22" s="2">
        <v>0.2</v>
      </c>
      <c r="W22" s="2">
        <v>0.2</v>
      </c>
      <c r="X22" s="2">
        <v>0.2</v>
      </c>
      <c r="Y22" s="2">
        <v>0.2</v>
      </c>
      <c r="Z22" s="2">
        <v>0.2</v>
      </c>
      <c r="AA22" s="2">
        <v>0.2</v>
      </c>
      <c r="AB22" s="2">
        <v>0.2</v>
      </c>
      <c r="AC22" s="2">
        <v>0.2</v>
      </c>
      <c r="AD22" s="2">
        <v>0.2</v>
      </c>
      <c r="AE22" s="2">
        <v>0.2</v>
      </c>
      <c r="AF22" s="2">
        <v>0.2</v>
      </c>
      <c r="AG22" s="2">
        <v>0.2</v>
      </c>
      <c r="AH22" s="2">
        <v>0.2</v>
      </c>
    </row>
    <row r="23" spans="1:34">
      <c r="A23" t="str">
        <f t="shared" si="2"/>
        <v>Sorghum</v>
      </c>
      <c r="B23" t="str">
        <f t="shared" si="3"/>
        <v>SNNPR</v>
      </c>
      <c r="C23" s="2">
        <v>0.2</v>
      </c>
      <c r="D23" s="2">
        <v>0.2</v>
      </c>
      <c r="E23" s="2">
        <v>0.2</v>
      </c>
      <c r="F23" s="2">
        <v>0.2</v>
      </c>
      <c r="G23" s="2">
        <v>0.2</v>
      </c>
      <c r="H23" s="2">
        <v>0.2</v>
      </c>
      <c r="I23" s="2">
        <v>0.2</v>
      </c>
      <c r="J23" s="2">
        <v>0.2</v>
      </c>
      <c r="K23" s="2">
        <v>0.2</v>
      </c>
      <c r="L23" s="2">
        <v>0.2</v>
      </c>
      <c r="M23" s="2">
        <v>0.2</v>
      </c>
      <c r="N23" s="2">
        <v>0.2</v>
      </c>
      <c r="O23" s="2">
        <v>0.2</v>
      </c>
      <c r="P23" s="2">
        <v>0.2</v>
      </c>
      <c r="Q23" s="2">
        <v>0.2</v>
      </c>
      <c r="R23" s="2">
        <v>0.2</v>
      </c>
      <c r="S23" s="2">
        <v>0.2</v>
      </c>
      <c r="T23" s="2">
        <v>0.2</v>
      </c>
      <c r="U23" s="2">
        <v>0.2</v>
      </c>
      <c r="V23" s="2">
        <v>0.2</v>
      </c>
      <c r="W23" s="2">
        <v>0.2</v>
      </c>
      <c r="X23" s="2">
        <v>0.2</v>
      </c>
      <c r="Y23" s="2">
        <v>0.2</v>
      </c>
      <c r="Z23" s="2">
        <v>0.2</v>
      </c>
      <c r="AA23" s="2">
        <v>0.2</v>
      </c>
      <c r="AB23" s="2">
        <v>0.2</v>
      </c>
      <c r="AC23" s="2">
        <v>0.2</v>
      </c>
      <c r="AD23" s="2">
        <v>0.2</v>
      </c>
      <c r="AE23" s="2">
        <v>0.2</v>
      </c>
      <c r="AF23" s="2">
        <v>0.2</v>
      </c>
      <c r="AG23" s="2">
        <v>0.2</v>
      </c>
      <c r="AH23" s="2">
        <v>0.2</v>
      </c>
    </row>
    <row r="24" spans="1:34">
      <c r="A24" t="str">
        <f t="shared" si="2"/>
        <v>Sorghum</v>
      </c>
      <c r="B24" t="str">
        <f t="shared" si="3"/>
        <v>Tigray</v>
      </c>
      <c r="C24" s="2">
        <v>0.2</v>
      </c>
      <c r="D24" s="2">
        <v>0.2</v>
      </c>
      <c r="E24" s="2">
        <v>0.2</v>
      </c>
      <c r="F24" s="2">
        <v>0.2</v>
      </c>
      <c r="G24" s="2">
        <v>0.2</v>
      </c>
      <c r="H24" s="2">
        <v>0.2</v>
      </c>
      <c r="I24" s="2">
        <v>0.2</v>
      </c>
      <c r="J24" s="2">
        <v>0.2</v>
      </c>
      <c r="K24" s="2">
        <v>0.2</v>
      </c>
      <c r="L24" s="2">
        <v>0.2</v>
      </c>
      <c r="M24" s="2">
        <v>0.2</v>
      </c>
      <c r="N24" s="2">
        <v>0.2</v>
      </c>
      <c r="O24" s="2">
        <v>0.2</v>
      </c>
      <c r="P24" s="2">
        <v>0.2</v>
      </c>
      <c r="Q24" s="2">
        <v>0.2</v>
      </c>
      <c r="R24" s="2">
        <v>0.2</v>
      </c>
      <c r="S24" s="2">
        <v>0.2</v>
      </c>
      <c r="T24" s="2">
        <v>0.2</v>
      </c>
      <c r="U24" s="2">
        <v>0.2</v>
      </c>
      <c r="V24" s="2">
        <v>0.2</v>
      </c>
      <c r="W24" s="2">
        <v>0.2</v>
      </c>
      <c r="X24" s="2">
        <v>0.2</v>
      </c>
      <c r="Y24" s="2">
        <v>0.2</v>
      </c>
      <c r="Z24" s="2">
        <v>0.2</v>
      </c>
      <c r="AA24" s="2">
        <v>0.2</v>
      </c>
      <c r="AB24" s="2">
        <v>0.2</v>
      </c>
      <c r="AC24" s="2">
        <v>0.2</v>
      </c>
      <c r="AD24" s="2">
        <v>0.2</v>
      </c>
      <c r="AE24" s="2">
        <v>0.2</v>
      </c>
      <c r="AF24" s="2">
        <v>0.2</v>
      </c>
      <c r="AG24" s="2">
        <v>0.2</v>
      </c>
      <c r="AH24" s="2">
        <v>0.2</v>
      </c>
    </row>
    <row r="25" spans="1:34">
      <c r="A25" t="str">
        <f t="shared" si="2"/>
        <v>Maize</v>
      </c>
      <c r="B25" t="str">
        <f t="shared" si="3"/>
        <v>AddisAbaba</v>
      </c>
      <c r="C25" s="2">
        <v>0.2</v>
      </c>
      <c r="D25" s="2">
        <v>0.2</v>
      </c>
      <c r="E25" s="2">
        <v>0.2</v>
      </c>
      <c r="F25" s="2">
        <v>0.2</v>
      </c>
      <c r="G25" s="2">
        <v>0.2</v>
      </c>
      <c r="H25" s="2">
        <v>0.2</v>
      </c>
      <c r="I25" s="2">
        <v>0.2</v>
      </c>
      <c r="J25" s="2">
        <v>0.2</v>
      </c>
      <c r="K25" s="2">
        <v>0.2</v>
      </c>
      <c r="L25" s="2">
        <v>0.2</v>
      </c>
      <c r="M25" s="2">
        <v>0.2</v>
      </c>
      <c r="N25" s="2">
        <v>0.2</v>
      </c>
      <c r="O25" s="2">
        <v>0.2</v>
      </c>
      <c r="P25" s="2">
        <v>0.2</v>
      </c>
      <c r="Q25" s="2">
        <v>0.2</v>
      </c>
      <c r="R25" s="2">
        <v>0.2</v>
      </c>
      <c r="S25" s="2">
        <v>0.2</v>
      </c>
      <c r="T25" s="2">
        <v>0.2</v>
      </c>
      <c r="U25" s="2">
        <v>0.2</v>
      </c>
      <c r="V25" s="2">
        <v>0.2</v>
      </c>
      <c r="W25" s="2">
        <v>0.2</v>
      </c>
      <c r="X25" s="2">
        <v>0.2</v>
      </c>
      <c r="Y25" s="2">
        <v>0.2</v>
      </c>
      <c r="Z25" s="2">
        <v>0.2</v>
      </c>
      <c r="AA25" s="2">
        <v>0.2</v>
      </c>
      <c r="AB25" s="2">
        <v>0.2</v>
      </c>
      <c r="AC25" s="2">
        <v>0.2</v>
      </c>
      <c r="AD25" s="2">
        <v>0.2</v>
      </c>
      <c r="AE25" s="2">
        <v>0.2</v>
      </c>
      <c r="AF25" s="2">
        <v>0.2</v>
      </c>
      <c r="AG25" s="2">
        <v>0.2</v>
      </c>
      <c r="AH25" s="2">
        <v>0.2</v>
      </c>
    </row>
    <row r="26" spans="1:34">
      <c r="A26" t="str">
        <f t="shared" si="2"/>
        <v>Maize</v>
      </c>
      <c r="B26" t="str">
        <f t="shared" si="3"/>
        <v>Afar</v>
      </c>
      <c r="C26" s="2">
        <v>0.2</v>
      </c>
      <c r="D26" s="2">
        <v>0.2</v>
      </c>
      <c r="E26" s="2">
        <v>0.2</v>
      </c>
      <c r="F26" s="2">
        <v>0.2</v>
      </c>
      <c r="G26" s="2">
        <v>0.2</v>
      </c>
      <c r="H26" s="2">
        <v>0.2</v>
      </c>
      <c r="I26" s="2">
        <v>0.2</v>
      </c>
      <c r="J26" s="2">
        <v>0.2</v>
      </c>
      <c r="K26" s="2">
        <v>0.2</v>
      </c>
      <c r="L26" s="2">
        <v>0.2</v>
      </c>
      <c r="M26" s="2">
        <v>0.2</v>
      </c>
      <c r="N26" s="2">
        <v>0.2</v>
      </c>
      <c r="O26" s="2">
        <v>0.2</v>
      </c>
      <c r="P26" s="2">
        <v>0.2</v>
      </c>
      <c r="Q26" s="2">
        <v>0.2</v>
      </c>
      <c r="R26" s="2">
        <v>0.2</v>
      </c>
      <c r="S26" s="2">
        <v>0.2</v>
      </c>
      <c r="T26" s="2">
        <v>0.2</v>
      </c>
      <c r="U26" s="2">
        <v>0.2</v>
      </c>
      <c r="V26" s="2">
        <v>0.2</v>
      </c>
      <c r="W26" s="2">
        <v>0.2</v>
      </c>
      <c r="X26" s="2">
        <v>0.2</v>
      </c>
      <c r="Y26" s="2">
        <v>0.2</v>
      </c>
      <c r="Z26" s="2">
        <v>0.2</v>
      </c>
      <c r="AA26" s="2">
        <v>0.2</v>
      </c>
      <c r="AB26" s="2">
        <v>0.2</v>
      </c>
      <c r="AC26" s="2">
        <v>0.2</v>
      </c>
      <c r="AD26" s="2">
        <v>0.2</v>
      </c>
      <c r="AE26" s="2">
        <v>0.2</v>
      </c>
      <c r="AF26" s="2">
        <v>0.2</v>
      </c>
      <c r="AG26" s="2">
        <v>0.2</v>
      </c>
      <c r="AH26" s="2">
        <v>0.2</v>
      </c>
    </row>
    <row r="27" spans="1:34">
      <c r="A27" t="str">
        <f t="shared" si="2"/>
        <v>Maize</v>
      </c>
      <c r="B27" t="str">
        <f t="shared" si="3"/>
        <v>Amhara</v>
      </c>
      <c r="C27" s="2">
        <v>0.2</v>
      </c>
      <c r="D27" s="2">
        <v>0.2</v>
      </c>
      <c r="E27" s="2">
        <v>0.2</v>
      </c>
      <c r="F27" s="2">
        <v>0.2</v>
      </c>
      <c r="G27" s="2">
        <v>0.2</v>
      </c>
      <c r="H27" s="2">
        <v>0.2</v>
      </c>
      <c r="I27" s="2">
        <v>0.2</v>
      </c>
      <c r="J27" s="2">
        <v>0.2</v>
      </c>
      <c r="K27" s="2">
        <v>0.2</v>
      </c>
      <c r="L27" s="2">
        <v>0.2</v>
      </c>
      <c r="M27" s="2">
        <v>0.2</v>
      </c>
      <c r="N27" s="2">
        <v>0.2</v>
      </c>
      <c r="O27" s="2">
        <v>0.2</v>
      </c>
      <c r="P27" s="2">
        <v>0.2</v>
      </c>
      <c r="Q27" s="2">
        <v>0.2</v>
      </c>
      <c r="R27" s="2">
        <v>0.2</v>
      </c>
      <c r="S27" s="2">
        <v>0.2</v>
      </c>
      <c r="T27" s="2">
        <v>0.2</v>
      </c>
      <c r="U27" s="2">
        <v>0.2</v>
      </c>
      <c r="V27" s="2">
        <v>0.2</v>
      </c>
      <c r="W27" s="2">
        <v>0.2</v>
      </c>
      <c r="X27" s="2">
        <v>0.2</v>
      </c>
      <c r="Y27" s="2">
        <v>0.2</v>
      </c>
      <c r="Z27" s="2">
        <v>0.2</v>
      </c>
      <c r="AA27" s="2">
        <v>0.2</v>
      </c>
      <c r="AB27" s="2">
        <v>0.2</v>
      </c>
      <c r="AC27" s="2">
        <v>0.2</v>
      </c>
      <c r="AD27" s="2">
        <v>0.2</v>
      </c>
      <c r="AE27" s="2">
        <v>0.2</v>
      </c>
      <c r="AF27" s="2">
        <v>0.2</v>
      </c>
      <c r="AG27" s="2">
        <v>0.2</v>
      </c>
      <c r="AH27" s="2">
        <v>0.2</v>
      </c>
    </row>
    <row r="28" spans="1:34">
      <c r="A28" t="str">
        <f t="shared" si="2"/>
        <v>Maize</v>
      </c>
      <c r="B28" t="str">
        <f t="shared" si="3"/>
        <v>Gumuz</v>
      </c>
      <c r="C28" s="2">
        <v>0.2</v>
      </c>
      <c r="D28" s="2">
        <v>0.2</v>
      </c>
      <c r="E28" s="2">
        <v>0.2</v>
      </c>
      <c r="F28" s="2">
        <v>0.2</v>
      </c>
      <c r="G28" s="2">
        <v>0.2</v>
      </c>
      <c r="H28" s="2">
        <v>0.2</v>
      </c>
      <c r="I28" s="2">
        <v>0.2</v>
      </c>
      <c r="J28" s="2">
        <v>0.2</v>
      </c>
      <c r="K28" s="2">
        <v>0.2</v>
      </c>
      <c r="L28" s="2">
        <v>0.2</v>
      </c>
      <c r="M28" s="2">
        <v>0.2</v>
      </c>
      <c r="N28" s="2">
        <v>0.2</v>
      </c>
      <c r="O28" s="2">
        <v>0.2</v>
      </c>
      <c r="P28" s="2">
        <v>0.2</v>
      </c>
      <c r="Q28" s="2">
        <v>0.2</v>
      </c>
      <c r="R28" s="2">
        <v>0.2</v>
      </c>
      <c r="S28" s="2">
        <v>0.2</v>
      </c>
      <c r="T28" s="2">
        <v>0.2</v>
      </c>
      <c r="U28" s="2">
        <v>0.2</v>
      </c>
      <c r="V28" s="2">
        <v>0.2</v>
      </c>
      <c r="W28" s="2">
        <v>0.2</v>
      </c>
      <c r="X28" s="2">
        <v>0.2</v>
      </c>
      <c r="Y28" s="2">
        <v>0.2</v>
      </c>
      <c r="Z28" s="2">
        <v>0.2</v>
      </c>
      <c r="AA28" s="2">
        <v>0.2</v>
      </c>
      <c r="AB28" s="2">
        <v>0.2</v>
      </c>
      <c r="AC28" s="2">
        <v>0.2</v>
      </c>
      <c r="AD28" s="2">
        <v>0.2</v>
      </c>
      <c r="AE28" s="2">
        <v>0.2</v>
      </c>
      <c r="AF28" s="2">
        <v>0.2</v>
      </c>
      <c r="AG28" s="2">
        <v>0.2</v>
      </c>
      <c r="AH28" s="2">
        <v>0.2</v>
      </c>
    </row>
    <row r="29" spans="1:34">
      <c r="A29" t="str">
        <f t="shared" si="2"/>
        <v>Maize</v>
      </c>
      <c r="B29" t="str">
        <f t="shared" si="3"/>
        <v>DireDawa</v>
      </c>
      <c r="C29" s="2">
        <v>0.2</v>
      </c>
      <c r="D29" s="2">
        <v>0.2</v>
      </c>
      <c r="E29" s="2">
        <v>0.2</v>
      </c>
      <c r="F29" s="2">
        <v>0.2</v>
      </c>
      <c r="G29" s="2">
        <v>0.2</v>
      </c>
      <c r="H29" s="2">
        <v>0.2</v>
      </c>
      <c r="I29" s="2">
        <v>0.2</v>
      </c>
      <c r="J29" s="2">
        <v>0.2</v>
      </c>
      <c r="K29" s="2">
        <v>0.2</v>
      </c>
      <c r="L29" s="2">
        <v>0.2</v>
      </c>
      <c r="M29" s="2">
        <v>0.2</v>
      </c>
      <c r="N29" s="2">
        <v>0.2</v>
      </c>
      <c r="O29" s="2">
        <v>0.2</v>
      </c>
      <c r="P29" s="2">
        <v>0.2</v>
      </c>
      <c r="Q29" s="2">
        <v>0.2</v>
      </c>
      <c r="R29" s="2">
        <v>0.2</v>
      </c>
      <c r="S29" s="2">
        <v>0.2</v>
      </c>
      <c r="T29" s="2">
        <v>0.2</v>
      </c>
      <c r="U29" s="2">
        <v>0.2</v>
      </c>
      <c r="V29" s="2">
        <v>0.2</v>
      </c>
      <c r="W29" s="2">
        <v>0.2</v>
      </c>
      <c r="X29" s="2">
        <v>0.2</v>
      </c>
      <c r="Y29" s="2">
        <v>0.2</v>
      </c>
      <c r="Z29" s="2">
        <v>0.2</v>
      </c>
      <c r="AA29" s="2">
        <v>0.2</v>
      </c>
      <c r="AB29" s="2">
        <v>0.2</v>
      </c>
      <c r="AC29" s="2">
        <v>0.2</v>
      </c>
      <c r="AD29" s="2">
        <v>0.2</v>
      </c>
      <c r="AE29" s="2">
        <v>0.2</v>
      </c>
      <c r="AF29" s="2">
        <v>0.2</v>
      </c>
      <c r="AG29" s="2">
        <v>0.2</v>
      </c>
      <c r="AH29" s="2">
        <v>0.2</v>
      </c>
    </row>
    <row r="30" spans="1:34">
      <c r="A30" t="str">
        <f t="shared" si="2"/>
        <v>Maize</v>
      </c>
      <c r="B30" t="str">
        <f t="shared" si="3"/>
        <v>Gambela</v>
      </c>
      <c r="C30" s="2">
        <v>0.2</v>
      </c>
      <c r="D30" s="2">
        <v>0.2</v>
      </c>
      <c r="E30" s="2">
        <v>0.2</v>
      </c>
      <c r="F30" s="2">
        <v>0.2</v>
      </c>
      <c r="G30" s="2">
        <v>0.2</v>
      </c>
      <c r="H30" s="2">
        <v>0.2</v>
      </c>
      <c r="I30" s="2">
        <v>0.2</v>
      </c>
      <c r="J30" s="2">
        <v>0.2</v>
      </c>
      <c r="K30" s="2">
        <v>0.2</v>
      </c>
      <c r="L30" s="2">
        <v>0.2</v>
      </c>
      <c r="M30" s="2">
        <v>0.2</v>
      </c>
      <c r="N30" s="2">
        <v>0.2</v>
      </c>
      <c r="O30" s="2">
        <v>0.2</v>
      </c>
      <c r="P30" s="2">
        <v>0.2</v>
      </c>
      <c r="Q30" s="2">
        <v>0.2</v>
      </c>
      <c r="R30" s="2">
        <v>0.2</v>
      </c>
      <c r="S30" s="2">
        <v>0.2</v>
      </c>
      <c r="T30" s="2">
        <v>0.2</v>
      </c>
      <c r="U30" s="2">
        <v>0.2</v>
      </c>
      <c r="V30" s="2">
        <v>0.2</v>
      </c>
      <c r="W30" s="2">
        <v>0.2</v>
      </c>
      <c r="X30" s="2">
        <v>0.2</v>
      </c>
      <c r="Y30" s="2">
        <v>0.2</v>
      </c>
      <c r="Z30" s="2">
        <v>0.2</v>
      </c>
      <c r="AA30" s="2">
        <v>0.2</v>
      </c>
      <c r="AB30" s="2">
        <v>0.2</v>
      </c>
      <c r="AC30" s="2">
        <v>0.2</v>
      </c>
      <c r="AD30" s="2">
        <v>0.2</v>
      </c>
      <c r="AE30" s="2">
        <v>0.2</v>
      </c>
      <c r="AF30" s="2">
        <v>0.2</v>
      </c>
      <c r="AG30" s="2">
        <v>0.2</v>
      </c>
      <c r="AH30" s="2">
        <v>0.2</v>
      </c>
    </row>
    <row r="31" spans="1:34">
      <c r="A31" t="str">
        <f t="shared" si="2"/>
        <v>Maize</v>
      </c>
      <c r="B31" t="str">
        <f t="shared" si="3"/>
        <v>Harari</v>
      </c>
      <c r="C31" s="2">
        <v>0.2</v>
      </c>
      <c r="D31" s="2">
        <v>0.2</v>
      </c>
      <c r="E31" s="2">
        <v>0.2</v>
      </c>
      <c r="F31" s="2">
        <v>0.2</v>
      </c>
      <c r="G31" s="2">
        <v>0.2</v>
      </c>
      <c r="H31" s="2">
        <v>0.2</v>
      </c>
      <c r="I31" s="2">
        <v>0.2</v>
      </c>
      <c r="J31" s="2">
        <v>0.2</v>
      </c>
      <c r="K31" s="2">
        <v>0.2</v>
      </c>
      <c r="L31" s="2">
        <v>0.2</v>
      </c>
      <c r="M31" s="2">
        <v>0.2</v>
      </c>
      <c r="N31" s="2">
        <v>0.2</v>
      </c>
      <c r="O31" s="2">
        <v>0.2</v>
      </c>
      <c r="P31" s="2">
        <v>0.2</v>
      </c>
      <c r="Q31" s="2">
        <v>0.2</v>
      </c>
      <c r="R31" s="2">
        <v>0.2</v>
      </c>
      <c r="S31" s="2">
        <v>0.2</v>
      </c>
      <c r="T31" s="2">
        <v>0.2</v>
      </c>
      <c r="U31" s="2">
        <v>0.2</v>
      </c>
      <c r="V31" s="2">
        <v>0.2</v>
      </c>
      <c r="W31" s="2">
        <v>0.2</v>
      </c>
      <c r="X31" s="2">
        <v>0.2</v>
      </c>
      <c r="Y31" s="2">
        <v>0.2</v>
      </c>
      <c r="Z31" s="2">
        <v>0.2</v>
      </c>
      <c r="AA31" s="2">
        <v>0.2</v>
      </c>
      <c r="AB31" s="2">
        <v>0.2</v>
      </c>
      <c r="AC31" s="2">
        <v>0.2</v>
      </c>
      <c r="AD31" s="2">
        <v>0.2</v>
      </c>
      <c r="AE31" s="2">
        <v>0.2</v>
      </c>
      <c r="AF31" s="2">
        <v>0.2</v>
      </c>
      <c r="AG31" s="2">
        <v>0.2</v>
      </c>
      <c r="AH31" s="2">
        <v>0.2</v>
      </c>
    </row>
    <row r="32" spans="1:34">
      <c r="A32" t="str">
        <f t="shared" si="2"/>
        <v>Maize</v>
      </c>
      <c r="B32" t="str">
        <f t="shared" si="3"/>
        <v>Oromia</v>
      </c>
      <c r="C32" s="2">
        <v>0.2</v>
      </c>
      <c r="D32" s="2">
        <v>0.2</v>
      </c>
      <c r="E32" s="2">
        <v>0.2</v>
      </c>
      <c r="F32" s="2">
        <v>0.2</v>
      </c>
      <c r="G32" s="2">
        <v>0.2</v>
      </c>
      <c r="H32" s="2">
        <v>0.2</v>
      </c>
      <c r="I32" s="2">
        <v>0.2</v>
      </c>
      <c r="J32" s="2">
        <v>0.2</v>
      </c>
      <c r="K32" s="2">
        <v>0.2</v>
      </c>
      <c r="L32" s="2">
        <v>0.2</v>
      </c>
      <c r="M32" s="2">
        <v>0.2</v>
      </c>
      <c r="N32" s="2">
        <v>0.2</v>
      </c>
      <c r="O32" s="2">
        <v>0.2</v>
      </c>
      <c r="P32" s="2">
        <v>0.2</v>
      </c>
      <c r="Q32" s="2">
        <v>0.2</v>
      </c>
      <c r="R32" s="2">
        <v>0.2</v>
      </c>
      <c r="S32" s="2">
        <v>0.2</v>
      </c>
      <c r="T32" s="2">
        <v>0.2</v>
      </c>
      <c r="U32" s="2">
        <v>0.2</v>
      </c>
      <c r="V32" s="2">
        <v>0.2</v>
      </c>
      <c r="W32" s="2">
        <v>0.2</v>
      </c>
      <c r="X32" s="2">
        <v>0.2</v>
      </c>
      <c r="Y32" s="2">
        <v>0.2</v>
      </c>
      <c r="Z32" s="2">
        <v>0.2</v>
      </c>
      <c r="AA32" s="2">
        <v>0.2</v>
      </c>
      <c r="AB32" s="2">
        <v>0.2</v>
      </c>
      <c r="AC32" s="2">
        <v>0.2</v>
      </c>
      <c r="AD32" s="2">
        <v>0.2</v>
      </c>
      <c r="AE32" s="2">
        <v>0.2</v>
      </c>
      <c r="AF32" s="2">
        <v>0.2</v>
      </c>
      <c r="AG32" s="2">
        <v>0.2</v>
      </c>
      <c r="AH32" s="2">
        <v>0.2</v>
      </c>
    </row>
    <row r="33" spans="1:34">
      <c r="A33" t="str">
        <f t="shared" si="2"/>
        <v>Maize</v>
      </c>
      <c r="B33" t="str">
        <f t="shared" si="3"/>
        <v>Somali</v>
      </c>
      <c r="C33" s="2">
        <v>0.2</v>
      </c>
      <c r="D33" s="2">
        <v>0.2</v>
      </c>
      <c r="E33" s="2">
        <v>0.2</v>
      </c>
      <c r="F33" s="2">
        <v>0.2</v>
      </c>
      <c r="G33" s="2">
        <v>0.2</v>
      </c>
      <c r="H33" s="2">
        <v>0.2</v>
      </c>
      <c r="I33" s="2">
        <v>0.2</v>
      </c>
      <c r="J33" s="2">
        <v>0.2</v>
      </c>
      <c r="K33" s="2">
        <v>0.2</v>
      </c>
      <c r="L33" s="2">
        <v>0.2</v>
      </c>
      <c r="M33" s="2">
        <v>0.2</v>
      </c>
      <c r="N33" s="2">
        <v>0.2</v>
      </c>
      <c r="O33" s="2">
        <v>0.2</v>
      </c>
      <c r="P33" s="2">
        <v>0.2</v>
      </c>
      <c r="Q33" s="2">
        <v>0.2</v>
      </c>
      <c r="R33" s="2">
        <v>0.2</v>
      </c>
      <c r="S33" s="2">
        <v>0.2</v>
      </c>
      <c r="T33" s="2">
        <v>0.2</v>
      </c>
      <c r="U33" s="2">
        <v>0.2</v>
      </c>
      <c r="V33" s="2">
        <v>0.2</v>
      </c>
      <c r="W33" s="2">
        <v>0.2</v>
      </c>
      <c r="X33" s="2">
        <v>0.2</v>
      </c>
      <c r="Y33" s="2">
        <v>0.2</v>
      </c>
      <c r="Z33" s="2">
        <v>0.2</v>
      </c>
      <c r="AA33" s="2">
        <v>0.2</v>
      </c>
      <c r="AB33" s="2">
        <v>0.2</v>
      </c>
      <c r="AC33" s="2">
        <v>0.2</v>
      </c>
      <c r="AD33" s="2">
        <v>0.2</v>
      </c>
      <c r="AE33" s="2">
        <v>0.2</v>
      </c>
      <c r="AF33" s="2">
        <v>0.2</v>
      </c>
      <c r="AG33" s="2">
        <v>0.2</v>
      </c>
      <c r="AH33" s="2">
        <v>0.2</v>
      </c>
    </row>
    <row r="34" spans="1:34">
      <c r="A34" t="str">
        <f t="shared" si="2"/>
        <v>Maize</v>
      </c>
      <c r="B34" t="str">
        <f t="shared" si="3"/>
        <v>SNNPR</v>
      </c>
      <c r="C34" s="2">
        <v>0.2</v>
      </c>
      <c r="D34" s="2">
        <v>0.2</v>
      </c>
      <c r="E34" s="2">
        <v>0.2</v>
      </c>
      <c r="F34" s="2">
        <v>0.2</v>
      </c>
      <c r="G34" s="2">
        <v>0.2</v>
      </c>
      <c r="H34" s="2">
        <v>0.2</v>
      </c>
      <c r="I34" s="2">
        <v>0.2</v>
      </c>
      <c r="J34" s="2">
        <v>0.2</v>
      </c>
      <c r="K34" s="2">
        <v>0.2</v>
      </c>
      <c r="L34" s="2">
        <v>0.2</v>
      </c>
      <c r="M34" s="2">
        <v>0.2</v>
      </c>
      <c r="N34" s="2">
        <v>0.2</v>
      </c>
      <c r="O34" s="2">
        <v>0.2</v>
      </c>
      <c r="P34" s="2">
        <v>0.2</v>
      </c>
      <c r="Q34" s="2">
        <v>0.2</v>
      </c>
      <c r="R34" s="2">
        <v>0.2</v>
      </c>
      <c r="S34" s="2">
        <v>0.2</v>
      </c>
      <c r="T34" s="2">
        <v>0.2</v>
      </c>
      <c r="U34" s="2">
        <v>0.2</v>
      </c>
      <c r="V34" s="2">
        <v>0.2</v>
      </c>
      <c r="W34" s="2">
        <v>0.2</v>
      </c>
      <c r="X34" s="2">
        <v>0.2</v>
      </c>
      <c r="Y34" s="2">
        <v>0.2</v>
      </c>
      <c r="Z34" s="2">
        <v>0.2</v>
      </c>
      <c r="AA34" s="2">
        <v>0.2</v>
      </c>
      <c r="AB34" s="2">
        <v>0.2</v>
      </c>
      <c r="AC34" s="2">
        <v>0.2</v>
      </c>
      <c r="AD34" s="2">
        <v>0.2</v>
      </c>
      <c r="AE34" s="2">
        <v>0.2</v>
      </c>
      <c r="AF34" s="2">
        <v>0.2</v>
      </c>
      <c r="AG34" s="2">
        <v>0.2</v>
      </c>
      <c r="AH34" s="2">
        <v>0.2</v>
      </c>
    </row>
    <row r="35" spans="1:34">
      <c r="A35" t="str">
        <f t="shared" si="2"/>
        <v>Maize</v>
      </c>
      <c r="B35" t="str">
        <f t="shared" si="3"/>
        <v>Tigray</v>
      </c>
      <c r="C35" s="2">
        <v>0.2</v>
      </c>
      <c r="D35" s="2">
        <v>0.2</v>
      </c>
      <c r="E35" s="2">
        <v>0.2</v>
      </c>
      <c r="F35" s="2">
        <v>0.2</v>
      </c>
      <c r="G35" s="2">
        <v>0.2</v>
      </c>
      <c r="H35" s="2">
        <v>0.2</v>
      </c>
      <c r="I35" s="2">
        <v>0.2</v>
      </c>
      <c r="J35" s="2">
        <v>0.2</v>
      </c>
      <c r="K35" s="2">
        <v>0.2</v>
      </c>
      <c r="L35" s="2">
        <v>0.2</v>
      </c>
      <c r="M35" s="2">
        <v>0.2</v>
      </c>
      <c r="N35" s="2">
        <v>0.2</v>
      </c>
      <c r="O35" s="2">
        <v>0.2</v>
      </c>
      <c r="P35" s="2">
        <v>0.2</v>
      </c>
      <c r="Q35" s="2">
        <v>0.2</v>
      </c>
      <c r="R35" s="2">
        <v>0.2</v>
      </c>
      <c r="S35" s="2">
        <v>0.2</v>
      </c>
      <c r="T35" s="2">
        <v>0.2</v>
      </c>
      <c r="U35" s="2">
        <v>0.2</v>
      </c>
      <c r="V35" s="2">
        <v>0.2</v>
      </c>
      <c r="W35" s="2">
        <v>0.2</v>
      </c>
      <c r="X35" s="2">
        <v>0.2</v>
      </c>
      <c r="Y35" s="2">
        <v>0.2</v>
      </c>
      <c r="Z35" s="2">
        <v>0.2</v>
      </c>
      <c r="AA35" s="2">
        <v>0.2</v>
      </c>
      <c r="AB35" s="2">
        <v>0.2</v>
      </c>
      <c r="AC35" s="2">
        <v>0.2</v>
      </c>
      <c r="AD35" s="2">
        <v>0.2</v>
      </c>
      <c r="AE35" s="2">
        <v>0.2</v>
      </c>
      <c r="AF35" s="2">
        <v>0.2</v>
      </c>
      <c r="AG35" s="2">
        <v>0.2</v>
      </c>
      <c r="AH35" s="2">
        <v>0.2</v>
      </c>
    </row>
    <row r="36" spans="1:34">
      <c r="A36" t="str">
        <f t="shared" si="2"/>
        <v>Lentils</v>
      </c>
      <c r="B36" t="str">
        <f t="shared" si="3"/>
        <v>AddisAbaba</v>
      </c>
      <c r="C36" s="2">
        <v>0.2</v>
      </c>
      <c r="D36" s="2">
        <v>0.2</v>
      </c>
      <c r="E36" s="2">
        <v>0.2</v>
      </c>
      <c r="F36" s="2">
        <v>0.2</v>
      </c>
      <c r="G36" s="2">
        <v>0.2</v>
      </c>
      <c r="H36" s="2">
        <v>0.2</v>
      </c>
      <c r="I36" s="2">
        <v>0.2</v>
      </c>
      <c r="J36" s="2">
        <v>0.2</v>
      </c>
      <c r="K36" s="2">
        <v>0.2</v>
      </c>
      <c r="L36" s="2">
        <v>0.2</v>
      </c>
      <c r="M36" s="2">
        <v>0.2</v>
      </c>
      <c r="N36" s="2">
        <v>0.2</v>
      </c>
      <c r="O36" s="2">
        <v>0.2</v>
      </c>
      <c r="P36" s="2">
        <v>0.2</v>
      </c>
      <c r="Q36" s="2">
        <v>0.2</v>
      </c>
      <c r="R36" s="2">
        <v>0.2</v>
      </c>
      <c r="S36" s="2">
        <v>0.2</v>
      </c>
      <c r="T36" s="2">
        <v>0.2</v>
      </c>
      <c r="U36" s="2">
        <v>0.2</v>
      </c>
      <c r="V36" s="2">
        <v>0.2</v>
      </c>
      <c r="W36" s="2">
        <v>0.2</v>
      </c>
      <c r="X36" s="2">
        <v>0.2</v>
      </c>
      <c r="Y36" s="2">
        <v>0.2</v>
      </c>
      <c r="Z36" s="2">
        <v>0.2</v>
      </c>
      <c r="AA36" s="2">
        <v>0.2</v>
      </c>
      <c r="AB36" s="2">
        <v>0.2</v>
      </c>
      <c r="AC36" s="2">
        <v>0.2</v>
      </c>
      <c r="AD36" s="2">
        <v>0.2</v>
      </c>
      <c r="AE36" s="2">
        <v>0.2</v>
      </c>
      <c r="AF36" s="2">
        <v>0.2</v>
      </c>
      <c r="AG36" s="2">
        <v>0.2</v>
      </c>
      <c r="AH36" s="2">
        <v>0.2</v>
      </c>
    </row>
    <row r="37" spans="1:34">
      <c r="A37" t="str">
        <f t="shared" si="2"/>
        <v>Lentils</v>
      </c>
      <c r="B37" t="str">
        <f t="shared" si="3"/>
        <v>Afar</v>
      </c>
      <c r="C37" s="2">
        <v>0.2</v>
      </c>
      <c r="D37" s="2">
        <v>0.2</v>
      </c>
      <c r="E37" s="2">
        <v>0.2</v>
      </c>
      <c r="F37" s="2">
        <v>0.2</v>
      </c>
      <c r="G37" s="2">
        <v>0.2</v>
      </c>
      <c r="H37" s="2">
        <v>0.2</v>
      </c>
      <c r="I37" s="2">
        <v>0.2</v>
      </c>
      <c r="J37" s="2">
        <v>0.2</v>
      </c>
      <c r="K37" s="2">
        <v>0.2</v>
      </c>
      <c r="L37" s="2">
        <v>0.2</v>
      </c>
      <c r="M37" s="2">
        <v>0.2</v>
      </c>
      <c r="N37" s="2">
        <v>0.2</v>
      </c>
      <c r="O37" s="2">
        <v>0.2</v>
      </c>
      <c r="P37" s="2">
        <v>0.2</v>
      </c>
      <c r="Q37" s="2">
        <v>0.2</v>
      </c>
      <c r="R37" s="2">
        <v>0.2</v>
      </c>
      <c r="S37" s="2">
        <v>0.2</v>
      </c>
      <c r="T37" s="2">
        <v>0.2</v>
      </c>
      <c r="U37" s="2">
        <v>0.2</v>
      </c>
      <c r="V37" s="2">
        <v>0.2</v>
      </c>
      <c r="W37" s="2">
        <v>0.2</v>
      </c>
      <c r="X37" s="2">
        <v>0.2</v>
      </c>
      <c r="Y37" s="2">
        <v>0.2</v>
      </c>
      <c r="Z37" s="2">
        <v>0.2</v>
      </c>
      <c r="AA37" s="2">
        <v>0.2</v>
      </c>
      <c r="AB37" s="2">
        <v>0.2</v>
      </c>
      <c r="AC37" s="2">
        <v>0.2</v>
      </c>
      <c r="AD37" s="2">
        <v>0.2</v>
      </c>
      <c r="AE37" s="2">
        <v>0.2</v>
      </c>
      <c r="AF37" s="2">
        <v>0.2</v>
      </c>
      <c r="AG37" s="2">
        <v>0.2</v>
      </c>
      <c r="AH37" s="2">
        <v>0.2</v>
      </c>
    </row>
    <row r="38" spans="1:34">
      <c r="A38" t="str">
        <f t="shared" si="2"/>
        <v>Lentils</v>
      </c>
      <c r="B38" t="str">
        <f t="shared" si="3"/>
        <v>Amhara</v>
      </c>
      <c r="C38" s="2">
        <v>0.2</v>
      </c>
      <c r="D38" s="2">
        <v>0.2</v>
      </c>
      <c r="E38" s="2">
        <v>0.2</v>
      </c>
      <c r="F38" s="2">
        <v>0.2</v>
      </c>
      <c r="G38" s="2">
        <v>0.2</v>
      </c>
      <c r="H38" s="2">
        <v>0.2</v>
      </c>
      <c r="I38" s="2">
        <v>0.2</v>
      </c>
      <c r="J38" s="2">
        <v>0.2</v>
      </c>
      <c r="K38" s="2">
        <v>0.2</v>
      </c>
      <c r="L38" s="2">
        <v>0.2</v>
      </c>
      <c r="M38" s="2">
        <v>0.2</v>
      </c>
      <c r="N38" s="2">
        <v>0.2</v>
      </c>
      <c r="O38" s="2">
        <v>0.2</v>
      </c>
      <c r="P38" s="2">
        <v>0.2</v>
      </c>
      <c r="Q38" s="2">
        <v>0.2</v>
      </c>
      <c r="R38" s="2">
        <v>0.2</v>
      </c>
      <c r="S38" s="2">
        <v>0.2</v>
      </c>
      <c r="T38" s="2">
        <v>0.2</v>
      </c>
      <c r="U38" s="2">
        <v>0.2</v>
      </c>
      <c r="V38" s="2">
        <v>0.2</v>
      </c>
      <c r="W38" s="2">
        <v>0.2</v>
      </c>
      <c r="X38" s="2">
        <v>0.2</v>
      </c>
      <c r="Y38" s="2">
        <v>0.2</v>
      </c>
      <c r="Z38" s="2">
        <v>0.2</v>
      </c>
      <c r="AA38" s="2">
        <v>0.2</v>
      </c>
      <c r="AB38" s="2">
        <v>0.2</v>
      </c>
      <c r="AC38" s="2">
        <v>0.2</v>
      </c>
      <c r="AD38" s="2">
        <v>0.2</v>
      </c>
      <c r="AE38" s="2">
        <v>0.2</v>
      </c>
      <c r="AF38" s="2">
        <v>0.2</v>
      </c>
      <c r="AG38" s="2">
        <v>0.2</v>
      </c>
      <c r="AH38" s="2">
        <v>0.2</v>
      </c>
    </row>
    <row r="39" spans="1:34">
      <c r="A39" t="str">
        <f t="shared" si="2"/>
        <v>Lentils</v>
      </c>
      <c r="B39" t="str">
        <f t="shared" si="3"/>
        <v>Gumuz</v>
      </c>
      <c r="C39" s="2">
        <v>0.2</v>
      </c>
      <c r="D39" s="2">
        <v>0.2</v>
      </c>
      <c r="E39" s="2">
        <v>0.2</v>
      </c>
      <c r="F39" s="2">
        <v>0.2</v>
      </c>
      <c r="G39" s="2">
        <v>0.2</v>
      </c>
      <c r="H39" s="2">
        <v>0.2</v>
      </c>
      <c r="I39" s="2">
        <v>0.2</v>
      </c>
      <c r="J39" s="2">
        <v>0.2</v>
      </c>
      <c r="K39" s="2">
        <v>0.2</v>
      </c>
      <c r="L39" s="2">
        <v>0.2</v>
      </c>
      <c r="M39" s="2">
        <v>0.2</v>
      </c>
      <c r="N39" s="2">
        <v>0.2</v>
      </c>
      <c r="O39" s="2">
        <v>0.2</v>
      </c>
      <c r="P39" s="2">
        <v>0.2</v>
      </c>
      <c r="Q39" s="2">
        <v>0.2</v>
      </c>
      <c r="R39" s="2">
        <v>0.2</v>
      </c>
      <c r="S39" s="2">
        <v>0.2</v>
      </c>
      <c r="T39" s="2">
        <v>0.2</v>
      </c>
      <c r="U39" s="2">
        <v>0.2</v>
      </c>
      <c r="V39" s="2">
        <v>0.2</v>
      </c>
      <c r="W39" s="2">
        <v>0.2</v>
      </c>
      <c r="X39" s="2">
        <v>0.2</v>
      </c>
      <c r="Y39" s="2">
        <v>0.2</v>
      </c>
      <c r="Z39" s="2">
        <v>0.2</v>
      </c>
      <c r="AA39" s="2">
        <v>0.2</v>
      </c>
      <c r="AB39" s="2">
        <v>0.2</v>
      </c>
      <c r="AC39" s="2">
        <v>0.2</v>
      </c>
      <c r="AD39" s="2">
        <v>0.2</v>
      </c>
      <c r="AE39" s="2">
        <v>0.2</v>
      </c>
      <c r="AF39" s="2">
        <v>0.2</v>
      </c>
      <c r="AG39" s="2">
        <v>0.2</v>
      </c>
      <c r="AH39" s="2">
        <v>0.2</v>
      </c>
    </row>
    <row r="40" spans="1:34">
      <c r="A40" t="str">
        <f t="shared" si="2"/>
        <v>Lentils</v>
      </c>
      <c r="B40" t="str">
        <f t="shared" si="3"/>
        <v>DireDawa</v>
      </c>
      <c r="C40" s="2">
        <v>0.2</v>
      </c>
      <c r="D40" s="2">
        <v>0.2</v>
      </c>
      <c r="E40" s="2">
        <v>0.2</v>
      </c>
      <c r="F40" s="2">
        <v>0.2</v>
      </c>
      <c r="G40" s="2">
        <v>0.2</v>
      </c>
      <c r="H40" s="2">
        <v>0.2</v>
      </c>
      <c r="I40" s="2">
        <v>0.2</v>
      </c>
      <c r="J40" s="2">
        <v>0.2</v>
      </c>
      <c r="K40" s="2">
        <v>0.2</v>
      </c>
      <c r="L40" s="2">
        <v>0.2</v>
      </c>
      <c r="M40" s="2">
        <v>0.2</v>
      </c>
      <c r="N40" s="2">
        <v>0.2</v>
      </c>
      <c r="O40" s="2">
        <v>0.2</v>
      </c>
      <c r="P40" s="2">
        <v>0.2</v>
      </c>
      <c r="Q40" s="2">
        <v>0.2</v>
      </c>
      <c r="R40" s="2">
        <v>0.2</v>
      </c>
      <c r="S40" s="2">
        <v>0.2</v>
      </c>
      <c r="T40" s="2">
        <v>0.2</v>
      </c>
      <c r="U40" s="2">
        <v>0.2</v>
      </c>
      <c r="V40" s="2">
        <v>0.2</v>
      </c>
      <c r="W40" s="2">
        <v>0.2</v>
      </c>
      <c r="X40" s="2">
        <v>0.2</v>
      </c>
      <c r="Y40" s="2">
        <v>0.2</v>
      </c>
      <c r="Z40" s="2">
        <v>0.2</v>
      </c>
      <c r="AA40" s="2">
        <v>0.2</v>
      </c>
      <c r="AB40" s="2">
        <v>0.2</v>
      </c>
      <c r="AC40" s="2">
        <v>0.2</v>
      </c>
      <c r="AD40" s="2">
        <v>0.2</v>
      </c>
      <c r="AE40" s="2">
        <v>0.2</v>
      </c>
      <c r="AF40" s="2">
        <v>0.2</v>
      </c>
      <c r="AG40" s="2">
        <v>0.2</v>
      </c>
      <c r="AH40" s="2">
        <v>0.2</v>
      </c>
    </row>
    <row r="41" spans="1:34">
      <c r="A41" t="str">
        <f t="shared" si="2"/>
        <v>Lentils</v>
      </c>
      <c r="B41" t="str">
        <f t="shared" si="3"/>
        <v>Gambela</v>
      </c>
      <c r="C41" s="2">
        <v>0.2</v>
      </c>
      <c r="D41" s="2">
        <v>0.2</v>
      </c>
      <c r="E41" s="2">
        <v>0.2</v>
      </c>
      <c r="F41" s="2">
        <v>0.2</v>
      </c>
      <c r="G41" s="2">
        <v>0.2</v>
      </c>
      <c r="H41" s="2">
        <v>0.2</v>
      </c>
      <c r="I41" s="2">
        <v>0.2</v>
      </c>
      <c r="J41" s="2">
        <v>0.2</v>
      </c>
      <c r="K41" s="2">
        <v>0.2</v>
      </c>
      <c r="L41" s="2">
        <v>0.2</v>
      </c>
      <c r="M41" s="2">
        <v>0.2</v>
      </c>
      <c r="N41" s="2">
        <v>0.2</v>
      </c>
      <c r="O41" s="2">
        <v>0.2</v>
      </c>
      <c r="P41" s="2">
        <v>0.2</v>
      </c>
      <c r="Q41" s="2">
        <v>0.2</v>
      </c>
      <c r="R41" s="2">
        <v>0.2</v>
      </c>
      <c r="S41" s="2">
        <v>0.2</v>
      </c>
      <c r="T41" s="2">
        <v>0.2</v>
      </c>
      <c r="U41" s="2">
        <v>0.2</v>
      </c>
      <c r="V41" s="2">
        <v>0.2</v>
      </c>
      <c r="W41" s="2">
        <v>0.2</v>
      </c>
      <c r="X41" s="2">
        <v>0.2</v>
      </c>
      <c r="Y41" s="2">
        <v>0.2</v>
      </c>
      <c r="Z41" s="2">
        <v>0.2</v>
      </c>
      <c r="AA41" s="2">
        <v>0.2</v>
      </c>
      <c r="AB41" s="2">
        <v>0.2</v>
      </c>
      <c r="AC41" s="2">
        <v>0.2</v>
      </c>
      <c r="AD41" s="2">
        <v>0.2</v>
      </c>
      <c r="AE41" s="2">
        <v>0.2</v>
      </c>
      <c r="AF41" s="2">
        <v>0.2</v>
      </c>
      <c r="AG41" s="2">
        <v>0.2</v>
      </c>
      <c r="AH41" s="2">
        <v>0.2</v>
      </c>
    </row>
    <row r="42" spans="1:34">
      <c r="A42" t="str">
        <f t="shared" si="2"/>
        <v>Lentils</v>
      </c>
      <c r="B42" t="str">
        <f t="shared" si="3"/>
        <v>Harari</v>
      </c>
      <c r="C42" s="2">
        <v>0.2</v>
      </c>
      <c r="D42" s="2">
        <v>0.2</v>
      </c>
      <c r="E42" s="2">
        <v>0.2</v>
      </c>
      <c r="F42" s="2">
        <v>0.2</v>
      </c>
      <c r="G42" s="2">
        <v>0.2</v>
      </c>
      <c r="H42" s="2">
        <v>0.2</v>
      </c>
      <c r="I42" s="2">
        <v>0.2</v>
      </c>
      <c r="J42" s="2">
        <v>0.2</v>
      </c>
      <c r="K42" s="2">
        <v>0.2</v>
      </c>
      <c r="L42" s="2">
        <v>0.2</v>
      </c>
      <c r="M42" s="2">
        <v>0.2</v>
      </c>
      <c r="N42" s="2">
        <v>0.2</v>
      </c>
      <c r="O42" s="2">
        <v>0.2</v>
      </c>
      <c r="P42" s="2">
        <v>0.2</v>
      </c>
      <c r="Q42" s="2">
        <v>0.2</v>
      </c>
      <c r="R42" s="2">
        <v>0.2</v>
      </c>
      <c r="S42" s="2">
        <v>0.2</v>
      </c>
      <c r="T42" s="2">
        <v>0.2</v>
      </c>
      <c r="U42" s="2">
        <v>0.2</v>
      </c>
      <c r="V42" s="2">
        <v>0.2</v>
      </c>
      <c r="W42" s="2">
        <v>0.2</v>
      </c>
      <c r="X42" s="2">
        <v>0.2</v>
      </c>
      <c r="Y42" s="2">
        <v>0.2</v>
      </c>
      <c r="Z42" s="2">
        <v>0.2</v>
      </c>
      <c r="AA42" s="2">
        <v>0.2</v>
      </c>
      <c r="AB42" s="2">
        <v>0.2</v>
      </c>
      <c r="AC42" s="2">
        <v>0.2</v>
      </c>
      <c r="AD42" s="2">
        <v>0.2</v>
      </c>
      <c r="AE42" s="2">
        <v>0.2</v>
      </c>
      <c r="AF42" s="2">
        <v>0.2</v>
      </c>
      <c r="AG42" s="2">
        <v>0.2</v>
      </c>
      <c r="AH42" s="2">
        <v>0.2</v>
      </c>
    </row>
    <row r="43" spans="1:34">
      <c r="A43" t="str">
        <f t="shared" si="2"/>
        <v>Lentils</v>
      </c>
      <c r="B43" t="str">
        <f t="shared" si="3"/>
        <v>Oromia</v>
      </c>
      <c r="C43" s="2">
        <v>0.2</v>
      </c>
      <c r="D43" s="2">
        <v>0.2</v>
      </c>
      <c r="E43" s="2">
        <v>0.2</v>
      </c>
      <c r="F43" s="2">
        <v>0.2</v>
      </c>
      <c r="G43" s="2">
        <v>0.2</v>
      </c>
      <c r="H43" s="2">
        <v>0.2</v>
      </c>
      <c r="I43" s="2">
        <v>0.2</v>
      </c>
      <c r="J43" s="2">
        <v>0.2</v>
      </c>
      <c r="K43" s="2">
        <v>0.2</v>
      </c>
      <c r="L43" s="2">
        <v>0.2</v>
      </c>
      <c r="M43" s="2">
        <v>0.2</v>
      </c>
      <c r="N43" s="2">
        <v>0.2</v>
      </c>
      <c r="O43" s="2">
        <v>0.2</v>
      </c>
      <c r="P43" s="2">
        <v>0.2</v>
      </c>
      <c r="Q43" s="2">
        <v>0.2</v>
      </c>
      <c r="R43" s="2">
        <v>0.2</v>
      </c>
      <c r="S43" s="2">
        <v>0.2</v>
      </c>
      <c r="T43" s="2">
        <v>0.2</v>
      </c>
      <c r="U43" s="2">
        <v>0.2</v>
      </c>
      <c r="V43" s="2">
        <v>0.2</v>
      </c>
      <c r="W43" s="2">
        <v>0.2</v>
      </c>
      <c r="X43" s="2">
        <v>0.2</v>
      </c>
      <c r="Y43" s="2">
        <v>0.2</v>
      </c>
      <c r="Z43" s="2">
        <v>0.2</v>
      </c>
      <c r="AA43" s="2">
        <v>0.2</v>
      </c>
      <c r="AB43" s="2">
        <v>0.2</v>
      </c>
      <c r="AC43" s="2">
        <v>0.2</v>
      </c>
      <c r="AD43" s="2">
        <v>0.2</v>
      </c>
      <c r="AE43" s="2">
        <v>0.2</v>
      </c>
      <c r="AF43" s="2">
        <v>0.2</v>
      </c>
      <c r="AG43" s="2">
        <v>0.2</v>
      </c>
      <c r="AH43" s="2">
        <v>0.2</v>
      </c>
    </row>
    <row r="44" spans="1:34">
      <c r="A44" t="str">
        <f t="shared" si="2"/>
        <v>Lentils</v>
      </c>
      <c r="B44" t="str">
        <f t="shared" si="3"/>
        <v>Somali</v>
      </c>
      <c r="C44" s="2">
        <v>0.2</v>
      </c>
      <c r="D44" s="2">
        <v>0.2</v>
      </c>
      <c r="E44" s="2">
        <v>0.2</v>
      </c>
      <c r="F44" s="2">
        <v>0.2</v>
      </c>
      <c r="G44" s="2">
        <v>0.2</v>
      </c>
      <c r="H44" s="2">
        <v>0.2</v>
      </c>
      <c r="I44" s="2">
        <v>0.2</v>
      </c>
      <c r="J44" s="2">
        <v>0.2</v>
      </c>
      <c r="K44" s="2">
        <v>0.2</v>
      </c>
      <c r="L44" s="2">
        <v>0.2</v>
      </c>
      <c r="M44" s="2">
        <v>0.2</v>
      </c>
      <c r="N44" s="2">
        <v>0.2</v>
      </c>
      <c r="O44" s="2">
        <v>0.2</v>
      </c>
      <c r="P44" s="2">
        <v>0.2</v>
      </c>
      <c r="Q44" s="2">
        <v>0.2</v>
      </c>
      <c r="R44" s="2">
        <v>0.2</v>
      </c>
      <c r="S44" s="2">
        <v>0.2</v>
      </c>
      <c r="T44" s="2">
        <v>0.2</v>
      </c>
      <c r="U44" s="2">
        <v>0.2</v>
      </c>
      <c r="V44" s="2">
        <v>0.2</v>
      </c>
      <c r="W44" s="2">
        <v>0.2</v>
      </c>
      <c r="X44" s="2">
        <v>0.2</v>
      </c>
      <c r="Y44" s="2">
        <v>0.2</v>
      </c>
      <c r="Z44" s="2">
        <v>0.2</v>
      </c>
      <c r="AA44" s="2">
        <v>0.2</v>
      </c>
      <c r="AB44" s="2">
        <v>0.2</v>
      </c>
      <c r="AC44" s="2">
        <v>0.2</v>
      </c>
      <c r="AD44" s="2">
        <v>0.2</v>
      </c>
      <c r="AE44" s="2">
        <v>0.2</v>
      </c>
      <c r="AF44" s="2">
        <v>0.2</v>
      </c>
      <c r="AG44" s="2">
        <v>0.2</v>
      </c>
      <c r="AH44" s="2">
        <v>0.2</v>
      </c>
    </row>
    <row r="45" spans="1:34">
      <c r="A45" t="str">
        <f t="shared" si="2"/>
        <v>Lentils</v>
      </c>
      <c r="B45" t="str">
        <f t="shared" si="3"/>
        <v>SNNPR</v>
      </c>
      <c r="C45" s="2">
        <v>0.2</v>
      </c>
      <c r="D45" s="2">
        <v>0.2</v>
      </c>
      <c r="E45" s="2">
        <v>0.2</v>
      </c>
      <c r="F45" s="2">
        <v>0.2</v>
      </c>
      <c r="G45" s="2">
        <v>0.2</v>
      </c>
      <c r="H45" s="2">
        <v>0.2</v>
      </c>
      <c r="I45" s="2">
        <v>0.2</v>
      </c>
      <c r="J45" s="2">
        <v>0.2</v>
      </c>
      <c r="K45" s="2">
        <v>0.2</v>
      </c>
      <c r="L45" s="2">
        <v>0.2</v>
      </c>
      <c r="M45" s="2">
        <v>0.2</v>
      </c>
      <c r="N45" s="2">
        <v>0.2</v>
      </c>
      <c r="O45" s="2">
        <v>0.2</v>
      </c>
      <c r="P45" s="2">
        <v>0.2</v>
      </c>
      <c r="Q45" s="2">
        <v>0.2</v>
      </c>
      <c r="R45" s="2">
        <v>0.2</v>
      </c>
      <c r="S45" s="2">
        <v>0.2</v>
      </c>
      <c r="T45" s="2">
        <v>0.2</v>
      </c>
      <c r="U45" s="2">
        <v>0.2</v>
      </c>
      <c r="V45" s="2">
        <v>0.2</v>
      </c>
      <c r="W45" s="2">
        <v>0.2</v>
      </c>
      <c r="X45" s="2">
        <v>0.2</v>
      </c>
      <c r="Y45" s="2">
        <v>0.2</v>
      </c>
      <c r="Z45" s="2">
        <v>0.2</v>
      </c>
      <c r="AA45" s="2">
        <v>0.2</v>
      </c>
      <c r="AB45" s="2">
        <v>0.2</v>
      </c>
      <c r="AC45" s="2">
        <v>0.2</v>
      </c>
      <c r="AD45" s="2">
        <v>0.2</v>
      </c>
      <c r="AE45" s="2">
        <v>0.2</v>
      </c>
      <c r="AF45" s="2">
        <v>0.2</v>
      </c>
      <c r="AG45" s="2">
        <v>0.2</v>
      </c>
      <c r="AH45" s="2">
        <v>0.2</v>
      </c>
    </row>
    <row r="46" spans="1:34">
      <c r="A46" t="str">
        <f t="shared" ref="A46:A68" si="4">INDEX(Food,MATCH(A35,Food,0)+1)</f>
        <v>Lentils</v>
      </c>
      <c r="B46" t="str">
        <f t="shared" si="3"/>
        <v>Tigray</v>
      </c>
      <c r="C46" s="2">
        <v>0.2</v>
      </c>
      <c r="D46" s="2">
        <v>0.2</v>
      </c>
      <c r="E46" s="2">
        <v>0.2</v>
      </c>
      <c r="F46" s="2">
        <v>0.2</v>
      </c>
      <c r="G46" s="2">
        <v>0.2</v>
      </c>
      <c r="H46" s="2">
        <v>0.2</v>
      </c>
      <c r="I46" s="2">
        <v>0.2</v>
      </c>
      <c r="J46" s="2">
        <v>0.2</v>
      </c>
      <c r="K46" s="2">
        <v>0.2</v>
      </c>
      <c r="L46" s="2">
        <v>0.2</v>
      </c>
      <c r="M46" s="2">
        <v>0.2</v>
      </c>
      <c r="N46" s="2">
        <v>0.2</v>
      </c>
      <c r="O46" s="2">
        <v>0.2</v>
      </c>
      <c r="P46" s="2">
        <v>0.2</v>
      </c>
      <c r="Q46" s="2">
        <v>0.2</v>
      </c>
      <c r="R46" s="2">
        <v>0.2</v>
      </c>
      <c r="S46" s="2">
        <v>0.2</v>
      </c>
      <c r="T46" s="2">
        <v>0.2</v>
      </c>
      <c r="U46" s="2">
        <v>0.2</v>
      </c>
      <c r="V46" s="2">
        <v>0.2</v>
      </c>
      <c r="W46" s="2">
        <v>0.2</v>
      </c>
      <c r="X46" s="2">
        <v>0.2</v>
      </c>
      <c r="Y46" s="2">
        <v>0.2</v>
      </c>
      <c r="Z46" s="2">
        <v>0.2</v>
      </c>
      <c r="AA46" s="2">
        <v>0.2</v>
      </c>
      <c r="AB46" s="2">
        <v>0.2</v>
      </c>
      <c r="AC46" s="2">
        <v>0.2</v>
      </c>
      <c r="AD46" s="2">
        <v>0.2</v>
      </c>
      <c r="AE46" s="2">
        <v>0.2</v>
      </c>
      <c r="AF46" s="2">
        <v>0.2</v>
      </c>
      <c r="AG46" s="2">
        <v>0.2</v>
      </c>
      <c r="AH46" s="2">
        <v>0.2</v>
      </c>
    </row>
    <row r="47" spans="1:34">
      <c r="A47" t="str">
        <f t="shared" si="4"/>
        <v>Vegetables</v>
      </c>
      <c r="B47" t="str">
        <f t="shared" si="3"/>
        <v>AddisAbaba</v>
      </c>
      <c r="C47" s="2">
        <v>0.2</v>
      </c>
      <c r="D47" s="2">
        <v>0.2</v>
      </c>
      <c r="E47" s="2">
        <v>0.2</v>
      </c>
      <c r="F47" s="2">
        <v>0.2</v>
      </c>
      <c r="G47" s="2">
        <v>0.2</v>
      </c>
      <c r="H47" s="2">
        <v>0.2</v>
      </c>
      <c r="I47" s="2">
        <v>0.2</v>
      </c>
      <c r="J47" s="2">
        <v>0.2</v>
      </c>
      <c r="K47" s="2">
        <v>0.2</v>
      </c>
      <c r="L47" s="2">
        <v>0.2</v>
      </c>
      <c r="M47" s="2">
        <v>0.2</v>
      </c>
      <c r="N47" s="2">
        <v>0.2</v>
      </c>
      <c r="O47" s="2">
        <v>0.2</v>
      </c>
      <c r="P47" s="2">
        <v>0.2</v>
      </c>
      <c r="Q47" s="2">
        <v>0.2</v>
      </c>
      <c r="R47" s="2">
        <v>0.2</v>
      </c>
      <c r="S47" s="2">
        <v>0.2</v>
      </c>
      <c r="T47" s="2">
        <v>0.2</v>
      </c>
      <c r="U47" s="2">
        <v>0.2</v>
      </c>
      <c r="V47" s="2">
        <v>0.2</v>
      </c>
      <c r="W47" s="2">
        <v>0.2</v>
      </c>
      <c r="X47" s="2">
        <v>0.2</v>
      </c>
      <c r="Y47" s="2">
        <v>0.2</v>
      </c>
      <c r="Z47" s="2">
        <v>0.2</v>
      </c>
      <c r="AA47" s="2">
        <v>0.2</v>
      </c>
      <c r="AB47" s="2">
        <v>0.2</v>
      </c>
      <c r="AC47" s="2">
        <v>0.2</v>
      </c>
      <c r="AD47" s="2">
        <v>0.2</v>
      </c>
      <c r="AE47" s="2">
        <v>0.2</v>
      </c>
      <c r="AF47" s="2">
        <v>0.2</v>
      </c>
      <c r="AG47" s="2">
        <v>0.2</v>
      </c>
      <c r="AH47" s="2">
        <v>0.2</v>
      </c>
    </row>
    <row r="48" spans="1:34">
      <c r="A48" t="str">
        <f t="shared" si="4"/>
        <v>Vegetables</v>
      </c>
      <c r="B48" t="str">
        <f t="shared" si="3"/>
        <v>Afar</v>
      </c>
      <c r="C48" s="2">
        <v>0.2</v>
      </c>
      <c r="D48" s="2">
        <v>0.2</v>
      </c>
      <c r="E48" s="2">
        <v>0.2</v>
      </c>
      <c r="F48" s="2">
        <v>0.2</v>
      </c>
      <c r="G48" s="2">
        <v>0.2</v>
      </c>
      <c r="H48" s="2">
        <v>0.2</v>
      </c>
      <c r="I48" s="2">
        <v>0.2</v>
      </c>
      <c r="J48" s="2">
        <v>0.2</v>
      </c>
      <c r="K48" s="2">
        <v>0.2</v>
      </c>
      <c r="L48" s="2">
        <v>0.2</v>
      </c>
      <c r="M48" s="2">
        <v>0.2</v>
      </c>
      <c r="N48" s="2">
        <v>0.2</v>
      </c>
      <c r="O48" s="2">
        <v>0.2</v>
      </c>
      <c r="P48" s="2">
        <v>0.2</v>
      </c>
      <c r="Q48" s="2">
        <v>0.2</v>
      </c>
      <c r="R48" s="2">
        <v>0.2</v>
      </c>
      <c r="S48" s="2">
        <v>0.2</v>
      </c>
      <c r="T48" s="2">
        <v>0.2</v>
      </c>
      <c r="U48" s="2">
        <v>0.2</v>
      </c>
      <c r="V48" s="2">
        <v>0.2</v>
      </c>
      <c r="W48" s="2">
        <v>0.2</v>
      </c>
      <c r="X48" s="2">
        <v>0.2</v>
      </c>
      <c r="Y48" s="2">
        <v>0.2</v>
      </c>
      <c r="Z48" s="2">
        <v>0.2</v>
      </c>
      <c r="AA48" s="2">
        <v>0.2</v>
      </c>
      <c r="AB48" s="2">
        <v>0.2</v>
      </c>
      <c r="AC48" s="2">
        <v>0.2</v>
      </c>
      <c r="AD48" s="2">
        <v>0.2</v>
      </c>
      <c r="AE48" s="2">
        <v>0.2</v>
      </c>
      <c r="AF48" s="2">
        <v>0.2</v>
      </c>
      <c r="AG48" s="2">
        <v>0.2</v>
      </c>
      <c r="AH48" s="2">
        <v>0.2</v>
      </c>
    </row>
    <row r="49" spans="1:34">
      <c r="A49" t="str">
        <f t="shared" si="4"/>
        <v>Vegetables</v>
      </c>
      <c r="B49" t="str">
        <f t="shared" si="3"/>
        <v>Amhara</v>
      </c>
      <c r="C49" s="2">
        <v>0.2</v>
      </c>
      <c r="D49" s="2">
        <v>0.2</v>
      </c>
      <c r="E49" s="2">
        <v>0.2</v>
      </c>
      <c r="F49" s="2">
        <v>0.2</v>
      </c>
      <c r="G49" s="2">
        <v>0.2</v>
      </c>
      <c r="H49" s="2">
        <v>0.2</v>
      </c>
      <c r="I49" s="2">
        <v>0.2</v>
      </c>
      <c r="J49" s="2">
        <v>0.2</v>
      </c>
      <c r="K49" s="2">
        <v>0.2</v>
      </c>
      <c r="L49" s="2">
        <v>0.2</v>
      </c>
      <c r="M49" s="2">
        <v>0.2</v>
      </c>
      <c r="N49" s="2">
        <v>0.2</v>
      </c>
      <c r="O49" s="2">
        <v>0.2</v>
      </c>
      <c r="P49" s="2">
        <v>0.2</v>
      </c>
      <c r="Q49" s="2">
        <v>0.2</v>
      </c>
      <c r="R49" s="2">
        <v>0.2</v>
      </c>
      <c r="S49" s="2">
        <v>0.2</v>
      </c>
      <c r="T49" s="2">
        <v>0.2</v>
      </c>
      <c r="U49" s="2">
        <v>0.2</v>
      </c>
      <c r="V49" s="2">
        <v>0.2</v>
      </c>
      <c r="W49" s="2">
        <v>0.2</v>
      </c>
      <c r="X49" s="2">
        <v>0.2</v>
      </c>
      <c r="Y49" s="2">
        <v>0.2</v>
      </c>
      <c r="Z49" s="2">
        <v>0.2</v>
      </c>
      <c r="AA49" s="2">
        <v>0.2</v>
      </c>
      <c r="AB49" s="2">
        <v>0.2</v>
      </c>
      <c r="AC49" s="2">
        <v>0.2</v>
      </c>
      <c r="AD49" s="2">
        <v>0.2</v>
      </c>
      <c r="AE49" s="2">
        <v>0.2</v>
      </c>
      <c r="AF49" s="2">
        <v>0.2</v>
      </c>
      <c r="AG49" s="2">
        <v>0.2</v>
      </c>
      <c r="AH49" s="2">
        <v>0.2</v>
      </c>
    </row>
    <row r="50" spans="1:34">
      <c r="A50" t="str">
        <f t="shared" si="4"/>
        <v>Vegetables</v>
      </c>
      <c r="B50" t="str">
        <f t="shared" si="3"/>
        <v>Gumuz</v>
      </c>
      <c r="C50" s="2">
        <v>0.2</v>
      </c>
      <c r="D50" s="2">
        <v>0.2</v>
      </c>
      <c r="E50" s="2">
        <v>0.2</v>
      </c>
      <c r="F50" s="2">
        <v>0.2</v>
      </c>
      <c r="G50" s="2">
        <v>0.2</v>
      </c>
      <c r="H50" s="2">
        <v>0.2</v>
      </c>
      <c r="I50" s="2">
        <v>0.2</v>
      </c>
      <c r="J50" s="2">
        <v>0.2</v>
      </c>
      <c r="K50" s="2">
        <v>0.2</v>
      </c>
      <c r="L50" s="2">
        <v>0.2</v>
      </c>
      <c r="M50" s="2">
        <v>0.2</v>
      </c>
      <c r="N50" s="2">
        <v>0.2</v>
      </c>
      <c r="O50" s="2">
        <v>0.2</v>
      </c>
      <c r="P50" s="2">
        <v>0.2</v>
      </c>
      <c r="Q50" s="2">
        <v>0.2</v>
      </c>
      <c r="R50" s="2">
        <v>0.2</v>
      </c>
      <c r="S50" s="2">
        <v>0.2</v>
      </c>
      <c r="T50" s="2">
        <v>0.2</v>
      </c>
      <c r="U50" s="2">
        <v>0.2</v>
      </c>
      <c r="V50" s="2">
        <v>0.2</v>
      </c>
      <c r="W50" s="2">
        <v>0.2</v>
      </c>
      <c r="X50" s="2">
        <v>0.2</v>
      </c>
      <c r="Y50" s="2">
        <v>0.2</v>
      </c>
      <c r="Z50" s="2">
        <v>0.2</v>
      </c>
      <c r="AA50" s="2">
        <v>0.2</v>
      </c>
      <c r="AB50" s="2">
        <v>0.2</v>
      </c>
      <c r="AC50" s="2">
        <v>0.2</v>
      </c>
      <c r="AD50" s="2">
        <v>0.2</v>
      </c>
      <c r="AE50" s="2">
        <v>0.2</v>
      </c>
      <c r="AF50" s="2">
        <v>0.2</v>
      </c>
      <c r="AG50" s="2">
        <v>0.2</v>
      </c>
      <c r="AH50" s="2">
        <v>0.2</v>
      </c>
    </row>
    <row r="51" spans="1:34">
      <c r="A51" t="str">
        <f t="shared" si="4"/>
        <v>Vegetables</v>
      </c>
      <c r="B51" t="str">
        <f t="shared" si="3"/>
        <v>DireDawa</v>
      </c>
      <c r="C51" s="2">
        <v>0.2</v>
      </c>
      <c r="D51" s="2">
        <v>0.2</v>
      </c>
      <c r="E51" s="2">
        <v>0.2</v>
      </c>
      <c r="F51" s="2">
        <v>0.2</v>
      </c>
      <c r="G51" s="2">
        <v>0.2</v>
      </c>
      <c r="H51" s="2">
        <v>0.2</v>
      </c>
      <c r="I51" s="2">
        <v>0.2</v>
      </c>
      <c r="J51" s="2">
        <v>0.2</v>
      </c>
      <c r="K51" s="2">
        <v>0.2</v>
      </c>
      <c r="L51" s="2">
        <v>0.2</v>
      </c>
      <c r="M51" s="2">
        <v>0.2</v>
      </c>
      <c r="N51" s="2">
        <v>0.2</v>
      </c>
      <c r="O51" s="2">
        <v>0.2</v>
      </c>
      <c r="P51" s="2">
        <v>0.2</v>
      </c>
      <c r="Q51" s="2">
        <v>0.2</v>
      </c>
      <c r="R51" s="2">
        <v>0.2</v>
      </c>
      <c r="S51" s="2">
        <v>0.2</v>
      </c>
      <c r="T51" s="2">
        <v>0.2</v>
      </c>
      <c r="U51" s="2">
        <v>0.2</v>
      </c>
      <c r="V51" s="2">
        <v>0.2</v>
      </c>
      <c r="W51" s="2">
        <v>0.2</v>
      </c>
      <c r="X51" s="2">
        <v>0.2</v>
      </c>
      <c r="Y51" s="2">
        <v>0.2</v>
      </c>
      <c r="Z51" s="2">
        <v>0.2</v>
      </c>
      <c r="AA51" s="2">
        <v>0.2</v>
      </c>
      <c r="AB51" s="2">
        <v>0.2</v>
      </c>
      <c r="AC51" s="2">
        <v>0.2</v>
      </c>
      <c r="AD51" s="2">
        <v>0.2</v>
      </c>
      <c r="AE51" s="2">
        <v>0.2</v>
      </c>
      <c r="AF51" s="2">
        <v>0.2</v>
      </c>
      <c r="AG51" s="2">
        <v>0.2</v>
      </c>
      <c r="AH51" s="2">
        <v>0.2</v>
      </c>
    </row>
    <row r="52" spans="1:34">
      <c r="A52" t="str">
        <f t="shared" si="4"/>
        <v>Vegetables</v>
      </c>
      <c r="B52" t="str">
        <f t="shared" si="3"/>
        <v>Gambela</v>
      </c>
      <c r="C52" s="2">
        <v>0.2</v>
      </c>
      <c r="D52" s="2">
        <v>0.2</v>
      </c>
      <c r="E52" s="2">
        <v>0.2</v>
      </c>
      <c r="F52" s="2">
        <v>0.2</v>
      </c>
      <c r="G52" s="2">
        <v>0.2</v>
      </c>
      <c r="H52" s="2">
        <v>0.2</v>
      </c>
      <c r="I52" s="2">
        <v>0.2</v>
      </c>
      <c r="J52" s="2">
        <v>0.2</v>
      </c>
      <c r="K52" s="2">
        <v>0.2</v>
      </c>
      <c r="L52" s="2">
        <v>0.2</v>
      </c>
      <c r="M52" s="2">
        <v>0.2</v>
      </c>
      <c r="N52" s="2">
        <v>0.2</v>
      </c>
      <c r="O52" s="2">
        <v>0.2</v>
      </c>
      <c r="P52" s="2">
        <v>0.2</v>
      </c>
      <c r="Q52" s="2">
        <v>0.2</v>
      </c>
      <c r="R52" s="2">
        <v>0.2</v>
      </c>
      <c r="S52" s="2">
        <v>0.2</v>
      </c>
      <c r="T52" s="2">
        <v>0.2</v>
      </c>
      <c r="U52" s="2">
        <v>0.2</v>
      </c>
      <c r="V52" s="2">
        <v>0.2</v>
      </c>
      <c r="W52" s="2">
        <v>0.2</v>
      </c>
      <c r="X52" s="2">
        <v>0.2</v>
      </c>
      <c r="Y52" s="2">
        <v>0.2</v>
      </c>
      <c r="Z52" s="2">
        <v>0.2</v>
      </c>
      <c r="AA52" s="2">
        <v>0.2</v>
      </c>
      <c r="AB52" s="2">
        <v>0.2</v>
      </c>
      <c r="AC52" s="2">
        <v>0.2</v>
      </c>
      <c r="AD52" s="2">
        <v>0.2</v>
      </c>
      <c r="AE52" s="2">
        <v>0.2</v>
      </c>
      <c r="AF52" s="2">
        <v>0.2</v>
      </c>
      <c r="AG52" s="2">
        <v>0.2</v>
      </c>
      <c r="AH52" s="2">
        <v>0.2</v>
      </c>
    </row>
    <row r="53" spans="1:34">
      <c r="A53" t="str">
        <f t="shared" si="4"/>
        <v>Vegetables</v>
      </c>
      <c r="B53" t="str">
        <f t="shared" si="3"/>
        <v>Harari</v>
      </c>
      <c r="C53" s="2">
        <v>0.2</v>
      </c>
      <c r="D53" s="2">
        <v>0.2</v>
      </c>
      <c r="E53" s="2">
        <v>0.2</v>
      </c>
      <c r="F53" s="2">
        <v>0.2</v>
      </c>
      <c r="G53" s="2">
        <v>0.2</v>
      </c>
      <c r="H53" s="2">
        <v>0.2</v>
      </c>
      <c r="I53" s="2">
        <v>0.2</v>
      </c>
      <c r="J53" s="2">
        <v>0.2</v>
      </c>
      <c r="K53" s="2">
        <v>0.2</v>
      </c>
      <c r="L53" s="2">
        <v>0.2</v>
      </c>
      <c r="M53" s="2">
        <v>0.2</v>
      </c>
      <c r="N53" s="2">
        <v>0.2</v>
      </c>
      <c r="O53" s="2">
        <v>0.2</v>
      </c>
      <c r="P53" s="2">
        <v>0.2</v>
      </c>
      <c r="Q53" s="2">
        <v>0.2</v>
      </c>
      <c r="R53" s="2">
        <v>0.2</v>
      </c>
      <c r="S53" s="2">
        <v>0.2</v>
      </c>
      <c r="T53" s="2">
        <v>0.2</v>
      </c>
      <c r="U53" s="2">
        <v>0.2</v>
      </c>
      <c r="V53" s="2">
        <v>0.2</v>
      </c>
      <c r="W53" s="2">
        <v>0.2</v>
      </c>
      <c r="X53" s="2">
        <v>0.2</v>
      </c>
      <c r="Y53" s="2">
        <v>0.2</v>
      </c>
      <c r="Z53" s="2">
        <v>0.2</v>
      </c>
      <c r="AA53" s="2">
        <v>0.2</v>
      </c>
      <c r="AB53" s="2">
        <v>0.2</v>
      </c>
      <c r="AC53" s="2">
        <v>0.2</v>
      </c>
      <c r="AD53" s="2">
        <v>0.2</v>
      </c>
      <c r="AE53" s="2">
        <v>0.2</v>
      </c>
      <c r="AF53" s="2">
        <v>0.2</v>
      </c>
      <c r="AG53" s="2">
        <v>0.2</v>
      </c>
      <c r="AH53" s="2">
        <v>0.2</v>
      </c>
    </row>
    <row r="54" spans="1:34">
      <c r="A54" t="str">
        <f t="shared" si="4"/>
        <v>Vegetables</v>
      </c>
      <c r="B54" t="str">
        <f t="shared" si="3"/>
        <v>Oromia</v>
      </c>
      <c r="C54" s="2">
        <v>0.2</v>
      </c>
      <c r="D54" s="2">
        <v>0.2</v>
      </c>
      <c r="E54" s="2">
        <v>0.2</v>
      </c>
      <c r="F54" s="2">
        <v>0.2</v>
      </c>
      <c r="G54" s="2">
        <v>0.2</v>
      </c>
      <c r="H54" s="2">
        <v>0.2</v>
      </c>
      <c r="I54" s="2">
        <v>0.2</v>
      </c>
      <c r="J54" s="2">
        <v>0.2</v>
      </c>
      <c r="K54" s="2">
        <v>0.2</v>
      </c>
      <c r="L54" s="2">
        <v>0.2</v>
      </c>
      <c r="M54" s="2">
        <v>0.2</v>
      </c>
      <c r="N54" s="2">
        <v>0.2</v>
      </c>
      <c r="O54" s="2">
        <v>0.2</v>
      </c>
      <c r="P54" s="2">
        <v>0.2</v>
      </c>
      <c r="Q54" s="2">
        <v>0.2</v>
      </c>
      <c r="R54" s="2">
        <v>0.2</v>
      </c>
      <c r="S54" s="2">
        <v>0.2</v>
      </c>
      <c r="T54" s="2">
        <v>0.2</v>
      </c>
      <c r="U54" s="2">
        <v>0.2</v>
      </c>
      <c r="V54" s="2">
        <v>0.2</v>
      </c>
      <c r="W54" s="2">
        <v>0.2</v>
      </c>
      <c r="X54" s="2">
        <v>0.2</v>
      </c>
      <c r="Y54" s="2">
        <v>0.2</v>
      </c>
      <c r="Z54" s="2">
        <v>0.2</v>
      </c>
      <c r="AA54" s="2">
        <v>0.2</v>
      </c>
      <c r="AB54" s="2">
        <v>0.2</v>
      </c>
      <c r="AC54" s="2">
        <v>0.2</v>
      </c>
      <c r="AD54" s="2">
        <v>0.2</v>
      </c>
      <c r="AE54" s="2">
        <v>0.2</v>
      </c>
      <c r="AF54" s="2">
        <v>0.2</v>
      </c>
      <c r="AG54" s="2">
        <v>0.2</v>
      </c>
      <c r="AH54" s="2">
        <v>0.2</v>
      </c>
    </row>
    <row r="55" spans="1:34">
      <c r="A55" t="str">
        <f t="shared" si="4"/>
        <v>Vegetables</v>
      </c>
      <c r="B55" t="str">
        <f t="shared" si="3"/>
        <v>Somali</v>
      </c>
      <c r="C55" s="2">
        <v>0.2</v>
      </c>
      <c r="D55" s="2">
        <v>0.2</v>
      </c>
      <c r="E55" s="2">
        <v>0.2</v>
      </c>
      <c r="F55" s="2">
        <v>0.2</v>
      </c>
      <c r="G55" s="2">
        <v>0.2</v>
      </c>
      <c r="H55" s="2">
        <v>0.2</v>
      </c>
      <c r="I55" s="2">
        <v>0.2</v>
      </c>
      <c r="J55" s="2">
        <v>0.2</v>
      </c>
      <c r="K55" s="2">
        <v>0.2</v>
      </c>
      <c r="L55" s="2">
        <v>0.2</v>
      </c>
      <c r="M55" s="2">
        <v>0.2</v>
      </c>
      <c r="N55" s="2">
        <v>0.2</v>
      </c>
      <c r="O55" s="2">
        <v>0.2</v>
      </c>
      <c r="P55" s="2">
        <v>0.2</v>
      </c>
      <c r="Q55" s="2">
        <v>0.2</v>
      </c>
      <c r="R55" s="2">
        <v>0.2</v>
      </c>
      <c r="S55" s="2">
        <v>0.2</v>
      </c>
      <c r="T55" s="2">
        <v>0.2</v>
      </c>
      <c r="U55" s="2">
        <v>0.2</v>
      </c>
      <c r="V55" s="2">
        <v>0.2</v>
      </c>
      <c r="W55" s="2">
        <v>0.2</v>
      </c>
      <c r="X55" s="2">
        <v>0.2</v>
      </c>
      <c r="Y55" s="2">
        <v>0.2</v>
      </c>
      <c r="Z55" s="2">
        <v>0.2</v>
      </c>
      <c r="AA55" s="2">
        <v>0.2</v>
      </c>
      <c r="AB55" s="2">
        <v>0.2</v>
      </c>
      <c r="AC55" s="2">
        <v>0.2</v>
      </c>
      <c r="AD55" s="2">
        <v>0.2</v>
      </c>
      <c r="AE55" s="2">
        <v>0.2</v>
      </c>
      <c r="AF55" s="2">
        <v>0.2</v>
      </c>
      <c r="AG55" s="2">
        <v>0.2</v>
      </c>
      <c r="AH55" s="2">
        <v>0.2</v>
      </c>
    </row>
    <row r="56" spans="1:34">
      <c r="A56" t="str">
        <f t="shared" si="4"/>
        <v>Vegetables</v>
      </c>
      <c r="B56" t="str">
        <f t="shared" si="3"/>
        <v>SNNPR</v>
      </c>
      <c r="C56" s="2">
        <v>0.2</v>
      </c>
      <c r="D56" s="2">
        <v>0.2</v>
      </c>
      <c r="E56" s="2">
        <v>0.2</v>
      </c>
      <c r="F56" s="2">
        <v>0.2</v>
      </c>
      <c r="G56" s="2">
        <v>0.2</v>
      </c>
      <c r="H56" s="2">
        <v>0.2</v>
      </c>
      <c r="I56" s="2">
        <v>0.2</v>
      </c>
      <c r="J56" s="2">
        <v>0.2</v>
      </c>
      <c r="K56" s="2">
        <v>0.2</v>
      </c>
      <c r="L56" s="2">
        <v>0.2</v>
      </c>
      <c r="M56" s="2">
        <v>0.2</v>
      </c>
      <c r="N56" s="2">
        <v>0.2</v>
      </c>
      <c r="O56" s="2">
        <v>0.2</v>
      </c>
      <c r="P56" s="2">
        <v>0.2</v>
      </c>
      <c r="Q56" s="2">
        <v>0.2</v>
      </c>
      <c r="R56" s="2">
        <v>0.2</v>
      </c>
      <c r="S56" s="2">
        <v>0.2</v>
      </c>
      <c r="T56" s="2">
        <v>0.2</v>
      </c>
      <c r="U56" s="2">
        <v>0.2</v>
      </c>
      <c r="V56" s="2">
        <v>0.2</v>
      </c>
      <c r="W56" s="2">
        <v>0.2</v>
      </c>
      <c r="X56" s="2">
        <v>0.2</v>
      </c>
      <c r="Y56" s="2">
        <v>0.2</v>
      </c>
      <c r="Z56" s="2">
        <v>0.2</v>
      </c>
      <c r="AA56" s="2">
        <v>0.2</v>
      </c>
      <c r="AB56" s="2">
        <v>0.2</v>
      </c>
      <c r="AC56" s="2">
        <v>0.2</v>
      </c>
      <c r="AD56" s="2">
        <v>0.2</v>
      </c>
      <c r="AE56" s="2">
        <v>0.2</v>
      </c>
      <c r="AF56" s="2">
        <v>0.2</v>
      </c>
      <c r="AG56" s="2">
        <v>0.2</v>
      </c>
      <c r="AH56" s="2">
        <v>0.2</v>
      </c>
    </row>
    <row r="57" spans="1:34">
      <c r="A57" t="str">
        <f t="shared" si="4"/>
        <v>Vegetables</v>
      </c>
      <c r="B57" t="str">
        <f t="shared" si="3"/>
        <v>Tigray</v>
      </c>
      <c r="C57" s="2">
        <v>0.2</v>
      </c>
      <c r="D57" s="2">
        <v>0.2</v>
      </c>
      <c r="E57" s="2">
        <v>0.2</v>
      </c>
      <c r="F57" s="2">
        <v>0.2</v>
      </c>
      <c r="G57" s="2">
        <v>0.2</v>
      </c>
      <c r="H57" s="2">
        <v>0.2</v>
      </c>
      <c r="I57" s="2">
        <v>0.2</v>
      </c>
      <c r="J57" s="2">
        <v>0.2</v>
      </c>
      <c r="K57" s="2">
        <v>0.2</v>
      </c>
      <c r="L57" s="2">
        <v>0.2</v>
      </c>
      <c r="M57" s="2">
        <v>0.2</v>
      </c>
      <c r="N57" s="2">
        <v>0.2</v>
      </c>
      <c r="O57" s="2">
        <v>0.2</v>
      </c>
      <c r="P57" s="2">
        <v>0.2</v>
      </c>
      <c r="Q57" s="2">
        <v>0.2</v>
      </c>
      <c r="R57" s="2">
        <v>0.2</v>
      </c>
      <c r="S57" s="2">
        <v>0.2</v>
      </c>
      <c r="T57" s="2">
        <v>0.2</v>
      </c>
      <c r="U57" s="2">
        <v>0.2</v>
      </c>
      <c r="V57" s="2">
        <v>0.2</v>
      </c>
      <c r="W57" s="2">
        <v>0.2</v>
      </c>
      <c r="X57" s="2">
        <v>0.2</v>
      </c>
      <c r="Y57" s="2">
        <v>0.2</v>
      </c>
      <c r="Z57" s="2">
        <v>0.2</v>
      </c>
      <c r="AA57" s="2">
        <v>0.2</v>
      </c>
      <c r="AB57" s="2">
        <v>0.2</v>
      </c>
      <c r="AC57" s="2">
        <v>0.2</v>
      </c>
      <c r="AD57" s="2">
        <v>0.2</v>
      </c>
      <c r="AE57" s="2">
        <v>0.2</v>
      </c>
      <c r="AF57" s="2">
        <v>0.2</v>
      </c>
      <c r="AG57" s="2">
        <v>0.2</v>
      </c>
      <c r="AH57" s="2">
        <v>0.2</v>
      </c>
    </row>
    <row r="58" spans="1:34">
      <c r="A58" t="str">
        <f t="shared" si="4"/>
        <v>Coffee</v>
      </c>
      <c r="B58" t="str">
        <f t="shared" si="3"/>
        <v>AddisAbaba</v>
      </c>
      <c r="C58" s="2">
        <v>0.2</v>
      </c>
      <c r="D58" s="2">
        <v>0.2</v>
      </c>
      <c r="E58" s="2">
        <v>0.2</v>
      </c>
      <c r="F58" s="2">
        <v>0.2</v>
      </c>
      <c r="G58" s="2">
        <v>0.2</v>
      </c>
      <c r="H58" s="2">
        <v>0.2</v>
      </c>
      <c r="I58" s="2">
        <v>0.2</v>
      </c>
      <c r="J58" s="2">
        <v>0.2</v>
      </c>
      <c r="K58" s="2">
        <v>0.2</v>
      </c>
      <c r="L58" s="2">
        <v>0.2</v>
      </c>
      <c r="M58" s="2">
        <v>0.2</v>
      </c>
      <c r="N58" s="2">
        <v>0.2</v>
      </c>
      <c r="O58" s="2">
        <v>0.2</v>
      </c>
      <c r="P58" s="2">
        <v>0.2</v>
      </c>
      <c r="Q58" s="2">
        <v>0.2</v>
      </c>
      <c r="R58" s="2">
        <v>0.2</v>
      </c>
      <c r="S58" s="2">
        <v>0.2</v>
      </c>
      <c r="T58" s="2">
        <v>0.2</v>
      </c>
      <c r="U58" s="2">
        <v>0.2</v>
      </c>
      <c r="V58" s="2">
        <v>0.2</v>
      </c>
      <c r="W58" s="2">
        <v>0.2</v>
      </c>
      <c r="X58" s="2">
        <v>0.2</v>
      </c>
      <c r="Y58" s="2">
        <v>0.2</v>
      </c>
      <c r="Z58" s="2">
        <v>0.2</v>
      </c>
      <c r="AA58" s="2">
        <v>0.2</v>
      </c>
      <c r="AB58" s="2">
        <v>0.2</v>
      </c>
      <c r="AC58" s="2">
        <v>0.2</v>
      </c>
      <c r="AD58" s="2">
        <v>0.2</v>
      </c>
      <c r="AE58" s="2">
        <v>0.2</v>
      </c>
      <c r="AF58" s="2">
        <v>0.2</v>
      </c>
      <c r="AG58" s="2">
        <v>0.2</v>
      </c>
      <c r="AH58" s="2">
        <v>0.2</v>
      </c>
    </row>
    <row r="59" spans="1:34">
      <c r="A59" t="str">
        <f t="shared" si="4"/>
        <v>Coffee</v>
      </c>
      <c r="B59" t="str">
        <f t="shared" si="3"/>
        <v>Afar</v>
      </c>
      <c r="C59" s="2">
        <v>0.2</v>
      </c>
      <c r="D59" s="2">
        <v>0.2</v>
      </c>
      <c r="E59" s="2">
        <v>0.2</v>
      </c>
      <c r="F59" s="2">
        <v>0.2</v>
      </c>
      <c r="G59" s="2">
        <v>0.2</v>
      </c>
      <c r="H59" s="2">
        <v>0.2</v>
      </c>
      <c r="I59" s="2">
        <v>0.2</v>
      </c>
      <c r="J59" s="2">
        <v>0.2</v>
      </c>
      <c r="K59" s="2">
        <v>0.2</v>
      </c>
      <c r="L59" s="2">
        <v>0.2</v>
      </c>
      <c r="M59" s="2">
        <v>0.2</v>
      </c>
      <c r="N59" s="2">
        <v>0.2</v>
      </c>
      <c r="O59" s="2">
        <v>0.2</v>
      </c>
      <c r="P59" s="2">
        <v>0.2</v>
      </c>
      <c r="Q59" s="2">
        <v>0.2</v>
      </c>
      <c r="R59" s="2">
        <v>0.2</v>
      </c>
      <c r="S59" s="2">
        <v>0.2</v>
      </c>
      <c r="T59" s="2">
        <v>0.2</v>
      </c>
      <c r="U59" s="2">
        <v>0.2</v>
      </c>
      <c r="V59" s="2">
        <v>0.2</v>
      </c>
      <c r="W59" s="2">
        <v>0.2</v>
      </c>
      <c r="X59" s="2">
        <v>0.2</v>
      </c>
      <c r="Y59" s="2">
        <v>0.2</v>
      </c>
      <c r="Z59" s="2">
        <v>0.2</v>
      </c>
      <c r="AA59" s="2">
        <v>0.2</v>
      </c>
      <c r="AB59" s="2">
        <v>0.2</v>
      </c>
      <c r="AC59" s="2">
        <v>0.2</v>
      </c>
      <c r="AD59" s="2">
        <v>0.2</v>
      </c>
      <c r="AE59" s="2">
        <v>0.2</v>
      </c>
      <c r="AF59" s="2">
        <v>0.2</v>
      </c>
      <c r="AG59" s="2">
        <v>0.2</v>
      </c>
      <c r="AH59" s="2">
        <v>0.2</v>
      </c>
    </row>
    <row r="60" spans="1:34">
      <c r="A60" t="str">
        <f t="shared" si="4"/>
        <v>Coffee</v>
      </c>
      <c r="B60" t="str">
        <f t="shared" si="3"/>
        <v>Amhara</v>
      </c>
      <c r="C60" s="2">
        <v>0.2</v>
      </c>
      <c r="D60" s="2">
        <v>0.2</v>
      </c>
      <c r="E60" s="2">
        <v>0.2</v>
      </c>
      <c r="F60" s="2">
        <v>0.2</v>
      </c>
      <c r="G60" s="2">
        <v>0.2</v>
      </c>
      <c r="H60" s="2">
        <v>0.2</v>
      </c>
      <c r="I60" s="2">
        <v>0.2</v>
      </c>
      <c r="J60" s="2">
        <v>0.2</v>
      </c>
      <c r="K60" s="2">
        <v>0.2</v>
      </c>
      <c r="L60" s="2">
        <v>0.2</v>
      </c>
      <c r="M60" s="2">
        <v>0.2</v>
      </c>
      <c r="N60" s="2">
        <v>0.2</v>
      </c>
      <c r="O60" s="2">
        <v>0.2</v>
      </c>
      <c r="P60" s="2">
        <v>0.2</v>
      </c>
      <c r="Q60" s="2">
        <v>0.2</v>
      </c>
      <c r="R60" s="2">
        <v>0.2</v>
      </c>
      <c r="S60" s="2">
        <v>0.2</v>
      </c>
      <c r="T60" s="2">
        <v>0.2</v>
      </c>
      <c r="U60" s="2">
        <v>0.2</v>
      </c>
      <c r="V60" s="2">
        <v>0.2</v>
      </c>
      <c r="W60" s="2">
        <v>0.2</v>
      </c>
      <c r="X60" s="2">
        <v>0.2</v>
      </c>
      <c r="Y60" s="2">
        <v>0.2</v>
      </c>
      <c r="Z60" s="2">
        <v>0.2</v>
      </c>
      <c r="AA60" s="2">
        <v>0.2</v>
      </c>
      <c r="AB60" s="2">
        <v>0.2</v>
      </c>
      <c r="AC60" s="2">
        <v>0.2</v>
      </c>
      <c r="AD60" s="2">
        <v>0.2</v>
      </c>
      <c r="AE60" s="2">
        <v>0.2</v>
      </c>
      <c r="AF60" s="2">
        <v>0.2</v>
      </c>
      <c r="AG60" s="2">
        <v>0.2</v>
      </c>
      <c r="AH60" s="2">
        <v>0.2</v>
      </c>
    </row>
    <row r="61" spans="1:34">
      <c r="A61" t="str">
        <f t="shared" si="4"/>
        <v>Coffee</v>
      </c>
      <c r="B61" t="str">
        <f t="shared" si="3"/>
        <v>Gumuz</v>
      </c>
      <c r="C61" s="2">
        <v>0.2</v>
      </c>
      <c r="D61" s="2">
        <v>0.2</v>
      </c>
      <c r="E61" s="2">
        <v>0.2</v>
      </c>
      <c r="F61" s="2">
        <v>0.2</v>
      </c>
      <c r="G61" s="2">
        <v>0.2</v>
      </c>
      <c r="H61" s="2">
        <v>0.2</v>
      </c>
      <c r="I61" s="2">
        <v>0.2</v>
      </c>
      <c r="J61" s="2">
        <v>0.2</v>
      </c>
      <c r="K61" s="2">
        <v>0.2</v>
      </c>
      <c r="L61" s="2">
        <v>0.2</v>
      </c>
      <c r="M61" s="2">
        <v>0.2</v>
      </c>
      <c r="N61" s="2">
        <v>0.2</v>
      </c>
      <c r="O61" s="2">
        <v>0.2</v>
      </c>
      <c r="P61" s="2">
        <v>0.2</v>
      </c>
      <c r="Q61" s="2">
        <v>0.2</v>
      </c>
      <c r="R61" s="2">
        <v>0.2</v>
      </c>
      <c r="S61" s="2">
        <v>0.2</v>
      </c>
      <c r="T61" s="2">
        <v>0.2</v>
      </c>
      <c r="U61" s="2">
        <v>0.2</v>
      </c>
      <c r="V61" s="2">
        <v>0.2</v>
      </c>
      <c r="W61" s="2">
        <v>0.2</v>
      </c>
      <c r="X61" s="2">
        <v>0.2</v>
      </c>
      <c r="Y61" s="2">
        <v>0.2</v>
      </c>
      <c r="Z61" s="2">
        <v>0.2</v>
      </c>
      <c r="AA61" s="2">
        <v>0.2</v>
      </c>
      <c r="AB61" s="2">
        <v>0.2</v>
      </c>
      <c r="AC61" s="2">
        <v>0.2</v>
      </c>
      <c r="AD61" s="2">
        <v>0.2</v>
      </c>
      <c r="AE61" s="2">
        <v>0.2</v>
      </c>
      <c r="AF61" s="2">
        <v>0.2</v>
      </c>
      <c r="AG61" s="2">
        <v>0.2</v>
      </c>
      <c r="AH61" s="2">
        <v>0.2</v>
      </c>
    </row>
    <row r="62" spans="1:34">
      <c r="A62" t="str">
        <f t="shared" si="4"/>
        <v>Coffee</v>
      </c>
      <c r="B62" t="str">
        <f t="shared" si="3"/>
        <v>DireDawa</v>
      </c>
      <c r="C62" s="2">
        <v>0.2</v>
      </c>
      <c r="D62" s="2">
        <v>0.2</v>
      </c>
      <c r="E62" s="2">
        <v>0.2</v>
      </c>
      <c r="F62" s="2">
        <v>0.2</v>
      </c>
      <c r="G62" s="2">
        <v>0.2</v>
      </c>
      <c r="H62" s="2">
        <v>0.2</v>
      </c>
      <c r="I62" s="2">
        <v>0.2</v>
      </c>
      <c r="J62" s="2">
        <v>0.2</v>
      </c>
      <c r="K62" s="2">
        <v>0.2</v>
      </c>
      <c r="L62" s="2">
        <v>0.2</v>
      </c>
      <c r="M62" s="2">
        <v>0.2</v>
      </c>
      <c r="N62" s="2">
        <v>0.2</v>
      </c>
      <c r="O62" s="2">
        <v>0.2</v>
      </c>
      <c r="P62" s="2">
        <v>0.2</v>
      </c>
      <c r="Q62" s="2">
        <v>0.2</v>
      </c>
      <c r="R62" s="2">
        <v>0.2</v>
      </c>
      <c r="S62" s="2">
        <v>0.2</v>
      </c>
      <c r="T62" s="2">
        <v>0.2</v>
      </c>
      <c r="U62" s="2">
        <v>0.2</v>
      </c>
      <c r="V62" s="2">
        <v>0.2</v>
      </c>
      <c r="W62" s="2">
        <v>0.2</v>
      </c>
      <c r="X62" s="2">
        <v>0.2</v>
      </c>
      <c r="Y62" s="2">
        <v>0.2</v>
      </c>
      <c r="Z62" s="2">
        <v>0.2</v>
      </c>
      <c r="AA62" s="2">
        <v>0.2</v>
      </c>
      <c r="AB62" s="2">
        <v>0.2</v>
      </c>
      <c r="AC62" s="2">
        <v>0.2</v>
      </c>
      <c r="AD62" s="2">
        <v>0.2</v>
      </c>
      <c r="AE62" s="2">
        <v>0.2</v>
      </c>
      <c r="AF62" s="2">
        <v>0.2</v>
      </c>
      <c r="AG62" s="2">
        <v>0.2</v>
      </c>
      <c r="AH62" s="2">
        <v>0.2</v>
      </c>
    </row>
    <row r="63" spans="1:34">
      <c r="A63" t="str">
        <f t="shared" si="4"/>
        <v>Coffee</v>
      </c>
      <c r="B63" t="str">
        <f t="shared" si="3"/>
        <v>Gambela</v>
      </c>
      <c r="C63" s="2">
        <v>0.2</v>
      </c>
      <c r="D63" s="2">
        <v>0.2</v>
      </c>
      <c r="E63" s="2">
        <v>0.2</v>
      </c>
      <c r="F63" s="2">
        <v>0.2</v>
      </c>
      <c r="G63" s="2">
        <v>0.2</v>
      </c>
      <c r="H63" s="2">
        <v>0.2</v>
      </c>
      <c r="I63" s="2">
        <v>0.2</v>
      </c>
      <c r="J63" s="2">
        <v>0.2</v>
      </c>
      <c r="K63" s="2">
        <v>0.2</v>
      </c>
      <c r="L63" s="2">
        <v>0.2</v>
      </c>
      <c r="M63" s="2">
        <v>0.2</v>
      </c>
      <c r="N63" s="2">
        <v>0.2</v>
      </c>
      <c r="O63" s="2">
        <v>0.2</v>
      </c>
      <c r="P63" s="2">
        <v>0.2</v>
      </c>
      <c r="Q63" s="2">
        <v>0.2</v>
      </c>
      <c r="R63" s="2">
        <v>0.2</v>
      </c>
      <c r="S63" s="2">
        <v>0.2</v>
      </c>
      <c r="T63" s="2">
        <v>0.2</v>
      </c>
      <c r="U63" s="2">
        <v>0.2</v>
      </c>
      <c r="V63" s="2">
        <v>0.2</v>
      </c>
      <c r="W63" s="2">
        <v>0.2</v>
      </c>
      <c r="X63" s="2">
        <v>0.2</v>
      </c>
      <c r="Y63" s="2">
        <v>0.2</v>
      </c>
      <c r="Z63" s="2">
        <v>0.2</v>
      </c>
      <c r="AA63" s="2">
        <v>0.2</v>
      </c>
      <c r="AB63" s="2">
        <v>0.2</v>
      </c>
      <c r="AC63" s="2">
        <v>0.2</v>
      </c>
      <c r="AD63" s="2">
        <v>0.2</v>
      </c>
      <c r="AE63" s="2">
        <v>0.2</v>
      </c>
      <c r="AF63" s="2">
        <v>0.2</v>
      </c>
      <c r="AG63" s="2">
        <v>0.2</v>
      </c>
      <c r="AH63" s="2">
        <v>0.2</v>
      </c>
    </row>
    <row r="64" spans="1:34">
      <c r="A64" t="str">
        <f t="shared" si="4"/>
        <v>Coffee</v>
      </c>
      <c r="B64" t="str">
        <f t="shared" si="3"/>
        <v>Harari</v>
      </c>
      <c r="C64" s="2">
        <v>0.2</v>
      </c>
      <c r="D64" s="2">
        <v>0.2</v>
      </c>
      <c r="E64" s="2">
        <v>0.2</v>
      </c>
      <c r="F64" s="2">
        <v>0.2</v>
      </c>
      <c r="G64" s="2">
        <v>0.2</v>
      </c>
      <c r="H64" s="2">
        <v>0.2</v>
      </c>
      <c r="I64" s="2">
        <v>0.2</v>
      </c>
      <c r="J64" s="2">
        <v>0.2</v>
      </c>
      <c r="K64" s="2">
        <v>0.2</v>
      </c>
      <c r="L64" s="2">
        <v>0.2</v>
      </c>
      <c r="M64" s="2">
        <v>0.2</v>
      </c>
      <c r="N64" s="2">
        <v>0.2</v>
      </c>
      <c r="O64" s="2">
        <v>0.2</v>
      </c>
      <c r="P64" s="2">
        <v>0.2</v>
      </c>
      <c r="Q64" s="2">
        <v>0.2</v>
      </c>
      <c r="R64" s="2">
        <v>0.2</v>
      </c>
      <c r="S64" s="2">
        <v>0.2</v>
      </c>
      <c r="T64" s="2">
        <v>0.2</v>
      </c>
      <c r="U64" s="2">
        <v>0.2</v>
      </c>
      <c r="V64" s="2">
        <v>0.2</v>
      </c>
      <c r="W64" s="2">
        <v>0.2</v>
      </c>
      <c r="X64" s="2">
        <v>0.2</v>
      </c>
      <c r="Y64" s="2">
        <v>0.2</v>
      </c>
      <c r="Z64" s="2">
        <v>0.2</v>
      </c>
      <c r="AA64" s="2">
        <v>0.2</v>
      </c>
      <c r="AB64" s="2">
        <v>0.2</v>
      </c>
      <c r="AC64" s="2">
        <v>0.2</v>
      </c>
      <c r="AD64" s="2">
        <v>0.2</v>
      </c>
      <c r="AE64" s="2">
        <v>0.2</v>
      </c>
      <c r="AF64" s="2">
        <v>0.2</v>
      </c>
      <c r="AG64" s="2">
        <v>0.2</v>
      </c>
      <c r="AH64" s="2">
        <v>0.2</v>
      </c>
    </row>
    <row r="65" spans="1:34">
      <c r="A65" t="str">
        <f t="shared" si="4"/>
        <v>Coffee</v>
      </c>
      <c r="B65" t="str">
        <f t="shared" si="3"/>
        <v>Oromia</v>
      </c>
      <c r="C65" s="2">
        <v>0.2</v>
      </c>
      <c r="D65" s="2">
        <v>0.2</v>
      </c>
      <c r="E65" s="2">
        <v>0.2</v>
      </c>
      <c r="F65" s="2">
        <v>0.2</v>
      </c>
      <c r="G65" s="2">
        <v>0.2</v>
      </c>
      <c r="H65" s="2">
        <v>0.2</v>
      </c>
      <c r="I65" s="2">
        <v>0.2</v>
      </c>
      <c r="J65" s="2">
        <v>0.2</v>
      </c>
      <c r="K65" s="2">
        <v>0.2</v>
      </c>
      <c r="L65" s="2">
        <v>0.2</v>
      </c>
      <c r="M65" s="2">
        <v>0.2</v>
      </c>
      <c r="N65" s="2">
        <v>0.2</v>
      </c>
      <c r="O65" s="2">
        <v>0.2</v>
      </c>
      <c r="P65" s="2">
        <v>0.2</v>
      </c>
      <c r="Q65" s="2">
        <v>0.2</v>
      </c>
      <c r="R65" s="2">
        <v>0.2</v>
      </c>
      <c r="S65" s="2">
        <v>0.2</v>
      </c>
      <c r="T65" s="2">
        <v>0.2</v>
      </c>
      <c r="U65" s="2">
        <v>0.2</v>
      </c>
      <c r="V65" s="2">
        <v>0.2</v>
      </c>
      <c r="W65" s="2">
        <v>0.2</v>
      </c>
      <c r="X65" s="2">
        <v>0.2</v>
      </c>
      <c r="Y65" s="2">
        <v>0.2</v>
      </c>
      <c r="Z65" s="2">
        <v>0.2</v>
      </c>
      <c r="AA65" s="2">
        <v>0.2</v>
      </c>
      <c r="AB65" s="2">
        <v>0.2</v>
      </c>
      <c r="AC65" s="2">
        <v>0.2</v>
      </c>
      <c r="AD65" s="2">
        <v>0.2</v>
      </c>
      <c r="AE65" s="2">
        <v>0.2</v>
      </c>
      <c r="AF65" s="2">
        <v>0.2</v>
      </c>
      <c r="AG65" s="2">
        <v>0.2</v>
      </c>
      <c r="AH65" s="2">
        <v>0.2</v>
      </c>
    </row>
    <row r="66" spans="1:34">
      <c r="A66" t="str">
        <f t="shared" si="4"/>
        <v>Coffee</v>
      </c>
      <c r="B66" t="str">
        <f t="shared" si="3"/>
        <v>Somali</v>
      </c>
      <c r="C66" s="2">
        <v>0.2</v>
      </c>
      <c r="D66" s="2">
        <v>0.2</v>
      </c>
      <c r="E66" s="2">
        <v>0.2</v>
      </c>
      <c r="F66" s="2">
        <v>0.2</v>
      </c>
      <c r="G66" s="2">
        <v>0.2</v>
      </c>
      <c r="H66" s="2">
        <v>0.2</v>
      </c>
      <c r="I66" s="2">
        <v>0.2</v>
      </c>
      <c r="J66" s="2">
        <v>0.2</v>
      </c>
      <c r="K66" s="2">
        <v>0.2</v>
      </c>
      <c r="L66" s="2">
        <v>0.2</v>
      </c>
      <c r="M66" s="2">
        <v>0.2</v>
      </c>
      <c r="N66" s="2">
        <v>0.2</v>
      </c>
      <c r="O66" s="2">
        <v>0.2</v>
      </c>
      <c r="P66" s="2">
        <v>0.2</v>
      </c>
      <c r="Q66" s="2">
        <v>0.2</v>
      </c>
      <c r="R66" s="2">
        <v>0.2</v>
      </c>
      <c r="S66" s="2">
        <v>0.2</v>
      </c>
      <c r="T66" s="2">
        <v>0.2</v>
      </c>
      <c r="U66" s="2">
        <v>0.2</v>
      </c>
      <c r="V66" s="2">
        <v>0.2</v>
      </c>
      <c r="W66" s="2">
        <v>0.2</v>
      </c>
      <c r="X66" s="2">
        <v>0.2</v>
      </c>
      <c r="Y66" s="2">
        <v>0.2</v>
      </c>
      <c r="Z66" s="2">
        <v>0.2</v>
      </c>
      <c r="AA66" s="2">
        <v>0.2</v>
      </c>
      <c r="AB66" s="2">
        <v>0.2</v>
      </c>
      <c r="AC66" s="2">
        <v>0.2</v>
      </c>
      <c r="AD66" s="2">
        <v>0.2</v>
      </c>
      <c r="AE66" s="2">
        <v>0.2</v>
      </c>
      <c r="AF66" s="2">
        <v>0.2</v>
      </c>
      <c r="AG66" s="2">
        <v>0.2</v>
      </c>
      <c r="AH66" s="2">
        <v>0.2</v>
      </c>
    </row>
    <row r="67" spans="1:34">
      <c r="A67" t="str">
        <f t="shared" si="4"/>
        <v>Coffee</v>
      </c>
      <c r="B67" t="str">
        <f t="shared" si="3"/>
        <v>SNNPR</v>
      </c>
      <c r="C67" s="2">
        <v>0.2</v>
      </c>
      <c r="D67" s="2">
        <v>0.2</v>
      </c>
      <c r="E67" s="2">
        <v>0.2</v>
      </c>
      <c r="F67" s="2">
        <v>0.2</v>
      </c>
      <c r="G67" s="2">
        <v>0.2</v>
      </c>
      <c r="H67" s="2">
        <v>0.2</v>
      </c>
      <c r="I67" s="2">
        <v>0.2</v>
      </c>
      <c r="J67" s="2">
        <v>0.2</v>
      </c>
      <c r="K67" s="2">
        <v>0.2</v>
      </c>
      <c r="L67" s="2">
        <v>0.2</v>
      </c>
      <c r="M67" s="2">
        <v>0.2</v>
      </c>
      <c r="N67" s="2">
        <v>0.2</v>
      </c>
      <c r="O67" s="2">
        <v>0.2</v>
      </c>
      <c r="P67" s="2">
        <v>0.2</v>
      </c>
      <c r="Q67" s="2">
        <v>0.2</v>
      </c>
      <c r="R67" s="2">
        <v>0.2</v>
      </c>
      <c r="S67" s="2">
        <v>0.2</v>
      </c>
      <c r="T67" s="2">
        <v>0.2</v>
      </c>
      <c r="U67" s="2">
        <v>0.2</v>
      </c>
      <c r="V67" s="2">
        <v>0.2</v>
      </c>
      <c r="W67" s="2">
        <v>0.2</v>
      </c>
      <c r="X67" s="2">
        <v>0.2</v>
      </c>
      <c r="Y67" s="2">
        <v>0.2</v>
      </c>
      <c r="Z67" s="2">
        <v>0.2</v>
      </c>
      <c r="AA67" s="2">
        <v>0.2</v>
      </c>
      <c r="AB67" s="2">
        <v>0.2</v>
      </c>
      <c r="AC67" s="2">
        <v>0.2</v>
      </c>
      <c r="AD67" s="2">
        <v>0.2</v>
      </c>
      <c r="AE67" s="2">
        <v>0.2</v>
      </c>
      <c r="AF67" s="2">
        <v>0.2</v>
      </c>
      <c r="AG67" s="2">
        <v>0.2</v>
      </c>
      <c r="AH67" s="2">
        <v>0.2</v>
      </c>
    </row>
    <row r="68" spans="1:34">
      <c r="A68" t="str">
        <f t="shared" si="4"/>
        <v>Coffee</v>
      </c>
      <c r="B68" t="str">
        <f t="shared" si="3"/>
        <v>Tigray</v>
      </c>
      <c r="C68" s="2">
        <v>0.2</v>
      </c>
      <c r="D68" s="2">
        <v>0.2</v>
      </c>
      <c r="E68" s="2">
        <v>0.2</v>
      </c>
      <c r="F68" s="2">
        <v>0.2</v>
      </c>
      <c r="G68" s="2">
        <v>0.2</v>
      </c>
      <c r="H68" s="2">
        <v>0.2</v>
      </c>
      <c r="I68" s="2">
        <v>0.2</v>
      </c>
      <c r="J68" s="2">
        <v>0.2</v>
      </c>
      <c r="K68" s="2">
        <v>0.2</v>
      </c>
      <c r="L68" s="2">
        <v>0.2</v>
      </c>
      <c r="M68" s="2">
        <v>0.2</v>
      </c>
      <c r="N68" s="2">
        <v>0.2</v>
      </c>
      <c r="O68" s="2">
        <v>0.2</v>
      </c>
      <c r="P68" s="2">
        <v>0.2</v>
      </c>
      <c r="Q68" s="2">
        <v>0.2</v>
      </c>
      <c r="R68" s="2">
        <v>0.2</v>
      </c>
      <c r="S68" s="2">
        <v>0.2</v>
      </c>
      <c r="T68" s="2">
        <v>0.2</v>
      </c>
      <c r="U68" s="2">
        <v>0.2</v>
      </c>
      <c r="V68" s="2">
        <v>0.2</v>
      </c>
      <c r="W68" s="2">
        <v>0.2</v>
      </c>
      <c r="X68" s="2">
        <v>0.2</v>
      </c>
      <c r="Y68" s="2">
        <v>0.2</v>
      </c>
      <c r="Z68" s="2">
        <v>0.2</v>
      </c>
      <c r="AA68" s="2">
        <v>0.2</v>
      </c>
      <c r="AB68" s="2">
        <v>0.2</v>
      </c>
      <c r="AC68" s="2">
        <v>0.2</v>
      </c>
      <c r="AD68" s="2">
        <v>0.2</v>
      </c>
      <c r="AE68" s="2">
        <v>0.2</v>
      </c>
      <c r="AF68" s="2">
        <v>0.2</v>
      </c>
      <c r="AG68" s="2">
        <v>0.2</v>
      </c>
      <c r="AH68" s="2">
        <v>0.2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>
      <selection activeCell="C1" sqref="C1:AH2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(RAND()*0.1+0.2)*100</f>
        <v>28.918339645705547</v>
      </c>
      <c r="D3" s="2">
        <f t="shared" ref="D3:AH11" ca="1" si="2">(RAND()*0.1+0.2)*100</f>
        <v>29.522855740798775</v>
      </c>
      <c r="E3" s="2">
        <f t="shared" ca="1" si="2"/>
        <v>27.836676834640112</v>
      </c>
      <c r="F3" s="2">
        <f t="shared" ca="1" si="2"/>
        <v>26.74184693056494</v>
      </c>
      <c r="G3" s="2">
        <f t="shared" ca="1" si="2"/>
        <v>26.911065084669854</v>
      </c>
      <c r="H3" s="2">
        <f t="shared" ca="1" si="2"/>
        <v>20.891685798902422</v>
      </c>
      <c r="I3" s="2">
        <f t="shared" ca="1" si="2"/>
        <v>24.996792652216914</v>
      </c>
      <c r="J3" s="2">
        <f t="shared" ca="1" si="2"/>
        <v>26.466268965709272</v>
      </c>
      <c r="K3" s="2">
        <f t="shared" ca="1" si="2"/>
        <v>27.330165070135195</v>
      </c>
      <c r="L3" s="2">
        <f t="shared" ca="1" si="2"/>
        <v>24.058062609695646</v>
      </c>
      <c r="M3" s="2">
        <f t="shared" ca="1" si="2"/>
        <v>21.04891511492815</v>
      </c>
      <c r="N3" s="2">
        <f t="shared" ca="1" si="2"/>
        <v>27.703210705558849</v>
      </c>
      <c r="O3" s="2">
        <f t="shared" ca="1" si="2"/>
        <v>29.382870103415222</v>
      </c>
      <c r="P3" s="2">
        <f t="shared" ca="1" si="2"/>
        <v>25.531935284753782</v>
      </c>
      <c r="Q3" s="2">
        <f t="shared" ca="1" si="2"/>
        <v>28.106561714683636</v>
      </c>
      <c r="R3" s="2">
        <f t="shared" ca="1" si="2"/>
        <v>22.698922618781982</v>
      </c>
      <c r="S3" s="2">
        <f t="shared" ca="1" si="2"/>
        <v>24.667124903042907</v>
      </c>
      <c r="T3" s="2">
        <f t="shared" ca="1" si="2"/>
        <v>26.611661611859784</v>
      </c>
      <c r="U3" s="2">
        <f t="shared" ca="1" si="2"/>
        <v>29.117984391711683</v>
      </c>
      <c r="V3" s="2">
        <f t="shared" ca="1" si="2"/>
        <v>22.319351395974348</v>
      </c>
      <c r="W3" s="2">
        <f t="shared" ca="1" si="2"/>
        <v>28.035599469886129</v>
      </c>
      <c r="X3" s="2">
        <f t="shared" ca="1" si="2"/>
        <v>21.326881602714305</v>
      </c>
      <c r="Y3" s="2">
        <f t="shared" ca="1" si="2"/>
        <v>28.884959935388494</v>
      </c>
      <c r="Z3" s="2">
        <f t="shared" ca="1" si="2"/>
        <v>20.318047922975861</v>
      </c>
      <c r="AA3" s="2">
        <f t="shared" ca="1" si="2"/>
        <v>29.018840673992518</v>
      </c>
      <c r="AB3" s="2">
        <f t="shared" ca="1" si="2"/>
        <v>20.821269677903274</v>
      </c>
      <c r="AC3" s="2">
        <f t="shared" ca="1" si="2"/>
        <v>26.339475164110972</v>
      </c>
      <c r="AD3" s="2">
        <f t="shared" ca="1" si="2"/>
        <v>24.039669622600783</v>
      </c>
      <c r="AE3" s="2">
        <f t="shared" ca="1" si="2"/>
        <v>27.714224057444365</v>
      </c>
      <c r="AF3" s="2">
        <f t="shared" ca="1" si="2"/>
        <v>25.125913225902536</v>
      </c>
      <c r="AG3" s="2">
        <f t="shared" ca="1" si="2"/>
        <v>23.058596962132434</v>
      </c>
      <c r="AH3" s="2">
        <f t="shared" ca="1" si="2"/>
        <v>24.727822917432562</v>
      </c>
    </row>
    <row r="4" spans="1:34">
      <c r="A4" t="str">
        <f>sets!$H$3</f>
        <v>Teff</v>
      </c>
      <c r="B4" t="str">
        <v>Afar</v>
      </c>
      <c r="C4" s="2">
        <f t="shared" ref="C4:R27" ca="1" si="3">(RAND()*0.1+0.2)*100</f>
        <v>26.757486458288739</v>
      </c>
      <c r="D4" s="2">
        <f t="shared" ca="1" si="2"/>
        <v>22.469195819291361</v>
      </c>
      <c r="E4" s="2">
        <f t="shared" ca="1" si="2"/>
        <v>26.028779128317474</v>
      </c>
      <c r="F4" s="2">
        <f t="shared" ca="1" si="2"/>
        <v>21.036180319855976</v>
      </c>
      <c r="G4" s="2">
        <f t="shared" ca="1" si="2"/>
        <v>20.029381733254926</v>
      </c>
      <c r="H4" s="2">
        <f t="shared" ca="1" si="2"/>
        <v>21.00932922412068</v>
      </c>
      <c r="I4" s="2">
        <f t="shared" ca="1" si="2"/>
        <v>28.209262544049778</v>
      </c>
      <c r="J4" s="2">
        <f t="shared" ca="1" si="2"/>
        <v>25.366045302332246</v>
      </c>
      <c r="K4" s="2">
        <f t="shared" ca="1" si="2"/>
        <v>20.132913363095923</v>
      </c>
      <c r="L4" s="2">
        <f t="shared" ca="1" si="2"/>
        <v>26.622287844322333</v>
      </c>
      <c r="M4" s="2">
        <f t="shared" ca="1" si="2"/>
        <v>21.730356174868064</v>
      </c>
      <c r="N4" s="2">
        <f t="shared" ca="1" si="2"/>
        <v>20.188426961113841</v>
      </c>
      <c r="O4" s="2">
        <f t="shared" ca="1" si="2"/>
        <v>21.666956699681521</v>
      </c>
      <c r="P4" s="2">
        <f t="shared" ca="1" si="2"/>
        <v>27.702272705626545</v>
      </c>
      <c r="Q4" s="2">
        <f t="shared" ca="1" si="2"/>
        <v>23.091358311016645</v>
      </c>
      <c r="R4" s="2">
        <f t="shared" ca="1" si="2"/>
        <v>27.947457540839032</v>
      </c>
      <c r="S4" s="2">
        <f t="shared" ca="1" si="2"/>
        <v>25.109069750675971</v>
      </c>
      <c r="T4" s="2">
        <f t="shared" ca="1" si="2"/>
        <v>24.310440743596377</v>
      </c>
      <c r="U4" s="2">
        <f t="shared" ca="1" si="2"/>
        <v>28.033134146152683</v>
      </c>
      <c r="V4" s="2">
        <f t="shared" ca="1" si="2"/>
        <v>23.750207162001203</v>
      </c>
      <c r="W4" s="2">
        <f t="shared" ca="1" si="2"/>
        <v>29.847339237064745</v>
      </c>
      <c r="X4" s="2">
        <f t="shared" ca="1" si="2"/>
        <v>22.387124093356029</v>
      </c>
      <c r="Y4" s="2">
        <f t="shared" ca="1" si="2"/>
        <v>29.479478123586205</v>
      </c>
      <c r="Z4" s="2">
        <f t="shared" ca="1" si="2"/>
        <v>24.745820173937989</v>
      </c>
      <c r="AA4" s="2">
        <f t="shared" ca="1" si="2"/>
        <v>23.082677415213652</v>
      </c>
      <c r="AB4" s="2">
        <f t="shared" ca="1" si="2"/>
        <v>20.944746017486288</v>
      </c>
      <c r="AC4" s="2">
        <f t="shared" ca="1" si="2"/>
        <v>21.151536944798558</v>
      </c>
      <c r="AD4" s="2">
        <f t="shared" ca="1" si="2"/>
        <v>25.781384783166228</v>
      </c>
      <c r="AE4" s="2">
        <f t="shared" ca="1" si="2"/>
        <v>26.060953506783619</v>
      </c>
      <c r="AF4" s="2">
        <f t="shared" ca="1" si="2"/>
        <v>29.120157907565975</v>
      </c>
      <c r="AG4" s="2">
        <f t="shared" ca="1" si="2"/>
        <v>23.4443599603322</v>
      </c>
      <c r="AH4" s="2">
        <f t="shared" ca="1" si="2"/>
        <v>20.863117122851296</v>
      </c>
    </row>
    <row r="5" spans="1:34">
      <c r="A5" t="str">
        <f>sets!$H$3</f>
        <v>Teff</v>
      </c>
      <c r="B5" t="str">
        <v>Amhara</v>
      </c>
      <c r="C5" s="2">
        <f t="shared" ca="1" si="3"/>
        <v>25.180357998678826</v>
      </c>
      <c r="D5" s="2">
        <f t="shared" ca="1" si="2"/>
        <v>20.979393098959463</v>
      </c>
      <c r="E5" s="2">
        <f t="shared" ca="1" si="2"/>
        <v>20.30257530161353</v>
      </c>
      <c r="F5" s="2">
        <f t="shared" ca="1" si="2"/>
        <v>28.872641453499458</v>
      </c>
      <c r="G5" s="2">
        <f t="shared" ca="1" si="2"/>
        <v>28.52957300078365</v>
      </c>
      <c r="H5" s="2">
        <f t="shared" ca="1" si="2"/>
        <v>28.739614397207252</v>
      </c>
      <c r="I5" s="2">
        <f t="shared" ca="1" si="2"/>
        <v>28.574851881819701</v>
      </c>
      <c r="J5" s="2">
        <f t="shared" ca="1" si="2"/>
        <v>21.965356600837886</v>
      </c>
      <c r="K5" s="2">
        <f t="shared" ca="1" si="2"/>
        <v>21.555167187472883</v>
      </c>
      <c r="L5" s="2">
        <f t="shared" ca="1" si="2"/>
        <v>26.488457879845338</v>
      </c>
      <c r="M5" s="2">
        <f t="shared" ca="1" si="2"/>
        <v>26.228625504116266</v>
      </c>
      <c r="N5" s="2">
        <f t="shared" ca="1" si="2"/>
        <v>24.963362810758056</v>
      </c>
      <c r="O5" s="2">
        <f t="shared" ca="1" si="2"/>
        <v>24.004917583387726</v>
      </c>
      <c r="P5" s="2">
        <f t="shared" ca="1" si="2"/>
        <v>28.872331293105141</v>
      </c>
      <c r="Q5" s="2">
        <f t="shared" ca="1" si="2"/>
        <v>28.839701440004006</v>
      </c>
      <c r="R5" s="2">
        <f t="shared" ca="1" si="2"/>
        <v>26.045562005678192</v>
      </c>
      <c r="S5" s="2">
        <f t="shared" ca="1" si="2"/>
        <v>25.338943514101885</v>
      </c>
      <c r="T5" s="2">
        <f t="shared" ca="1" si="2"/>
        <v>27.373128901392906</v>
      </c>
      <c r="U5" s="2">
        <f t="shared" ca="1" si="2"/>
        <v>25.597837455665186</v>
      </c>
      <c r="V5" s="2">
        <f t="shared" ca="1" si="2"/>
        <v>20.007832528066956</v>
      </c>
      <c r="W5" s="2">
        <f t="shared" ca="1" si="2"/>
        <v>20.681067161044826</v>
      </c>
      <c r="X5" s="2">
        <f t="shared" ca="1" si="2"/>
        <v>23.056722470749246</v>
      </c>
      <c r="Y5" s="2">
        <f t="shared" ca="1" si="2"/>
        <v>27.744021618170862</v>
      </c>
      <c r="Z5" s="2">
        <f t="shared" ca="1" si="2"/>
        <v>27.415597029346372</v>
      </c>
      <c r="AA5" s="2">
        <f t="shared" ca="1" si="2"/>
        <v>29.911011683858874</v>
      </c>
      <c r="AB5" s="2">
        <f t="shared" ca="1" si="2"/>
        <v>25.438631635029651</v>
      </c>
      <c r="AC5" s="2">
        <f t="shared" ca="1" si="2"/>
        <v>25.891103066388393</v>
      </c>
      <c r="AD5" s="2">
        <f t="shared" ca="1" si="2"/>
        <v>20.980179712039821</v>
      </c>
      <c r="AE5" s="2">
        <f t="shared" ca="1" si="2"/>
        <v>23.274239568432815</v>
      </c>
      <c r="AF5" s="2">
        <f t="shared" ca="1" si="2"/>
        <v>25.112981840299682</v>
      </c>
      <c r="AG5" s="2">
        <f t="shared" ca="1" si="2"/>
        <v>27.361489019862422</v>
      </c>
      <c r="AH5" s="2">
        <f t="shared" ca="1" si="2"/>
        <v>22.868528189771244</v>
      </c>
    </row>
    <row r="6" spans="1:34">
      <c r="A6" t="str">
        <f>sets!$H$3</f>
        <v>Teff</v>
      </c>
      <c r="B6" t="str">
        <v>Gumuz</v>
      </c>
      <c r="C6" s="2">
        <f t="shared" ca="1" si="3"/>
        <v>22.763480706541905</v>
      </c>
      <c r="D6" s="2">
        <f t="shared" ca="1" si="2"/>
        <v>27.186558561695811</v>
      </c>
      <c r="E6" s="2">
        <f t="shared" ca="1" si="2"/>
        <v>21.719972036430025</v>
      </c>
      <c r="F6" s="2">
        <f t="shared" ca="1" si="2"/>
        <v>21.890144331808855</v>
      </c>
      <c r="G6" s="2">
        <f t="shared" ca="1" si="2"/>
        <v>29.285416301404769</v>
      </c>
      <c r="H6" s="2">
        <f t="shared" ca="1" si="2"/>
        <v>24.959220198431137</v>
      </c>
      <c r="I6" s="2">
        <f t="shared" ca="1" si="2"/>
        <v>22.814790742427448</v>
      </c>
      <c r="J6" s="2">
        <f t="shared" ca="1" si="2"/>
        <v>28.235725983982508</v>
      </c>
      <c r="K6" s="2">
        <f t="shared" ca="1" si="2"/>
        <v>21.044065569909151</v>
      </c>
      <c r="L6" s="2">
        <f t="shared" ca="1" si="2"/>
        <v>23.310663939017864</v>
      </c>
      <c r="M6" s="2">
        <f t="shared" ca="1" si="2"/>
        <v>29.251511466448001</v>
      </c>
      <c r="N6" s="2">
        <f t="shared" ca="1" si="2"/>
        <v>28.56526077424062</v>
      </c>
      <c r="O6" s="2">
        <f t="shared" ca="1" si="2"/>
        <v>27.096314518851322</v>
      </c>
      <c r="P6" s="2">
        <f t="shared" ca="1" si="2"/>
        <v>24.459233811879731</v>
      </c>
      <c r="Q6" s="2">
        <f t="shared" ca="1" si="2"/>
        <v>25.142367220103683</v>
      </c>
      <c r="R6" s="2">
        <f t="shared" ca="1" si="2"/>
        <v>23.333453180574988</v>
      </c>
      <c r="S6" s="2">
        <f t="shared" ca="1" si="2"/>
        <v>26.293892664557251</v>
      </c>
      <c r="T6" s="2">
        <f t="shared" ca="1" si="2"/>
        <v>28.241565066962725</v>
      </c>
      <c r="U6" s="2">
        <f t="shared" ca="1" si="2"/>
        <v>26.569293599386178</v>
      </c>
      <c r="V6" s="2">
        <f t="shared" ca="1" si="2"/>
        <v>25.962425996741246</v>
      </c>
      <c r="W6" s="2">
        <f t="shared" ca="1" si="2"/>
        <v>26.59961480897023</v>
      </c>
      <c r="X6" s="2">
        <f t="shared" ca="1" si="2"/>
        <v>28.31636869866081</v>
      </c>
      <c r="Y6" s="2">
        <f t="shared" ca="1" si="2"/>
        <v>27.117299392708418</v>
      </c>
      <c r="Z6" s="2">
        <f t="shared" ca="1" si="2"/>
        <v>26.874145811067773</v>
      </c>
      <c r="AA6" s="2">
        <f t="shared" ca="1" si="2"/>
        <v>21.884580551976036</v>
      </c>
      <c r="AB6" s="2">
        <f t="shared" ca="1" si="2"/>
        <v>23.484584754300059</v>
      </c>
      <c r="AC6" s="2">
        <f t="shared" ca="1" si="2"/>
        <v>26.903557412195056</v>
      </c>
      <c r="AD6" s="2">
        <f t="shared" ca="1" si="2"/>
        <v>22.941164794855478</v>
      </c>
      <c r="AE6" s="2">
        <f t="shared" ca="1" si="2"/>
        <v>24.189126507559379</v>
      </c>
      <c r="AF6" s="2">
        <f t="shared" ca="1" si="2"/>
        <v>21.873331007278164</v>
      </c>
      <c r="AG6" s="2">
        <f t="shared" ca="1" si="2"/>
        <v>25.779478657232012</v>
      </c>
      <c r="AH6" s="2">
        <f t="shared" ca="1" si="2"/>
        <v>20.328042830515159</v>
      </c>
    </row>
    <row r="7" spans="1:34">
      <c r="A7" t="str">
        <f>sets!$H$3</f>
        <v>Teff</v>
      </c>
      <c r="B7" t="str">
        <v>DireDawa</v>
      </c>
      <c r="C7" s="2">
        <f t="shared" ca="1" si="3"/>
        <v>27.596101749591</v>
      </c>
      <c r="D7" s="2">
        <f t="shared" ca="1" si="2"/>
        <v>21.122599078828568</v>
      </c>
      <c r="E7" s="2">
        <f t="shared" ca="1" si="2"/>
        <v>28.79219140036512</v>
      </c>
      <c r="F7" s="2">
        <f t="shared" ca="1" si="2"/>
        <v>23.036009630020185</v>
      </c>
      <c r="G7" s="2">
        <f t="shared" ca="1" si="2"/>
        <v>25.132572035977351</v>
      </c>
      <c r="H7" s="2">
        <f t="shared" ca="1" si="2"/>
        <v>20.453840963066288</v>
      </c>
      <c r="I7" s="2">
        <f t="shared" ca="1" si="2"/>
        <v>20.211876323538359</v>
      </c>
      <c r="J7" s="2">
        <f t="shared" ca="1" si="2"/>
        <v>22.729208845647538</v>
      </c>
      <c r="K7" s="2">
        <f t="shared" ca="1" si="2"/>
        <v>21.981078290308258</v>
      </c>
      <c r="L7" s="2">
        <f t="shared" ca="1" si="2"/>
        <v>25.17385932757692</v>
      </c>
      <c r="M7" s="2">
        <f t="shared" ca="1" si="2"/>
        <v>21.900545173264565</v>
      </c>
      <c r="N7" s="2">
        <f t="shared" ca="1" si="2"/>
        <v>21.538794493117308</v>
      </c>
      <c r="O7" s="2">
        <f t="shared" ca="1" si="2"/>
        <v>22.442220780481527</v>
      </c>
      <c r="P7" s="2">
        <f t="shared" ca="1" si="2"/>
        <v>25.148285674409031</v>
      </c>
      <c r="Q7" s="2">
        <f t="shared" ca="1" si="2"/>
        <v>27.684609344523764</v>
      </c>
      <c r="R7" s="2">
        <f t="shared" ca="1" si="2"/>
        <v>25.743157040117058</v>
      </c>
      <c r="S7" s="2">
        <f t="shared" ca="1" si="2"/>
        <v>27.615735261392533</v>
      </c>
      <c r="T7" s="2">
        <f t="shared" ca="1" si="2"/>
        <v>29.522514115309235</v>
      </c>
      <c r="U7" s="2">
        <f t="shared" ca="1" si="2"/>
        <v>28.694805641083391</v>
      </c>
      <c r="V7" s="2">
        <f t="shared" ca="1" si="2"/>
        <v>27.269764823791753</v>
      </c>
      <c r="W7" s="2">
        <f t="shared" ca="1" si="2"/>
        <v>24.009674121211649</v>
      </c>
      <c r="X7" s="2">
        <f t="shared" ca="1" si="2"/>
        <v>23.715079316127465</v>
      </c>
      <c r="Y7" s="2">
        <f t="shared" ca="1" si="2"/>
        <v>21.168240197032208</v>
      </c>
      <c r="Z7" s="2">
        <f t="shared" ca="1" si="2"/>
        <v>25.03601189925217</v>
      </c>
      <c r="AA7" s="2">
        <f t="shared" ca="1" si="2"/>
        <v>20.042638777571707</v>
      </c>
      <c r="AB7" s="2">
        <f t="shared" ca="1" si="2"/>
        <v>20.715367671530473</v>
      </c>
      <c r="AC7" s="2">
        <f t="shared" ca="1" si="2"/>
        <v>28.217569139531868</v>
      </c>
      <c r="AD7" s="2">
        <f t="shared" ca="1" si="2"/>
        <v>28.467466184919765</v>
      </c>
      <c r="AE7" s="2">
        <f t="shared" ca="1" si="2"/>
        <v>21.776446939001513</v>
      </c>
      <c r="AF7" s="2">
        <f t="shared" ca="1" si="2"/>
        <v>28.033642915313074</v>
      </c>
      <c r="AG7" s="2">
        <f t="shared" ca="1" si="2"/>
        <v>22.89295347298685</v>
      </c>
      <c r="AH7" s="2">
        <f t="shared" ca="1" si="2"/>
        <v>29.958698009913732</v>
      </c>
    </row>
    <row r="8" spans="1:34">
      <c r="A8" t="str">
        <f>sets!$H$3</f>
        <v>Teff</v>
      </c>
      <c r="B8" t="str">
        <v>Gambela</v>
      </c>
      <c r="C8" s="2">
        <f t="shared" ca="1" si="3"/>
        <v>23.962215017972198</v>
      </c>
      <c r="D8" s="2">
        <f t="shared" ca="1" si="2"/>
        <v>24.566681847345492</v>
      </c>
      <c r="E8" s="2">
        <f t="shared" ca="1" si="2"/>
        <v>27.842094148945119</v>
      </c>
      <c r="F8" s="2">
        <f t="shared" ca="1" si="2"/>
        <v>22.650022222595709</v>
      </c>
      <c r="G8" s="2">
        <f t="shared" ca="1" si="2"/>
        <v>28.812666218859771</v>
      </c>
      <c r="H8" s="2">
        <f t="shared" ca="1" si="2"/>
        <v>25.088321995897306</v>
      </c>
      <c r="I8" s="2">
        <f t="shared" ca="1" si="2"/>
        <v>26.197583736419876</v>
      </c>
      <c r="J8" s="2">
        <f t="shared" ca="1" si="2"/>
        <v>25.855117421321228</v>
      </c>
      <c r="K8" s="2">
        <f t="shared" ca="1" si="2"/>
        <v>27.886196123394981</v>
      </c>
      <c r="L8" s="2">
        <f t="shared" ca="1" si="2"/>
        <v>29.492085607193463</v>
      </c>
      <c r="M8" s="2">
        <f t="shared" ca="1" si="2"/>
        <v>23.554972907466659</v>
      </c>
      <c r="N8" s="2">
        <f t="shared" ca="1" si="2"/>
        <v>22.862744839941065</v>
      </c>
      <c r="O8" s="2">
        <f t="shared" ca="1" si="2"/>
        <v>27.853334624651605</v>
      </c>
      <c r="P8" s="2">
        <f t="shared" ca="1" si="2"/>
        <v>26.114426771597444</v>
      </c>
      <c r="Q8" s="2">
        <f t="shared" ca="1" si="2"/>
        <v>22.268313970623733</v>
      </c>
      <c r="R8" s="2">
        <f t="shared" ca="1" si="2"/>
        <v>23.298187441775013</v>
      </c>
      <c r="S8" s="2">
        <f t="shared" ca="1" si="2"/>
        <v>21.796277233153617</v>
      </c>
      <c r="T8" s="2">
        <f t="shared" ca="1" si="2"/>
        <v>22.478769649088353</v>
      </c>
      <c r="U8" s="2">
        <f t="shared" ca="1" si="2"/>
        <v>21.566387836798491</v>
      </c>
      <c r="V8" s="2">
        <f t="shared" ca="1" si="2"/>
        <v>26.072661044314206</v>
      </c>
      <c r="W8" s="2">
        <f t="shared" ca="1" si="2"/>
        <v>26.053491685098063</v>
      </c>
      <c r="X8" s="2">
        <f t="shared" ca="1" si="2"/>
        <v>23.038706260386022</v>
      </c>
      <c r="Y8" s="2">
        <f t="shared" ca="1" si="2"/>
        <v>26.482901469686492</v>
      </c>
      <c r="Z8" s="2">
        <f t="shared" ca="1" si="2"/>
        <v>21.050773800131761</v>
      </c>
      <c r="AA8" s="2">
        <f t="shared" ca="1" si="2"/>
        <v>29.04559263286226</v>
      </c>
      <c r="AB8" s="2">
        <f t="shared" ca="1" si="2"/>
        <v>23.308264917103909</v>
      </c>
      <c r="AC8" s="2">
        <f t="shared" ca="1" si="2"/>
        <v>25.97102906576982</v>
      </c>
      <c r="AD8" s="2">
        <f t="shared" ca="1" si="2"/>
        <v>27.251770327144541</v>
      </c>
      <c r="AE8" s="2">
        <f t="shared" ca="1" si="2"/>
        <v>20.172644228889684</v>
      </c>
      <c r="AF8" s="2">
        <f t="shared" ca="1" si="2"/>
        <v>20.892140694760826</v>
      </c>
      <c r="AG8" s="2">
        <f t="shared" ca="1" si="2"/>
        <v>27.806774869935381</v>
      </c>
      <c r="AH8" s="2">
        <f t="shared" ca="1" si="2"/>
        <v>27.995220296205549</v>
      </c>
    </row>
    <row r="9" spans="1:34">
      <c r="A9" t="str">
        <f>sets!$H$3</f>
        <v>Teff</v>
      </c>
      <c r="B9" t="str">
        <v>Harari</v>
      </c>
      <c r="C9" s="2">
        <f t="shared" ca="1" si="3"/>
        <v>29.221979002800158</v>
      </c>
      <c r="D9" s="2">
        <f t="shared" ca="1" si="2"/>
        <v>20.348789670345418</v>
      </c>
      <c r="E9" s="2">
        <f t="shared" ca="1" si="2"/>
        <v>28.792224108397914</v>
      </c>
      <c r="F9" s="2">
        <f t="shared" ca="1" si="2"/>
        <v>24.915471523954128</v>
      </c>
      <c r="G9" s="2">
        <f t="shared" ca="1" si="2"/>
        <v>24.337899571612791</v>
      </c>
      <c r="H9" s="2">
        <f t="shared" ca="1" si="2"/>
        <v>22.047249595012278</v>
      </c>
      <c r="I9" s="2">
        <f t="shared" ca="1" si="2"/>
        <v>22.596977049668102</v>
      </c>
      <c r="J9" s="2">
        <f t="shared" ca="1" si="2"/>
        <v>21.803226774797182</v>
      </c>
      <c r="K9" s="2">
        <f t="shared" ca="1" si="2"/>
        <v>25.202944622505385</v>
      </c>
      <c r="L9" s="2">
        <f t="shared" ca="1" si="2"/>
        <v>25.876467851452567</v>
      </c>
      <c r="M9" s="2">
        <f t="shared" ca="1" si="2"/>
        <v>28.138072501695692</v>
      </c>
      <c r="N9" s="2">
        <f t="shared" ca="1" si="2"/>
        <v>27.025276231342708</v>
      </c>
      <c r="O9" s="2">
        <f t="shared" ca="1" si="2"/>
        <v>28.973302267633898</v>
      </c>
      <c r="P9" s="2">
        <f t="shared" ca="1" si="2"/>
        <v>26.347845450125984</v>
      </c>
      <c r="Q9" s="2">
        <f t="shared" ca="1" si="2"/>
        <v>29.749913841824487</v>
      </c>
      <c r="R9" s="2">
        <f t="shared" ca="1" si="2"/>
        <v>20.863679589832156</v>
      </c>
      <c r="S9" s="2">
        <f t="shared" ca="1" si="2"/>
        <v>21.85936149583884</v>
      </c>
      <c r="T9" s="2">
        <f t="shared" ca="1" si="2"/>
        <v>20.768964311931228</v>
      </c>
      <c r="U9" s="2">
        <f t="shared" ca="1" si="2"/>
        <v>24.11085402896893</v>
      </c>
      <c r="V9" s="2">
        <f t="shared" ca="1" si="2"/>
        <v>28.111402505177441</v>
      </c>
      <c r="W9" s="2">
        <f t="shared" ca="1" si="2"/>
        <v>20.706051664904269</v>
      </c>
      <c r="X9" s="2">
        <f t="shared" ca="1" si="2"/>
        <v>28.997441273984649</v>
      </c>
      <c r="Y9" s="2">
        <f t="shared" ca="1" si="2"/>
        <v>25.021311008678062</v>
      </c>
      <c r="Z9" s="2">
        <f t="shared" ca="1" si="2"/>
        <v>27.387887937624544</v>
      </c>
      <c r="AA9" s="2">
        <f t="shared" ca="1" si="2"/>
        <v>20.926268031558383</v>
      </c>
      <c r="AB9" s="2">
        <f t="shared" ca="1" si="2"/>
        <v>26.982597341760524</v>
      </c>
      <c r="AC9" s="2">
        <f t="shared" ca="1" si="2"/>
        <v>27.126983519806014</v>
      </c>
      <c r="AD9" s="2">
        <f t="shared" ca="1" si="2"/>
        <v>29.118718711576548</v>
      </c>
      <c r="AE9" s="2">
        <f t="shared" ca="1" si="2"/>
        <v>22.028246591392993</v>
      </c>
      <c r="AF9" s="2">
        <f t="shared" ca="1" si="2"/>
        <v>20.866956311752102</v>
      </c>
      <c r="AG9" s="2">
        <f t="shared" ca="1" si="2"/>
        <v>26.840845362761957</v>
      </c>
      <c r="AH9" s="2">
        <f t="shared" ca="1" si="2"/>
        <v>20.276562574370644</v>
      </c>
    </row>
    <row r="10" spans="1:34">
      <c r="A10" t="str">
        <f>sets!$H$3</f>
        <v>Teff</v>
      </c>
      <c r="B10" t="str">
        <v>Oromia</v>
      </c>
      <c r="C10" s="2">
        <f t="shared" ca="1" si="3"/>
        <v>25.679435043270804</v>
      </c>
      <c r="D10" s="2">
        <f t="shared" ca="1" si="2"/>
        <v>20.00491144337748</v>
      </c>
      <c r="E10" s="2">
        <f t="shared" ca="1" si="2"/>
        <v>23.742371291911173</v>
      </c>
      <c r="F10" s="2">
        <f t="shared" ca="1" si="2"/>
        <v>29.785871275519948</v>
      </c>
      <c r="G10" s="2">
        <f t="shared" ca="1" si="2"/>
        <v>27.602839265208885</v>
      </c>
      <c r="H10" s="2">
        <f t="shared" ca="1" si="2"/>
        <v>27.838890908495152</v>
      </c>
      <c r="I10" s="2">
        <f t="shared" ca="1" si="2"/>
        <v>21.432587475761029</v>
      </c>
      <c r="J10" s="2">
        <f t="shared" ca="1" si="2"/>
        <v>29.40463586538587</v>
      </c>
      <c r="K10" s="2">
        <f t="shared" ca="1" si="2"/>
        <v>26.809783996955545</v>
      </c>
      <c r="L10" s="2">
        <f t="shared" ca="1" si="2"/>
        <v>20.196846608116076</v>
      </c>
      <c r="M10" s="2">
        <f t="shared" ca="1" si="2"/>
        <v>26.253058601796798</v>
      </c>
      <c r="N10" s="2">
        <f t="shared" ca="1" si="2"/>
        <v>21.060221635153042</v>
      </c>
      <c r="O10" s="2">
        <f t="shared" ca="1" si="2"/>
        <v>25.80599375818008</v>
      </c>
      <c r="P10" s="2">
        <f t="shared" ca="1" si="2"/>
        <v>28.455688665180901</v>
      </c>
      <c r="Q10" s="2">
        <f t="shared" ca="1" si="2"/>
        <v>26.36915476437547</v>
      </c>
      <c r="R10" s="2">
        <f t="shared" ca="1" si="2"/>
        <v>20.508667455133679</v>
      </c>
      <c r="S10" s="2">
        <f t="shared" ca="1" si="2"/>
        <v>22.439801028512264</v>
      </c>
      <c r="T10" s="2">
        <f t="shared" ca="1" si="2"/>
        <v>24.837950922308718</v>
      </c>
      <c r="U10" s="2">
        <f t="shared" ca="1" si="2"/>
        <v>27.842806685664073</v>
      </c>
      <c r="V10" s="2">
        <f t="shared" ca="1" si="2"/>
        <v>21.822445122132393</v>
      </c>
      <c r="W10" s="2">
        <f t="shared" ca="1" si="2"/>
        <v>29.722470236929265</v>
      </c>
      <c r="X10" s="2">
        <f t="shared" ca="1" si="2"/>
        <v>29.197002772950519</v>
      </c>
      <c r="Y10" s="2">
        <f t="shared" ca="1" si="2"/>
        <v>27.764171121720704</v>
      </c>
      <c r="Z10" s="2">
        <f t="shared" ca="1" si="2"/>
        <v>24.957349167833069</v>
      </c>
      <c r="AA10" s="2">
        <f t="shared" ca="1" si="2"/>
        <v>22.449587514083113</v>
      </c>
      <c r="AB10" s="2">
        <f t="shared" ca="1" si="2"/>
        <v>20.39275013746505</v>
      </c>
      <c r="AC10" s="2">
        <f t="shared" ca="1" si="2"/>
        <v>21.29053629455975</v>
      </c>
      <c r="AD10" s="2">
        <f t="shared" ca="1" si="2"/>
        <v>28.517717382941981</v>
      </c>
      <c r="AE10" s="2">
        <f t="shared" ca="1" si="2"/>
        <v>29.577842754370099</v>
      </c>
      <c r="AF10" s="2">
        <f t="shared" ca="1" si="2"/>
        <v>29.903758045751598</v>
      </c>
      <c r="AG10" s="2">
        <f t="shared" ca="1" si="2"/>
        <v>24.931743892401609</v>
      </c>
      <c r="AH10" s="2">
        <f t="shared" ca="1" si="2"/>
        <v>28.248549119822247</v>
      </c>
    </row>
    <row r="11" spans="1:34">
      <c r="A11" t="str">
        <f>sets!$H$3</f>
        <v>Teff</v>
      </c>
      <c r="B11" t="str">
        <v>Somali</v>
      </c>
      <c r="C11" s="2">
        <f t="shared" ca="1" si="3"/>
        <v>25.15647861237013</v>
      </c>
      <c r="D11" s="2">
        <f t="shared" ca="1" si="2"/>
        <v>25.720887850569728</v>
      </c>
      <c r="E11" s="2">
        <f t="shared" ca="1" si="2"/>
        <v>27.704693774290856</v>
      </c>
      <c r="F11" s="2">
        <f t="shared" ca="1" si="2"/>
        <v>27.145794895522446</v>
      </c>
      <c r="G11" s="2">
        <f t="shared" ca="1" si="2"/>
        <v>29.295915332179916</v>
      </c>
      <c r="H11" s="2">
        <f t="shared" ca="1" si="2"/>
        <v>23.175793495574915</v>
      </c>
      <c r="I11" s="2">
        <f t="shared" ca="1" si="2"/>
        <v>20.308445118000275</v>
      </c>
      <c r="J11" s="2">
        <f t="shared" ca="1" si="2"/>
        <v>29.130424847153126</v>
      </c>
      <c r="K11" s="2">
        <f t="shared" ref="K11:Z42" ca="1" si="4">(RAND()*0.1+0.2)*100</f>
        <v>21.292803329606571</v>
      </c>
      <c r="L11" s="2">
        <f t="shared" ca="1" si="4"/>
        <v>28.396502229224645</v>
      </c>
      <c r="M11" s="2">
        <f t="shared" ca="1" si="4"/>
        <v>21.469294198401201</v>
      </c>
      <c r="N11" s="2">
        <f t="shared" ca="1" si="4"/>
        <v>26.557545629000828</v>
      </c>
      <c r="O11" s="2">
        <f t="shared" ca="1" si="4"/>
        <v>29.215509590722423</v>
      </c>
      <c r="P11" s="2">
        <f t="shared" ca="1" si="4"/>
        <v>22.972146361888367</v>
      </c>
      <c r="Q11" s="2">
        <f t="shared" ca="1" si="4"/>
        <v>29.14550481008828</v>
      </c>
      <c r="R11" s="2">
        <f t="shared" ca="1" si="4"/>
        <v>27.098927631865095</v>
      </c>
      <c r="S11" s="2">
        <f t="shared" ca="1" si="4"/>
        <v>24.98291652978066</v>
      </c>
      <c r="T11" s="2">
        <f t="shared" ca="1" si="4"/>
        <v>21.123543958665554</v>
      </c>
      <c r="U11" s="2">
        <f t="shared" ca="1" si="4"/>
        <v>23.851941012718193</v>
      </c>
      <c r="V11" s="2">
        <f t="shared" ca="1" si="4"/>
        <v>20.573901431294075</v>
      </c>
      <c r="W11" s="2">
        <f t="shared" ca="1" si="4"/>
        <v>28.918133219225577</v>
      </c>
      <c r="X11" s="2">
        <f t="shared" ca="1" si="4"/>
        <v>23.06482907641205</v>
      </c>
      <c r="Y11" s="2">
        <f t="shared" ca="1" si="4"/>
        <v>23.968762161317304</v>
      </c>
      <c r="Z11" s="2">
        <f t="shared" ca="1" si="4"/>
        <v>20.933635570299874</v>
      </c>
      <c r="AA11" s="2">
        <f t="shared" ref="AA11:AH42" ca="1" si="5">(RAND()*0.1+0.2)*100</f>
        <v>26.832039158265548</v>
      </c>
      <c r="AB11" s="2">
        <f t="shared" ca="1" si="5"/>
        <v>26.418143266070903</v>
      </c>
      <c r="AC11" s="2">
        <f t="shared" ca="1" si="5"/>
        <v>27.8356723326755</v>
      </c>
      <c r="AD11" s="2">
        <f t="shared" ca="1" si="5"/>
        <v>25.284313065769215</v>
      </c>
      <c r="AE11" s="2">
        <f t="shared" ca="1" si="5"/>
        <v>21.592252358144453</v>
      </c>
      <c r="AF11" s="2">
        <f t="shared" ca="1" si="5"/>
        <v>22.595072571401086</v>
      </c>
      <c r="AG11" s="2">
        <f t="shared" ca="1" si="5"/>
        <v>21.13604455337995</v>
      </c>
      <c r="AH11" s="2">
        <f t="shared" ca="1" si="5"/>
        <v>23.460271031611796</v>
      </c>
    </row>
    <row r="12" spans="1:34">
      <c r="A12" t="str">
        <f>sets!$H$3</f>
        <v>Teff</v>
      </c>
      <c r="B12" t="str">
        <v>SNNPR</v>
      </c>
      <c r="C12" s="2">
        <f t="shared" ca="1" si="3"/>
        <v>29.204909249204704</v>
      </c>
      <c r="D12" s="2">
        <f t="shared" ca="1" si="3"/>
        <v>21.483938309135524</v>
      </c>
      <c r="E12" s="2">
        <f t="shared" ca="1" si="3"/>
        <v>22.806981039518316</v>
      </c>
      <c r="F12" s="2">
        <f t="shared" ca="1" si="3"/>
        <v>26.624689925534316</v>
      </c>
      <c r="G12" s="2">
        <f t="shared" ca="1" si="3"/>
        <v>21.018503628278076</v>
      </c>
      <c r="H12" s="2">
        <f t="shared" ca="1" si="3"/>
        <v>29.803733903948242</v>
      </c>
      <c r="I12" s="2">
        <f t="shared" ca="1" si="3"/>
        <v>22.705048129515564</v>
      </c>
      <c r="J12" s="2">
        <f t="shared" ca="1" si="3"/>
        <v>22.964876862461669</v>
      </c>
      <c r="K12" s="2">
        <f t="shared" ca="1" si="3"/>
        <v>29.305369376448091</v>
      </c>
      <c r="L12" s="2">
        <f t="shared" ca="1" si="3"/>
        <v>22.164784129941165</v>
      </c>
      <c r="M12" s="2">
        <f t="shared" ca="1" si="3"/>
        <v>21.157132268600183</v>
      </c>
      <c r="N12" s="2">
        <f t="shared" ca="1" si="3"/>
        <v>21.012939213481957</v>
      </c>
      <c r="O12" s="2">
        <f t="shared" ca="1" si="3"/>
        <v>26.206429235452511</v>
      </c>
      <c r="P12" s="2">
        <f t="shared" ca="1" si="3"/>
        <v>28.443264697619298</v>
      </c>
      <c r="Q12" s="2">
        <f t="shared" ca="1" si="3"/>
        <v>26.020790133519618</v>
      </c>
      <c r="R12" s="2">
        <f t="shared" ca="1" si="3"/>
        <v>20.288953603969851</v>
      </c>
      <c r="S12" s="2">
        <f t="shared" ca="1" si="4"/>
        <v>29.546264063855116</v>
      </c>
      <c r="T12" s="2">
        <f t="shared" ca="1" si="4"/>
        <v>25.96650966756156</v>
      </c>
      <c r="U12" s="2">
        <f t="shared" ca="1" si="4"/>
        <v>28.867426892339843</v>
      </c>
      <c r="V12" s="2">
        <f t="shared" ca="1" si="4"/>
        <v>25.993753310820573</v>
      </c>
      <c r="W12" s="2">
        <f t="shared" ca="1" si="4"/>
        <v>25.009631042097503</v>
      </c>
      <c r="X12" s="2">
        <f t="shared" ca="1" si="4"/>
        <v>25.677010553957157</v>
      </c>
      <c r="Y12" s="2">
        <f t="shared" ca="1" si="4"/>
        <v>21.137173537178793</v>
      </c>
      <c r="Z12" s="2">
        <f t="shared" ca="1" si="4"/>
        <v>25.744998783902712</v>
      </c>
      <c r="AA12" s="2">
        <f t="shared" ca="1" si="5"/>
        <v>27.865160627274964</v>
      </c>
      <c r="AB12" s="2">
        <f t="shared" ca="1" si="5"/>
        <v>20.336639679963593</v>
      </c>
      <c r="AC12" s="2">
        <f t="shared" ca="1" si="5"/>
        <v>27.902532581175898</v>
      </c>
      <c r="AD12" s="2">
        <f t="shared" ca="1" si="5"/>
        <v>23.90471154148975</v>
      </c>
      <c r="AE12" s="2">
        <f t="shared" ca="1" si="5"/>
        <v>26.371474258044771</v>
      </c>
      <c r="AF12" s="2">
        <f t="shared" ca="1" si="5"/>
        <v>27.242894702545119</v>
      </c>
      <c r="AG12" s="2">
        <f t="shared" ca="1" si="5"/>
        <v>23.320530266335322</v>
      </c>
      <c r="AH12" s="2">
        <f t="shared" ca="1" si="5"/>
        <v>20.38467966246877</v>
      </c>
    </row>
    <row r="13" spans="1:34">
      <c r="A13" t="str">
        <f>sets!$H$3</f>
        <v>Teff</v>
      </c>
      <c r="B13" t="str">
        <v>Tigray</v>
      </c>
      <c r="C13" s="2">
        <f t="shared" ca="1" si="3"/>
        <v>25.90350743847144</v>
      </c>
      <c r="D13" s="2">
        <f t="shared" ca="1" si="3"/>
        <v>20.495670403063261</v>
      </c>
      <c r="E13" s="2">
        <f t="shared" ca="1" si="3"/>
        <v>26.064569575631651</v>
      </c>
      <c r="F13" s="2">
        <f t="shared" ca="1" si="3"/>
        <v>26.54052774171133</v>
      </c>
      <c r="G13" s="2">
        <f t="shared" ca="1" si="3"/>
        <v>21.971582093539961</v>
      </c>
      <c r="H13" s="2">
        <f t="shared" ca="1" si="3"/>
        <v>22.078054693459755</v>
      </c>
      <c r="I13" s="2">
        <f t="shared" ca="1" si="3"/>
        <v>21.712786727892933</v>
      </c>
      <c r="J13" s="2">
        <f t="shared" ca="1" si="3"/>
        <v>20.193439385882733</v>
      </c>
      <c r="K13" s="2">
        <f t="shared" ca="1" si="3"/>
        <v>23.782002183089428</v>
      </c>
      <c r="L13" s="2">
        <f t="shared" ca="1" si="3"/>
        <v>23.243229083240237</v>
      </c>
      <c r="M13" s="2">
        <f t="shared" ca="1" si="3"/>
        <v>29.723107285719376</v>
      </c>
      <c r="N13" s="2">
        <f t="shared" ca="1" si="3"/>
        <v>29.896355089474135</v>
      </c>
      <c r="O13" s="2">
        <f t="shared" ca="1" si="3"/>
        <v>26.981209249364603</v>
      </c>
      <c r="P13" s="2">
        <f t="shared" ca="1" si="3"/>
        <v>25.401476011597225</v>
      </c>
      <c r="Q13" s="2">
        <f t="shared" ca="1" si="3"/>
        <v>26.982758739708935</v>
      </c>
      <c r="R13" s="2">
        <f t="shared" ca="1" si="3"/>
        <v>21.578155295363068</v>
      </c>
      <c r="S13" s="2">
        <f t="shared" ca="1" si="4"/>
        <v>29.366880380821069</v>
      </c>
      <c r="T13" s="2">
        <f t="shared" ca="1" si="4"/>
        <v>24.199302182285614</v>
      </c>
      <c r="U13" s="2">
        <f t="shared" ca="1" si="4"/>
        <v>25.268345378529901</v>
      </c>
      <c r="V13" s="2">
        <f t="shared" ca="1" si="4"/>
        <v>26.503328096534101</v>
      </c>
      <c r="W13" s="2">
        <f t="shared" ca="1" si="4"/>
        <v>26.699754305686298</v>
      </c>
      <c r="X13" s="2">
        <f t="shared" ca="1" si="4"/>
        <v>25.866197825055497</v>
      </c>
      <c r="Y13" s="2">
        <f t="shared" ca="1" si="4"/>
        <v>26.487962144374887</v>
      </c>
      <c r="Z13" s="2">
        <f t="shared" ca="1" si="4"/>
        <v>28.807108017002236</v>
      </c>
      <c r="AA13" s="2">
        <f t="shared" ca="1" si="5"/>
        <v>25.861030568168658</v>
      </c>
      <c r="AB13" s="2">
        <f t="shared" ca="1" si="5"/>
        <v>24.053771758780705</v>
      </c>
      <c r="AC13" s="2">
        <f t="shared" ca="1" si="5"/>
        <v>28.755961913408623</v>
      </c>
      <c r="AD13" s="2">
        <f t="shared" ca="1" si="5"/>
        <v>26.684031163891074</v>
      </c>
      <c r="AE13" s="2">
        <f t="shared" ca="1" si="5"/>
        <v>21.64047828286385</v>
      </c>
      <c r="AF13" s="2">
        <f t="shared" ca="1" si="5"/>
        <v>28.470673037741484</v>
      </c>
      <c r="AG13" s="2">
        <f t="shared" ca="1" si="5"/>
        <v>25.825555391314918</v>
      </c>
      <c r="AH13" s="2">
        <f t="shared" ca="1" si="5"/>
        <v>23.821375078126753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24.169982205243855</v>
      </c>
      <c r="D14" s="2">
        <f t="shared" ca="1" si="3"/>
        <v>20.59513867901655</v>
      </c>
      <c r="E14" s="2">
        <f t="shared" ca="1" si="3"/>
        <v>20.577013256940628</v>
      </c>
      <c r="F14" s="2">
        <f t="shared" ca="1" si="3"/>
        <v>21.963472626091885</v>
      </c>
      <c r="G14" s="2">
        <f t="shared" ca="1" si="3"/>
        <v>25.423194601447264</v>
      </c>
      <c r="H14" s="2">
        <f t="shared" ca="1" si="3"/>
        <v>27.445944474625268</v>
      </c>
      <c r="I14" s="2">
        <f t="shared" ca="1" si="3"/>
        <v>20.934849894693546</v>
      </c>
      <c r="J14" s="2">
        <f t="shared" ca="1" si="3"/>
        <v>20.093914773357028</v>
      </c>
      <c r="K14" s="2">
        <f t="shared" ca="1" si="3"/>
        <v>26.656983484211956</v>
      </c>
      <c r="L14" s="2">
        <f t="shared" ca="1" si="3"/>
        <v>20.201932710261367</v>
      </c>
      <c r="M14" s="2">
        <f t="shared" ca="1" si="3"/>
        <v>28.661150900822037</v>
      </c>
      <c r="N14" s="2">
        <f t="shared" ca="1" si="3"/>
        <v>28.950900780597262</v>
      </c>
      <c r="O14" s="2">
        <f t="shared" ca="1" si="3"/>
        <v>26.078560783910259</v>
      </c>
      <c r="P14" s="2">
        <f t="shared" ca="1" si="3"/>
        <v>22.940060833608943</v>
      </c>
      <c r="Q14" s="2">
        <f t="shared" ca="1" si="3"/>
        <v>25.497769024704116</v>
      </c>
      <c r="R14" s="2">
        <f t="shared" ca="1" si="3"/>
        <v>23.946477809106618</v>
      </c>
      <c r="S14" s="2">
        <f t="shared" ca="1" si="4"/>
        <v>22.072773148480927</v>
      </c>
      <c r="T14" s="2">
        <f t="shared" ca="1" si="4"/>
        <v>21.974278293826458</v>
      </c>
      <c r="U14" s="2">
        <f t="shared" ca="1" si="4"/>
        <v>29.640197915081774</v>
      </c>
      <c r="V14" s="2">
        <f t="shared" ca="1" si="4"/>
        <v>27.638753992817435</v>
      </c>
      <c r="W14" s="2">
        <f t="shared" ca="1" si="4"/>
        <v>25.126088834333348</v>
      </c>
      <c r="X14" s="2">
        <f t="shared" ca="1" si="4"/>
        <v>23.747538987998755</v>
      </c>
      <c r="Y14" s="2">
        <f t="shared" ca="1" si="4"/>
        <v>27.822631603055726</v>
      </c>
      <c r="Z14" s="2">
        <f t="shared" ca="1" si="4"/>
        <v>27.805439566701541</v>
      </c>
      <c r="AA14" s="2">
        <f t="shared" ca="1" si="5"/>
        <v>23.958651985804774</v>
      </c>
      <c r="AB14" s="2">
        <f t="shared" ca="1" si="5"/>
        <v>29.657140347080269</v>
      </c>
      <c r="AC14" s="2">
        <f t="shared" ca="1" si="5"/>
        <v>28.519461097021022</v>
      </c>
      <c r="AD14" s="2">
        <f t="shared" ca="1" si="5"/>
        <v>27.597138484402841</v>
      </c>
      <c r="AE14" s="2">
        <f t="shared" ca="1" si="5"/>
        <v>24.099274234552855</v>
      </c>
      <c r="AF14" s="2">
        <f t="shared" ca="1" si="5"/>
        <v>27.333212844971634</v>
      </c>
      <c r="AG14" s="2">
        <f t="shared" ca="1" si="5"/>
        <v>23.971475448941455</v>
      </c>
      <c r="AH14" s="2">
        <f t="shared" ca="1" si="5"/>
        <v>29.534507769089714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22.89844695737705</v>
      </c>
      <c r="D15" s="2">
        <f t="shared" ca="1" si="3"/>
        <v>28.403889092587065</v>
      </c>
      <c r="E15" s="2">
        <f t="shared" ca="1" si="3"/>
        <v>22.750380389527535</v>
      </c>
      <c r="F15" s="2">
        <f t="shared" ca="1" si="3"/>
        <v>25.917679649039695</v>
      </c>
      <c r="G15" s="2">
        <f t="shared" ca="1" si="3"/>
        <v>26.726919162341183</v>
      </c>
      <c r="H15" s="2">
        <f t="shared" ca="1" si="3"/>
        <v>27.578067143495765</v>
      </c>
      <c r="I15" s="2">
        <f t="shared" ca="1" si="3"/>
        <v>23.164799425928248</v>
      </c>
      <c r="J15" s="2">
        <f t="shared" ca="1" si="3"/>
        <v>25.705179193827064</v>
      </c>
      <c r="K15" s="2">
        <f t="shared" ca="1" si="3"/>
        <v>20.118377803016344</v>
      </c>
      <c r="L15" s="2">
        <f t="shared" ca="1" si="3"/>
        <v>26.767515549700772</v>
      </c>
      <c r="M15" s="2">
        <f t="shared" ca="1" si="3"/>
        <v>27.088231900217725</v>
      </c>
      <c r="N15" s="2">
        <f t="shared" ca="1" si="3"/>
        <v>21.205399475182734</v>
      </c>
      <c r="O15" s="2">
        <f t="shared" ca="1" si="3"/>
        <v>20.834153989771433</v>
      </c>
      <c r="P15" s="2">
        <f t="shared" ca="1" si="3"/>
        <v>26.754116866309772</v>
      </c>
      <c r="Q15" s="2">
        <f t="shared" ca="1" si="3"/>
        <v>21.591680728341739</v>
      </c>
      <c r="R15" s="2">
        <f t="shared" ca="1" si="3"/>
        <v>28.212077797956397</v>
      </c>
      <c r="S15" s="2">
        <f t="shared" ca="1" si="4"/>
        <v>28.745924896997245</v>
      </c>
      <c r="T15" s="2">
        <f t="shared" ca="1" si="4"/>
        <v>28.48351337955949</v>
      </c>
      <c r="U15" s="2">
        <f t="shared" ca="1" si="4"/>
        <v>24.480778380414556</v>
      </c>
      <c r="V15" s="2">
        <f t="shared" ca="1" si="4"/>
        <v>20.927748978907658</v>
      </c>
      <c r="W15" s="2">
        <f t="shared" ca="1" si="4"/>
        <v>21.644742363556588</v>
      </c>
      <c r="X15" s="2">
        <f t="shared" ca="1" si="4"/>
        <v>20.741463950269186</v>
      </c>
      <c r="Y15" s="2">
        <f t="shared" ca="1" si="4"/>
        <v>28.903566877037086</v>
      </c>
      <c r="Z15" s="2">
        <f t="shared" ca="1" si="4"/>
        <v>26.75060599057073</v>
      </c>
      <c r="AA15" s="2">
        <f t="shared" ca="1" si="5"/>
        <v>23.133900936422858</v>
      </c>
      <c r="AB15" s="2">
        <f t="shared" ca="1" si="5"/>
        <v>25.73501729445773</v>
      </c>
      <c r="AC15" s="2">
        <f t="shared" ca="1" si="5"/>
        <v>20.97866272831352</v>
      </c>
      <c r="AD15" s="2">
        <f t="shared" ca="1" si="5"/>
        <v>28.330323322189209</v>
      </c>
      <c r="AE15" s="2">
        <f t="shared" ca="1" si="5"/>
        <v>22.956338468137861</v>
      </c>
      <c r="AF15" s="2">
        <f t="shared" ca="1" si="5"/>
        <v>20.082085746532975</v>
      </c>
      <c r="AG15" s="2">
        <f t="shared" ca="1" si="5"/>
        <v>21.540211915122232</v>
      </c>
      <c r="AH15" s="2">
        <f t="shared" ca="1" si="5"/>
        <v>21.85001265903135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22.74829173546707</v>
      </c>
      <c r="D16" s="2">
        <f t="shared" ca="1" si="3"/>
        <v>22.092425914817387</v>
      </c>
      <c r="E16" s="2">
        <f t="shared" ca="1" si="3"/>
        <v>28.996755427629267</v>
      </c>
      <c r="F16" s="2">
        <f t="shared" ca="1" si="3"/>
        <v>24.939497601133198</v>
      </c>
      <c r="G16" s="2">
        <f t="shared" ca="1" si="3"/>
        <v>24.229257482071798</v>
      </c>
      <c r="H16" s="2">
        <f t="shared" ca="1" si="3"/>
        <v>21.218475520410852</v>
      </c>
      <c r="I16" s="2">
        <f t="shared" ca="1" si="3"/>
        <v>26.669059629858786</v>
      </c>
      <c r="J16" s="2">
        <f t="shared" ca="1" si="3"/>
        <v>27.92055110234941</v>
      </c>
      <c r="K16" s="2">
        <f t="shared" ca="1" si="3"/>
        <v>24.437345020136299</v>
      </c>
      <c r="L16" s="2">
        <f t="shared" ca="1" si="3"/>
        <v>29.821260684110662</v>
      </c>
      <c r="M16" s="2">
        <f t="shared" ca="1" si="3"/>
        <v>29.28686125146271</v>
      </c>
      <c r="N16" s="2">
        <f t="shared" ca="1" si="3"/>
        <v>23.167546565449868</v>
      </c>
      <c r="O16" s="2">
        <f t="shared" ca="1" si="3"/>
        <v>29.564477140033237</v>
      </c>
      <c r="P16" s="2">
        <f t="shared" ca="1" si="3"/>
        <v>21.123956791907457</v>
      </c>
      <c r="Q16" s="2">
        <f t="shared" ca="1" si="3"/>
        <v>22.574930416924328</v>
      </c>
      <c r="R16" s="2">
        <f t="shared" ca="1" si="3"/>
        <v>23.010870762363623</v>
      </c>
      <c r="S16" s="2">
        <f t="shared" ca="1" si="4"/>
        <v>28.68667753888149</v>
      </c>
      <c r="T16" s="2">
        <f t="shared" ca="1" si="4"/>
        <v>23.225099889139049</v>
      </c>
      <c r="U16" s="2">
        <f t="shared" ca="1" si="4"/>
        <v>22.914768408346266</v>
      </c>
      <c r="V16" s="2">
        <f t="shared" ca="1" si="4"/>
        <v>20.820635418653858</v>
      </c>
      <c r="W16" s="2">
        <f t="shared" ca="1" si="4"/>
        <v>23.58562343896503</v>
      </c>
      <c r="X16" s="2">
        <f t="shared" ca="1" si="4"/>
        <v>24.758216586589455</v>
      </c>
      <c r="Y16" s="2">
        <f t="shared" ca="1" si="4"/>
        <v>25.155318981472352</v>
      </c>
      <c r="Z16" s="2">
        <f t="shared" ca="1" si="4"/>
        <v>24.721428745392672</v>
      </c>
      <c r="AA16" s="2">
        <f t="shared" ca="1" si="5"/>
        <v>27.096615750079867</v>
      </c>
      <c r="AB16" s="2">
        <f t="shared" ca="1" si="5"/>
        <v>23.956820039926921</v>
      </c>
      <c r="AC16" s="2">
        <f t="shared" ca="1" si="5"/>
        <v>21.242523065576204</v>
      </c>
      <c r="AD16" s="2">
        <f t="shared" ca="1" si="5"/>
        <v>23.827889559200027</v>
      </c>
      <c r="AE16" s="2">
        <f t="shared" ca="1" si="5"/>
        <v>22.841352349786774</v>
      </c>
      <c r="AF16" s="2">
        <f t="shared" ca="1" si="5"/>
        <v>25.733818409498021</v>
      </c>
      <c r="AG16" s="2">
        <f t="shared" ca="1" si="5"/>
        <v>22.104602083458737</v>
      </c>
      <c r="AH16" s="2">
        <f t="shared" ca="1" si="5"/>
        <v>26.860927560641972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29.495227116803228</v>
      </c>
      <c r="D17" s="2">
        <f t="shared" ca="1" si="3"/>
        <v>21.262833007976472</v>
      </c>
      <c r="E17" s="2">
        <f t="shared" ca="1" si="3"/>
        <v>21.987060908817845</v>
      </c>
      <c r="F17" s="2">
        <f t="shared" ca="1" si="3"/>
        <v>29.814846645243392</v>
      </c>
      <c r="G17" s="2">
        <f t="shared" ca="1" si="3"/>
        <v>26.920567642078154</v>
      </c>
      <c r="H17" s="2">
        <f t="shared" ca="1" si="3"/>
        <v>20.430200220247695</v>
      </c>
      <c r="I17" s="2">
        <f t="shared" ca="1" si="3"/>
        <v>27.85476831363221</v>
      </c>
      <c r="J17" s="2">
        <f t="shared" ca="1" si="3"/>
        <v>22.339479376596227</v>
      </c>
      <c r="K17" s="2">
        <f t="shared" ca="1" si="3"/>
        <v>29.742506263810103</v>
      </c>
      <c r="L17" s="2">
        <f t="shared" ca="1" si="3"/>
        <v>25.659712904681275</v>
      </c>
      <c r="M17" s="2">
        <f t="shared" ca="1" si="3"/>
        <v>27.39600619355571</v>
      </c>
      <c r="N17" s="2">
        <f t="shared" ca="1" si="3"/>
        <v>29.60064041342126</v>
      </c>
      <c r="O17" s="2">
        <f t="shared" ca="1" si="3"/>
        <v>23.458011415183069</v>
      </c>
      <c r="P17" s="2">
        <f t="shared" ca="1" si="3"/>
        <v>23.679666719709989</v>
      </c>
      <c r="Q17" s="2">
        <f t="shared" ca="1" si="3"/>
        <v>24.066540714827273</v>
      </c>
      <c r="R17" s="2">
        <f t="shared" ca="1" si="3"/>
        <v>22.105622884549781</v>
      </c>
      <c r="S17" s="2">
        <f t="shared" ca="1" si="4"/>
        <v>20.563352818259208</v>
      </c>
      <c r="T17" s="2">
        <f t="shared" ca="1" si="4"/>
        <v>24.159544889606487</v>
      </c>
      <c r="U17" s="2">
        <f t="shared" ca="1" si="4"/>
        <v>27.018485125403942</v>
      </c>
      <c r="V17" s="2">
        <f t="shared" ca="1" si="4"/>
        <v>27.251299053164267</v>
      </c>
      <c r="W17" s="2">
        <f t="shared" ca="1" si="4"/>
        <v>28.627253556199044</v>
      </c>
      <c r="X17" s="2">
        <f t="shared" ca="1" si="4"/>
        <v>26.590908366102699</v>
      </c>
      <c r="Y17" s="2">
        <f t="shared" ca="1" si="4"/>
        <v>24.39900757459159</v>
      </c>
      <c r="Z17" s="2">
        <f t="shared" ca="1" si="4"/>
        <v>24.72343978458559</v>
      </c>
      <c r="AA17" s="2">
        <f t="shared" ca="1" si="5"/>
        <v>28.133177440360633</v>
      </c>
      <c r="AB17" s="2">
        <f t="shared" ca="1" si="5"/>
        <v>22.595485524749897</v>
      </c>
      <c r="AC17" s="2">
        <f t="shared" ca="1" si="5"/>
        <v>27.360485597808815</v>
      </c>
      <c r="AD17" s="2">
        <f t="shared" ca="1" si="5"/>
        <v>21.538640165380656</v>
      </c>
      <c r="AE17" s="2">
        <f t="shared" ca="1" si="5"/>
        <v>23.947281265230284</v>
      </c>
      <c r="AF17" s="2">
        <f t="shared" ca="1" si="5"/>
        <v>26.361689361009823</v>
      </c>
      <c r="AG17" s="2">
        <f t="shared" ca="1" si="5"/>
        <v>23.437113305298212</v>
      </c>
      <c r="AH17" s="2">
        <f t="shared" ca="1" si="5"/>
        <v>26.594127859287319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27.393874048935974</v>
      </c>
      <c r="D18" s="2">
        <f t="shared" ca="1" si="3"/>
        <v>21.832352141877262</v>
      </c>
      <c r="E18" s="2">
        <f t="shared" ca="1" si="3"/>
        <v>20.038648407293394</v>
      </c>
      <c r="F18" s="2">
        <f t="shared" ca="1" si="3"/>
        <v>24.149111754231718</v>
      </c>
      <c r="G18" s="2">
        <f t="shared" ca="1" si="3"/>
        <v>26.198206057523155</v>
      </c>
      <c r="H18" s="2">
        <f t="shared" ca="1" si="3"/>
        <v>21.303078178049883</v>
      </c>
      <c r="I18" s="2">
        <f t="shared" ca="1" si="3"/>
        <v>24.273356425434383</v>
      </c>
      <c r="J18" s="2">
        <f t="shared" ca="1" si="3"/>
        <v>26.760976465925634</v>
      </c>
      <c r="K18" s="2">
        <f t="shared" ca="1" si="3"/>
        <v>29.065896966417267</v>
      </c>
      <c r="L18" s="2">
        <f t="shared" ca="1" si="3"/>
        <v>22.965757272561774</v>
      </c>
      <c r="M18" s="2">
        <f t="shared" ca="1" si="3"/>
        <v>26.165486116101906</v>
      </c>
      <c r="N18" s="2">
        <f t="shared" ca="1" si="3"/>
        <v>25.514066210910951</v>
      </c>
      <c r="O18" s="2">
        <f t="shared" ca="1" si="3"/>
        <v>22.697022237376391</v>
      </c>
      <c r="P18" s="2">
        <f t="shared" ca="1" si="3"/>
        <v>22.658836824057992</v>
      </c>
      <c r="Q18" s="2">
        <f t="shared" ca="1" si="3"/>
        <v>29.408185323332702</v>
      </c>
      <c r="R18" s="2">
        <f t="shared" ca="1" si="3"/>
        <v>29.527363115297749</v>
      </c>
      <c r="S18" s="2">
        <f t="shared" ca="1" si="4"/>
        <v>25.82813420613569</v>
      </c>
      <c r="T18" s="2">
        <f t="shared" ca="1" si="4"/>
        <v>23.106140080024179</v>
      </c>
      <c r="U18" s="2">
        <f t="shared" ca="1" si="4"/>
        <v>21.251317924263766</v>
      </c>
      <c r="V18" s="2">
        <f t="shared" ca="1" si="4"/>
        <v>26.569153335937745</v>
      </c>
      <c r="W18" s="2">
        <f t="shared" ca="1" si="4"/>
        <v>24.414519166486222</v>
      </c>
      <c r="X18" s="2">
        <f t="shared" ca="1" si="4"/>
        <v>28.433639906144855</v>
      </c>
      <c r="Y18" s="2">
        <f t="shared" ca="1" si="4"/>
        <v>22.38309063405913</v>
      </c>
      <c r="Z18" s="2">
        <f t="shared" ca="1" si="4"/>
        <v>26.461753709028958</v>
      </c>
      <c r="AA18" s="2">
        <f t="shared" ca="1" si="5"/>
        <v>29.012574458794088</v>
      </c>
      <c r="AB18" s="2">
        <f t="shared" ca="1" si="5"/>
        <v>29.956342111683821</v>
      </c>
      <c r="AC18" s="2">
        <f t="shared" ca="1" si="5"/>
        <v>22.193495351130206</v>
      </c>
      <c r="AD18" s="2">
        <f t="shared" ca="1" si="5"/>
        <v>29.847061606412673</v>
      </c>
      <c r="AE18" s="2">
        <f t="shared" ca="1" si="5"/>
        <v>22.997561933220197</v>
      </c>
      <c r="AF18" s="2">
        <f t="shared" ca="1" si="5"/>
        <v>27.862034614066644</v>
      </c>
      <c r="AG18" s="2">
        <f t="shared" ca="1" si="5"/>
        <v>23.112475058161973</v>
      </c>
      <c r="AH18" s="2">
        <f t="shared" ca="1" si="5"/>
        <v>23.00912653018548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22.522773299108952</v>
      </c>
      <c r="D19" s="2">
        <f t="shared" ca="1" si="3"/>
        <v>24.368847481505178</v>
      </c>
      <c r="E19" s="2">
        <f t="shared" ca="1" si="3"/>
        <v>21.248008969845625</v>
      </c>
      <c r="F19" s="2">
        <f t="shared" ca="1" si="3"/>
        <v>20.415968103196143</v>
      </c>
      <c r="G19" s="2">
        <f t="shared" ca="1" si="3"/>
        <v>23.103865996386187</v>
      </c>
      <c r="H19" s="2">
        <f t="shared" ca="1" si="3"/>
        <v>27.810487546543548</v>
      </c>
      <c r="I19" s="2">
        <f t="shared" ca="1" si="3"/>
        <v>20.471302282168761</v>
      </c>
      <c r="J19" s="2">
        <f t="shared" ca="1" si="3"/>
        <v>22.791505028084693</v>
      </c>
      <c r="K19" s="2">
        <f t="shared" ca="1" si="3"/>
        <v>29.870067609509732</v>
      </c>
      <c r="L19" s="2">
        <f t="shared" ca="1" si="3"/>
        <v>22.067700249639408</v>
      </c>
      <c r="M19" s="2">
        <f t="shared" ca="1" si="3"/>
        <v>25.947175286169056</v>
      </c>
      <c r="N19" s="2">
        <f t="shared" ca="1" si="3"/>
        <v>28.589245371942397</v>
      </c>
      <c r="O19" s="2">
        <f t="shared" ca="1" si="3"/>
        <v>24.505654043150901</v>
      </c>
      <c r="P19" s="2">
        <f t="shared" ca="1" si="3"/>
        <v>25.867938531475353</v>
      </c>
      <c r="Q19" s="2">
        <f t="shared" ca="1" si="3"/>
        <v>27.245733442608888</v>
      </c>
      <c r="R19" s="2">
        <f t="shared" ca="1" si="3"/>
        <v>27.105184139079519</v>
      </c>
      <c r="S19" s="2">
        <f t="shared" ca="1" si="4"/>
        <v>25.673488083012263</v>
      </c>
      <c r="T19" s="2">
        <f t="shared" ca="1" si="4"/>
        <v>26.138754587341406</v>
      </c>
      <c r="U19" s="2">
        <f t="shared" ca="1" si="4"/>
        <v>25.795142039602631</v>
      </c>
      <c r="V19" s="2">
        <f t="shared" ca="1" si="4"/>
        <v>23.105854182613811</v>
      </c>
      <c r="W19" s="2">
        <f t="shared" ca="1" si="4"/>
        <v>20.104213744171982</v>
      </c>
      <c r="X19" s="2">
        <f t="shared" ca="1" si="4"/>
        <v>23.429868614514536</v>
      </c>
      <c r="Y19" s="2">
        <f t="shared" ca="1" si="4"/>
        <v>21.183396945141396</v>
      </c>
      <c r="Z19" s="2">
        <f t="shared" ca="1" si="4"/>
        <v>20.019041424811281</v>
      </c>
      <c r="AA19" s="2">
        <f t="shared" ca="1" si="5"/>
        <v>27.237390339327185</v>
      </c>
      <c r="AB19" s="2">
        <f t="shared" ca="1" si="5"/>
        <v>23.924668296986034</v>
      </c>
      <c r="AC19" s="2">
        <f t="shared" ca="1" si="5"/>
        <v>28.174893509725518</v>
      </c>
      <c r="AD19" s="2">
        <f t="shared" ca="1" si="5"/>
        <v>28.99395313669444</v>
      </c>
      <c r="AE19" s="2">
        <f t="shared" ca="1" si="5"/>
        <v>27.571660291671318</v>
      </c>
      <c r="AF19" s="2">
        <f t="shared" ca="1" si="5"/>
        <v>27.65928356412115</v>
      </c>
      <c r="AG19" s="2">
        <f t="shared" ca="1" si="5"/>
        <v>24.527070353131204</v>
      </c>
      <c r="AH19" s="2">
        <f t="shared" ca="1" si="5"/>
        <v>20.300297462356895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26.762094296924204</v>
      </c>
      <c r="D20" s="2">
        <f t="shared" ca="1" si="3"/>
        <v>29.774310601166675</v>
      </c>
      <c r="E20" s="2">
        <f t="shared" ca="1" si="3"/>
        <v>25.767326490717846</v>
      </c>
      <c r="F20" s="2">
        <f t="shared" ca="1" si="3"/>
        <v>20.45789248898684</v>
      </c>
      <c r="G20" s="2">
        <f t="shared" ca="1" si="3"/>
        <v>26.858406430725339</v>
      </c>
      <c r="H20" s="2">
        <f t="shared" ca="1" si="3"/>
        <v>28.249268182449949</v>
      </c>
      <c r="I20" s="2">
        <f t="shared" ca="1" si="3"/>
        <v>26.679720299042486</v>
      </c>
      <c r="J20" s="2">
        <f t="shared" ca="1" si="3"/>
        <v>25.841050695645585</v>
      </c>
      <c r="K20" s="2">
        <f t="shared" ca="1" si="3"/>
        <v>28.778029547499955</v>
      </c>
      <c r="L20" s="2">
        <f t="shared" ca="1" si="3"/>
        <v>21.574904428896239</v>
      </c>
      <c r="M20" s="2">
        <f t="shared" ca="1" si="3"/>
        <v>20.263663732380863</v>
      </c>
      <c r="N20" s="2">
        <f t="shared" ca="1" si="3"/>
        <v>21.174204114954591</v>
      </c>
      <c r="O20" s="2">
        <f t="shared" ca="1" si="3"/>
        <v>22.362149666155247</v>
      </c>
      <c r="P20" s="2">
        <f t="shared" ca="1" si="3"/>
        <v>22.786209913485241</v>
      </c>
      <c r="Q20" s="2">
        <f t="shared" ca="1" si="3"/>
        <v>27.699877988732148</v>
      </c>
      <c r="R20" s="2">
        <f t="shared" ca="1" si="3"/>
        <v>29.14882363572907</v>
      </c>
      <c r="S20" s="2">
        <f t="shared" ca="1" si="4"/>
        <v>21.414572153181314</v>
      </c>
      <c r="T20" s="2">
        <f t="shared" ca="1" si="4"/>
        <v>29.307699539227738</v>
      </c>
      <c r="U20" s="2">
        <f t="shared" ca="1" si="4"/>
        <v>21.386722943335418</v>
      </c>
      <c r="V20" s="2">
        <f t="shared" ca="1" si="4"/>
        <v>26.998989434250053</v>
      </c>
      <c r="W20" s="2">
        <f t="shared" ca="1" si="4"/>
        <v>22.154699103234893</v>
      </c>
      <c r="X20" s="2">
        <f t="shared" ca="1" si="4"/>
        <v>21.757822681949449</v>
      </c>
      <c r="Y20" s="2">
        <f t="shared" ca="1" si="4"/>
        <v>23.12916993193522</v>
      </c>
      <c r="Z20" s="2">
        <f t="shared" ca="1" si="4"/>
        <v>22.312774778223108</v>
      </c>
      <c r="AA20" s="2">
        <f t="shared" ca="1" si="5"/>
        <v>20.713114013345685</v>
      </c>
      <c r="AB20" s="2">
        <f t="shared" ca="1" si="5"/>
        <v>22.045275357229396</v>
      </c>
      <c r="AC20" s="2">
        <f t="shared" ca="1" si="5"/>
        <v>23.883792940447432</v>
      </c>
      <c r="AD20" s="2">
        <f t="shared" ca="1" si="5"/>
        <v>27.571959675534597</v>
      </c>
      <c r="AE20" s="2">
        <f t="shared" ca="1" si="5"/>
        <v>20.835529869281256</v>
      </c>
      <c r="AF20" s="2">
        <f t="shared" ca="1" si="5"/>
        <v>26.367778540028581</v>
      </c>
      <c r="AG20" s="2">
        <f t="shared" ca="1" si="5"/>
        <v>24.554759935322977</v>
      </c>
      <c r="AH20" s="2">
        <f t="shared" ca="1" si="5"/>
        <v>23.757319963943008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24.166276030032751</v>
      </c>
      <c r="D21" s="2">
        <f t="shared" ca="1" si="3"/>
        <v>28.034450702691231</v>
      </c>
      <c r="E21" s="2">
        <f t="shared" ca="1" si="3"/>
        <v>23.969969831164732</v>
      </c>
      <c r="F21" s="2">
        <f t="shared" ca="1" si="3"/>
        <v>23.179821034201705</v>
      </c>
      <c r="G21" s="2">
        <f t="shared" ca="1" si="3"/>
        <v>27.134373817019195</v>
      </c>
      <c r="H21" s="2">
        <f t="shared" ca="1" si="3"/>
        <v>28.409551582898146</v>
      </c>
      <c r="I21" s="2">
        <f t="shared" ca="1" si="3"/>
        <v>27.858225073684238</v>
      </c>
      <c r="J21" s="2">
        <f t="shared" ca="1" si="3"/>
        <v>24.6210138589603</v>
      </c>
      <c r="K21" s="2">
        <f t="shared" ca="1" si="3"/>
        <v>22.313791683153735</v>
      </c>
      <c r="L21" s="2">
        <f t="shared" ca="1" si="3"/>
        <v>25.305654418565059</v>
      </c>
      <c r="M21" s="2">
        <f t="shared" ca="1" si="3"/>
        <v>27.839223371831501</v>
      </c>
      <c r="N21" s="2">
        <f t="shared" ca="1" si="3"/>
        <v>24.257372028921825</v>
      </c>
      <c r="O21" s="2">
        <f t="shared" ca="1" si="3"/>
        <v>25.037553799536667</v>
      </c>
      <c r="P21" s="2">
        <f t="shared" ca="1" si="3"/>
        <v>28.093061439407613</v>
      </c>
      <c r="Q21" s="2">
        <f t="shared" ca="1" si="3"/>
        <v>23.153797615253861</v>
      </c>
      <c r="R21" s="2">
        <f t="shared" ca="1" si="3"/>
        <v>26.351451645319703</v>
      </c>
      <c r="S21" s="2">
        <f t="shared" ca="1" si="4"/>
        <v>22.881630970905981</v>
      </c>
      <c r="T21" s="2">
        <f t="shared" ca="1" si="4"/>
        <v>25.510551209196603</v>
      </c>
      <c r="U21" s="2">
        <f t="shared" ca="1" si="4"/>
        <v>22.244598611053679</v>
      </c>
      <c r="V21" s="2">
        <f t="shared" ca="1" si="4"/>
        <v>29.086110853280388</v>
      </c>
      <c r="W21" s="2">
        <f t="shared" ca="1" si="4"/>
        <v>25.290290881100034</v>
      </c>
      <c r="X21" s="2">
        <f t="shared" ca="1" si="4"/>
        <v>26.639468160046086</v>
      </c>
      <c r="Y21" s="2">
        <f t="shared" ca="1" si="4"/>
        <v>23.924949966923183</v>
      </c>
      <c r="Z21" s="2">
        <f t="shared" ca="1" si="4"/>
        <v>28.568410655969746</v>
      </c>
      <c r="AA21" s="2">
        <f t="shared" ca="1" si="5"/>
        <v>28.246170582090034</v>
      </c>
      <c r="AB21" s="2">
        <f t="shared" ca="1" si="5"/>
        <v>25.236089459616508</v>
      </c>
      <c r="AC21" s="2">
        <f t="shared" ca="1" si="5"/>
        <v>29.615351430784077</v>
      </c>
      <c r="AD21" s="2">
        <f t="shared" ca="1" si="5"/>
        <v>28.317507672266697</v>
      </c>
      <c r="AE21" s="2">
        <f t="shared" ca="1" si="5"/>
        <v>26.266079229102157</v>
      </c>
      <c r="AF21" s="2">
        <f t="shared" ca="1" si="5"/>
        <v>25.027770251069597</v>
      </c>
      <c r="AG21" s="2">
        <f t="shared" ca="1" si="5"/>
        <v>27.1624878750401</v>
      </c>
      <c r="AH21" s="2">
        <f t="shared" ca="1" si="5"/>
        <v>25.039735109802237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29.213015810952975</v>
      </c>
      <c r="D22" s="2">
        <f t="shared" ca="1" si="3"/>
        <v>24.491349592909344</v>
      </c>
      <c r="E22" s="2">
        <f t="shared" ca="1" si="3"/>
        <v>25.307018903904087</v>
      </c>
      <c r="F22" s="2">
        <f t="shared" ca="1" si="3"/>
        <v>20.962770263625728</v>
      </c>
      <c r="G22" s="2">
        <f t="shared" ca="1" si="3"/>
        <v>26.733227214217315</v>
      </c>
      <c r="H22" s="2">
        <f t="shared" ca="1" si="3"/>
        <v>24.848336449491022</v>
      </c>
      <c r="I22" s="2">
        <f t="shared" ca="1" si="3"/>
        <v>20.182549921867395</v>
      </c>
      <c r="J22" s="2">
        <f t="shared" ca="1" si="3"/>
        <v>28.745758705401876</v>
      </c>
      <c r="K22" s="2">
        <f t="shared" ca="1" si="3"/>
        <v>22.80169618431816</v>
      </c>
      <c r="L22" s="2">
        <f t="shared" ca="1" si="3"/>
        <v>25.294148051230401</v>
      </c>
      <c r="M22" s="2">
        <f t="shared" ca="1" si="3"/>
        <v>29.328501977080094</v>
      </c>
      <c r="N22" s="2">
        <f t="shared" ca="1" si="3"/>
        <v>22.609268057849111</v>
      </c>
      <c r="O22" s="2">
        <f t="shared" ca="1" si="3"/>
        <v>27.395131967393926</v>
      </c>
      <c r="P22" s="2">
        <f t="shared" ca="1" si="3"/>
        <v>29.596472426621155</v>
      </c>
      <c r="Q22" s="2">
        <f t="shared" ca="1" si="3"/>
        <v>21.95010446825842</v>
      </c>
      <c r="R22" s="2">
        <f t="shared" ca="1" si="3"/>
        <v>29.592224660224058</v>
      </c>
      <c r="S22" s="2">
        <f t="shared" ca="1" si="4"/>
        <v>29.878374364946769</v>
      </c>
      <c r="T22" s="2">
        <f t="shared" ca="1" si="4"/>
        <v>20.923729162860589</v>
      </c>
      <c r="U22" s="2">
        <f t="shared" ca="1" si="4"/>
        <v>21.224077624738726</v>
      </c>
      <c r="V22" s="2">
        <f t="shared" ca="1" si="4"/>
        <v>23.825012849347218</v>
      </c>
      <c r="W22" s="2">
        <f t="shared" ca="1" si="4"/>
        <v>25.825122353975161</v>
      </c>
      <c r="X22" s="2">
        <f t="shared" ca="1" si="4"/>
        <v>23.235030986130827</v>
      </c>
      <c r="Y22" s="2">
        <f t="shared" ca="1" si="4"/>
        <v>26.687099282234012</v>
      </c>
      <c r="Z22" s="2">
        <f t="shared" ca="1" si="4"/>
        <v>21.956647891201037</v>
      </c>
      <c r="AA22" s="2">
        <f t="shared" ca="1" si="5"/>
        <v>29.874042255394016</v>
      </c>
      <c r="AB22" s="2">
        <f t="shared" ca="1" si="5"/>
        <v>23.772820319479656</v>
      </c>
      <c r="AC22" s="2">
        <f t="shared" ca="1" si="5"/>
        <v>28.478542107236699</v>
      </c>
      <c r="AD22" s="2">
        <f t="shared" ca="1" si="5"/>
        <v>21.429150581107255</v>
      </c>
      <c r="AE22" s="2">
        <f t="shared" ca="1" si="5"/>
        <v>24.953846492654705</v>
      </c>
      <c r="AF22" s="2">
        <f t="shared" ca="1" si="5"/>
        <v>20.317073388459139</v>
      </c>
      <c r="AG22" s="2">
        <f t="shared" ca="1" si="5"/>
        <v>20.770064113081759</v>
      </c>
      <c r="AH22" s="2">
        <f t="shared" ca="1" si="5"/>
        <v>23.442068219213049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22.066662669427593</v>
      </c>
      <c r="D23" s="2">
        <f t="shared" ca="1" si="3"/>
        <v>23.478283052952264</v>
      </c>
      <c r="E23" s="2">
        <f t="shared" ca="1" si="3"/>
        <v>26.582752431205996</v>
      </c>
      <c r="F23" s="2">
        <f t="shared" ca="1" si="3"/>
        <v>25.422984966078214</v>
      </c>
      <c r="G23" s="2">
        <f t="shared" ca="1" si="3"/>
        <v>26.038424409405359</v>
      </c>
      <c r="H23" s="2">
        <f t="shared" ca="1" si="3"/>
        <v>23.953835150280341</v>
      </c>
      <c r="I23" s="2">
        <f t="shared" ca="1" si="3"/>
        <v>27.962811386231902</v>
      </c>
      <c r="J23" s="2">
        <f t="shared" ca="1" si="3"/>
        <v>29.185725531175017</v>
      </c>
      <c r="K23" s="2">
        <f t="shared" ca="1" si="3"/>
        <v>29.817850917095623</v>
      </c>
      <c r="L23" s="2">
        <f t="shared" ca="1" si="3"/>
        <v>21.628538546190828</v>
      </c>
      <c r="M23" s="2">
        <f t="shared" ca="1" si="3"/>
        <v>22.83844844356943</v>
      </c>
      <c r="N23" s="2">
        <f t="shared" ca="1" si="3"/>
        <v>20.952472802821095</v>
      </c>
      <c r="O23" s="2">
        <f t="shared" ca="1" si="3"/>
        <v>20.751069220232566</v>
      </c>
      <c r="P23" s="2">
        <f t="shared" ca="1" si="3"/>
        <v>29.510529854100309</v>
      </c>
      <c r="Q23" s="2">
        <f t="shared" ca="1" si="3"/>
        <v>26.166087896508859</v>
      </c>
      <c r="R23" s="2">
        <f t="shared" ca="1" si="3"/>
        <v>25.671045687499859</v>
      </c>
      <c r="S23" s="2">
        <f t="shared" ca="1" si="4"/>
        <v>24.25466060161687</v>
      </c>
      <c r="T23" s="2">
        <f t="shared" ca="1" si="4"/>
        <v>24.042260931778337</v>
      </c>
      <c r="U23" s="2">
        <f t="shared" ca="1" si="4"/>
        <v>20.898404943913491</v>
      </c>
      <c r="V23" s="2">
        <f t="shared" ca="1" si="4"/>
        <v>26.266997144526126</v>
      </c>
      <c r="W23" s="2">
        <f t="shared" ca="1" si="4"/>
        <v>23.018823156367151</v>
      </c>
      <c r="X23" s="2">
        <f t="shared" ca="1" si="4"/>
        <v>21.82996186249607</v>
      </c>
      <c r="Y23" s="2">
        <f t="shared" ca="1" si="4"/>
        <v>28.951258340490437</v>
      </c>
      <c r="Z23" s="2">
        <f t="shared" ca="1" si="4"/>
        <v>26.347102353051</v>
      </c>
      <c r="AA23" s="2">
        <f t="shared" ca="1" si="5"/>
        <v>20.765440588694194</v>
      </c>
      <c r="AB23" s="2">
        <f t="shared" ca="1" si="5"/>
        <v>22.585517125079146</v>
      </c>
      <c r="AC23" s="2">
        <f t="shared" ca="1" si="5"/>
        <v>20.765077534846778</v>
      </c>
      <c r="AD23" s="2">
        <f t="shared" ca="1" si="5"/>
        <v>29.261016414497089</v>
      </c>
      <c r="AE23" s="2">
        <f t="shared" ca="1" si="5"/>
        <v>24.516944439356358</v>
      </c>
      <c r="AF23" s="2">
        <f t="shared" ca="1" si="5"/>
        <v>29.768270039863637</v>
      </c>
      <c r="AG23" s="2">
        <f t="shared" ca="1" si="5"/>
        <v>29.905164463617172</v>
      </c>
      <c r="AH23" s="2">
        <f t="shared" ca="1" si="5"/>
        <v>28.763194668938119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23.623365644397122</v>
      </c>
      <c r="D24" s="2">
        <f t="shared" ca="1" si="3"/>
        <v>28.59578682506444</v>
      </c>
      <c r="E24" s="2">
        <f t="shared" ca="1" si="3"/>
        <v>26.478559085194327</v>
      </c>
      <c r="F24" s="2">
        <f t="shared" ca="1" si="3"/>
        <v>25.780852566555428</v>
      </c>
      <c r="G24" s="2">
        <f t="shared" ca="1" si="3"/>
        <v>25.493059846324616</v>
      </c>
      <c r="H24" s="2">
        <f t="shared" ca="1" si="3"/>
        <v>21.922074917132932</v>
      </c>
      <c r="I24" s="2">
        <f t="shared" ca="1" si="3"/>
        <v>20.168275397416561</v>
      </c>
      <c r="J24" s="2">
        <f t="shared" ca="1" si="3"/>
        <v>22.403433114579922</v>
      </c>
      <c r="K24" s="2">
        <f t="shared" ca="1" si="3"/>
        <v>27.583059962187601</v>
      </c>
      <c r="L24" s="2">
        <f t="shared" ca="1" si="3"/>
        <v>22.227929952669445</v>
      </c>
      <c r="M24" s="2">
        <f t="shared" ca="1" si="3"/>
        <v>25.082152402027308</v>
      </c>
      <c r="N24" s="2">
        <f t="shared" ca="1" si="3"/>
        <v>27.138286323624349</v>
      </c>
      <c r="O24" s="2">
        <f t="shared" ca="1" si="3"/>
        <v>23.954095996273839</v>
      </c>
      <c r="P24" s="2">
        <f t="shared" ca="1" si="3"/>
        <v>27.486743201599985</v>
      </c>
      <c r="Q24" s="2">
        <f t="shared" ca="1" si="3"/>
        <v>25.774777536746278</v>
      </c>
      <c r="R24" s="2">
        <f t="shared" ca="1" si="3"/>
        <v>26.657825455822127</v>
      </c>
      <c r="S24" s="2">
        <f t="shared" ca="1" si="4"/>
        <v>23.647932438229631</v>
      </c>
      <c r="T24" s="2">
        <f t="shared" ca="1" si="4"/>
        <v>20.941691291584096</v>
      </c>
      <c r="U24" s="2">
        <f t="shared" ca="1" si="4"/>
        <v>21.871421629193058</v>
      </c>
      <c r="V24" s="2">
        <f t="shared" ca="1" si="4"/>
        <v>28.531156666442914</v>
      </c>
      <c r="W24" s="2">
        <f t="shared" ca="1" si="4"/>
        <v>26.063620951395407</v>
      </c>
      <c r="X24" s="2">
        <f t="shared" ca="1" si="4"/>
        <v>21.940199678696267</v>
      </c>
      <c r="Y24" s="2">
        <f t="shared" ca="1" si="4"/>
        <v>23.495453074390515</v>
      </c>
      <c r="Z24" s="2">
        <f t="shared" ca="1" si="4"/>
        <v>22.44977925881069</v>
      </c>
      <c r="AA24" s="2">
        <f t="shared" ca="1" si="5"/>
        <v>20.289019068945429</v>
      </c>
      <c r="AB24" s="2">
        <f t="shared" ca="1" si="5"/>
        <v>21.354718063068123</v>
      </c>
      <c r="AC24" s="2">
        <f t="shared" ca="1" si="5"/>
        <v>24.945685429439113</v>
      </c>
      <c r="AD24" s="2">
        <f t="shared" ca="1" si="5"/>
        <v>21.797633270867127</v>
      </c>
      <c r="AE24" s="2">
        <f t="shared" ca="1" si="5"/>
        <v>27.848951151331807</v>
      </c>
      <c r="AF24" s="2">
        <f t="shared" ca="1" si="5"/>
        <v>25.391425275205425</v>
      </c>
      <c r="AG24" s="2">
        <f t="shared" ca="1" si="5"/>
        <v>21.239504846501251</v>
      </c>
      <c r="AH24" s="2">
        <f t="shared" ca="1" si="5"/>
        <v>26.97545235554691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26.687525813883155</v>
      </c>
      <c r="D25" s="2">
        <f t="shared" ca="1" si="3"/>
        <v>28.55739844312372</v>
      </c>
      <c r="E25" s="2">
        <f t="shared" ca="1" si="3"/>
        <v>21.551252874031213</v>
      </c>
      <c r="F25" s="2">
        <f t="shared" ca="1" si="3"/>
        <v>26.911397326378239</v>
      </c>
      <c r="G25" s="2">
        <f t="shared" ca="1" si="3"/>
        <v>29.0963917580995</v>
      </c>
      <c r="H25" s="2">
        <f t="shared" ca="1" si="3"/>
        <v>29.480878127769117</v>
      </c>
      <c r="I25" s="2">
        <f t="shared" ca="1" si="3"/>
        <v>28.529198078247063</v>
      </c>
      <c r="J25" s="2">
        <f t="shared" ca="1" si="3"/>
        <v>20.405057334160642</v>
      </c>
      <c r="K25" s="2">
        <f t="shared" ca="1" si="3"/>
        <v>20.448550367988855</v>
      </c>
      <c r="L25" s="2">
        <f t="shared" ca="1" si="3"/>
        <v>26.776536467702527</v>
      </c>
      <c r="M25" s="2">
        <f t="shared" ca="1" si="3"/>
        <v>22.079589639456689</v>
      </c>
      <c r="N25" s="2">
        <f t="shared" ca="1" si="3"/>
        <v>29.74299217238746</v>
      </c>
      <c r="O25" s="2">
        <f t="shared" ca="1" si="3"/>
        <v>20.602530238660417</v>
      </c>
      <c r="P25" s="2">
        <f t="shared" ca="1" si="3"/>
        <v>20.196446662119573</v>
      </c>
      <c r="Q25" s="2">
        <f t="shared" ca="1" si="3"/>
        <v>28.875356900939586</v>
      </c>
      <c r="R25" s="2">
        <f t="shared" ca="1" si="3"/>
        <v>20.850332596980813</v>
      </c>
      <c r="S25" s="2">
        <f t="shared" ca="1" si="4"/>
        <v>25.270156059161163</v>
      </c>
      <c r="T25" s="2">
        <f t="shared" ca="1" si="4"/>
        <v>24.733641334885359</v>
      </c>
      <c r="U25" s="2">
        <f t="shared" ca="1" si="4"/>
        <v>23.671140680286001</v>
      </c>
      <c r="V25" s="2">
        <f t="shared" ca="1" si="4"/>
        <v>20.488007317180685</v>
      </c>
      <c r="W25" s="2">
        <f t="shared" ca="1" si="4"/>
        <v>21.192840622613776</v>
      </c>
      <c r="X25" s="2">
        <f t="shared" ca="1" si="4"/>
        <v>20.195404070758364</v>
      </c>
      <c r="Y25" s="2">
        <f t="shared" ca="1" si="4"/>
        <v>22.63295386650416</v>
      </c>
      <c r="Z25" s="2">
        <f t="shared" ca="1" si="4"/>
        <v>29.007369093951986</v>
      </c>
      <c r="AA25" s="2">
        <f t="shared" ca="1" si="5"/>
        <v>21.076763142692364</v>
      </c>
      <c r="AB25" s="2">
        <f t="shared" ca="1" si="5"/>
        <v>27.836877710663995</v>
      </c>
      <c r="AC25" s="2">
        <f t="shared" ca="1" si="5"/>
        <v>27.870033777815916</v>
      </c>
      <c r="AD25" s="2">
        <f t="shared" ca="1" si="5"/>
        <v>27.153920705035162</v>
      </c>
      <c r="AE25" s="2">
        <f t="shared" ca="1" si="5"/>
        <v>20.86542359033114</v>
      </c>
      <c r="AF25" s="2">
        <f t="shared" ca="1" si="5"/>
        <v>21.516651821389665</v>
      </c>
      <c r="AG25" s="2">
        <f t="shared" ca="1" si="5"/>
        <v>29.195656821595424</v>
      </c>
      <c r="AH25" s="2">
        <f t="shared" ca="1" si="5"/>
        <v>29.461606362974301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25.793647422920696</v>
      </c>
      <c r="D26" s="2">
        <f t="shared" ca="1" si="3"/>
        <v>25.940638706759518</v>
      </c>
      <c r="E26" s="2">
        <f t="shared" ca="1" si="3"/>
        <v>22.381049043251718</v>
      </c>
      <c r="F26" s="2">
        <f t="shared" ca="1" si="3"/>
        <v>22.70465485575653</v>
      </c>
      <c r="G26" s="2">
        <f t="shared" ca="1" si="3"/>
        <v>25.708573133019634</v>
      </c>
      <c r="H26" s="2">
        <f t="shared" ca="1" si="3"/>
        <v>24.012889019237114</v>
      </c>
      <c r="I26" s="2">
        <f t="shared" ca="1" si="3"/>
        <v>27.485631776994492</v>
      </c>
      <c r="J26" s="2">
        <f t="shared" ca="1" si="3"/>
        <v>22.585969342813954</v>
      </c>
      <c r="K26" s="2">
        <f t="shared" ca="1" si="3"/>
        <v>25.750028948649788</v>
      </c>
      <c r="L26" s="2">
        <f t="shared" ca="1" si="3"/>
        <v>28.730783277954309</v>
      </c>
      <c r="M26" s="2">
        <f t="shared" ca="1" si="3"/>
        <v>25.815225075036857</v>
      </c>
      <c r="N26" s="2">
        <f t="shared" ca="1" si="3"/>
        <v>24.396102096359723</v>
      </c>
      <c r="O26" s="2">
        <f t="shared" ca="1" si="3"/>
        <v>24.656457043389306</v>
      </c>
      <c r="P26" s="2">
        <f t="shared" ca="1" si="3"/>
        <v>22.21142074279205</v>
      </c>
      <c r="Q26" s="2">
        <f t="shared" ca="1" si="3"/>
        <v>23.666546359113976</v>
      </c>
      <c r="R26" s="2">
        <f t="shared" ca="1" si="3"/>
        <v>22.664501230393437</v>
      </c>
      <c r="S26" s="2">
        <f t="shared" ca="1" si="4"/>
        <v>21.974491426256353</v>
      </c>
      <c r="T26" s="2">
        <f t="shared" ca="1" si="4"/>
        <v>21.150589247028677</v>
      </c>
      <c r="U26" s="2">
        <f t="shared" ca="1" si="4"/>
        <v>25.668137624175369</v>
      </c>
      <c r="V26" s="2">
        <f t="shared" ca="1" si="4"/>
        <v>24.190326694399889</v>
      </c>
      <c r="W26" s="2">
        <f t="shared" ca="1" si="4"/>
        <v>22.90562116166177</v>
      </c>
      <c r="X26" s="2">
        <f t="shared" ca="1" si="4"/>
        <v>22.779386678618803</v>
      </c>
      <c r="Y26" s="2">
        <f t="shared" ca="1" si="4"/>
        <v>22.751058517286378</v>
      </c>
      <c r="Z26" s="2">
        <f t="shared" ca="1" si="4"/>
        <v>26.072845651807196</v>
      </c>
      <c r="AA26" s="2">
        <f t="shared" ca="1" si="5"/>
        <v>23.670853687088421</v>
      </c>
      <c r="AB26" s="2">
        <f t="shared" ca="1" si="5"/>
        <v>24.484875330648517</v>
      </c>
      <c r="AC26" s="2">
        <f t="shared" ca="1" si="5"/>
        <v>22.643398224650618</v>
      </c>
      <c r="AD26" s="2">
        <f t="shared" ca="1" si="5"/>
        <v>28.30127859036612</v>
      </c>
      <c r="AE26" s="2">
        <f t="shared" ca="1" si="5"/>
        <v>28.800828689251006</v>
      </c>
      <c r="AF26" s="2">
        <f t="shared" ca="1" si="5"/>
        <v>29.855446935962977</v>
      </c>
      <c r="AG26" s="2">
        <f t="shared" ca="1" si="5"/>
        <v>25.673214350629202</v>
      </c>
      <c r="AH26" s="2">
        <f t="shared" ca="1" si="5"/>
        <v>26.483986130907216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20.171643038618157</v>
      </c>
      <c r="D27" s="2">
        <f t="shared" ca="1" si="3"/>
        <v>29.221931004466938</v>
      </c>
      <c r="E27" s="2">
        <f t="shared" ca="1" si="3"/>
        <v>26.314458248219395</v>
      </c>
      <c r="F27" s="2">
        <f t="shared" ca="1" si="3"/>
        <v>21.356886092509281</v>
      </c>
      <c r="G27" s="2">
        <f t="shared" ca="1" si="3"/>
        <v>28.023927722154262</v>
      </c>
      <c r="H27" s="2">
        <f t="shared" ca="1" si="3"/>
        <v>27.177842045414526</v>
      </c>
      <c r="I27" s="2">
        <f t="shared" ca="1" si="3"/>
        <v>22.81084863909237</v>
      </c>
      <c r="J27" s="2">
        <f t="shared" ref="J27:Y42" ca="1" si="8">(RAND()*0.1+0.2)*100</f>
        <v>20.761979357823616</v>
      </c>
      <c r="K27" s="2">
        <f t="shared" ca="1" si="8"/>
        <v>29.465709630994208</v>
      </c>
      <c r="L27" s="2">
        <f t="shared" ca="1" si="8"/>
        <v>22.308033126119071</v>
      </c>
      <c r="M27" s="2">
        <f t="shared" ca="1" si="8"/>
        <v>25.484141465668266</v>
      </c>
      <c r="N27" s="2">
        <f t="shared" ca="1" si="8"/>
        <v>25.967901210695242</v>
      </c>
      <c r="O27" s="2">
        <f t="shared" ca="1" si="8"/>
        <v>25.752302607044168</v>
      </c>
      <c r="P27" s="2">
        <f t="shared" ca="1" si="8"/>
        <v>26.202781450084661</v>
      </c>
      <c r="Q27" s="2">
        <f t="shared" ca="1" si="8"/>
        <v>26.461885052831637</v>
      </c>
      <c r="R27" s="2">
        <f t="shared" ca="1" si="8"/>
        <v>26.419239064618548</v>
      </c>
      <c r="S27" s="2">
        <f t="shared" ca="1" si="8"/>
        <v>21.199963398272654</v>
      </c>
      <c r="T27" s="2">
        <f t="shared" ca="1" si="8"/>
        <v>23.550508234571343</v>
      </c>
      <c r="U27" s="2">
        <f t="shared" ca="1" si="8"/>
        <v>28.24781726625984</v>
      </c>
      <c r="V27" s="2">
        <f t="shared" ca="1" si="8"/>
        <v>28.486563105844255</v>
      </c>
      <c r="W27" s="2">
        <f t="shared" ca="1" si="8"/>
        <v>26.09652173271677</v>
      </c>
      <c r="X27" s="2">
        <f t="shared" ca="1" si="8"/>
        <v>28.630281965263276</v>
      </c>
      <c r="Y27" s="2">
        <f t="shared" ca="1" si="8"/>
        <v>25.144603185310448</v>
      </c>
      <c r="Z27" s="2">
        <f t="shared" ca="1" si="4"/>
        <v>27.300510294233927</v>
      </c>
      <c r="AA27" s="2">
        <f t="shared" ca="1" si="5"/>
        <v>24.338192438545398</v>
      </c>
      <c r="AB27" s="2">
        <f t="shared" ca="1" si="5"/>
        <v>28.753967007912955</v>
      </c>
      <c r="AC27" s="2">
        <f t="shared" ca="1" si="5"/>
        <v>22.997094574753763</v>
      </c>
      <c r="AD27" s="2">
        <f t="shared" ca="1" si="5"/>
        <v>21.706696736652393</v>
      </c>
      <c r="AE27" s="2">
        <f t="shared" ca="1" si="5"/>
        <v>28.872054035725053</v>
      </c>
      <c r="AF27" s="2">
        <f t="shared" ca="1" si="5"/>
        <v>26.56684041952748</v>
      </c>
      <c r="AG27" s="2">
        <f t="shared" ca="1" si="5"/>
        <v>27.433115592824329</v>
      </c>
      <c r="AH27" s="2">
        <f t="shared" ca="1" si="5"/>
        <v>21.107664443181474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(RAND()*0.1+0.2)*100</f>
        <v>22.423679856904137</v>
      </c>
      <c r="D28" s="2">
        <f t="shared" ca="1" si="9"/>
        <v>22.006625120634212</v>
      </c>
      <c r="E28" s="2">
        <f t="shared" ca="1" si="9"/>
        <v>29.17458633111475</v>
      </c>
      <c r="F28" s="2">
        <f t="shared" ca="1" si="9"/>
        <v>27.019618791378619</v>
      </c>
      <c r="G28" s="2">
        <f t="shared" ca="1" si="9"/>
        <v>29.063126665806603</v>
      </c>
      <c r="H28" s="2">
        <f t="shared" ca="1" si="9"/>
        <v>21.745947706852469</v>
      </c>
      <c r="I28" s="2">
        <f t="shared" ca="1" si="9"/>
        <v>29.858655019120029</v>
      </c>
      <c r="J28" s="2">
        <f t="shared" ca="1" si="9"/>
        <v>26.930008663154481</v>
      </c>
      <c r="K28" s="2">
        <f t="shared" ca="1" si="9"/>
        <v>23.778102920888035</v>
      </c>
      <c r="L28" s="2">
        <f t="shared" ca="1" si="9"/>
        <v>22.285735785868155</v>
      </c>
      <c r="M28" s="2">
        <f t="shared" ca="1" si="9"/>
        <v>24.185756454326928</v>
      </c>
      <c r="N28" s="2">
        <f t="shared" ca="1" si="9"/>
        <v>26.696904326459801</v>
      </c>
      <c r="O28" s="2">
        <f t="shared" ca="1" si="9"/>
        <v>29.426633137613837</v>
      </c>
      <c r="P28" s="2">
        <f t="shared" ca="1" si="9"/>
        <v>21.871762532897783</v>
      </c>
      <c r="Q28" s="2">
        <f t="shared" ca="1" si="9"/>
        <v>22.599170977096588</v>
      </c>
      <c r="R28" s="2">
        <f t="shared" ca="1" si="9"/>
        <v>29.777736009798861</v>
      </c>
      <c r="S28" s="2">
        <f t="shared" ca="1" si="8"/>
        <v>21.120294857679994</v>
      </c>
      <c r="T28" s="2">
        <f t="shared" ca="1" si="8"/>
        <v>28.348865296605254</v>
      </c>
      <c r="U28" s="2">
        <f t="shared" ca="1" si="8"/>
        <v>21.366345208075817</v>
      </c>
      <c r="V28" s="2">
        <f t="shared" ca="1" si="8"/>
        <v>27.491103510769921</v>
      </c>
      <c r="W28" s="2">
        <f t="shared" ca="1" si="8"/>
        <v>29.853962061056748</v>
      </c>
      <c r="X28" s="2">
        <f t="shared" ca="1" si="8"/>
        <v>22.229204028126844</v>
      </c>
      <c r="Y28" s="2">
        <f t="shared" ca="1" si="8"/>
        <v>24.717683314617027</v>
      </c>
      <c r="Z28" s="2">
        <f t="shared" ca="1" si="4"/>
        <v>20.062497325981134</v>
      </c>
      <c r="AA28" s="2">
        <f t="shared" ca="1" si="5"/>
        <v>25.016312392210466</v>
      </c>
      <c r="AB28" s="2">
        <f t="shared" ca="1" si="5"/>
        <v>21.125914261691157</v>
      </c>
      <c r="AC28" s="2">
        <f t="shared" ca="1" si="5"/>
        <v>26.711221136932011</v>
      </c>
      <c r="AD28" s="2">
        <f t="shared" ca="1" si="5"/>
        <v>26.071394158466365</v>
      </c>
      <c r="AE28" s="2">
        <f t="shared" ca="1" si="5"/>
        <v>25.810262625811404</v>
      </c>
      <c r="AF28" s="2">
        <f t="shared" ca="1" si="5"/>
        <v>27.963681200353328</v>
      </c>
      <c r="AG28" s="2">
        <f t="shared" ca="1" si="5"/>
        <v>20.70780710971631</v>
      </c>
      <c r="AH28" s="2">
        <f t="shared" ca="1" si="5"/>
        <v>25.098059004602106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24.466276606513887</v>
      </c>
      <c r="D29" s="2">
        <f t="shared" ca="1" si="9"/>
        <v>22.394870638178276</v>
      </c>
      <c r="E29" s="2">
        <f t="shared" ca="1" si="9"/>
        <v>29.584833974843672</v>
      </c>
      <c r="F29" s="2">
        <f t="shared" ca="1" si="9"/>
        <v>20.566122083790148</v>
      </c>
      <c r="G29" s="2">
        <f t="shared" ca="1" si="9"/>
        <v>24.965059735779739</v>
      </c>
      <c r="H29" s="2">
        <f t="shared" ca="1" si="9"/>
        <v>26.118294276905335</v>
      </c>
      <c r="I29" s="2">
        <f t="shared" ca="1" si="9"/>
        <v>22.906456209698028</v>
      </c>
      <c r="J29" s="2">
        <f t="shared" ca="1" si="9"/>
        <v>26.810016252333611</v>
      </c>
      <c r="K29" s="2">
        <f t="shared" ca="1" si="9"/>
        <v>20.635707418540548</v>
      </c>
      <c r="L29" s="2">
        <f t="shared" ca="1" si="9"/>
        <v>29.062544403901214</v>
      </c>
      <c r="M29" s="2">
        <f t="shared" ca="1" si="9"/>
        <v>23.54147346716492</v>
      </c>
      <c r="N29" s="2">
        <f t="shared" ca="1" si="9"/>
        <v>26.416998903270635</v>
      </c>
      <c r="O29" s="2">
        <f t="shared" ca="1" si="9"/>
        <v>27.027367517862068</v>
      </c>
      <c r="P29" s="2">
        <f t="shared" ca="1" si="9"/>
        <v>25.86222187335574</v>
      </c>
      <c r="Q29" s="2">
        <f t="shared" ca="1" si="9"/>
        <v>27.485952671772967</v>
      </c>
      <c r="R29" s="2">
        <f t="shared" ca="1" si="9"/>
        <v>27.852251259733841</v>
      </c>
      <c r="S29" s="2">
        <f t="shared" ca="1" si="8"/>
        <v>23.104949711005627</v>
      </c>
      <c r="T29" s="2">
        <f t="shared" ca="1" si="8"/>
        <v>22.983209348295865</v>
      </c>
      <c r="U29" s="2">
        <f t="shared" ca="1" si="8"/>
        <v>28.152510699071787</v>
      </c>
      <c r="V29" s="2">
        <f t="shared" ca="1" si="8"/>
        <v>22.127718437681139</v>
      </c>
      <c r="W29" s="2">
        <f t="shared" ca="1" si="8"/>
        <v>20.888942891864595</v>
      </c>
      <c r="X29" s="2">
        <f t="shared" ca="1" si="8"/>
        <v>23.772674160336805</v>
      </c>
      <c r="Y29" s="2">
        <f t="shared" ca="1" si="8"/>
        <v>27.739502053396496</v>
      </c>
      <c r="Z29" s="2">
        <f t="shared" ca="1" si="4"/>
        <v>23.307718905018174</v>
      </c>
      <c r="AA29" s="2">
        <f t="shared" ca="1" si="5"/>
        <v>27.669729151209253</v>
      </c>
      <c r="AB29" s="2">
        <f t="shared" ca="1" si="5"/>
        <v>20.845161939032593</v>
      </c>
      <c r="AC29" s="2">
        <f t="shared" ca="1" si="5"/>
        <v>23.312424770728754</v>
      </c>
      <c r="AD29" s="2">
        <f t="shared" ca="1" si="5"/>
        <v>20.355753731058542</v>
      </c>
      <c r="AE29" s="2">
        <f t="shared" ca="1" si="5"/>
        <v>26.965873146111296</v>
      </c>
      <c r="AF29" s="2">
        <f t="shared" ca="1" si="5"/>
        <v>24.860408119083317</v>
      </c>
      <c r="AG29" s="2">
        <f t="shared" ca="1" si="5"/>
        <v>23.246120124506547</v>
      </c>
      <c r="AH29" s="2">
        <f t="shared" ca="1" si="5"/>
        <v>26.991545627047266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27.687890824599492</v>
      </c>
      <c r="D30" s="2">
        <f t="shared" ca="1" si="9"/>
        <v>28.902220666259758</v>
      </c>
      <c r="E30" s="2">
        <f t="shared" ca="1" si="9"/>
        <v>20.17530122461212</v>
      </c>
      <c r="F30" s="2">
        <f t="shared" ca="1" si="9"/>
        <v>27.995318219943599</v>
      </c>
      <c r="G30" s="2">
        <f t="shared" ca="1" si="9"/>
        <v>28.22072611356905</v>
      </c>
      <c r="H30" s="2">
        <f t="shared" ca="1" si="9"/>
        <v>28.556006552499909</v>
      </c>
      <c r="I30" s="2">
        <f t="shared" ca="1" si="9"/>
        <v>26.275063681748968</v>
      </c>
      <c r="J30" s="2">
        <f t="shared" ca="1" si="9"/>
        <v>20.865162101854175</v>
      </c>
      <c r="K30" s="2">
        <f t="shared" ca="1" si="9"/>
        <v>20.024344584298859</v>
      </c>
      <c r="L30" s="2">
        <f t="shared" ca="1" si="9"/>
        <v>29.80949489212999</v>
      </c>
      <c r="M30" s="2">
        <f t="shared" ca="1" si="9"/>
        <v>28.448020294154091</v>
      </c>
      <c r="N30" s="2">
        <f t="shared" ca="1" si="9"/>
        <v>24.08103705499094</v>
      </c>
      <c r="O30" s="2">
        <f t="shared" ca="1" si="9"/>
        <v>28.463196336572626</v>
      </c>
      <c r="P30" s="2">
        <f t="shared" ca="1" si="9"/>
        <v>22.593372891772702</v>
      </c>
      <c r="Q30" s="2">
        <f t="shared" ca="1" si="9"/>
        <v>27.961528009552815</v>
      </c>
      <c r="R30" s="2">
        <f t="shared" ca="1" si="9"/>
        <v>28.803036802869585</v>
      </c>
      <c r="S30" s="2">
        <f t="shared" ca="1" si="8"/>
        <v>25.25725982101984</v>
      </c>
      <c r="T30" s="2">
        <f t="shared" ca="1" si="8"/>
        <v>21.905718951153709</v>
      </c>
      <c r="U30" s="2">
        <f t="shared" ca="1" si="8"/>
        <v>23.342745732706575</v>
      </c>
      <c r="V30" s="2">
        <f t="shared" ca="1" si="8"/>
        <v>20.800775246856166</v>
      </c>
      <c r="W30" s="2">
        <f t="shared" ca="1" si="8"/>
        <v>23.925167617153569</v>
      </c>
      <c r="X30" s="2">
        <f t="shared" ca="1" si="8"/>
        <v>23.945249713449908</v>
      </c>
      <c r="Y30" s="2">
        <f t="shared" ca="1" si="8"/>
        <v>29.19142411880129</v>
      </c>
      <c r="Z30" s="2">
        <f t="shared" ca="1" si="4"/>
        <v>28.989558230674717</v>
      </c>
      <c r="AA30" s="2">
        <f t="shared" ca="1" si="5"/>
        <v>29.860191478498038</v>
      </c>
      <c r="AB30" s="2">
        <f t="shared" ca="1" si="5"/>
        <v>22.469127687537512</v>
      </c>
      <c r="AC30" s="2">
        <f t="shared" ca="1" si="5"/>
        <v>20.856730052476721</v>
      </c>
      <c r="AD30" s="2">
        <f t="shared" ca="1" si="5"/>
        <v>22.108485193243364</v>
      </c>
      <c r="AE30" s="2">
        <f t="shared" ca="1" si="5"/>
        <v>27.282705587423795</v>
      </c>
      <c r="AF30" s="2">
        <f t="shared" ca="1" si="5"/>
        <v>21.388252541644896</v>
      </c>
      <c r="AG30" s="2">
        <f t="shared" ca="1" si="5"/>
        <v>29.982564244025454</v>
      </c>
      <c r="AH30" s="2">
        <f t="shared" ca="1" si="5"/>
        <v>28.473372399578224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28.783021375190398</v>
      </c>
      <c r="D31" s="2">
        <f t="shared" ca="1" si="9"/>
        <v>27.811286455021811</v>
      </c>
      <c r="E31" s="2">
        <f t="shared" ca="1" si="9"/>
        <v>20.674710438869955</v>
      </c>
      <c r="F31" s="2">
        <f t="shared" ca="1" si="9"/>
        <v>20.180614003509888</v>
      </c>
      <c r="G31" s="2">
        <f t="shared" ca="1" si="9"/>
        <v>21.78536803219281</v>
      </c>
      <c r="H31" s="2">
        <f t="shared" ca="1" si="9"/>
        <v>28.427444545431751</v>
      </c>
      <c r="I31" s="2">
        <f t="shared" ca="1" si="9"/>
        <v>22.73048801478134</v>
      </c>
      <c r="J31" s="2">
        <f t="shared" ca="1" si="9"/>
        <v>23.783545043087823</v>
      </c>
      <c r="K31" s="2">
        <f t="shared" ca="1" si="9"/>
        <v>27.869530982080004</v>
      </c>
      <c r="L31" s="2">
        <f t="shared" ca="1" si="9"/>
        <v>27.560966053850137</v>
      </c>
      <c r="M31" s="2">
        <f t="shared" ca="1" si="9"/>
        <v>23.301817388143935</v>
      </c>
      <c r="N31" s="2">
        <f t="shared" ca="1" si="9"/>
        <v>25.127163504671152</v>
      </c>
      <c r="O31" s="2">
        <f t="shared" ca="1" si="9"/>
        <v>22.448290491991362</v>
      </c>
      <c r="P31" s="2">
        <f t="shared" ca="1" si="9"/>
        <v>20.602154994433807</v>
      </c>
      <c r="Q31" s="2">
        <f t="shared" ca="1" si="9"/>
        <v>25.801489839784566</v>
      </c>
      <c r="R31" s="2">
        <f t="shared" ca="1" si="9"/>
        <v>24.21417755143872</v>
      </c>
      <c r="S31" s="2">
        <f t="shared" ca="1" si="8"/>
        <v>27.320917674806676</v>
      </c>
      <c r="T31" s="2">
        <f t="shared" ca="1" si="8"/>
        <v>21.811723144155547</v>
      </c>
      <c r="U31" s="2">
        <f t="shared" ca="1" si="8"/>
        <v>27.386083400732058</v>
      </c>
      <c r="V31" s="2">
        <f t="shared" ca="1" si="8"/>
        <v>24.11168035856457</v>
      </c>
      <c r="W31" s="2">
        <f t="shared" ca="1" si="8"/>
        <v>22.972555738607923</v>
      </c>
      <c r="X31" s="2">
        <f t="shared" ca="1" si="8"/>
        <v>27.535727270948968</v>
      </c>
      <c r="Y31" s="2">
        <f t="shared" ca="1" si="8"/>
        <v>29.448649872115773</v>
      </c>
      <c r="Z31" s="2">
        <f t="shared" ca="1" si="4"/>
        <v>29.65068685126354</v>
      </c>
      <c r="AA31" s="2">
        <f t="shared" ca="1" si="5"/>
        <v>25.923679287604795</v>
      </c>
      <c r="AB31" s="2">
        <f t="shared" ca="1" si="5"/>
        <v>24.639680104821153</v>
      </c>
      <c r="AC31" s="2">
        <f t="shared" ca="1" si="5"/>
        <v>25.230493315069648</v>
      </c>
      <c r="AD31" s="2">
        <f t="shared" ca="1" si="5"/>
        <v>27.94731926804268</v>
      </c>
      <c r="AE31" s="2">
        <f t="shared" ca="1" si="5"/>
        <v>28.64083672540194</v>
      </c>
      <c r="AF31" s="2">
        <f t="shared" ca="1" si="5"/>
        <v>27.985348456766612</v>
      </c>
      <c r="AG31" s="2">
        <f t="shared" ca="1" si="5"/>
        <v>20.021682256881288</v>
      </c>
      <c r="AH31" s="2">
        <f t="shared" ca="1" si="5"/>
        <v>23.451127653443315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24.779333847331888</v>
      </c>
      <c r="D32" s="2">
        <f t="shared" ca="1" si="9"/>
        <v>25.197045399868166</v>
      </c>
      <c r="E32" s="2">
        <f t="shared" ca="1" si="9"/>
        <v>24.63730411968001</v>
      </c>
      <c r="F32" s="2">
        <f t="shared" ca="1" si="9"/>
        <v>26.097782766316179</v>
      </c>
      <c r="G32" s="2">
        <f t="shared" ca="1" si="9"/>
        <v>28.019179164364239</v>
      </c>
      <c r="H32" s="2">
        <f t="shared" ca="1" si="9"/>
        <v>20.023021374273203</v>
      </c>
      <c r="I32" s="2">
        <f t="shared" ca="1" si="9"/>
        <v>24.97409419143851</v>
      </c>
      <c r="J32" s="2">
        <f t="shared" ca="1" si="9"/>
        <v>20.649710334240208</v>
      </c>
      <c r="K32" s="2">
        <f t="shared" ca="1" si="9"/>
        <v>25.393177383311549</v>
      </c>
      <c r="L32" s="2">
        <f t="shared" ca="1" si="9"/>
        <v>20.063851995303601</v>
      </c>
      <c r="M32" s="2">
        <f t="shared" ca="1" si="9"/>
        <v>22.450331383184626</v>
      </c>
      <c r="N32" s="2">
        <f t="shared" ca="1" si="9"/>
        <v>27.720156864892196</v>
      </c>
      <c r="O32" s="2">
        <f t="shared" ca="1" si="9"/>
        <v>23.003784755727203</v>
      </c>
      <c r="P32" s="2">
        <f t="shared" ca="1" si="9"/>
        <v>27.999361602419015</v>
      </c>
      <c r="Q32" s="2">
        <f t="shared" ca="1" si="9"/>
        <v>22.941186552526037</v>
      </c>
      <c r="R32" s="2">
        <f t="shared" ca="1" si="9"/>
        <v>21.830081288578405</v>
      </c>
      <c r="S32" s="2">
        <f t="shared" ca="1" si="8"/>
        <v>21.998985683154004</v>
      </c>
      <c r="T32" s="2">
        <f t="shared" ca="1" si="8"/>
        <v>20.970973154625351</v>
      </c>
      <c r="U32" s="2">
        <f t="shared" ca="1" si="8"/>
        <v>29.350947377823122</v>
      </c>
      <c r="V32" s="2">
        <f t="shared" ca="1" si="8"/>
        <v>26.311646462307358</v>
      </c>
      <c r="W32" s="2">
        <f t="shared" ca="1" si="8"/>
        <v>25.494566329253111</v>
      </c>
      <c r="X32" s="2">
        <f t="shared" ca="1" si="8"/>
        <v>23.361404036750297</v>
      </c>
      <c r="Y32" s="2">
        <f t="shared" ca="1" si="8"/>
        <v>20.429399617079845</v>
      </c>
      <c r="Z32" s="2">
        <f t="shared" ca="1" si="4"/>
        <v>26.90256502848597</v>
      </c>
      <c r="AA32" s="2">
        <f t="shared" ca="1" si="5"/>
        <v>20.533239139761616</v>
      </c>
      <c r="AB32" s="2">
        <f t="shared" ca="1" si="5"/>
        <v>26.998076668481673</v>
      </c>
      <c r="AC32" s="2">
        <f t="shared" ca="1" si="5"/>
        <v>29.522756000444645</v>
      </c>
      <c r="AD32" s="2">
        <f t="shared" ca="1" si="5"/>
        <v>27.737520104596236</v>
      </c>
      <c r="AE32" s="2">
        <f t="shared" ca="1" si="5"/>
        <v>23.656806260704705</v>
      </c>
      <c r="AF32" s="2">
        <f t="shared" ca="1" si="5"/>
        <v>29.553660279556244</v>
      </c>
      <c r="AG32" s="2">
        <f t="shared" ca="1" si="5"/>
        <v>28.285826469580311</v>
      </c>
      <c r="AH32" s="2">
        <f t="shared" ca="1" si="5"/>
        <v>23.01792113882146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21.000791032314677</v>
      </c>
      <c r="D33" s="2">
        <f t="shared" ca="1" si="9"/>
        <v>29.071810905265437</v>
      </c>
      <c r="E33" s="2">
        <f t="shared" ca="1" si="9"/>
        <v>23.904100530367202</v>
      </c>
      <c r="F33" s="2">
        <f t="shared" ca="1" si="9"/>
        <v>23.908537629208539</v>
      </c>
      <c r="G33" s="2">
        <f t="shared" ca="1" si="9"/>
        <v>22.426844877571838</v>
      </c>
      <c r="H33" s="2">
        <f t="shared" ca="1" si="9"/>
        <v>29.666993760889909</v>
      </c>
      <c r="I33" s="2">
        <f t="shared" ca="1" si="9"/>
        <v>29.091599512560549</v>
      </c>
      <c r="J33" s="2">
        <f t="shared" ca="1" si="9"/>
        <v>20.259690214507721</v>
      </c>
      <c r="K33" s="2">
        <f t="shared" ca="1" si="9"/>
        <v>20.098174845033711</v>
      </c>
      <c r="L33" s="2">
        <f t="shared" ca="1" si="9"/>
        <v>29.231197331499999</v>
      </c>
      <c r="M33" s="2">
        <f t="shared" ca="1" si="9"/>
        <v>29.824383842353225</v>
      </c>
      <c r="N33" s="2">
        <f t="shared" ca="1" si="9"/>
        <v>25.94411824192543</v>
      </c>
      <c r="O33" s="2">
        <f t="shared" ca="1" si="9"/>
        <v>20.836912916149213</v>
      </c>
      <c r="P33" s="2">
        <f t="shared" ca="1" si="9"/>
        <v>20.318289275305006</v>
      </c>
      <c r="Q33" s="2">
        <f t="shared" ca="1" si="9"/>
        <v>22.547529801690768</v>
      </c>
      <c r="R33" s="2">
        <f t="shared" ca="1" si="9"/>
        <v>24.626343877741174</v>
      </c>
      <c r="S33" s="2">
        <f t="shared" ca="1" si="8"/>
        <v>23.376377520103421</v>
      </c>
      <c r="T33" s="2">
        <f t="shared" ca="1" si="8"/>
        <v>22.920570539956554</v>
      </c>
      <c r="U33" s="2">
        <f t="shared" ca="1" si="8"/>
        <v>21.653448950453992</v>
      </c>
      <c r="V33" s="2">
        <f t="shared" ca="1" si="8"/>
        <v>24.91763524138468</v>
      </c>
      <c r="W33" s="2">
        <f t="shared" ca="1" si="8"/>
        <v>28.781871656989289</v>
      </c>
      <c r="X33" s="2">
        <f t="shared" ca="1" si="8"/>
        <v>25.871975027950889</v>
      </c>
      <c r="Y33" s="2">
        <f t="shared" ca="1" si="8"/>
        <v>24.375314184499793</v>
      </c>
      <c r="Z33" s="2">
        <f t="shared" ca="1" si="4"/>
        <v>29.189032852501185</v>
      </c>
      <c r="AA33" s="2">
        <f t="shared" ca="1" si="5"/>
        <v>20.710018336273116</v>
      </c>
      <c r="AB33" s="2">
        <f t="shared" ca="1" si="5"/>
        <v>27.650883145315596</v>
      </c>
      <c r="AC33" s="2">
        <f t="shared" ca="1" si="5"/>
        <v>24.823201990202403</v>
      </c>
      <c r="AD33" s="2">
        <f t="shared" ca="1" si="5"/>
        <v>29.510058938889955</v>
      </c>
      <c r="AE33" s="2">
        <f t="shared" ca="1" si="5"/>
        <v>22.058513765708003</v>
      </c>
      <c r="AF33" s="2">
        <f t="shared" ca="1" si="5"/>
        <v>28.648390734093621</v>
      </c>
      <c r="AG33" s="2">
        <f t="shared" ca="1" si="5"/>
        <v>29.422552785902795</v>
      </c>
      <c r="AH33" s="2">
        <f t="shared" ca="1" si="5"/>
        <v>28.230191971451717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25.71877703013541</v>
      </c>
      <c r="D34" s="2">
        <f t="shared" ca="1" si="9"/>
        <v>23.33033585912619</v>
      </c>
      <c r="E34" s="2">
        <f t="shared" ca="1" si="9"/>
        <v>21.499348482339347</v>
      </c>
      <c r="F34" s="2">
        <f t="shared" ca="1" si="9"/>
        <v>26.453674147456475</v>
      </c>
      <c r="G34" s="2">
        <f t="shared" ca="1" si="9"/>
        <v>24.82341492014465</v>
      </c>
      <c r="H34" s="2">
        <f t="shared" ca="1" si="9"/>
        <v>21.682461639423597</v>
      </c>
      <c r="I34" s="2">
        <f t="shared" ca="1" si="9"/>
        <v>28.603762841174824</v>
      </c>
      <c r="J34" s="2">
        <f t="shared" ca="1" si="9"/>
        <v>20.903055198382745</v>
      </c>
      <c r="K34" s="2">
        <f t="shared" ca="1" si="9"/>
        <v>26.797838424989173</v>
      </c>
      <c r="L34" s="2">
        <f t="shared" ca="1" si="9"/>
        <v>22.702433135328157</v>
      </c>
      <c r="M34" s="2">
        <f t="shared" ca="1" si="9"/>
        <v>26.683322685806942</v>
      </c>
      <c r="N34" s="2">
        <f t="shared" ca="1" si="9"/>
        <v>28.40351563419377</v>
      </c>
      <c r="O34" s="2">
        <f t="shared" ca="1" si="9"/>
        <v>28.301969985245012</v>
      </c>
      <c r="P34" s="2">
        <f t="shared" ca="1" si="9"/>
        <v>28.332191385921522</v>
      </c>
      <c r="Q34" s="2">
        <f t="shared" ca="1" si="9"/>
        <v>23.334159678391128</v>
      </c>
      <c r="R34" s="2">
        <f t="shared" ca="1" si="9"/>
        <v>29.763401052446468</v>
      </c>
      <c r="S34" s="2">
        <f t="shared" ca="1" si="8"/>
        <v>27.528988622896438</v>
      </c>
      <c r="T34" s="2">
        <f t="shared" ca="1" si="8"/>
        <v>23.441040078213486</v>
      </c>
      <c r="U34" s="2">
        <f t="shared" ca="1" si="8"/>
        <v>26.703166181659938</v>
      </c>
      <c r="V34" s="2">
        <f t="shared" ca="1" si="8"/>
        <v>26.258401294107763</v>
      </c>
      <c r="W34" s="2">
        <f t="shared" ca="1" si="8"/>
        <v>23.46054047536952</v>
      </c>
      <c r="X34" s="2">
        <f t="shared" ca="1" si="8"/>
        <v>24.640910949243349</v>
      </c>
      <c r="Y34" s="2">
        <f t="shared" ca="1" si="8"/>
        <v>28.073438653277449</v>
      </c>
      <c r="Z34" s="2">
        <f t="shared" ca="1" si="4"/>
        <v>23.718479440481214</v>
      </c>
      <c r="AA34" s="2">
        <f t="shared" ca="1" si="5"/>
        <v>24.147811809964224</v>
      </c>
      <c r="AB34" s="2">
        <f t="shared" ca="1" si="5"/>
        <v>21.106611946586909</v>
      </c>
      <c r="AC34" s="2">
        <f t="shared" ca="1" si="5"/>
        <v>26.933880595327825</v>
      </c>
      <c r="AD34" s="2">
        <f t="shared" ca="1" si="5"/>
        <v>27.626279130332222</v>
      </c>
      <c r="AE34" s="2">
        <f t="shared" ca="1" si="5"/>
        <v>28.70603131174002</v>
      </c>
      <c r="AF34" s="2">
        <f t="shared" ca="1" si="5"/>
        <v>28.501417107034442</v>
      </c>
      <c r="AG34" s="2">
        <f t="shared" ca="1" si="5"/>
        <v>22.100444782084022</v>
      </c>
      <c r="AH34" s="2">
        <f t="shared" ca="1" si="5"/>
        <v>25.774816617385266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26.152205011157477</v>
      </c>
      <c r="D35" s="2">
        <f t="shared" ca="1" si="9"/>
        <v>24.4491598975399</v>
      </c>
      <c r="E35" s="2">
        <f t="shared" ca="1" si="9"/>
        <v>21.939671621690188</v>
      </c>
      <c r="F35" s="2">
        <f t="shared" ca="1" si="9"/>
        <v>23.915531550241386</v>
      </c>
      <c r="G35" s="2">
        <f t="shared" ca="1" si="9"/>
        <v>24.988347575024434</v>
      </c>
      <c r="H35" s="2">
        <f t="shared" ca="1" si="9"/>
        <v>27.761026972884757</v>
      </c>
      <c r="I35" s="2">
        <f t="shared" ca="1" si="9"/>
        <v>24.429734283636002</v>
      </c>
      <c r="J35" s="2">
        <f t="shared" ca="1" si="9"/>
        <v>24.383036704117348</v>
      </c>
      <c r="K35" s="2">
        <f t="shared" ca="1" si="9"/>
        <v>22.734744906251343</v>
      </c>
      <c r="L35" s="2">
        <f t="shared" ca="1" si="9"/>
        <v>28.169760923414554</v>
      </c>
      <c r="M35" s="2">
        <f t="shared" ca="1" si="9"/>
        <v>27.623039580908181</v>
      </c>
      <c r="N35" s="2">
        <f t="shared" ca="1" si="9"/>
        <v>20.449153986942413</v>
      </c>
      <c r="O35" s="2">
        <f t="shared" ca="1" si="9"/>
        <v>23.407689997945742</v>
      </c>
      <c r="P35" s="2">
        <f t="shared" ca="1" si="9"/>
        <v>25.513332736544303</v>
      </c>
      <c r="Q35" s="2">
        <f t="shared" ca="1" si="9"/>
        <v>28.178205346913209</v>
      </c>
      <c r="R35" s="2">
        <f t="shared" ca="1" si="9"/>
        <v>26.171692140354569</v>
      </c>
      <c r="S35" s="2">
        <f t="shared" ca="1" si="8"/>
        <v>22.492996901419275</v>
      </c>
      <c r="T35" s="2">
        <f t="shared" ca="1" si="8"/>
        <v>24.415898707796792</v>
      </c>
      <c r="U35" s="2">
        <f t="shared" ca="1" si="8"/>
        <v>24.72359893427954</v>
      </c>
      <c r="V35" s="2">
        <f t="shared" ca="1" si="8"/>
        <v>21.267288521937481</v>
      </c>
      <c r="W35" s="2">
        <f t="shared" ca="1" si="8"/>
        <v>25.824584932252986</v>
      </c>
      <c r="X35" s="2">
        <f t="shared" ca="1" si="8"/>
        <v>29.18022088238623</v>
      </c>
      <c r="Y35" s="2">
        <f t="shared" ca="1" si="8"/>
        <v>27.646606684676723</v>
      </c>
      <c r="Z35" s="2">
        <f t="shared" ca="1" si="4"/>
        <v>28.714302830228057</v>
      </c>
      <c r="AA35" s="2">
        <f t="shared" ca="1" si="5"/>
        <v>23.584405571008723</v>
      </c>
      <c r="AB35" s="2">
        <f t="shared" ca="1" si="5"/>
        <v>29.891739368157317</v>
      </c>
      <c r="AC35" s="2">
        <f t="shared" ca="1" si="5"/>
        <v>27.141034971728516</v>
      </c>
      <c r="AD35" s="2">
        <f t="shared" ca="1" si="5"/>
        <v>23.091866960896358</v>
      </c>
      <c r="AE35" s="2">
        <f t="shared" ca="1" si="5"/>
        <v>25.943150146054673</v>
      </c>
      <c r="AF35" s="2">
        <f t="shared" ca="1" si="5"/>
        <v>26.939554581687453</v>
      </c>
      <c r="AG35" s="2">
        <f t="shared" ca="1" si="5"/>
        <v>24.373850256596779</v>
      </c>
      <c r="AH35" s="2">
        <f t="shared" ca="1" si="5"/>
        <v>26.789074581013079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20.117440106666159</v>
      </c>
      <c r="D36" s="2">
        <f t="shared" ca="1" si="9"/>
        <v>21.955873734450847</v>
      </c>
      <c r="E36" s="2">
        <f t="shared" ca="1" si="9"/>
        <v>21.131241161757085</v>
      </c>
      <c r="F36" s="2">
        <f t="shared" ca="1" si="9"/>
        <v>23.218729525233282</v>
      </c>
      <c r="G36" s="2">
        <f t="shared" ca="1" si="9"/>
        <v>23.52185768959826</v>
      </c>
      <c r="H36" s="2">
        <f t="shared" ca="1" si="9"/>
        <v>27.037493076101381</v>
      </c>
      <c r="I36" s="2">
        <f t="shared" ca="1" si="9"/>
        <v>23.868412842653253</v>
      </c>
      <c r="J36" s="2">
        <f t="shared" ca="1" si="9"/>
        <v>29.978313076896296</v>
      </c>
      <c r="K36" s="2">
        <f t="shared" ca="1" si="9"/>
        <v>29.204896480853542</v>
      </c>
      <c r="L36" s="2">
        <f t="shared" ca="1" si="9"/>
        <v>22.650184713458806</v>
      </c>
      <c r="M36" s="2">
        <f t="shared" ca="1" si="9"/>
        <v>27.509429397322737</v>
      </c>
      <c r="N36" s="2">
        <f t="shared" ca="1" si="9"/>
        <v>26.241554073286533</v>
      </c>
      <c r="O36" s="2">
        <f t="shared" ca="1" si="9"/>
        <v>20.560148382163444</v>
      </c>
      <c r="P36" s="2">
        <f t="shared" ca="1" si="9"/>
        <v>27.364760956670292</v>
      </c>
      <c r="Q36" s="2">
        <f t="shared" ca="1" si="9"/>
        <v>25.051159366215252</v>
      </c>
      <c r="R36" s="2">
        <f t="shared" ca="1" si="9"/>
        <v>27.648679281253401</v>
      </c>
      <c r="S36" s="2">
        <f t="shared" ca="1" si="8"/>
        <v>25.06482033698515</v>
      </c>
      <c r="T36" s="2">
        <f t="shared" ca="1" si="8"/>
        <v>21.242006384694559</v>
      </c>
      <c r="U36" s="2">
        <f t="shared" ca="1" si="8"/>
        <v>28.227672161263794</v>
      </c>
      <c r="V36" s="2">
        <f t="shared" ca="1" si="8"/>
        <v>26.17688060204723</v>
      </c>
      <c r="W36" s="2">
        <f t="shared" ca="1" si="8"/>
        <v>27.847898670643822</v>
      </c>
      <c r="X36" s="2">
        <f t="shared" ca="1" si="8"/>
        <v>20.153900748831337</v>
      </c>
      <c r="Y36" s="2">
        <f t="shared" ca="1" si="8"/>
        <v>27.556012975323352</v>
      </c>
      <c r="Z36" s="2">
        <f t="shared" ca="1" si="4"/>
        <v>25.887263185456373</v>
      </c>
      <c r="AA36" s="2">
        <f t="shared" ca="1" si="5"/>
        <v>28.972918796667642</v>
      </c>
      <c r="AB36" s="2">
        <f t="shared" ca="1" si="5"/>
        <v>25.542266834231757</v>
      </c>
      <c r="AC36" s="2">
        <f t="shared" ca="1" si="5"/>
        <v>29.788222322946261</v>
      </c>
      <c r="AD36" s="2">
        <f t="shared" ca="1" si="5"/>
        <v>26.624099005766901</v>
      </c>
      <c r="AE36" s="2">
        <f t="shared" ca="1" si="5"/>
        <v>21.98673639657002</v>
      </c>
      <c r="AF36" s="2">
        <f t="shared" ca="1" si="5"/>
        <v>24.804770832631874</v>
      </c>
      <c r="AG36" s="2">
        <f t="shared" ca="1" si="5"/>
        <v>22.326195085760837</v>
      </c>
      <c r="AH36" s="2">
        <f t="shared" ca="1" si="5"/>
        <v>29.3669785758938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23.357721709698215</v>
      </c>
      <c r="D37" s="2">
        <f t="shared" ca="1" si="9"/>
        <v>22.560195592163652</v>
      </c>
      <c r="E37" s="2">
        <f t="shared" ca="1" si="9"/>
        <v>21.06502339979826</v>
      </c>
      <c r="F37" s="2">
        <f t="shared" ca="1" si="9"/>
        <v>23.847361104938894</v>
      </c>
      <c r="G37" s="2">
        <f t="shared" ca="1" si="9"/>
        <v>26.652955927662482</v>
      </c>
      <c r="H37" s="2">
        <f t="shared" ca="1" si="9"/>
        <v>22.80540295908235</v>
      </c>
      <c r="I37" s="2">
        <f t="shared" ca="1" si="9"/>
        <v>22.592169265012622</v>
      </c>
      <c r="J37" s="2">
        <f t="shared" ca="1" si="9"/>
        <v>21.282584914414286</v>
      </c>
      <c r="K37" s="2">
        <f t="shared" ca="1" si="9"/>
        <v>20.59782672818476</v>
      </c>
      <c r="L37" s="2">
        <f t="shared" ca="1" si="9"/>
        <v>27.86772463942545</v>
      </c>
      <c r="M37" s="2">
        <f t="shared" ca="1" si="9"/>
        <v>27.192942594086773</v>
      </c>
      <c r="N37" s="2">
        <f t="shared" ca="1" si="9"/>
        <v>29.448060421904987</v>
      </c>
      <c r="O37" s="2">
        <f t="shared" ca="1" si="9"/>
        <v>21.471557751340786</v>
      </c>
      <c r="P37" s="2">
        <f t="shared" ca="1" si="9"/>
        <v>28.546447462573788</v>
      </c>
      <c r="Q37" s="2">
        <f t="shared" ca="1" si="9"/>
        <v>21.374931877339481</v>
      </c>
      <c r="R37" s="2">
        <f t="shared" ca="1" si="9"/>
        <v>24.54651810856479</v>
      </c>
      <c r="S37" s="2">
        <f t="shared" ca="1" si="8"/>
        <v>23.073481209746365</v>
      </c>
      <c r="T37" s="2">
        <f t="shared" ca="1" si="8"/>
        <v>22.433720516681667</v>
      </c>
      <c r="U37" s="2">
        <f t="shared" ca="1" si="8"/>
        <v>21.393585901189489</v>
      </c>
      <c r="V37" s="2">
        <f t="shared" ca="1" si="8"/>
        <v>28.10046649128768</v>
      </c>
      <c r="W37" s="2">
        <f t="shared" ca="1" si="8"/>
        <v>28.836866815567152</v>
      </c>
      <c r="X37" s="2">
        <f t="shared" ca="1" si="8"/>
        <v>27.878293590438108</v>
      </c>
      <c r="Y37" s="2">
        <f t="shared" ca="1" si="8"/>
        <v>23.871255721951783</v>
      </c>
      <c r="Z37" s="2">
        <f t="shared" ca="1" si="4"/>
        <v>27.946542383297277</v>
      </c>
      <c r="AA37" s="2">
        <f t="shared" ca="1" si="5"/>
        <v>26.66267917841537</v>
      </c>
      <c r="AB37" s="2">
        <f t="shared" ca="1" si="5"/>
        <v>28.238868919526045</v>
      </c>
      <c r="AC37" s="2">
        <f t="shared" ca="1" si="5"/>
        <v>27.433601649962071</v>
      </c>
      <c r="AD37" s="2">
        <f t="shared" ca="1" si="5"/>
        <v>23.279584097522424</v>
      </c>
      <c r="AE37" s="2">
        <f t="shared" ca="1" si="5"/>
        <v>24.787616867790174</v>
      </c>
      <c r="AF37" s="2">
        <f t="shared" ca="1" si="5"/>
        <v>29.699615262012891</v>
      </c>
      <c r="AG37" s="2">
        <f t="shared" ca="1" si="5"/>
        <v>22.268813590579526</v>
      </c>
      <c r="AH37" s="2">
        <f t="shared" ca="1" si="5"/>
        <v>26.012257380625602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28.775369072095465</v>
      </c>
      <c r="D38" s="2">
        <f t="shared" ca="1" si="9"/>
        <v>29.709744625708822</v>
      </c>
      <c r="E38" s="2">
        <f t="shared" ca="1" si="9"/>
        <v>21.730400058118679</v>
      </c>
      <c r="F38" s="2">
        <f t="shared" ca="1" si="9"/>
        <v>23.271006691855959</v>
      </c>
      <c r="G38" s="2">
        <f t="shared" ca="1" si="9"/>
        <v>23.381734267932593</v>
      </c>
      <c r="H38" s="2">
        <f t="shared" ca="1" si="9"/>
        <v>27.093747442096394</v>
      </c>
      <c r="I38" s="2">
        <f t="shared" ca="1" si="9"/>
        <v>28.076007499361573</v>
      </c>
      <c r="J38" s="2">
        <f t="shared" ca="1" si="9"/>
        <v>22.373169373656097</v>
      </c>
      <c r="K38" s="2">
        <f t="shared" ca="1" si="9"/>
        <v>24.526601382218573</v>
      </c>
      <c r="L38" s="2">
        <f t="shared" ca="1" si="9"/>
        <v>23.251073909768522</v>
      </c>
      <c r="M38" s="2">
        <f t="shared" ca="1" si="9"/>
        <v>28.111967089061167</v>
      </c>
      <c r="N38" s="2">
        <f t="shared" ca="1" si="9"/>
        <v>24.553899957650025</v>
      </c>
      <c r="O38" s="2">
        <f t="shared" ca="1" si="9"/>
        <v>25.110584552707394</v>
      </c>
      <c r="P38" s="2">
        <f t="shared" ca="1" si="9"/>
        <v>23.045219486136162</v>
      </c>
      <c r="Q38" s="2">
        <f t="shared" ca="1" si="9"/>
        <v>22.762700498530208</v>
      </c>
      <c r="R38" s="2">
        <f t="shared" ca="1" si="9"/>
        <v>26.768984587162038</v>
      </c>
      <c r="S38" s="2">
        <f t="shared" ca="1" si="8"/>
        <v>29.227677408480986</v>
      </c>
      <c r="T38" s="2">
        <f t="shared" ca="1" si="8"/>
        <v>24.601854131052107</v>
      </c>
      <c r="U38" s="2">
        <f t="shared" ca="1" si="8"/>
        <v>23.489380548219611</v>
      </c>
      <c r="V38" s="2">
        <f t="shared" ca="1" si="8"/>
        <v>21.054232076988171</v>
      </c>
      <c r="W38" s="2">
        <f t="shared" ca="1" si="8"/>
        <v>26.245713592607466</v>
      </c>
      <c r="X38" s="2">
        <f t="shared" ca="1" si="8"/>
        <v>21.36911815568714</v>
      </c>
      <c r="Y38" s="2">
        <f t="shared" ca="1" si="8"/>
        <v>24.650692579076708</v>
      </c>
      <c r="Z38" s="2">
        <f t="shared" ca="1" si="4"/>
        <v>27.751863397221165</v>
      </c>
      <c r="AA38" s="2">
        <f t="shared" ca="1" si="5"/>
        <v>21.536854219763857</v>
      </c>
      <c r="AB38" s="2">
        <f t="shared" ca="1" si="5"/>
        <v>21.767195188340718</v>
      </c>
      <c r="AC38" s="2">
        <f t="shared" ca="1" si="5"/>
        <v>25.719417099713333</v>
      </c>
      <c r="AD38" s="2">
        <f t="shared" ca="1" si="5"/>
        <v>29.27027573781417</v>
      </c>
      <c r="AE38" s="2">
        <f t="shared" ca="1" si="5"/>
        <v>28.061994200471098</v>
      </c>
      <c r="AF38" s="2">
        <f t="shared" ca="1" si="5"/>
        <v>27.0993845963091</v>
      </c>
      <c r="AG38" s="2">
        <f t="shared" ca="1" si="5"/>
        <v>28.63081986992065</v>
      </c>
      <c r="AH38" s="2">
        <f t="shared" ca="1" si="5"/>
        <v>28.468921653580807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25.632021244292435</v>
      </c>
      <c r="D39" s="2">
        <f t="shared" ca="1" si="9"/>
        <v>28.083120040478722</v>
      </c>
      <c r="E39" s="2">
        <f t="shared" ca="1" si="9"/>
        <v>29.372953778839406</v>
      </c>
      <c r="F39" s="2">
        <f t="shared" ca="1" si="9"/>
        <v>23.117958153176573</v>
      </c>
      <c r="G39" s="2">
        <f t="shared" ca="1" si="9"/>
        <v>27.21086748061624</v>
      </c>
      <c r="H39" s="2">
        <f t="shared" ca="1" si="9"/>
        <v>27.799500059386901</v>
      </c>
      <c r="I39" s="2">
        <f t="shared" ca="1" si="9"/>
        <v>29.536904227914661</v>
      </c>
      <c r="J39" s="2">
        <f t="shared" ca="1" si="9"/>
        <v>27.28518145115552</v>
      </c>
      <c r="K39" s="2">
        <f t="shared" ca="1" si="9"/>
        <v>29.430739442857458</v>
      </c>
      <c r="L39" s="2">
        <f t="shared" ca="1" si="9"/>
        <v>24.530427282739904</v>
      </c>
      <c r="M39" s="2">
        <f t="shared" ca="1" si="9"/>
        <v>20.22140286039858</v>
      </c>
      <c r="N39" s="2">
        <f t="shared" ca="1" si="9"/>
        <v>27.936733797955704</v>
      </c>
      <c r="O39" s="2">
        <f t="shared" ca="1" si="9"/>
        <v>20.626232359118639</v>
      </c>
      <c r="P39" s="2">
        <f t="shared" ca="1" si="9"/>
        <v>28.243678911533308</v>
      </c>
      <c r="Q39" s="2">
        <f t="shared" ca="1" si="9"/>
        <v>22.744046710121555</v>
      </c>
      <c r="R39" s="2">
        <f t="shared" ca="1" si="9"/>
        <v>29.303009453039568</v>
      </c>
      <c r="S39" s="2">
        <f t="shared" ca="1" si="8"/>
        <v>21.383688550444401</v>
      </c>
      <c r="T39" s="2">
        <f t="shared" ca="1" si="8"/>
        <v>23.118768255306602</v>
      </c>
      <c r="U39" s="2">
        <f t="shared" ca="1" si="8"/>
        <v>21.359140298013862</v>
      </c>
      <c r="V39" s="2">
        <f t="shared" ca="1" si="8"/>
        <v>25.904766834755133</v>
      </c>
      <c r="W39" s="2">
        <f t="shared" ca="1" si="8"/>
        <v>20.98883750140314</v>
      </c>
      <c r="X39" s="2">
        <f t="shared" ca="1" si="8"/>
        <v>25.814184264880762</v>
      </c>
      <c r="Y39" s="2">
        <f t="shared" ca="1" si="8"/>
        <v>27.650566050006571</v>
      </c>
      <c r="Z39" s="2">
        <f t="shared" ca="1" si="4"/>
        <v>22.90745152972611</v>
      </c>
      <c r="AA39" s="2">
        <f t="shared" ca="1" si="5"/>
        <v>27.877454898706912</v>
      </c>
      <c r="AB39" s="2">
        <f t="shared" ca="1" si="5"/>
        <v>23.225087386186217</v>
      </c>
      <c r="AC39" s="2">
        <f t="shared" ca="1" si="5"/>
        <v>24.30728519128234</v>
      </c>
      <c r="AD39" s="2">
        <f t="shared" ca="1" si="5"/>
        <v>21.743338085364243</v>
      </c>
      <c r="AE39" s="2">
        <f t="shared" ca="1" si="5"/>
        <v>29.594391960015678</v>
      </c>
      <c r="AF39" s="2">
        <f t="shared" ca="1" si="5"/>
        <v>21.362312170955711</v>
      </c>
      <c r="AG39" s="2">
        <f t="shared" ca="1" si="5"/>
        <v>23.444439601294636</v>
      </c>
      <c r="AH39" s="2">
        <f t="shared" ca="1" si="5"/>
        <v>28.594866136119684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24.819089038561525</v>
      </c>
      <c r="D40" s="2">
        <f t="shared" ca="1" si="9"/>
        <v>22.299626926305976</v>
      </c>
      <c r="E40" s="2">
        <f t="shared" ca="1" si="9"/>
        <v>24.614613173617553</v>
      </c>
      <c r="F40" s="2">
        <f t="shared" ca="1" si="9"/>
        <v>22.396952248400499</v>
      </c>
      <c r="G40" s="2">
        <f t="shared" ca="1" si="9"/>
        <v>26.935387575847841</v>
      </c>
      <c r="H40" s="2">
        <f t="shared" ca="1" si="9"/>
        <v>22.368506935913373</v>
      </c>
      <c r="I40" s="2">
        <f t="shared" ca="1" si="9"/>
        <v>20.384193437836533</v>
      </c>
      <c r="J40" s="2">
        <f t="shared" ca="1" si="9"/>
        <v>26.388059844843792</v>
      </c>
      <c r="K40" s="2">
        <f t="shared" ca="1" si="9"/>
        <v>24.890408083382969</v>
      </c>
      <c r="L40" s="2">
        <f t="shared" ca="1" si="9"/>
        <v>21.898809160615727</v>
      </c>
      <c r="M40" s="2">
        <f t="shared" ca="1" si="9"/>
        <v>26.229361013569786</v>
      </c>
      <c r="N40" s="2">
        <f t="shared" ca="1" si="9"/>
        <v>26.15714008678146</v>
      </c>
      <c r="O40" s="2">
        <f t="shared" ca="1" si="9"/>
        <v>29.873293708278887</v>
      </c>
      <c r="P40" s="2">
        <f t="shared" ca="1" si="9"/>
        <v>29.646058084165862</v>
      </c>
      <c r="Q40" s="2">
        <f t="shared" ca="1" si="9"/>
        <v>27.986677400842748</v>
      </c>
      <c r="R40" s="2">
        <f t="shared" ca="1" si="9"/>
        <v>25.343926330972288</v>
      </c>
      <c r="S40" s="2">
        <f t="shared" ca="1" si="8"/>
        <v>29.567265087395135</v>
      </c>
      <c r="T40" s="2">
        <f t="shared" ca="1" si="8"/>
        <v>20.371458465628688</v>
      </c>
      <c r="U40" s="2">
        <f t="shared" ca="1" si="8"/>
        <v>21.615892417043327</v>
      </c>
      <c r="V40" s="2">
        <f t="shared" ca="1" si="8"/>
        <v>25.582067970280676</v>
      </c>
      <c r="W40" s="2">
        <f t="shared" ca="1" si="8"/>
        <v>27.737318612417983</v>
      </c>
      <c r="X40" s="2">
        <f t="shared" ca="1" si="8"/>
        <v>23.071613964456894</v>
      </c>
      <c r="Y40" s="2">
        <f t="shared" ca="1" si="8"/>
        <v>27.033889640170383</v>
      </c>
      <c r="Z40" s="2">
        <f t="shared" ca="1" si="4"/>
        <v>26.630030421147993</v>
      </c>
      <c r="AA40" s="2">
        <f t="shared" ca="1" si="5"/>
        <v>24.517706894062819</v>
      </c>
      <c r="AB40" s="2">
        <f t="shared" ca="1" si="5"/>
        <v>26.671775775135735</v>
      </c>
      <c r="AC40" s="2">
        <f t="shared" ca="1" si="5"/>
        <v>25.723247891717349</v>
      </c>
      <c r="AD40" s="2">
        <f t="shared" ca="1" si="5"/>
        <v>22.519452597557773</v>
      </c>
      <c r="AE40" s="2">
        <f t="shared" ca="1" si="5"/>
        <v>28.437301793833814</v>
      </c>
      <c r="AF40" s="2">
        <f t="shared" ca="1" si="5"/>
        <v>21.387787388702758</v>
      </c>
      <c r="AG40" s="2">
        <f t="shared" ca="1" si="5"/>
        <v>24.020069241462288</v>
      </c>
      <c r="AH40" s="2">
        <f t="shared" ca="1" si="5"/>
        <v>26.076588962323644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25.361250527564728</v>
      </c>
      <c r="D41" s="2">
        <f t="shared" ca="1" si="9"/>
        <v>24.11576638578137</v>
      </c>
      <c r="E41" s="2">
        <f t="shared" ca="1" si="9"/>
        <v>22.750252997605756</v>
      </c>
      <c r="F41" s="2">
        <f t="shared" ca="1" si="9"/>
        <v>26.566402382262105</v>
      </c>
      <c r="G41" s="2">
        <f t="shared" ca="1" si="9"/>
        <v>27.394640105651508</v>
      </c>
      <c r="H41" s="2">
        <f t="shared" ca="1" si="9"/>
        <v>27.593780680884848</v>
      </c>
      <c r="I41" s="2">
        <f t="shared" ca="1" si="9"/>
        <v>27.651614852373584</v>
      </c>
      <c r="J41" s="2">
        <f t="shared" ca="1" si="9"/>
        <v>23.339783973628421</v>
      </c>
      <c r="K41" s="2">
        <f t="shared" ca="1" si="9"/>
        <v>22.275131970361883</v>
      </c>
      <c r="L41" s="2">
        <f t="shared" ca="1" si="9"/>
        <v>22.079226916342851</v>
      </c>
      <c r="M41" s="2">
        <f t="shared" ca="1" si="9"/>
        <v>29.26713909053462</v>
      </c>
      <c r="N41" s="2">
        <f t="shared" ca="1" si="9"/>
        <v>23.282957179294023</v>
      </c>
      <c r="O41" s="2">
        <f t="shared" ca="1" si="9"/>
        <v>23.727450917531169</v>
      </c>
      <c r="P41" s="2">
        <f t="shared" ca="1" si="9"/>
        <v>28.892464654268608</v>
      </c>
      <c r="Q41" s="2">
        <f t="shared" ca="1" si="9"/>
        <v>28.038580805978302</v>
      </c>
      <c r="R41" s="2">
        <f t="shared" ca="1" si="9"/>
        <v>26.598634660181801</v>
      </c>
      <c r="S41" s="2">
        <f t="shared" ca="1" si="8"/>
        <v>20.948729112215897</v>
      </c>
      <c r="T41" s="2">
        <f t="shared" ca="1" si="8"/>
        <v>22.728319971833571</v>
      </c>
      <c r="U41" s="2">
        <f t="shared" ca="1" si="8"/>
        <v>20.516625504283198</v>
      </c>
      <c r="V41" s="2">
        <f t="shared" ca="1" si="8"/>
        <v>20.341792166307172</v>
      </c>
      <c r="W41" s="2">
        <f t="shared" ca="1" si="8"/>
        <v>23.077775072327167</v>
      </c>
      <c r="X41" s="2">
        <f t="shared" ca="1" si="8"/>
        <v>25.275725725134475</v>
      </c>
      <c r="Y41" s="2">
        <f t="shared" ca="1" si="8"/>
        <v>20.845341977949715</v>
      </c>
      <c r="Z41" s="2">
        <f t="shared" ca="1" si="4"/>
        <v>25.253995423324888</v>
      </c>
      <c r="AA41" s="2">
        <f t="shared" ca="1" si="5"/>
        <v>20.553001339516435</v>
      </c>
      <c r="AB41" s="2">
        <f t="shared" ca="1" si="5"/>
        <v>22.474089060136816</v>
      </c>
      <c r="AC41" s="2">
        <f t="shared" ca="1" si="5"/>
        <v>29.354728768147897</v>
      </c>
      <c r="AD41" s="2">
        <f t="shared" ca="1" si="5"/>
        <v>28.166972367434084</v>
      </c>
      <c r="AE41" s="2">
        <f t="shared" ca="1" si="5"/>
        <v>25.229355781906943</v>
      </c>
      <c r="AF41" s="2">
        <f t="shared" ca="1" si="5"/>
        <v>22.716414371359768</v>
      </c>
      <c r="AG41" s="2">
        <f t="shared" ca="1" si="5"/>
        <v>20.920917723289882</v>
      </c>
      <c r="AH41" s="2">
        <f t="shared" ca="1" si="5"/>
        <v>25.612345141789046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22.782096411240406</v>
      </c>
      <c r="D42" s="2">
        <f t="shared" ca="1" si="9"/>
        <v>25.12108610463541</v>
      </c>
      <c r="E42" s="2">
        <f t="shared" ca="1" si="9"/>
        <v>26.859949790363224</v>
      </c>
      <c r="F42" s="2">
        <f t="shared" ca="1" si="9"/>
        <v>26.154531381019723</v>
      </c>
      <c r="G42" s="2">
        <f t="shared" ca="1" si="9"/>
        <v>28.714382393319276</v>
      </c>
      <c r="H42" s="2">
        <f t="shared" ca="1" si="9"/>
        <v>20.647912984118054</v>
      </c>
      <c r="I42" s="2">
        <f t="shared" ca="1" si="9"/>
        <v>25.75082195845409</v>
      </c>
      <c r="J42" s="2">
        <f t="shared" ca="1" si="9"/>
        <v>23.230208479009708</v>
      </c>
      <c r="K42" s="2">
        <f t="shared" ca="1" si="9"/>
        <v>22.300717120851555</v>
      </c>
      <c r="L42" s="2">
        <f t="shared" ca="1" si="9"/>
        <v>29.77806765166855</v>
      </c>
      <c r="M42" s="2">
        <f t="shared" ca="1" si="9"/>
        <v>28.023961073567705</v>
      </c>
      <c r="N42" s="2">
        <f t="shared" ca="1" si="9"/>
        <v>26.689866440488341</v>
      </c>
      <c r="O42" s="2">
        <f t="shared" ca="1" si="9"/>
        <v>22.528318643498391</v>
      </c>
      <c r="P42" s="2">
        <f t="shared" ca="1" si="9"/>
        <v>24.402637587734311</v>
      </c>
      <c r="Q42" s="2">
        <f t="shared" ca="1" si="9"/>
        <v>25.654503799979782</v>
      </c>
      <c r="R42" s="2">
        <f t="shared" ca="1" si="9"/>
        <v>28.528652996288351</v>
      </c>
      <c r="S42" s="2">
        <f t="shared" ca="1" si="8"/>
        <v>23.827700423684096</v>
      </c>
      <c r="T42" s="2">
        <f t="shared" ca="1" si="8"/>
        <v>20.979548242523592</v>
      </c>
      <c r="U42" s="2">
        <f t="shared" ca="1" si="8"/>
        <v>21.163968298477123</v>
      </c>
      <c r="V42" s="2">
        <f t="shared" ca="1" si="8"/>
        <v>23.852386375489676</v>
      </c>
      <c r="W42" s="2">
        <f t="shared" ca="1" si="8"/>
        <v>25.075652511237262</v>
      </c>
      <c r="X42" s="2">
        <f t="shared" ca="1" si="8"/>
        <v>24.341647533190528</v>
      </c>
      <c r="Y42" s="2">
        <f t="shared" ca="1" si="8"/>
        <v>29.857948706448511</v>
      </c>
      <c r="Z42" s="2">
        <f t="shared" ca="1" si="4"/>
        <v>25.814358786618456</v>
      </c>
      <c r="AA42" s="2">
        <f t="shared" ca="1" si="5"/>
        <v>20.892242778448498</v>
      </c>
      <c r="AB42" s="2">
        <f t="shared" ca="1" si="5"/>
        <v>21.986347820260676</v>
      </c>
      <c r="AC42" s="2">
        <f t="shared" ca="1" si="5"/>
        <v>29.8715557750795</v>
      </c>
      <c r="AD42" s="2">
        <f t="shared" ca="1" si="5"/>
        <v>22.232155259365442</v>
      </c>
      <c r="AE42" s="2">
        <f t="shared" ca="1" si="5"/>
        <v>21.907672556289846</v>
      </c>
      <c r="AF42" s="2">
        <f t="shared" ca="1" si="5"/>
        <v>25.417958229012594</v>
      </c>
      <c r="AG42" s="2">
        <f t="shared" ca="1" si="5"/>
        <v>25.324998357429717</v>
      </c>
      <c r="AH42" s="2">
        <f t="shared" ref="D42:AH51" ca="1" si="10">(RAND()*0.1+0.2)*100</f>
        <v>21.332995968277903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29.280280538186332</v>
      </c>
      <c r="D43" s="2">
        <f t="shared" ca="1" si="10"/>
        <v>27.813614232056079</v>
      </c>
      <c r="E43" s="2">
        <f t="shared" ca="1" si="10"/>
        <v>20.60325886478449</v>
      </c>
      <c r="F43" s="2">
        <f t="shared" ca="1" si="10"/>
        <v>20.938129148464562</v>
      </c>
      <c r="G43" s="2">
        <f t="shared" ca="1" si="10"/>
        <v>29.779787237036359</v>
      </c>
      <c r="H43" s="2">
        <f t="shared" ca="1" si="10"/>
        <v>29.63457195174372</v>
      </c>
      <c r="I43" s="2">
        <f t="shared" ca="1" si="10"/>
        <v>28.626147945736914</v>
      </c>
      <c r="J43" s="2">
        <f t="shared" ca="1" si="10"/>
        <v>23.29850716140318</v>
      </c>
      <c r="K43" s="2">
        <f t="shared" ca="1" si="10"/>
        <v>28.130678205711177</v>
      </c>
      <c r="L43" s="2">
        <f t="shared" ca="1" si="10"/>
        <v>21.671589321244731</v>
      </c>
      <c r="M43" s="2">
        <f t="shared" ca="1" si="10"/>
        <v>25.603117648086695</v>
      </c>
      <c r="N43" s="2">
        <f t="shared" ca="1" si="10"/>
        <v>29.794238216288711</v>
      </c>
      <c r="O43" s="2">
        <f t="shared" ca="1" si="10"/>
        <v>21.195366762731986</v>
      </c>
      <c r="P43" s="2">
        <f t="shared" ca="1" si="10"/>
        <v>23.534509402627464</v>
      </c>
      <c r="Q43" s="2">
        <f t="shared" ca="1" si="10"/>
        <v>26.665555105104961</v>
      </c>
      <c r="R43" s="2">
        <f t="shared" ca="1" si="10"/>
        <v>21.704268229080199</v>
      </c>
      <c r="S43" s="2">
        <f t="shared" ca="1" si="10"/>
        <v>25.94713370314755</v>
      </c>
      <c r="T43" s="2">
        <f t="shared" ca="1" si="10"/>
        <v>20.446817495151031</v>
      </c>
      <c r="U43" s="2">
        <f t="shared" ca="1" si="10"/>
        <v>28.593409705941177</v>
      </c>
      <c r="V43" s="2">
        <f t="shared" ca="1" si="10"/>
        <v>28.639797281859337</v>
      </c>
      <c r="W43" s="2">
        <f t="shared" ca="1" si="10"/>
        <v>28.384799502740133</v>
      </c>
      <c r="X43" s="2">
        <f t="shared" ca="1" si="10"/>
        <v>27.549166059044893</v>
      </c>
      <c r="Y43" s="2">
        <f t="shared" ca="1" si="10"/>
        <v>25.522671274400615</v>
      </c>
      <c r="Z43" s="2">
        <f t="shared" ca="1" si="10"/>
        <v>26.10482884261215</v>
      </c>
      <c r="AA43" s="2">
        <f t="shared" ca="1" si="10"/>
        <v>20.709294283740366</v>
      </c>
      <c r="AB43" s="2">
        <f t="shared" ca="1" si="10"/>
        <v>21.100639642075773</v>
      </c>
      <c r="AC43" s="2">
        <f t="shared" ca="1" si="10"/>
        <v>23.771748755229105</v>
      </c>
      <c r="AD43" s="2">
        <f t="shared" ca="1" si="10"/>
        <v>28.00728056387053</v>
      </c>
      <c r="AE43" s="2">
        <f t="shared" ca="1" si="10"/>
        <v>29.850715164211639</v>
      </c>
      <c r="AF43" s="2">
        <f t="shared" ca="1" si="10"/>
        <v>26.290273838301903</v>
      </c>
      <c r="AG43" s="2">
        <f t="shared" ca="1" si="10"/>
        <v>24.425037050064443</v>
      </c>
      <c r="AH43" s="2">
        <f t="shared" ca="1" si="10"/>
        <v>29.775164475194053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20.877512912515446</v>
      </c>
      <c r="D44" s="2">
        <f t="shared" ca="1" si="10"/>
        <v>27.971970965540898</v>
      </c>
      <c r="E44" s="2">
        <f t="shared" ca="1" si="10"/>
        <v>29.893401334947033</v>
      </c>
      <c r="F44" s="2">
        <f t="shared" ca="1" si="10"/>
        <v>23.126387844704539</v>
      </c>
      <c r="G44" s="2">
        <f t="shared" ca="1" si="10"/>
        <v>27.424583626043898</v>
      </c>
      <c r="H44" s="2">
        <f t="shared" ca="1" si="10"/>
        <v>27.469818477609596</v>
      </c>
      <c r="I44" s="2">
        <f t="shared" ca="1" si="10"/>
        <v>29.914545365438627</v>
      </c>
      <c r="J44" s="2">
        <f t="shared" ca="1" si="10"/>
        <v>28.140799199165883</v>
      </c>
      <c r="K44" s="2">
        <f t="shared" ca="1" si="10"/>
        <v>28.111714013060897</v>
      </c>
      <c r="L44" s="2">
        <f t="shared" ca="1" si="10"/>
        <v>25.976195070755754</v>
      </c>
      <c r="M44" s="2">
        <f t="shared" ca="1" si="10"/>
        <v>27.860945007513649</v>
      </c>
      <c r="N44" s="2">
        <f t="shared" ca="1" si="10"/>
        <v>24.284551872243803</v>
      </c>
      <c r="O44" s="2">
        <f t="shared" ca="1" si="10"/>
        <v>27.399467857165501</v>
      </c>
      <c r="P44" s="2">
        <f t="shared" ca="1" si="10"/>
        <v>21.126424022700821</v>
      </c>
      <c r="Q44" s="2">
        <f t="shared" ca="1" si="10"/>
        <v>20.516741829074032</v>
      </c>
      <c r="R44" s="2">
        <f t="shared" ca="1" si="10"/>
        <v>29.381165837482186</v>
      </c>
      <c r="S44" s="2">
        <f t="shared" ca="1" si="10"/>
        <v>22.378184697602897</v>
      </c>
      <c r="T44" s="2">
        <f t="shared" ca="1" si="10"/>
        <v>22.154029085419602</v>
      </c>
      <c r="U44" s="2">
        <f t="shared" ca="1" si="10"/>
        <v>29.979634615555568</v>
      </c>
      <c r="V44" s="2">
        <f t="shared" ca="1" si="10"/>
        <v>26.992757282988418</v>
      </c>
      <c r="W44" s="2">
        <f t="shared" ca="1" si="10"/>
        <v>21.66004526110353</v>
      </c>
      <c r="X44" s="2">
        <f t="shared" ca="1" si="10"/>
        <v>23.350816376532951</v>
      </c>
      <c r="Y44" s="2">
        <f t="shared" ca="1" si="10"/>
        <v>26.840825633039412</v>
      </c>
      <c r="Z44" s="2">
        <f t="shared" ca="1" si="10"/>
        <v>21.003852826579472</v>
      </c>
      <c r="AA44" s="2">
        <f t="shared" ca="1" si="10"/>
        <v>27.762946668432402</v>
      </c>
      <c r="AB44" s="2">
        <f t="shared" ca="1" si="10"/>
        <v>28.402857989644037</v>
      </c>
      <c r="AC44" s="2">
        <f t="shared" ca="1" si="10"/>
        <v>28.111580208169023</v>
      </c>
      <c r="AD44" s="2">
        <f t="shared" ca="1" si="10"/>
        <v>22.610833113061684</v>
      </c>
      <c r="AE44" s="2">
        <f t="shared" ca="1" si="10"/>
        <v>21.155030617261524</v>
      </c>
      <c r="AF44" s="2">
        <f t="shared" ca="1" si="10"/>
        <v>27.754974360204514</v>
      </c>
      <c r="AG44" s="2">
        <f t="shared" ca="1" si="10"/>
        <v>28.705686154431433</v>
      </c>
      <c r="AH44" s="2">
        <f t="shared" ca="1" si="10"/>
        <v>26.751330949951928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25.791442874055882</v>
      </c>
      <c r="D45" s="2">
        <f t="shared" ca="1" si="10"/>
        <v>24.745658523262843</v>
      </c>
      <c r="E45" s="2">
        <f t="shared" ca="1" si="10"/>
        <v>26.562820969842576</v>
      </c>
      <c r="F45" s="2">
        <f t="shared" ca="1" si="10"/>
        <v>23.800508119078597</v>
      </c>
      <c r="G45" s="2">
        <f t="shared" ca="1" si="10"/>
        <v>27.163690719601696</v>
      </c>
      <c r="H45" s="2">
        <f t="shared" ca="1" si="10"/>
        <v>21.058456863117257</v>
      </c>
      <c r="I45" s="2">
        <f t="shared" ca="1" si="10"/>
        <v>23.987143211470929</v>
      </c>
      <c r="J45" s="2">
        <f t="shared" ca="1" si="10"/>
        <v>26.536480850049525</v>
      </c>
      <c r="K45" s="2">
        <f t="shared" ca="1" si="10"/>
        <v>25.517965889393718</v>
      </c>
      <c r="L45" s="2">
        <f t="shared" ca="1" si="10"/>
        <v>26.220848093065936</v>
      </c>
      <c r="M45" s="2">
        <f t="shared" ca="1" si="10"/>
        <v>25.433809774262826</v>
      </c>
      <c r="N45" s="2">
        <f t="shared" ca="1" si="10"/>
        <v>26.123819730753713</v>
      </c>
      <c r="O45" s="2">
        <f t="shared" ca="1" si="10"/>
        <v>23.684400165776754</v>
      </c>
      <c r="P45" s="2">
        <f t="shared" ca="1" si="10"/>
        <v>20.081927907699988</v>
      </c>
      <c r="Q45" s="2">
        <f t="shared" ca="1" si="10"/>
        <v>20.934516937750896</v>
      </c>
      <c r="R45" s="2">
        <f t="shared" ca="1" si="10"/>
        <v>26.694901961972789</v>
      </c>
      <c r="S45" s="2">
        <f t="shared" ca="1" si="10"/>
        <v>21.466207336459853</v>
      </c>
      <c r="T45" s="2">
        <f t="shared" ca="1" si="10"/>
        <v>25.831601444749523</v>
      </c>
      <c r="U45" s="2">
        <f t="shared" ca="1" si="10"/>
        <v>25.537078975434195</v>
      </c>
      <c r="V45" s="2">
        <f t="shared" ca="1" si="10"/>
        <v>28.580365665138626</v>
      </c>
      <c r="W45" s="2">
        <f t="shared" ca="1" si="10"/>
        <v>28.034349209114168</v>
      </c>
      <c r="X45" s="2">
        <f t="shared" ca="1" si="10"/>
        <v>28.524535375339351</v>
      </c>
      <c r="Y45" s="2">
        <f t="shared" ca="1" si="10"/>
        <v>26.800165925228765</v>
      </c>
      <c r="Z45" s="2">
        <f t="shared" ca="1" si="10"/>
        <v>27.632454931554239</v>
      </c>
      <c r="AA45" s="2">
        <f t="shared" ca="1" si="10"/>
        <v>22.718837397019591</v>
      </c>
      <c r="AB45" s="2">
        <f t="shared" ca="1" si="10"/>
        <v>29.97197353463481</v>
      </c>
      <c r="AC45" s="2">
        <f t="shared" ca="1" si="10"/>
        <v>26.910348670681923</v>
      </c>
      <c r="AD45" s="2">
        <f t="shared" ca="1" si="10"/>
        <v>24.860758284700822</v>
      </c>
      <c r="AE45" s="2">
        <f t="shared" ca="1" si="10"/>
        <v>20.65529356044344</v>
      </c>
      <c r="AF45" s="2">
        <f t="shared" ca="1" si="10"/>
        <v>24.88152392711611</v>
      </c>
      <c r="AG45" s="2">
        <f t="shared" ca="1" si="10"/>
        <v>22.941578707721352</v>
      </c>
      <c r="AH45" s="2">
        <f t="shared" ca="1" si="10"/>
        <v>21.420366340032395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28.401868657063844</v>
      </c>
      <c r="D46" s="2">
        <f t="shared" ca="1" si="10"/>
        <v>28.2909242848087</v>
      </c>
      <c r="E46" s="2">
        <f t="shared" ca="1" si="10"/>
        <v>27.268005210470342</v>
      </c>
      <c r="F46" s="2">
        <f t="shared" ca="1" si="10"/>
        <v>26.650053083253923</v>
      </c>
      <c r="G46" s="2">
        <f t="shared" ca="1" si="10"/>
        <v>25.59031620741931</v>
      </c>
      <c r="H46" s="2">
        <f t="shared" ca="1" si="10"/>
        <v>24.502190366312192</v>
      </c>
      <c r="I46" s="2">
        <f t="shared" ca="1" si="10"/>
        <v>23.164328043088183</v>
      </c>
      <c r="J46" s="2">
        <f t="shared" ca="1" si="10"/>
        <v>24.06216431968609</v>
      </c>
      <c r="K46" s="2">
        <f t="shared" ca="1" si="10"/>
        <v>20.365780941168161</v>
      </c>
      <c r="L46" s="2">
        <f t="shared" ca="1" si="10"/>
        <v>21.424833632799693</v>
      </c>
      <c r="M46" s="2">
        <f t="shared" ca="1" si="10"/>
        <v>25.057264256093848</v>
      </c>
      <c r="N46" s="2">
        <f t="shared" ca="1" si="10"/>
        <v>21.375351029662038</v>
      </c>
      <c r="O46" s="2">
        <f t="shared" ca="1" si="10"/>
        <v>29.387513294803124</v>
      </c>
      <c r="P46" s="2">
        <f t="shared" ca="1" si="10"/>
        <v>29.556823009721995</v>
      </c>
      <c r="Q46" s="2">
        <f t="shared" ca="1" si="10"/>
        <v>21.636711913650213</v>
      </c>
      <c r="R46" s="2">
        <f t="shared" ca="1" si="10"/>
        <v>29.192783651624943</v>
      </c>
      <c r="S46" s="2">
        <f t="shared" ca="1" si="10"/>
        <v>26.408138625260147</v>
      </c>
      <c r="T46" s="2">
        <f t="shared" ca="1" si="10"/>
        <v>25.029720609924723</v>
      </c>
      <c r="U46" s="2">
        <f t="shared" ca="1" si="10"/>
        <v>21.537873355471074</v>
      </c>
      <c r="V46" s="2">
        <f t="shared" ca="1" si="10"/>
        <v>27.875122182069074</v>
      </c>
      <c r="W46" s="2">
        <f t="shared" ca="1" si="10"/>
        <v>28.240745642476977</v>
      </c>
      <c r="X46" s="2">
        <f t="shared" ca="1" si="10"/>
        <v>29.171651578470247</v>
      </c>
      <c r="Y46" s="2">
        <f t="shared" ca="1" si="10"/>
        <v>29.955800706895431</v>
      </c>
      <c r="Z46" s="2">
        <f t="shared" ca="1" si="10"/>
        <v>28.003143951391397</v>
      </c>
      <c r="AA46" s="2">
        <f t="shared" ca="1" si="10"/>
        <v>28.328446362243348</v>
      </c>
      <c r="AB46" s="2">
        <f t="shared" ca="1" si="10"/>
        <v>20.700995352787032</v>
      </c>
      <c r="AC46" s="2">
        <f t="shared" ca="1" si="10"/>
        <v>24.234342713220379</v>
      </c>
      <c r="AD46" s="2">
        <f t="shared" ca="1" si="10"/>
        <v>22.874194612329987</v>
      </c>
      <c r="AE46" s="2">
        <f t="shared" ca="1" si="10"/>
        <v>22.123870946400537</v>
      </c>
      <c r="AF46" s="2">
        <f t="shared" ca="1" si="10"/>
        <v>29.089204734570917</v>
      </c>
      <c r="AG46" s="2">
        <f t="shared" ca="1" si="10"/>
        <v>22.944544572542341</v>
      </c>
      <c r="AH46" s="2">
        <f t="shared" ca="1" si="10"/>
        <v>23.566566051853187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28.312635878808436</v>
      </c>
      <c r="D47" s="2">
        <f t="shared" ca="1" si="10"/>
        <v>28.700905691620399</v>
      </c>
      <c r="E47" s="2">
        <f t="shared" ca="1" si="10"/>
        <v>29.975472730229725</v>
      </c>
      <c r="F47" s="2">
        <f t="shared" ca="1" si="10"/>
        <v>26.179998748758827</v>
      </c>
      <c r="G47" s="2">
        <f t="shared" ca="1" si="10"/>
        <v>21.384065700640718</v>
      </c>
      <c r="H47" s="2">
        <f t="shared" ca="1" si="10"/>
        <v>26.840549724192787</v>
      </c>
      <c r="I47" s="2">
        <f t="shared" ca="1" si="10"/>
        <v>26.080190637862131</v>
      </c>
      <c r="J47" s="2">
        <f t="shared" ca="1" si="10"/>
        <v>26.941007999057408</v>
      </c>
      <c r="K47" s="2">
        <f t="shared" ca="1" si="10"/>
        <v>26.843763182877083</v>
      </c>
      <c r="L47" s="2">
        <f t="shared" ca="1" si="10"/>
        <v>27.654944593219589</v>
      </c>
      <c r="M47" s="2">
        <f t="shared" ca="1" si="10"/>
        <v>23.169928031148306</v>
      </c>
      <c r="N47" s="2">
        <f t="shared" ca="1" si="10"/>
        <v>28.014259160947109</v>
      </c>
      <c r="O47" s="2">
        <f t="shared" ca="1" si="10"/>
        <v>21.070951328699017</v>
      </c>
      <c r="P47" s="2">
        <f t="shared" ca="1" si="10"/>
        <v>26.549876433064657</v>
      </c>
      <c r="Q47" s="2">
        <f t="shared" ca="1" si="10"/>
        <v>20.429015546564127</v>
      </c>
      <c r="R47" s="2">
        <f t="shared" ca="1" si="10"/>
        <v>27.414521136222458</v>
      </c>
      <c r="S47" s="2">
        <f t="shared" ca="1" si="10"/>
        <v>20.665609195307059</v>
      </c>
      <c r="T47" s="2">
        <f t="shared" ca="1" si="10"/>
        <v>22.20050068842928</v>
      </c>
      <c r="U47" s="2">
        <f t="shared" ca="1" si="10"/>
        <v>27.971850177103409</v>
      </c>
      <c r="V47" s="2">
        <f t="shared" ca="1" si="10"/>
        <v>20.931875717651135</v>
      </c>
      <c r="W47" s="2">
        <f t="shared" ca="1" si="10"/>
        <v>22.329011035487671</v>
      </c>
      <c r="X47" s="2">
        <f t="shared" ca="1" si="10"/>
        <v>20.252420336549431</v>
      </c>
      <c r="Y47" s="2">
        <f t="shared" ca="1" si="10"/>
        <v>26.282793372833847</v>
      </c>
      <c r="Z47" s="2">
        <f t="shared" ca="1" si="10"/>
        <v>27.074628402327665</v>
      </c>
      <c r="AA47" s="2">
        <f t="shared" ca="1" si="10"/>
        <v>29.410514816005957</v>
      </c>
      <c r="AB47" s="2">
        <f t="shared" ca="1" si="10"/>
        <v>21.594812269832961</v>
      </c>
      <c r="AC47" s="2">
        <f t="shared" ca="1" si="10"/>
        <v>23.653634995246197</v>
      </c>
      <c r="AD47" s="2">
        <f t="shared" ca="1" si="10"/>
        <v>24.631439718171844</v>
      </c>
      <c r="AE47" s="2">
        <f t="shared" ca="1" si="10"/>
        <v>22.888489860823132</v>
      </c>
      <c r="AF47" s="2">
        <f t="shared" ca="1" si="10"/>
        <v>25.213970913845497</v>
      </c>
      <c r="AG47" s="2">
        <f t="shared" ca="1" si="10"/>
        <v>29.366889333011819</v>
      </c>
      <c r="AH47" s="2">
        <f t="shared" ca="1" si="10"/>
        <v>27.772230729540421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21.509059735636775</v>
      </c>
      <c r="D48" s="2">
        <f t="shared" ca="1" si="10"/>
        <v>24.980903881519648</v>
      </c>
      <c r="E48" s="2">
        <f t="shared" ca="1" si="10"/>
        <v>26.223057480747926</v>
      </c>
      <c r="F48" s="2">
        <f t="shared" ca="1" si="10"/>
        <v>20.721909123525919</v>
      </c>
      <c r="G48" s="2">
        <f t="shared" ca="1" si="10"/>
        <v>26.602938247251835</v>
      </c>
      <c r="H48" s="2">
        <f t="shared" ca="1" si="10"/>
        <v>21.337013586819193</v>
      </c>
      <c r="I48" s="2">
        <f t="shared" ca="1" si="10"/>
        <v>23.326686903439089</v>
      </c>
      <c r="J48" s="2">
        <f t="shared" ca="1" si="10"/>
        <v>20.132842053253299</v>
      </c>
      <c r="K48" s="2">
        <f t="shared" ca="1" si="10"/>
        <v>27.692891626703275</v>
      </c>
      <c r="L48" s="2">
        <f t="shared" ca="1" si="10"/>
        <v>27.331118084734623</v>
      </c>
      <c r="M48" s="2">
        <f t="shared" ca="1" si="10"/>
        <v>23.185976827618703</v>
      </c>
      <c r="N48" s="2">
        <f t="shared" ca="1" si="10"/>
        <v>20.68544490082526</v>
      </c>
      <c r="O48" s="2">
        <f t="shared" ca="1" si="10"/>
        <v>29.168951190259058</v>
      </c>
      <c r="P48" s="2">
        <f t="shared" ca="1" si="10"/>
        <v>26.615912724485842</v>
      </c>
      <c r="Q48" s="2">
        <f t="shared" ca="1" si="10"/>
        <v>23.717147540771343</v>
      </c>
      <c r="R48" s="2">
        <f t="shared" ca="1" si="10"/>
        <v>20.807923911196617</v>
      </c>
      <c r="S48" s="2">
        <f t="shared" ca="1" si="10"/>
        <v>23.512265268905271</v>
      </c>
      <c r="T48" s="2">
        <f t="shared" ca="1" si="10"/>
        <v>25.701492246498425</v>
      </c>
      <c r="U48" s="2">
        <f t="shared" ca="1" si="10"/>
        <v>23.398669013850757</v>
      </c>
      <c r="V48" s="2">
        <f t="shared" ca="1" si="10"/>
        <v>28.004991823640697</v>
      </c>
      <c r="W48" s="2">
        <f t="shared" ca="1" si="10"/>
        <v>27.732328737964647</v>
      </c>
      <c r="X48" s="2">
        <f t="shared" ca="1" si="10"/>
        <v>27.781662045911808</v>
      </c>
      <c r="Y48" s="2">
        <f t="shared" ca="1" si="10"/>
        <v>25.71761054248255</v>
      </c>
      <c r="Z48" s="2">
        <f t="shared" ca="1" si="10"/>
        <v>21.539104193562213</v>
      </c>
      <c r="AA48" s="2">
        <f t="shared" ca="1" si="10"/>
        <v>27.370820371849234</v>
      </c>
      <c r="AB48" s="2">
        <f t="shared" ca="1" si="10"/>
        <v>28.344374981387293</v>
      </c>
      <c r="AC48" s="2">
        <f t="shared" ca="1" si="10"/>
        <v>22.655785431144658</v>
      </c>
      <c r="AD48" s="2">
        <f t="shared" ca="1" si="10"/>
        <v>25.83347894300314</v>
      </c>
      <c r="AE48" s="2">
        <f t="shared" ca="1" si="10"/>
        <v>26.832809298412997</v>
      </c>
      <c r="AF48" s="2">
        <f t="shared" ca="1" si="10"/>
        <v>28.405654053111252</v>
      </c>
      <c r="AG48" s="2">
        <f t="shared" ca="1" si="10"/>
        <v>21.315270096186929</v>
      </c>
      <c r="AH48" s="2">
        <f t="shared" ca="1" si="10"/>
        <v>28.459239131564718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20.091380632479904</v>
      </c>
      <c r="D49" s="2">
        <f t="shared" ca="1" si="10"/>
        <v>27.977460885575823</v>
      </c>
      <c r="E49" s="2">
        <f t="shared" ca="1" si="10"/>
        <v>21.477927131336656</v>
      </c>
      <c r="F49" s="2">
        <f t="shared" ca="1" si="10"/>
        <v>26.304141226909966</v>
      </c>
      <c r="G49" s="2">
        <f t="shared" ca="1" si="10"/>
        <v>25.172744861055772</v>
      </c>
      <c r="H49" s="2">
        <f t="shared" ca="1" si="10"/>
        <v>23.256880655006924</v>
      </c>
      <c r="I49" s="2">
        <f t="shared" ca="1" si="10"/>
        <v>21.10248610136075</v>
      </c>
      <c r="J49" s="2">
        <f t="shared" ca="1" si="10"/>
        <v>26.541661564828196</v>
      </c>
      <c r="K49" s="2">
        <f t="shared" ca="1" si="10"/>
        <v>23.679571418989738</v>
      </c>
      <c r="L49" s="2">
        <f t="shared" ca="1" si="10"/>
        <v>24.106638982617238</v>
      </c>
      <c r="M49" s="2">
        <f t="shared" ca="1" si="10"/>
        <v>23.796351741804788</v>
      </c>
      <c r="N49" s="2">
        <f t="shared" ca="1" si="10"/>
        <v>25.051092824473493</v>
      </c>
      <c r="O49" s="2">
        <f t="shared" ca="1" si="10"/>
        <v>29.119010457938995</v>
      </c>
      <c r="P49" s="2">
        <f t="shared" ca="1" si="10"/>
        <v>25.474992359428406</v>
      </c>
      <c r="Q49" s="2">
        <f t="shared" ca="1" si="10"/>
        <v>22.540468517716512</v>
      </c>
      <c r="R49" s="2">
        <f t="shared" ca="1" si="10"/>
        <v>20.181025430389059</v>
      </c>
      <c r="S49" s="2">
        <f t="shared" ca="1" si="10"/>
        <v>24.069188131508497</v>
      </c>
      <c r="T49" s="2">
        <f t="shared" ca="1" si="10"/>
        <v>28.630298676069071</v>
      </c>
      <c r="U49" s="2">
        <f t="shared" ca="1" si="10"/>
        <v>23.942632959331021</v>
      </c>
      <c r="V49" s="2">
        <f t="shared" ca="1" si="10"/>
        <v>26.298597834518066</v>
      </c>
      <c r="W49" s="2">
        <f t="shared" ca="1" si="10"/>
        <v>26.915739465759696</v>
      </c>
      <c r="X49" s="2">
        <f t="shared" ca="1" si="10"/>
        <v>28.54825262102791</v>
      </c>
      <c r="Y49" s="2">
        <f t="shared" ca="1" si="10"/>
        <v>23.22633563984553</v>
      </c>
      <c r="Z49" s="2">
        <f t="shared" ca="1" si="10"/>
        <v>21.440576613348782</v>
      </c>
      <c r="AA49" s="2">
        <f t="shared" ca="1" si="10"/>
        <v>20.144947210819751</v>
      </c>
      <c r="AB49" s="2">
        <f t="shared" ca="1" si="10"/>
        <v>23.848192923393785</v>
      </c>
      <c r="AC49" s="2">
        <f t="shared" ca="1" si="10"/>
        <v>21.354312103535268</v>
      </c>
      <c r="AD49" s="2">
        <f t="shared" ca="1" si="10"/>
        <v>29.76796240461983</v>
      </c>
      <c r="AE49" s="2">
        <f t="shared" ca="1" si="10"/>
        <v>22.406095660888383</v>
      </c>
      <c r="AF49" s="2">
        <f t="shared" ca="1" si="10"/>
        <v>28.574770369913832</v>
      </c>
      <c r="AG49" s="2">
        <f t="shared" ca="1" si="10"/>
        <v>22.635512586829631</v>
      </c>
      <c r="AH49" s="2">
        <f t="shared" ca="1" si="10"/>
        <v>20.772965096227722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21.094214398884276</v>
      </c>
      <c r="D50" s="2">
        <f t="shared" ca="1" si="10"/>
        <v>26.106839563846172</v>
      </c>
      <c r="E50" s="2">
        <f t="shared" ca="1" si="10"/>
        <v>29.99074655047535</v>
      </c>
      <c r="F50" s="2">
        <f t="shared" ca="1" si="10"/>
        <v>27.196793397266283</v>
      </c>
      <c r="G50" s="2">
        <f t="shared" ca="1" si="10"/>
        <v>25.986277471237184</v>
      </c>
      <c r="H50" s="2">
        <f t="shared" ca="1" si="10"/>
        <v>26.190517830586518</v>
      </c>
      <c r="I50" s="2">
        <f t="shared" ca="1" si="10"/>
        <v>24.243788527473235</v>
      </c>
      <c r="J50" s="2">
        <f t="shared" ca="1" si="10"/>
        <v>26.333621777065218</v>
      </c>
      <c r="K50" s="2">
        <f t="shared" ca="1" si="10"/>
        <v>28.712996847251347</v>
      </c>
      <c r="L50" s="2">
        <f t="shared" ca="1" si="10"/>
        <v>25.497120472643054</v>
      </c>
      <c r="M50" s="2">
        <f t="shared" ca="1" si="10"/>
        <v>28.476672227056106</v>
      </c>
      <c r="N50" s="2">
        <f t="shared" ca="1" si="10"/>
        <v>21.51363214450388</v>
      </c>
      <c r="O50" s="2">
        <f t="shared" ca="1" si="10"/>
        <v>20.496071969121456</v>
      </c>
      <c r="P50" s="2">
        <f t="shared" ca="1" si="10"/>
        <v>21.025362458745839</v>
      </c>
      <c r="Q50" s="2">
        <f t="shared" ca="1" si="10"/>
        <v>20.118662231939233</v>
      </c>
      <c r="R50" s="2">
        <f t="shared" ca="1" si="10"/>
        <v>26.185493715001595</v>
      </c>
      <c r="S50" s="2">
        <f t="shared" ca="1" si="10"/>
        <v>22.688709261265423</v>
      </c>
      <c r="T50" s="2">
        <f t="shared" ca="1" si="10"/>
        <v>22.413401711055403</v>
      </c>
      <c r="U50" s="2">
        <f t="shared" ca="1" si="10"/>
        <v>20.270441724599927</v>
      </c>
      <c r="V50" s="2">
        <f t="shared" ca="1" si="10"/>
        <v>27.065003092649757</v>
      </c>
      <c r="W50" s="2">
        <f t="shared" ca="1" si="10"/>
        <v>27.157325175791346</v>
      </c>
      <c r="X50" s="2">
        <f t="shared" ca="1" si="10"/>
        <v>25.70499612967571</v>
      </c>
      <c r="Y50" s="2">
        <f t="shared" ca="1" si="10"/>
        <v>20.631230180221095</v>
      </c>
      <c r="Z50" s="2">
        <f t="shared" ca="1" si="10"/>
        <v>23.587691701328271</v>
      </c>
      <c r="AA50" s="2">
        <f t="shared" ca="1" si="10"/>
        <v>23.72832698487229</v>
      </c>
      <c r="AB50" s="2">
        <f t="shared" ca="1" si="10"/>
        <v>22.300164416551045</v>
      </c>
      <c r="AC50" s="2">
        <f t="shared" ca="1" si="10"/>
        <v>22.154147260106622</v>
      </c>
      <c r="AD50" s="2">
        <f t="shared" ca="1" si="10"/>
        <v>25.087309839536381</v>
      </c>
      <c r="AE50" s="2">
        <f t="shared" ca="1" si="10"/>
        <v>29.164131851581672</v>
      </c>
      <c r="AF50" s="2">
        <f t="shared" ca="1" si="10"/>
        <v>21.407586069655</v>
      </c>
      <c r="AG50" s="2">
        <f t="shared" ca="1" si="10"/>
        <v>24.38483169657103</v>
      </c>
      <c r="AH50" s="2">
        <f t="shared" ca="1" si="10"/>
        <v>20.491105180784032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28.680650313407423</v>
      </c>
      <c r="D51" s="2">
        <f t="shared" ca="1" si="10"/>
        <v>25.573356447301489</v>
      </c>
      <c r="E51" s="2">
        <f t="shared" ca="1" si="10"/>
        <v>28.100044147684834</v>
      </c>
      <c r="F51" s="2">
        <f t="shared" ca="1" si="10"/>
        <v>28.169765943457069</v>
      </c>
      <c r="G51" s="2">
        <f t="shared" ca="1" si="10"/>
        <v>22.935951269882757</v>
      </c>
      <c r="H51" s="2">
        <f t="shared" ca="1" si="10"/>
        <v>29.291194956037849</v>
      </c>
      <c r="I51" s="2">
        <f t="shared" ca="1" si="10"/>
        <v>29.446609294887317</v>
      </c>
      <c r="J51" s="2">
        <f t="shared" ref="J51:Y67" ca="1" si="11">(RAND()*0.1+0.2)*100</f>
        <v>22.926276727204787</v>
      </c>
      <c r="K51" s="2">
        <f t="shared" ca="1" si="11"/>
        <v>29.593687527636103</v>
      </c>
      <c r="L51" s="2">
        <f t="shared" ca="1" si="11"/>
        <v>22.188171137346419</v>
      </c>
      <c r="M51" s="2">
        <f t="shared" ca="1" si="11"/>
        <v>23.965742020616805</v>
      </c>
      <c r="N51" s="2">
        <f t="shared" ca="1" si="11"/>
        <v>28.060930505849935</v>
      </c>
      <c r="O51" s="2">
        <f t="shared" ca="1" si="11"/>
        <v>29.366991518372469</v>
      </c>
      <c r="P51" s="2">
        <f t="shared" ca="1" si="11"/>
        <v>28.241584712209157</v>
      </c>
      <c r="Q51" s="2">
        <f t="shared" ca="1" si="11"/>
        <v>27.095229797323366</v>
      </c>
      <c r="R51" s="2">
        <f t="shared" ca="1" si="11"/>
        <v>20.683467497961708</v>
      </c>
      <c r="S51" s="2">
        <f t="shared" ca="1" si="11"/>
        <v>28.249674045327648</v>
      </c>
      <c r="T51" s="2">
        <f t="shared" ca="1" si="11"/>
        <v>23.53290492171471</v>
      </c>
      <c r="U51" s="2">
        <f t="shared" ca="1" si="11"/>
        <v>24.510629497009951</v>
      </c>
      <c r="V51" s="2">
        <f t="shared" ca="1" si="11"/>
        <v>24.809766605353296</v>
      </c>
      <c r="W51" s="2">
        <f t="shared" ca="1" si="11"/>
        <v>29.20034791372807</v>
      </c>
      <c r="X51" s="2">
        <f t="shared" ca="1" si="11"/>
        <v>27.655781605029507</v>
      </c>
      <c r="Y51" s="2">
        <f t="shared" ca="1" si="11"/>
        <v>24.195485133492756</v>
      </c>
      <c r="Z51" s="2">
        <f t="shared" ref="Z51:AH67" ca="1" si="12">(RAND()*0.1+0.2)*100</f>
        <v>29.844913981445487</v>
      </c>
      <c r="AA51" s="2">
        <f t="shared" ca="1" si="12"/>
        <v>27.832638932233138</v>
      </c>
      <c r="AB51" s="2">
        <f t="shared" ca="1" si="12"/>
        <v>20.071286476355045</v>
      </c>
      <c r="AC51" s="2">
        <f t="shared" ca="1" si="12"/>
        <v>20.928212765324346</v>
      </c>
      <c r="AD51" s="2">
        <f t="shared" ca="1" si="12"/>
        <v>25.46766720394865</v>
      </c>
      <c r="AE51" s="2">
        <f t="shared" ca="1" si="12"/>
        <v>21.656832333732872</v>
      </c>
      <c r="AF51" s="2">
        <f t="shared" ca="1" si="12"/>
        <v>27.595697537880682</v>
      </c>
      <c r="AG51" s="2">
        <f t="shared" ca="1" si="12"/>
        <v>28.421872629846419</v>
      </c>
      <c r="AH51" s="2">
        <f t="shared" ca="1" si="12"/>
        <v>24.943292220268727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29.67937645980096</v>
      </c>
      <c r="D52" s="2">
        <f t="shared" ca="1" si="9"/>
        <v>22.018246301645103</v>
      </c>
      <c r="E52" s="2">
        <f t="shared" ca="1" si="9"/>
        <v>22.933594567266873</v>
      </c>
      <c r="F52" s="2">
        <f t="shared" ca="1" si="9"/>
        <v>24.242561706712884</v>
      </c>
      <c r="G52" s="2">
        <f t="shared" ca="1" si="9"/>
        <v>28.84384461818842</v>
      </c>
      <c r="H52" s="2">
        <f t="shared" ca="1" si="9"/>
        <v>21.296962607832715</v>
      </c>
      <c r="I52" s="2">
        <f t="shared" ref="I52:X67" ca="1" si="13">(RAND()*0.1+0.2)*100</f>
        <v>26.936173267124165</v>
      </c>
      <c r="J52" s="2">
        <f t="shared" ca="1" si="13"/>
        <v>24.768920614128429</v>
      </c>
      <c r="K52" s="2">
        <f t="shared" ca="1" si="13"/>
        <v>28.040458722341484</v>
      </c>
      <c r="L52" s="2">
        <f t="shared" ca="1" si="13"/>
        <v>22.323342888188847</v>
      </c>
      <c r="M52" s="2">
        <f t="shared" ca="1" si="13"/>
        <v>28.427314688476624</v>
      </c>
      <c r="N52" s="2">
        <f t="shared" ca="1" si="13"/>
        <v>25.474781302188582</v>
      </c>
      <c r="O52" s="2">
        <f t="shared" ca="1" si="13"/>
        <v>23.147480090982235</v>
      </c>
      <c r="P52" s="2">
        <f t="shared" ca="1" si="13"/>
        <v>29.358503822743021</v>
      </c>
      <c r="Q52" s="2">
        <f t="shared" ca="1" si="13"/>
        <v>26.983963223545931</v>
      </c>
      <c r="R52" s="2">
        <f t="shared" ca="1" si="13"/>
        <v>28.992036643150186</v>
      </c>
      <c r="S52" s="2">
        <f t="shared" ca="1" si="13"/>
        <v>21.046598569416755</v>
      </c>
      <c r="T52" s="2">
        <f t="shared" ca="1" si="13"/>
        <v>20.051586531844684</v>
      </c>
      <c r="U52" s="2">
        <f t="shared" ca="1" si="13"/>
        <v>25.651400067716036</v>
      </c>
      <c r="V52" s="2">
        <f t="shared" ca="1" si="13"/>
        <v>22.302678171446161</v>
      </c>
      <c r="W52" s="2">
        <f t="shared" ca="1" si="13"/>
        <v>22.759012626721177</v>
      </c>
      <c r="X52" s="2">
        <f t="shared" ca="1" si="13"/>
        <v>21.990437307249248</v>
      </c>
      <c r="Y52" s="2">
        <f t="shared" ca="1" si="11"/>
        <v>24.656616316032277</v>
      </c>
      <c r="Z52" s="2">
        <f t="shared" ca="1" si="12"/>
        <v>20.458717333665817</v>
      </c>
      <c r="AA52" s="2">
        <f t="shared" ca="1" si="12"/>
        <v>20.040473092487264</v>
      </c>
      <c r="AB52" s="2">
        <f t="shared" ca="1" si="12"/>
        <v>27.825528127665226</v>
      </c>
      <c r="AC52" s="2">
        <f t="shared" ca="1" si="12"/>
        <v>27.987037485633792</v>
      </c>
      <c r="AD52" s="2">
        <f t="shared" ca="1" si="12"/>
        <v>24.27527916154996</v>
      </c>
      <c r="AE52" s="2">
        <f t="shared" ca="1" si="12"/>
        <v>25.965257077051753</v>
      </c>
      <c r="AF52" s="2">
        <f t="shared" ca="1" si="12"/>
        <v>25.023266724901529</v>
      </c>
      <c r="AG52" s="2">
        <f t="shared" ca="1" si="12"/>
        <v>20.769138488301781</v>
      </c>
      <c r="AH52" s="2">
        <f t="shared" ca="1" si="12"/>
        <v>26.783390220962577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(RAND()*0.1+0.2)*100</f>
        <v>28.960748653335479</v>
      </c>
      <c r="D53" s="2">
        <f t="shared" ca="1" si="14"/>
        <v>23.32510488446335</v>
      </c>
      <c r="E53" s="2">
        <f t="shared" ca="1" si="14"/>
        <v>28.14451057366319</v>
      </c>
      <c r="F53" s="2">
        <f t="shared" ca="1" si="14"/>
        <v>28.550129781157384</v>
      </c>
      <c r="G53" s="2">
        <f t="shared" ca="1" si="14"/>
        <v>27.808136367753562</v>
      </c>
      <c r="H53" s="2">
        <f t="shared" ca="1" si="14"/>
        <v>27.839911970739493</v>
      </c>
      <c r="I53" s="2">
        <f t="shared" ca="1" si="14"/>
        <v>25.921566031212961</v>
      </c>
      <c r="J53" s="2">
        <f t="shared" ca="1" si="14"/>
        <v>20.810070374833089</v>
      </c>
      <c r="K53" s="2">
        <f t="shared" ca="1" si="14"/>
        <v>25.41582251142616</v>
      </c>
      <c r="L53" s="2">
        <f t="shared" ca="1" si="14"/>
        <v>21.405833247968012</v>
      </c>
      <c r="M53" s="2">
        <f t="shared" ca="1" si="14"/>
        <v>29.89767343564883</v>
      </c>
      <c r="N53" s="2">
        <f t="shared" ca="1" si="14"/>
        <v>22.758112587234621</v>
      </c>
      <c r="O53" s="2">
        <f t="shared" ca="1" si="14"/>
        <v>20.580862975468499</v>
      </c>
      <c r="P53" s="2">
        <f t="shared" ca="1" si="14"/>
        <v>28.406503768401905</v>
      </c>
      <c r="Q53" s="2">
        <f t="shared" ca="1" si="14"/>
        <v>26.558867158702427</v>
      </c>
      <c r="R53" s="2">
        <f t="shared" ca="1" si="14"/>
        <v>22.663258965137668</v>
      </c>
      <c r="S53" s="2">
        <f t="shared" ca="1" si="13"/>
        <v>21.674627872896902</v>
      </c>
      <c r="T53" s="2">
        <f t="shared" ca="1" si="13"/>
        <v>28.448600746179832</v>
      </c>
      <c r="U53" s="2">
        <f t="shared" ca="1" si="13"/>
        <v>21.739984188376443</v>
      </c>
      <c r="V53" s="2">
        <f t="shared" ca="1" si="13"/>
        <v>24.739092301222794</v>
      </c>
      <c r="W53" s="2">
        <f t="shared" ca="1" si="13"/>
        <v>23.582774961887949</v>
      </c>
      <c r="X53" s="2">
        <f t="shared" ca="1" si="13"/>
        <v>23.758459418247675</v>
      </c>
      <c r="Y53" s="2">
        <f t="shared" ca="1" si="11"/>
        <v>23.041636653820362</v>
      </c>
      <c r="Z53" s="2">
        <f t="shared" ca="1" si="12"/>
        <v>25.102200949764601</v>
      </c>
      <c r="AA53" s="2">
        <f t="shared" ca="1" si="12"/>
        <v>21.63647842205091</v>
      </c>
      <c r="AB53" s="2">
        <f t="shared" ca="1" si="12"/>
        <v>20.881661336186092</v>
      </c>
      <c r="AC53" s="2">
        <f t="shared" ca="1" si="12"/>
        <v>23.991567485537498</v>
      </c>
      <c r="AD53" s="2">
        <f t="shared" ca="1" si="12"/>
        <v>21.507236362373824</v>
      </c>
      <c r="AE53" s="2">
        <f t="shared" ca="1" si="12"/>
        <v>22.331242176341391</v>
      </c>
      <c r="AF53" s="2">
        <f t="shared" ca="1" si="12"/>
        <v>20.497493198425342</v>
      </c>
      <c r="AG53" s="2">
        <f t="shared" ca="1" si="12"/>
        <v>22.63866596325575</v>
      </c>
      <c r="AH53" s="2">
        <f t="shared" ca="1" si="12"/>
        <v>21.225013448667486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27.509218074954539</v>
      </c>
      <c r="D54" s="2">
        <f t="shared" ca="1" si="14"/>
        <v>20.053769299952599</v>
      </c>
      <c r="E54" s="2">
        <f t="shared" ca="1" si="14"/>
        <v>29.093523277693034</v>
      </c>
      <c r="F54" s="2">
        <f t="shared" ca="1" si="14"/>
        <v>21.829991409168166</v>
      </c>
      <c r="G54" s="2">
        <f t="shared" ca="1" si="14"/>
        <v>29.199921790426348</v>
      </c>
      <c r="H54" s="2">
        <f t="shared" ca="1" si="14"/>
        <v>25.422249012452099</v>
      </c>
      <c r="I54" s="2">
        <f t="shared" ca="1" si="14"/>
        <v>25.074202188517358</v>
      </c>
      <c r="J54" s="2">
        <f t="shared" ca="1" si="14"/>
        <v>29.830268894172857</v>
      </c>
      <c r="K54" s="2">
        <f t="shared" ca="1" si="14"/>
        <v>21.326260779038293</v>
      </c>
      <c r="L54" s="2">
        <f t="shared" ca="1" si="14"/>
        <v>20.315500237076584</v>
      </c>
      <c r="M54" s="2">
        <f t="shared" ca="1" si="14"/>
        <v>27.586663463972627</v>
      </c>
      <c r="N54" s="2">
        <f t="shared" ca="1" si="14"/>
        <v>27.656418969540052</v>
      </c>
      <c r="O54" s="2">
        <f t="shared" ca="1" si="14"/>
        <v>25.915237524843608</v>
      </c>
      <c r="P54" s="2">
        <f t="shared" ca="1" si="14"/>
        <v>27.694610626061124</v>
      </c>
      <c r="Q54" s="2">
        <f t="shared" ca="1" si="14"/>
        <v>22.762548902300935</v>
      </c>
      <c r="R54" s="2">
        <f t="shared" ca="1" si="14"/>
        <v>20.962704490564995</v>
      </c>
      <c r="S54" s="2">
        <f t="shared" ca="1" si="13"/>
        <v>26.684368426557338</v>
      </c>
      <c r="T54" s="2">
        <f t="shared" ca="1" si="13"/>
        <v>23.774890480919193</v>
      </c>
      <c r="U54" s="2">
        <f t="shared" ca="1" si="13"/>
        <v>26.373463955841213</v>
      </c>
      <c r="V54" s="2">
        <f t="shared" ca="1" si="13"/>
        <v>26.469291013844487</v>
      </c>
      <c r="W54" s="2">
        <f t="shared" ca="1" si="13"/>
        <v>27.958005741217306</v>
      </c>
      <c r="X54" s="2">
        <f t="shared" ca="1" si="13"/>
        <v>22.783163927170676</v>
      </c>
      <c r="Y54" s="2">
        <f t="shared" ca="1" si="11"/>
        <v>25.885456855774791</v>
      </c>
      <c r="Z54" s="2">
        <f t="shared" ca="1" si="12"/>
        <v>25.691312068326351</v>
      </c>
      <c r="AA54" s="2">
        <f t="shared" ca="1" si="12"/>
        <v>20.357584012815323</v>
      </c>
      <c r="AB54" s="2">
        <f t="shared" ca="1" si="12"/>
        <v>21.01086835441982</v>
      </c>
      <c r="AC54" s="2">
        <f t="shared" ca="1" si="12"/>
        <v>24.0688718640525</v>
      </c>
      <c r="AD54" s="2">
        <f t="shared" ca="1" si="12"/>
        <v>21.976577265537884</v>
      </c>
      <c r="AE54" s="2">
        <f t="shared" ca="1" si="12"/>
        <v>27.701643467269026</v>
      </c>
      <c r="AF54" s="2">
        <f t="shared" ca="1" si="12"/>
        <v>24.733466026482553</v>
      </c>
      <c r="AG54" s="2">
        <f t="shared" ca="1" si="12"/>
        <v>24.828489254062859</v>
      </c>
      <c r="AH54" s="2">
        <f t="shared" ca="1" si="12"/>
        <v>23.32110967178518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20.422442331450707</v>
      </c>
      <c r="D55" s="2">
        <f t="shared" ca="1" si="14"/>
        <v>24.470024147754366</v>
      </c>
      <c r="E55" s="2">
        <f t="shared" ca="1" si="14"/>
        <v>20.330219360175107</v>
      </c>
      <c r="F55" s="2">
        <f t="shared" ca="1" si="14"/>
        <v>26.290238068712469</v>
      </c>
      <c r="G55" s="2">
        <f t="shared" ca="1" si="14"/>
        <v>25.87621676335284</v>
      </c>
      <c r="H55" s="2">
        <f t="shared" ca="1" si="14"/>
        <v>29.077863565198527</v>
      </c>
      <c r="I55" s="2">
        <f t="shared" ca="1" si="14"/>
        <v>28.649662062934112</v>
      </c>
      <c r="J55" s="2">
        <f t="shared" ca="1" si="14"/>
        <v>24.426780558939896</v>
      </c>
      <c r="K55" s="2">
        <f t="shared" ca="1" si="14"/>
        <v>26.130521839302418</v>
      </c>
      <c r="L55" s="2">
        <f t="shared" ca="1" si="14"/>
        <v>29.499208056968783</v>
      </c>
      <c r="M55" s="2">
        <f t="shared" ca="1" si="14"/>
        <v>25.123999147927567</v>
      </c>
      <c r="N55" s="2">
        <f t="shared" ca="1" si="14"/>
        <v>29.560952253884292</v>
      </c>
      <c r="O55" s="2">
        <f t="shared" ca="1" si="14"/>
        <v>20.874202469787821</v>
      </c>
      <c r="P55" s="2">
        <f t="shared" ca="1" si="14"/>
        <v>23.514519645592742</v>
      </c>
      <c r="Q55" s="2">
        <f t="shared" ca="1" si="14"/>
        <v>25.546890924843151</v>
      </c>
      <c r="R55" s="2">
        <f t="shared" ca="1" si="14"/>
        <v>28.930441435675213</v>
      </c>
      <c r="S55" s="2">
        <f t="shared" ca="1" si="13"/>
        <v>22.252422135241748</v>
      </c>
      <c r="T55" s="2">
        <f t="shared" ca="1" si="13"/>
        <v>25.36940774032027</v>
      </c>
      <c r="U55" s="2">
        <f t="shared" ca="1" si="13"/>
        <v>22.337064828482639</v>
      </c>
      <c r="V55" s="2">
        <f t="shared" ca="1" si="13"/>
        <v>28.321101072084126</v>
      </c>
      <c r="W55" s="2">
        <f t="shared" ca="1" si="13"/>
        <v>21.083756947417388</v>
      </c>
      <c r="X55" s="2">
        <f t="shared" ca="1" si="13"/>
        <v>20.604135406984554</v>
      </c>
      <c r="Y55" s="2">
        <f t="shared" ca="1" si="11"/>
        <v>21.671705297556993</v>
      </c>
      <c r="Z55" s="2">
        <f t="shared" ca="1" si="12"/>
        <v>27.294393690723386</v>
      </c>
      <c r="AA55" s="2">
        <f t="shared" ca="1" si="12"/>
        <v>25.521673265953332</v>
      </c>
      <c r="AB55" s="2">
        <f t="shared" ca="1" si="12"/>
        <v>21.802877171393899</v>
      </c>
      <c r="AC55" s="2">
        <f t="shared" ca="1" si="12"/>
        <v>28.400381539202769</v>
      </c>
      <c r="AD55" s="2">
        <f t="shared" ca="1" si="12"/>
        <v>27.690105919257391</v>
      </c>
      <c r="AE55" s="2">
        <f t="shared" ca="1" si="12"/>
        <v>26.875213103394568</v>
      </c>
      <c r="AF55" s="2">
        <f t="shared" ca="1" si="12"/>
        <v>29.025755087246303</v>
      </c>
      <c r="AG55" s="2">
        <f t="shared" ca="1" si="12"/>
        <v>23.701110478585523</v>
      </c>
      <c r="AH55" s="2">
        <f t="shared" ca="1" si="12"/>
        <v>29.828160371867202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24.830938193347531</v>
      </c>
      <c r="D56" s="2">
        <f t="shared" ca="1" si="14"/>
        <v>23.671771706415406</v>
      </c>
      <c r="E56" s="2">
        <f t="shared" ca="1" si="14"/>
        <v>26.206296808574287</v>
      </c>
      <c r="F56" s="2">
        <f t="shared" ca="1" si="14"/>
        <v>26.671278718913054</v>
      </c>
      <c r="G56" s="2">
        <f t="shared" ca="1" si="14"/>
        <v>27.684092631139528</v>
      </c>
      <c r="H56" s="2">
        <f t="shared" ca="1" si="14"/>
        <v>24.31483683388878</v>
      </c>
      <c r="I56" s="2">
        <f t="shared" ca="1" si="14"/>
        <v>24.289843090448809</v>
      </c>
      <c r="J56" s="2">
        <f t="shared" ca="1" si="14"/>
        <v>22.096710497514312</v>
      </c>
      <c r="K56" s="2">
        <f t="shared" ca="1" si="14"/>
        <v>22.69239843279496</v>
      </c>
      <c r="L56" s="2">
        <f t="shared" ca="1" si="14"/>
        <v>22.336230958575737</v>
      </c>
      <c r="M56" s="2">
        <f t="shared" ca="1" si="14"/>
        <v>21.636529302450992</v>
      </c>
      <c r="N56" s="2">
        <f t="shared" ca="1" si="14"/>
        <v>22.221902499711849</v>
      </c>
      <c r="O56" s="2">
        <f t="shared" ca="1" si="14"/>
        <v>29.685446165107056</v>
      </c>
      <c r="P56" s="2">
        <f t="shared" ca="1" si="14"/>
        <v>22.471352910714582</v>
      </c>
      <c r="Q56" s="2">
        <f t="shared" ca="1" si="14"/>
        <v>28.408456690378724</v>
      </c>
      <c r="R56" s="2">
        <f t="shared" ca="1" si="14"/>
        <v>27.109926565920521</v>
      </c>
      <c r="S56" s="2">
        <f t="shared" ca="1" si="13"/>
        <v>26.558656056700734</v>
      </c>
      <c r="T56" s="2">
        <f t="shared" ca="1" si="13"/>
        <v>29.244726832120634</v>
      </c>
      <c r="U56" s="2">
        <f t="shared" ca="1" si="13"/>
        <v>20.046329846652988</v>
      </c>
      <c r="V56" s="2">
        <f t="shared" ca="1" si="13"/>
        <v>26.289212780478515</v>
      </c>
      <c r="W56" s="2">
        <f t="shared" ca="1" si="13"/>
        <v>29.042961803328581</v>
      </c>
      <c r="X56" s="2">
        <f t="shared" ca="1" si="13"/>
        <v>21.776348124100579</v>
      </c>
      <c r="Y56" s="2">
        <f t="shared" ca="1" si="11"/>
        <v>20.255677611392326</v>
      </c>
      <c r="Z56" s="2">
        <f t="shared" ca="1" si="12"/>
        <v>23.184785199992771</v>
      </c>
      <c r="AA56" s="2">
        <f t="shared" ca="1" si="12"/>
        <v>24.303389961846484</v>
      </c>
      <c r="AB56" s="2">
        <f t="shared" ca="1" si="12"/>
        <v>28.405339360344193</v>
      </c>
      <c r="AC56" s="2">
        <f t="shared" ca="1" si="12"/>
        <v>21.606268401167377</v>
      </c>
      <c r="AD56" s="2">
        <f t="shared" ca="1" si="12"/>
        <v>28.158403644520959</v>
      </c>
      <c r="AE56" s="2">
        <f t="shared" ca="1" si="12"/>
        <v>22.165786634216087</v>
      </c>
      <c r="AF56" s="2">
        <f t="shared" ca="1" si="12"/>
        <v>28.244667249269025</v>
      </c>
      <c r="AG56" s="2">
        <f t="shared" ca="1" si="12"/>
        <v>28.9261772484045</v>
      </c>
      <c r="AH56" s="2">
        <f t="shared" ca="1" si="12"/>
        <v>26.017936547609931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27.044175803364332</v>
      </c>
      <c r="D57" s="2">
        <f t="shared" ca="1" si="14"/>
        <v>26.557756783801761</v>
      </c>
      <c r="E57" s="2">
        <f t="shared" ca="1" si="14"/>
        <v>23.293180283147876</v>
      </c>
      <c r="F57" s="2">
        <f t="shared" ca="1" si="14"/>
        <v>29.821218236755008</v>
      </c>
      <c r="G57" s="2">
        <f t="shared" ca="1" si="14"/>
        <v>21.116491374073387</v>
      </c>
      <c r="H57" s="2">
        <f t="shared" ca="1" si="14"/>
        <v>29.496145480253588</v>
      </c>
      <c r="I57" s="2">
        <f t="shared" ca="1" si="14"/>
        <v>24.633921928147359</v>
      </c>
      <c r="J57" s="2">
        <f t="shared" ca="1" si="14"/>
        <v>24.24526564061923</v>
      </c>
      <c r="K57" s="2">
        <f t="shared" ca="1" si="14"/>
        <v>23.396832372165164</v>
      </c>
      <c r="L57" s="2">
        <f t="shared" ca="1" si="14"/>
        <v>24.494002003597004</v>
      </c>
      <c r="M57" s="2">
        <f t="shared" ca="1" si="14"/>
        <v>28.413777310925216</v>
      </c>
      <c r="N57" s="2">
        <f t="shared" ca="1" si="14"/>
        <v>20.045488504507279</v>
      </c>
      <c r="O57" s="2">
        <f t="shared" ca="1" si="14"/>
        <v>24.574466713183583</v>
      </c>
      <c r="P57" s="2">
        <f t="shared" ca="1" si="14"/>
        <v>20.695485063826453</v>
      </c>
      <c r="Q57" s="2">
        <f t="shared" ca="1" si="14"/>
        <v>22.46563329334041</v>
      </c>
      <c r="R57" s="2">
        <f t="shared" ca="1" si="14"/>
        <v>26.825014751830928</v>
      </c>
      <c r="S57" s="2">
        <f t="shared" ca="1" si="13"/>
        <v>20.634141937331172</v>
      </c>
      <c r="T57" s="2">
        <f t="shared" ca="1" si="13"/>
        <v>23.248658563610046</v>
      </c>
      <c r="U57" s="2">
        <f t="shared" ca="1" si="13"/>
        <v>25.037954657068955</v>
      </c>
      <c r="V57" s="2">
        <f t="shared" ca="1" si="13"/>
        <v>20.870486047282345</v>
      </c>
      <c r="W57" s="2">
        <f t="shared" ca="1" si="13"/>
        <v>22.494083072632058</v>
      </c>
      <c r="X57" s="2">
        <f t="shared" ca="1" si="13"/>
        <v>29.636574657415878</v>
      </c>
      <c r="Y57" s="2">
        <f t="shared" ca="1" si="11"/>
        <v>27.329118625703519</v>
      </c>
      <c r="Z57" s="2">
        <f t="shared" ca="1" si="12"/>
        <v>21.801175289184954</v>
      </c>
      <c r="AA57" s="2">
        <f t="shared" ca="1" si="12"/>
        <v>20.867845767349927</v>
      </c>
      <c r="AB57" s="2">
        <f t="shared" ca="1" si="12"/>
        <v>26.964342621107591</v>
      </c>
      <c r="AC57" s="2">
        <f t="shared" ca="1" si="12"/>
        <v>21.85760357082026</v>
      </c>
      <c r="AD57" s="2">
        <f t="shared" ca="1" si="12"/>
        <v>29.924493381910111</v>
      </c>
      <c r="AE57" s="2">
        <f t="shared" ca="1" si="12"/>
        <v>28.788420673996868</v>
      </c>
      <c r="AF57" s="2">
        <f t="shared" ca="1" si="12"/>
        <v>24.69280392001048</v>
      </c>
      <c r="AG57" s="2">
        <f t="shared" ca="1" si="12"/>
        <v>29.217974200132641</v>
      </c>
      <c r="AH57" s="2">
        <f t="shared" ca="1" si="12"/>
        <v>28.62969311544629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25.248194913668286</v>
      </c>
      <c r="D58" s="2">
        <f t="shared" ca="1" si="14"/>
        <v>29.921327695528323</v>
      </c>
      <c r="E58" s="2">
        <f t="shared" ca="1" si="14"/>
        <v>25.652338809942254</v>
      </c>
      <c r="F58" s="2">
        <f t="shared" ca="1" si="14"/>
        <v>28.917177089073999</v>
      </c>
      <c r="G58" s="2">
        <f t="shared" ca="1" si="14"/>
        <v>20.156299242626812</v>
      </c>
      <c r="H58" s="2">
        <f t="shared" ca="1" si="14"/>
        <v>23.338075495041583</v>
      </c>
      <c r="I58" s="2">
        <f t="shared" ca="1" si="14"/>
        <v>26.984871641903581</v>
      </c>
      <c r="J58" s="2">
        <f t="shared" ca="1" si="14"/>
        <v>28.013394103153423</v>
      </c>
      <c r="K58" s="2">
        <f t="shared" ca="1" si="14"/>
        <v>20.941406543145991</v>
      </c>
      <c r="L58" s="2">
        <f t="shared" ca="1" si="14"/>
        <v>26.124194185517009</v>
      </c>
      <c r="M58" s="2">
        <f t="shared" ca="1" si="14"/>
        <v>22.008561617517632</v>
      </c>
      <c r="N58" s="2">
        <f t="shared" ca="1" si="14"/>
        <v>23.24825773805221</v>
      </c>
      <c r="O58" s="2">
        <f t="shared" ca="1" si="14"/>
        <v>22.872684143486175</v>
      </c>
      <c r="P58" s="2">
        <f t="shared" ca="1" si="14"/>
        <v>24.891864854110654</v>
      </c>
      <c r="Q58" s="2">
        <f t="shared" ca="1" si="14"/>
        <v>27.09205923039908</v>
      </c>
      <c r="R58" s="2">
        <f t="shared" ca="1" si="14"/>
        <v>27.807052179158546</v>
      </c>
      <c r="S58" s="2">
        <f t="shared" ca="1" si="13"/>
        <v>28.959355214427813</v>
      </c>
      <c r="T58" s="2">
        <f t="shared" ca="1" si="13"/>
        <v>24.522622075041191</v>
      </c>
      <c r="U58" s="2">
        <f t="shared" ca="1" si="13"/>
        <v>24.513291973423186</v>
      </c>
      <c r="V58" s="2">
        <f t="shared" ca="1" si="13"/>
        <v>29.493059852189891</v>
      </c>
      <c r="W58" s="2">
        <f t="shared" ca="1" si="13"/>
        <v>26.320205703453226</v>
      </c>
      <c r="X58" s="2">
        <f t="shared" ca="1" si="13"/>
        <v>22.73595772812487</v>
      </c>
      <c r="Y58" s="2">
        <f t="shared" ca="1" si="11"/>
        <v>27.596395476700764</v>
      </c>
      <c r="Z58" s="2">
        <f t="shared" ca="1" si="12"/>
        <v>28.30168541308884</v>
      </c>
      <c r="AA58" s="2">
        <f t="shared" ca="1" si="12"/>
        <v>24.69485715263118</v>
      </c>
      <c r="AB58" s="2">
        <f t="shared" ca="1" si="12"/>
        <v>26.95888024924643</v>
      </c>
      <c r="AC58" s="2">
        <f t="shared" ca="1" si="12"/>
        <v>25.273703451967155</v>
      </c>
      <c r="AD58" s="2">
        <f t="shared" ca="1" si="12"/>
        <v>26.700810567496291</v>
      </c>
      <c r="AE58" s="2">
        <f t="shared" ca="1" si="12"/>
        <v>20.814940419670688</v>
      </c>
      <c r="AF58" s="2">
        <f t="shared" ca="1" si="12"/>
        <v>26.235394981381088</v>
      </c>
      <c r="AG58" s="2">
        <f t="shared" ca="1" si="12"/>
        <v>22.73049000426192</v>
      </c>
      <c r="AH58" s="2">
        <f t="shared" ca="1" si="12"/>
        <v>25.497517917226386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23.485762790194485</v>
      </c>
      <c r="D59" s="2">
        <f t="shared" ca="1" si="14"/>
        <v>21.902511128652229</v>
      </c>
      <c r="E59" s="2">
        <f t="shared" ca="1" si="14"/>
        <v>24.731845168486686</v>
      </c>
      <c r="F59" s="2">
        <f t="shared" ca="1" si="14"/>
        <v>22.074828929618707</v>
      </c>
      <c r="G59" s="2">
        <f t="shared" ca="1" si="14"/>
        <v>25.898748500093511</v>
      </c>
      <c r="H59" s="2">
        <f t="shared" ca="1" si="14"/>
        <v>26.203131787614335</v>
      </c>
      <c r="I59" s="2">
        <f t="shared" ca="1" si="14"/>
        <v>23.246363972333334</v>
      </c>
      <c r="J59" s="2">
        <f t="shared" ca="1" si="14"/>
        <v>29.379550325245852</v>
      </c>
      <c r="K59" s="2">
        <f t="shared" ca="1" si="14"/>
        <v>26.529080834771939</v>
      </c>
      <c r="L59" s="2">
        <f t="shared" ca="1" si="14"/>
        <v>26.259779085712747</v>
      </c>
      <c r="M59" s="2">
        <f t="shared" ca="1" si="14"/>
        <v>27.567548820946975</v>
      </c>
      <c r="N59" s="2">
        <f t="shared" ca="1" si="14"/>
        <v>22.095643467534014</v>
      </c>
      <c r="O59" s="2">
        <f t="shared" ca="1" si="14"/>
        <v>21.803886404154618</v>
      </c>
      <c r="P59" s="2">
        <f t="shared" ca="1" si="14"/>
        <v>25.667409516218825</v>
      </c>
      <c r="Q59" s="2">
        <f t="shared" ca="1" si="14"/>
        <v>26.929679697658621</v>
      </c>
      <c r="R59" s="2">
        <f t="shared" ca="1" si="14"/>
        <v>24.84987680018714</v>
      </c>
      <c r="S59" s="2">
        <f t="shared" ca="1" si="13"/>
        <v>22.843967202190292</v>
      </c>
      <c r="T59" s="2">
        <f t="shared" ca="1" si="13"/>
        <v>24.504178560463615</v>
      </c>
      <c r="U59" s="2">
        <f t="shared" ca="1" si="13"/>
        <v>28.736392643466939</v>
      </c>
      <c r="V59" s="2">
        <f t="shared" ca="1" si="13"/>
        <v>27.395167626249656</v>
      </c>
      <c r="W59" s="2">
        <f t="shared" ca="1" si="13"/>
        <v>23.524206350689735</v>
      </c>
      <c r="X59" s="2">
        <f t="shared" ca="1" si="13"/>
        <v>24.220371661658998</v>
      </c>
      <c r="Y59" s="2">
        <f t="shared" ca="1" si="11"/>
        <v>29.707219901342878</v>
      </c>
      <c r="Z59" s="2">
        <f t="shared" ca="1" si="12"/>
        <v>21.090723600822365</v>
      </c>
      <c r="AA59" s="2">
        <f t="shared" ca="1" si="12"/>
        <v>27.371127276855688</v>
      </c>
      <c r="AB59" s="2">
        <f t="shared" ca="1" si="12"/>
        <v>20.606834746461217</v>
      </c>
      <c r="AC59" s="2">
        <f t="shared" ca="1" si="12"/>
        <v>21.087333633962654</v>
      </c>
      <c r="AD59" s="2">
        <f t="shared" ca="1" si="12"/>
        <v>26.60829215623211</v>
      </c>
      <c r="AE59" s="2">
        <f t="shared" ca="1" si="12"/>
        <v>28.036718311465474</v>
      </c>
      <c r="AF59" s="2">
        <f t="shared" ca="1" si="12"/>
        <v>29.597561519519743</v>
      </c>
      <c r="AG59" s="2">
        <f t="shared" ca="1" si="12"/>
        <v>26.29375164128475</v>
      </c>
      <c r="AH59" s="2">
        <f t="shared" ca="1" si="12"/>
        <v>28.749321393623106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24.066656938119504</v>
      </c>
      <c r="D60" s="2">
        <f t="shared" ca="1" si="14"/>
        <v>22.106236357938858</v>
      </c>
      <c r="E60" s="2">
        <f t="shared" ca="1" si="14"/>
        <v>29.52230767970045</v>
      </c>
      <c r="F60" s="2">
        <f t="shared" ca="1" si="14"/>
        <v>26.455559485489761</v>
      </c>
      <c r="G60" s="2">
        <f t="shared" ca="1" si="14"/>
        <v>20.715279456062994</v>
      </c>
      <c r="H60" s="2">
        <f t="shared" ca="1" si="14"/>
        <v>24.759667760523669</v>
      </c>
      <c r="I60" s="2">
        <f t="shared" ca="1" si="14"/>
        <v>21.46005871106674</v>
      </c>
      <c r="J60" s="2">
        <f t="shared" ca="1" si="14"/>
        <v>27.76733456396633</v>
      </c>
      <c r="K60" s="2">
        <f t="shared" ca="1" si="14"/>
        <v>21.789277908436613</v>
      </c>
      <c r="L60" s="2">
        <f t="shared" ca="1" si="14"/>
        <v>28.233078922038583</v>
      </c>
      <c r="M60" s="2">
        <f t="shared" ca="1" si="14"/>
        <v>22.434161121567136</v>
      </c>
      <c r="N60" s="2">
        <f t="shared" ca="1" si="14"/>
        <v>23.39667189159044</v>
      </c>
      <c r="O60" s="2">
        <f t="shared" ca="1" si="14"/>
        <v>25.966327660393588</v>
      </c>
      <c r="P60" s="2">
        <f t="shared" ca="1" si="14"/>
        <v>21.882179552753023</v>
      </c>
      <c r="Q60" s="2">
        <f t="shared" ca="1" si="14"/>
        <v>26.258091287487041</v>
      </c>
      <c r="R60" s="2">
        <f t="shared" ca="1" si="14"/>
        <v>20.138696126492775</v>
      </c>
      <c r="S60" s="2">
        <f t="shared" ca="1" si="13"/>
        <v>23.388302824119446</v>
      </c>
      <c r="T60" s="2">
        <f t="shared" ca="1" si="13"/>
        <v>22.27239121059721</v>
      </c>
      <c r="U60" s="2">
        <f t="shared" ca="1" si="13"/>
        <v>29.585800149290577</v>
      </c>
      <c r="V60" s="2">
        <f t="shared" ca="1" si="13"/>
        <v>29.931289935072421</v>
      </c>
      <c r="W60" s="2">
        <f t="shared" ca="1" si="13"/>
        <v>28.819236754142718</v>
      </c>
      <c r="X60" s="2">
        <f t="shared" ca="1" si="13"/>
        <v>29.050692580442906</v>
      </c>
      <c r="Y60" s="2">
        <f t="shared" ca="1" si="11"/>
        <v>22.642931173573931</v>
      </c>
      <c r="Z60" s="2">
        <f t="shared" ca="1" si="12"/>
        <v>21.494074329342574</v>
      </c>
      <c r="AA60" s="2">
        <f t="shared" ca="1" si="12"/>
        <v>22.371893429791655</v>
      </c>
      <c r="AB60" s="2">
        <f t="shared" ca="1" si="12"/>
        <v>22.458415892381378</v>
      </c>
      <c r="AC60" s="2">
        <f t="shared" ca="1" si="12"/>
        <v>24.593259671239931</v>
      </c>
      <c r="AD60" s="2">
        <f t="shared" ca="1" si="12"/>
        <v>21.247197663144547</v>
      </c>
      <c r="AE60" s="2">
        <f t="shared" ca="1" si="12"/>
        <v>20.311640034834085</v>
      </c>
      <c r="AF60" s="2">
        <f t="shared" ca="1" si="12"/>
        <v>25.364619270347898</v>
      </c>
      <c r="AG60" s="2">
        <f t="shared" ca="1" si="12"/>
        <v>20.501420338653318</v>
      </c>
      <c r="AH60" s="2">
        <f t="shared" ca="1" si="12"/>
        <v>29.959729850620668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25.859001067941279</v>
      </c>
      <c r="D61" s="2">
        <f t="shared" ca="1" si="14"/>
        <v>22.586528535914859</v>
      </c>
      <c r="E61" s="2">
        <f t="shared" ca="1" si="14"/>
        <v>24.800131126234035</v>
      </c>
      <c r="F61" s="2">
        <f t="shared" ca="1" si="14"/>
        <v>26.236355946625128</v>
      </c>
      <c r="G61" s="2">
        <f t="shared" ca="1" si="14"/>
        <v>21.637939166811471</v>
      </c>
      <c r="H61" s="2">
        <f t="shared" ca="1" si="14"/>
        <v>28.149499443938158</v>
      </c>
      <c r="I61" s="2">
        <f t="shared" ca="1" si="14"/>
        <v>20.337615045458392</v>
      </c>
      <c r="J61" s="2">
        <f t="shared" ca="1" si="14"/>
        <v>22.202355612651822</v>
      </c>
      <c r="K61" s="2">
        <f t="shared" ca="1" si="14"/>
        <v>23.052695105757483</v>
      </c>
      <c r="L61" s="2">
        <f t="shared" ca="1" si="14"/>
        <v>26.076646568239592</v>
      </c>
      <c r="M61" s="2">
        <f t="shared" ca="1" si="14"/>
        <v>27.583228244161699</v>
      </c>
      <c r="N61" s="2">
        <f t="shared" ca="1" si="14"/>
        <v>24.535414610606313</v>
      </c>
      <c r="O61" s="2">
        <f t="shared" ca="1" si="14"/>
        <v>28.795472921215193</v>
      </c>
      <c r="P61" s="2">
        <f t="shared" ca="1" si="14"/>
        <v>29.344728953995475</v>
      </c>
      <c r="Q61" s="2">
        <f t="shared" ca="1" si="14"/>
        <v>24.089199896202995</v>
      </c>
      <c r="R61" s="2">
        <f t="shared" ca="1" si="14"/>
        <v>20.536454166726589</v>
      </c>
      <c r="S61" s="2">
        <f t="shared" ca="1" si="13"/>
        <v>24.878296739303359</v>
      </c>
      <c r="T61" s="2">
        <f t="shared" ca="1" si="13"/>
        <v>29.294843757958617</v>
      </c>
      <c r="U61" s="2">
        <f t="shared" ca="1" si="13"/>
        <v>24.341419664081553</v>
      </c>
      <c r="V61" s="2">
        <f t="shared" ca="1" si="13"/>
        <v>20.52331232729474</v>
      </c>
      <c r="W61" s="2">
        <f t="shared" ca="1" si="13"/>
        <v>23.629231502943178</v>
      </c>
      <c r="X61" s="2">
        <f t="shared" ca="1" si="13"/>
        <v>20.160751581502513</v>
      </c>
      <c r="Y61" s="2">
        <f t="shared" ca="1" si="11"/>
        <v>26.430009937424536</v>
      </c>
      <c r="Z61" s="2">
        <f t="shared" ca="1" si="12"/>
        <v>22.941977052604049</v>
      </c>
      <c r="AA61" s="2">
        <f t="shared" ca="1" si="12"/>
        <v>22.118958659927973</v>
      </c>
      <c r="AB61" s="2">
        <f t="shared" ca="1" si="12"/>
        <v>21.321135909397508</v>
      </c>
      <c r="AC61" s="2">
        <f t="shared" ca="1" si="12"/>
        <v>22.725106228588487</v>
      </c>
      <c r="AD61" s="2">
        <f t="shared" ca="1" si="12"/>
        <v>20.912836724987834</v>
      </c>
      <c r="AE61" s="2">
        <f t="shared" ca="1" si="12"/>
        <v>28.723504634010965</v>
      </c>
      <c r="AF61" s="2">
        <f t="shared" ca="1" si="12"/>
        <v>29.02438699559325</v>
      </c>
      <c r="AG61" s="2">
        <f t="shared" ca="1" si="12"/>
        <v>27.370654477765306</v>
      </c>
      <c r="AH61" s="2">
        <f t="shared" ca="1" si="12"/>
        <v>22.530033086357225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23.355401000325578</v>
      </c>
      <c r="D62" s="2">
        <f t="shared" ca="1" si="14"/>
        <v>25.826190054883664</v>
      </c>
      <c r="E62" s="2">
        <f t="shared" ca="1" si="14"/>
        <v>21.255444580444543</v>
      </c>
      <c r="F62" s="2">
        <f t="shared" ca="1" si="14"/>
        <v>23.555236600194768</v>
      </c>
      <c r="G62" s="2">
        <f t="shared" ca="1" si="14"/>
        <v>21.28910556323903</v>
      </c>
      <c r="H62" s="2">
        <f t="shared" ca="1" si="14"/>
        <v>27.773006212837252</v>
      </c>
      <c r="I62" s="2">
        <f t="shared" ca="1" si="14"/>
        <v>24.816636641509319</v>
      </c>
      <c r="J62" s="2">
        <f t="shared" ca="1" si="14"/>
        <v>23.527421713708581</v>
      </c>
      <c r="K62" s="2">
        <f t="shared" ca="1" si="14"/>
        <v>23.720220885937806</v>
      </c>
      <c r="L62" s="2">
        <f t="shared" ca="1" si="14"/>
        <v>27.407854497754947</v>
      </c>
      <c r="M62" s="2">
        <f t="shared" ca="1" si="14"/>
        <v>24.096279523008075</v>
      </c>
      <c r="N62" s="2">
        <f t="shared" ca="1" si="14"/>
        <v>23.430995434610242</v>
      </c>
      <c r="O62" s="2">
        <f t="shared" ca="1" si="14"/>
        <v>25.785884906536648</v>
      </c>
      <c r="P62" s="2">
        <f t="shared" ca="1" si="14"/>
        <v>23.496193406340193</v>
      </c>
      <c r="Q62" s="2">
        <f t="shared" ca="1" si="14"/>
        <v>23.197973608002009</v>
      </c>
      <c r="R62" s="2">
        <f t="shared" ca="1" si="14"/>
        <v>27.131305093761693</v>
      </c>
      <c r="S62" s="2">
        <f t="shared" ca="1" si="13"/>
        <v>27.203060319826051</v>
      </c>
      <c r="T62" s="2">
        <f t="shared" ca="1" si="13"/>
        <v>24.710687855780165</v>
      </c>
      <c r="U62" s="2">
        <f t="shared" ca="1" si="13"/>
        <v>25.592273590858316</v>
      </c>
      <c r="V62" s="2">
        <f t="shared" ca="1" si="13"/>
        <v>23.160232056806663</v>
      </c>
      <c r="W62" s="2">
        <f t="shared" ca="1" si="13"/>
        <v>23.742719327143984</v>
      </c>
      <c r="X62" s="2">
        <f t="shared" ca="1" si="13"/>
        <v>21.725216479497551</v>
      </c>
      <c r="Y62" s="2">
        <f t="shared" ca="1" si="11"/>
        <v>23.589688325419949</v>
      </c>
      <c r="Z62" s="2">
        <f t="shared" ca="1" si="12"/>
        <v>23.187604959215694</v>
      </c>
      <c r="AA62" s="2">
        <f t="shared" ca="1" si="12"/>
        <v>26.128641266412032</v>
      </c>
      <c r="AB62" s="2">
        <f t="shared" ca="1" si="12"/>
        <v>28.61074210053054</v>
      </c>
      <c r="AC62" s="2">
        <f t="shared" ca="1" si="12"/>
        <v>22.886053561188088</v>
      </c>
      <c r="AD62" s="2">
        <f t="shared" ca="1" si="12"/>
        <v>29.53981238379302</v>
      </c>
      <c r="AE62" s="2">
        <f t="shared" ca="1" si="12"/>
        <v>23.820999154247303</v>
      </c>
      <c r="AF62" s="2">
        <f t="shared" ca="1" si="12"/>
        <v>20.80252136014882</v>
      </c>
      <c r="AG62" s="2">
        <f t="shared" ca="1" si="12"/>
        <v>26.652479780741622</v>
      </c>
      <c r="AH62" s="2">
        <f t="shared" ca="1" si="12"/>
        <v>26.601340366351216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23.388736253867933</v>
      </c>
      <c r="D63" s="2">
        <f t="shared" ca="1" si="14"/>
        <v>23.665884376733725</v>
      </c>
      <c r="E63" s="2">
        <f t="shared" ca="1" si="14"/>
        <v>23.32506326141371</v>
      </c>
      <c r="F63" s="2">
        <f t="shared" ca="1" si="14"/>
        <v>23.087773264488092</v>
      </c>
      <c r="G63" s="2">
        <f t="shared" ca="1" si="14"/>
        <v>27.808639351191662</v>
      </c>
      <c r="H63" s="2">
        <f t="shared" ca="1" si="14"/>
        <v>22.601730410040716</v>
      </c>
      <c r="I63" s="2">
        <f t="shared" ca="1" si="14"/>
        <v>25.805887628873371</v>
      </c>
      <c r="J63" s="2">
        <f t="shared" ca="1" si="14"/>
        <v>29.214148015827803</v>
      </c>
      <c r="K63" s="2">
        <f t="shared" ca="1" si="14"/>
        <v>24.644936037505179</v>
      </c>
      <c r="L63" s="2">
        <f t="shared" ca="1" si="14"/>
        <v>28.563379393305166</v>
      </c>
      <c r="M63" s="2">
        <f t="shared" ca="1" si="14"/>
        <v>29.997724077792494</v>
      </c>
      <c r="N63" s="2">
        <f t="shared" ca="1" si="14"/>
        <v>26.489426186609037</v>
      </c>
      <c r="O63" s="2">
        <f t="shared" ca="1" si="14"/>
        <v>24.468044851409118</v>
      </c>
      <c r="P63" s="2">
        <f t="shared" ca="1" si="14"/>
        <v>28.388200861001145</v>
      </c>
      <c r="Q63" s="2">
        <f t="shared" ca="1" si="14"/>
        <v>20.59473881182511</v>
      </c>
      <c r="R63" s="2">
        <f t="shared" ca="1" si="14"/>
        <v>23.455951306249151</v>
      </c>
      <c r="S63" s="2">
        <f t="shared" ca="1" si="13"/>
        <v>20.104491191512288</v>
      </c>
      <c r="T63" s="2">
        <f t="shared" ca="1" si="13"/>
        <v>23.143253728341065</v>
      </c>
      <c r="U63" s="2">
        <f t="shared" ca="1" si="13"/>
        <v>22.085544096366981</v>
      </c>
      <c r="V63" s="2">
        <f t="shared" ca="1" si="13"/>
        <v>22.100379198084347</v>
      </c>
      <c r="W63" s="2">
        <f t="shared" ca="1" si="13"/>
        <v>22.386339210676319</v>
      </c>
      <c r="X63" s="2">
        <f t="shared" ca="1" si="13"/>
        <v>27.45945604944189</v>
      </c>
      <c r="Y63" s="2">
        <f t="shared" ca="1" si="11"/>
        <v>25.171625803467322</v>
      </c>
      <c r="Z63" s="2">
        <f t="shared" ca="1" si="12"/>
        <v>21.219832251714593</v>
      </c>
      <c r="AA63" s="2">
        <f t="shared" ca="1" si="12"/>
        <v>22.886333402444386</v>
      </c>
      <c r="AB63" s="2">
        <f t="shared" ca="1" si="12"/>
        <v>23.984834881818696</v>
      </c>
      <c r="AC63" s="2">
        <f t="shared" ca="1" si="12"/>
        <v>21.422073058326159</v>
      </c>
      <c r="AD63" s="2">
        <f t="shared" ca="1" si="12"/>
        <v>29.355666395399183</v>
      </c>
      <c r="AE63" s="2">
        <f t="shared" ca="1" si="12"/>
        <v>25.948776574175813</v>
      </c>
      <c r="AF63" s="2">
        <f t="shared" ca="1" si="12"/>
        <v>29.416013736954682</v>
      </c>
      <c r="AG63" s="2">
        <f t="shared" ca="1" si="12"/>
        <v>27.415317732010536</v>
      </c>
      <c r="AH63" s="2">
        <f t="shared" ca="1" si="12"/>
        <v>22.240845765433193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29.914185283429962</v>
      </c>
      <c r="D64" s="2">
        <f t="shared" ca="1" si="14"/>
        <v>29.531330553319783</v>
      </c>
      <c r="E64" s="2">
        <f t="shared" ca="1" si="14"/>
        <v>21.182580749121989</v>
      </c>
      <c r="F64" s="2">
        <f t="shared" ca="1" si="14"/>
        <v>22.490451306472671</v>
      </c>
      <c r="G64" s="2">
        <f t="shared" ca="1" si="14"/>
        <v>25.420972676946143</v>
      </c>
      <c r="H64" s="2">
        <f t="shared" ca="1" si="14"/>
        <v>20.787184331555402</v>
      </c>
      <c r="I64" s="2">
        <f t="shared" ca="1" si="14"/>
        <v>24.813563674824625</v>
      </c>
      <c r="J64" s="2">
        <f t="shared" ca="1" si="14"/>
        <v>21.585487054060025</v>
      </c>
      <c r="K64" s="2">
        <f t="shared" ca="1" si="14"/>
        <v>28.753261791083567</v>
      </c>
      <c r="L64" s="2">
        <f t="shared" ca="1" si="14"/>
        <v>23.343185124977627</v>
      </c>
      <c r="M64" s="2">
        <f t="shared" ca="1" si="14"/>
        <v>25.306322115452108</v>
      </c>
      <c r="N64" s="2">
        <f t="shared" ca="1" si="14"/>
        <v>23.477305460980947</v>
      </c>
      <c r="O64" s="2">
        <f t="shared" ca="1" si="14"/>
        <v>22.138780307471741</v>
      </c>
      <c r="P64" s="2">
        <f t="shared" ca="1" si="14"/>
        <v>25.800523149000192</v>
      </c>
      <c r="Q64" s="2">
        <f t="shared" ca="1" si="14"/>
        <v>27.852664092501673</v>
      </c>
      <c r="R64" s="2">
        <f t="shared" ca="1" si="14"/>
        <v>23.462292098120159</v>
      </c>
      <c r="S64" s="2">
        <f t="shared" ca="1" si="13"/>
        <v>20.926778493273119</v>
      </c>
      <c r="T64" s="2">
        <f t="shared" ca="1" si="13"/>
        <v>26.613586235419096</v>
      </c>
      <c r="U64" s="2">
        <f t="shared" ca="1" si="13"/>
        <v>20.205219836392114</v>
      </c>
      <c r="V64" s="2">
        <f t="shared" ca="1" si="13"/>
        <v>22.803497164711516</v>
      </c>
      <c r="W64" s="2">
        <f t="shared" ca="1" si="13"/>
        <v>22.762120450101975</v>
      </c>
      <c r="X64" s="2">
        <f t="shared" ca="1" si="13"/>
        <v>23.034510039861019</v>
      </c>
      <c r="Y64" s="2">
        <f t="shared" ca="1" si="11"/>
        <v>23.963838923556221</v>
      </c>
      <c r="Z64" s="2">
        <f t="shared" ca="1" si="12"/>
        <v>29.874561715872311</v>
      </c>
      <c r="AA64" s="2">
        <f t="shared" ca="1" si="12"/>
        <v>23.347808521916093</v>
      </c>
      <c r="AB64" s="2">
        <f t="shared" ca="1" si="12"/>
        <v>28.003767568276494</v>
      </c>
      <c r="AC64" s="2">
        <f t="shared" ca="1" si="12"/>
        <v>29.967456640476531</v>
      </c>
      <c r="AD64" s="2">
        <f t="shared" ca="1" si="12"/>
        <v>26.69336873303164</v>
      </c>
      <c r="AE64" s="2">
        <f t="shared" ca="1" si="12"/>
        <v>20.751410081897266</v>
      </c>
      <c r="AF64" s="2">
        <f t="shared" ca="1" si="12"/>
        <v>25.704073334627687</v>
      </c>
      <c r="AG64" s="2">
        <f t="shared" ca="1" si="12"/>
        <v>24.300495429979541</v>
      </c>
      <c r="AH64" s="2">
        <f t="shared" ca="1" si="12"/>
        <v>21.24198261670265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23.218809211666162</v>
      </c>
      <c r="D65" s="2">
        <f t="shared" ca="1" si="14"/>
        <v>26.24311311457782</v>
      </c>
      <c r="E65" s="2">
        <f t="shared" ca="1" si="14"/>
        <v>26.639332373565583</v>
      </c>
      <c r="F65" s="2">
        <f t="shared" ca="1" si="14"/>
        <v>21.330791180552783</v>
      </c>
      <c r="G65" s="2">
        <f t="shared" ca="1" si="14"/>
        <v>29.704164865762383</v>
      </c>
      <c r="H65" s="2">
        <f t="shared" ca="1" si="14"/>
        <v>23.293035457356041</v>
      </c>
      <c r="I65" s="2">
        <f t="shared" ca="1" si="14"/>
        <v>26.797637151741583</v>
      </c>
      <c r="J65" s="2">
        <f t="shared" ca="1" si="14"/>
        <v>29.361429712006419</v>
      </c>
      <c r="K65" s="2">
        <f t="shared" ca="1" si="14"/>
        <v>21.269353768620352</v>
      </c>
      <c r="L65" s="2">
        <f t="shared" ca="1" si="14"/>
        <v>26.567861861571611</v>
      </c>
      <c r="M65" s="2">
        <f t="shared" ca="1" si="14"/>
        <v>26.683385666557257</v>
      </c>
      <c r="N65" s="2">
        <f t="shared" ca="1" si="14"/>
        <v>25.696128344942341</v>
      </c>
      <c r="O65" s="2">
        <f t="shared" ca="1" si="14"/>
        <v>23.531502283655083</v>
      </c>
      <c r="P65" s="2">
        <f t="shared" ca="1" si="14"/>
        <v>22.82068676851603</v>
      </c>
      <c r="Q65" s="2">
        <f t="shared" ca="1" si="14"/>
        <v>24.419821534372574</v>
      </c>
      <c r="R65" s="2">
        <f t="shared" ca="1" si="14"/>
        <v>20.423974731574393</v>
      </c>
      <c r="S65" s="2">
        <f t="shared" ca="1" si="13"/>
        <v>22.271965832291524</v>
      </c>
      <c r="T65" s="2">
        <f t="shared" ca="1" si="13"/>
        <v>23.905368933641473</v>
      </c>
      <c r="U65" s="2">
        <f t="shared" ca="1" si="13"/>
        <v>27.388807362499655</v>
      </c>
      <c r="V65" s="2">
        <f t="shared" ca="1" si="13"/>
        <v>21.482953252759316</v>
      </c>
      <c r="W65" s="2">
        <f t="shared" ca="1" si="13"/>
        <v>22.58760412800352</v>
      </c>
      <c r="X65" s="2">
        <f t="shared" ca="1" si="13"/>
        <v>22.417466703731449</v>
      </c>
      <c r="Y65" s="2">
        <f t="shared" ca="1" si="11"/>
        <v>25.507852318536887</v>
      </c>
      <c r="Z65" s="2">
        <f t="shared" ca="1" si="12"/>
        <v>25.626644832111566</v>
      </c>
      <c r="AA65" s="2">
        <f t="shared" ca="1" si="12"/>
        <v>21.383686821822856</v>
      </c>
      <c r="AB65" s="2">
        <f t="shared" ca="1" si="12"/>
        <v>26.304082484872009</v>
      </c>
      <c r="AC65" s="2">
        <f t="shared" ca="1" si="12"/>
        <v>20.150342162250627</v>
      </c>
      <c r="AD65" s="2">
        <f t="shared" ca="1" si="12"/>
        <v>22.671579399756155</v>
      </c>
      <c r="AE65" s="2">
        <f t="shared" ca="1" si="12"/>
        <v>22.561630018984435</v>
      </c>
      <c r="AF65" s="2">
        <f t="shared" ca="1" si="12"/>
        <v>22.02288144079488</v>
      </c>
      <c r="AG65" s="2">
        <f t="shared" ca="1" si="12"/>
        <v>29.882860221554385</v>
      </c>
      <c r="AH65" s="2">
        <f t="shared" ca="1" si="12"/>
        <v>24.479367824963603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20.176138371761887</v>
      </c>
      <c r="D66" s="2">
        <f t="shared" ca="1" si="14"/>
        <v>20.893315915381198</v>
      </c>
      <c r="E66" s="2">
        <f t="shared" ca="1" si="14"/>
        <v>20.056211978684455</v>
      </c>
      <c r="F66" s="2">
        <f t="shared" ca="1" si="14"/>
        <v>20.865540647164373</v>
      </c>
      <c r="G66" s="2">
        <f t="shared" ca="1" si="14"/>
        <v>24.891987214873808</v>
      </c>
      <c r="H66" s="2">
        <f t="shared" ca="1" si="14"/>
        <v>25.429793675599377</v>
      </c>
      <c r="I66" s="2">
        <f t="shared" ca="1" si="14"/>
        <v>26.758403930674028</v>
      </c>
      <c r="J66" s="2">
        <f t="shared" ca="1" si="14"/>
        <v>29.034757558845236</v>
      </c>
      <c r="K66" s="2">
        <f t="shared" ca="1" si="14"/>
        <v>28.069740363521138</v>
      </c>
      <c r="L66" s="2">
        <f t="shared" ca="1" si="14"/>
        <v>24.356311762460724</v>
      </c>
      <c r="M66" s="2">
        <f t="shared" ca="1" si="14"/>
        <v>24.606440431092921</v>
      </c>
      <c r="N66" s="2">
        <f t="shared" ca="1" si="14"/>
        <v>23.11442298214147</v>
      </c>
      <c r="O66" s="2">
        <f t="shared" ca="1" si="14"/>
        <v>24.631104884918052</v>
      </c>
      <c r="P66" s="2">
        <f t="shared" ca="1" si="14"/>
        <v>24.651800443302569</v>
      </c>
      <c r="Q66" s="2">
        <f t="shared" ca="1" si="14"/>
        <v>20.492144345280092</v>
      </c>
      <c r="R66" s="2">
        <f t="shared" ca="1" si="14"/>
        <v>21.062712994958353</v>
      </c>
      <c r="S66" s="2">
        <f t="shared" ca="1" si="13"/>
        <v>24.562289974369886</v>
      </c>
      <c r="T66" s="2">
        <f t="shared" ca="1" si="13"/>
        <v>29.458585020352356</v>
      </c>
      <c r="U66" s="2">
        <f t="shared" ca="1" si="13"/>
        <v>24.53429908669408</v>
      </c>
      <c r="V66" s="2">
        <f t="shared" ca="1" si="13"/>
        <v>29.424078672562349</v>
      </c>
      <c r="W66" s="2">
        <f t="shared" ca="1" si="13"/>
        <v>26.497790577824311</v>
      </c>
      <c r="X66" s="2">
        <f t="shared" ca="1" si="13"/>
        <v>28.676280641365391</v>
      </c>
      <c r="Y66" s="2">
        <f t="shared" ca="1" si="11"/>
        <v>21.840342839421741</v>
      </c>
      <c r="Z66" s="2">
        <f t="shared" ca="1" si="12"/>
        <v>24.713038887688338</v>
      </c>
      <c r="AA66" s="2">
        <f t="shared" ca="1" si="12"/>
        <v>22.813768542758485</v>
      </c>
      <c r="AB66" s="2">
        <f t="shared" ca="1" si="12"/>
        <v>21.439680401479141</v>
      </c>
      <c r="AC66" s="2">
        <f t="shared" ca="1" si="12"/>
        <v>24.238483086058775</v>
      </c>
      <c r="AD66" s="2">
        <f t="shared" ca="1" si="12"/>
        <v>23.677875138803806</v>
      </c>
      <c r="AE66" s="2">
        <f t="shared" ca="1" si="12"/>
        <v>23.574008672175733</v>
      </c>
      <c r="AF66" s="2">
        <f t="shared" ca="1" si="12"/>
        <v>25.47962150409241</v>
      </c>
      <c r="AG66" s="2">
        <f t="shared" ca="1" si="12"/>
        <v>22.37619299413225</v>
      </c>
      <c r="AH66" s="2">
        <f t="shared" ca="1" si="12"/>
        <v>26.235841985363571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24.744330506718271</v>
      </c>
      <c r="D67" s="2">
        <f t="shared" ca="1" si="14"/>
        <v>25.466280186828445</v>
      </c>
      <c r="E67" s="2">
        <f t="shared" ca="1" si="14"/>
        <v>24.524102448824397</v>
      </c>
      <c r="F67" s="2">
        <f t="shared" ca="1" si="14"/>
        <v>21.011325460511113</v>
      </c>
      <c r="G67" s="2">
        <f t="shared" ca="1" si="14"/>
        <v>23.19106682552928</v>
      </c>
      <c r="H67" s="2">
        <f t="shared" ca="1" si="14"/>
        <v>27.477520975637663</v>
      </c>
      <c r="I67" s="2">
        <f t="shared" ca="1" si="14"/>
        <v>29.732753608858143</v>
      </c>
      <c r="J67" s="2">
        <f t="shared" ca="1" si="14"/>
        <v>22.981612722808087</v>
      </c>
      <c r="K67" s="2">
        <f t="shared" ca="1" si="14"/>
        <v>28.978142643417758</v>
      </c>
      <c r="L67" s="2">
        <f t="shared" ca="1" si="14"/>
        <v>28.679745314012532</v>
      </c>
      <c r="M67" s="2">
        <f t="shared" ca="1" si="14"/>
        <v>23.15003292296818</v>
      </c>
      <c r="N67" s="2">
        <f t="shared" ca="1" si="14"/>
        <v>26.86614752035738</v>
      </c>
      <c r="O67" s="2">
        <f t="shared" ca="1" si="14"/>
        <v>24.795704365355487</v>
      </c>
      <c r="P67" s="2">
        <f t="shared" ca="1" si="14"/>
        <v>23.779145248203466</v>
      </c>
      <c r="Q67" s="2">
        <f t="shared" ca="1" si="14"/>
        <v>26.048025291058391</v>
      </c>
      <c r="R67" s="2">
        <f t="shared" ca="1" si="14"/>
        <v>29.830456277947288</v>
      </c>
      <c r="S67" s="2">
        <f t="shared" ca="1" si="13"/>
        <v>20.611085251670545</v>
      </c>
      <c r="T67" s="2">
        <f t="shared" ca="1" si="13"/>
        <v>25.080228334307357</v>
      </c>
      <c r="U67" s="2">
        <f t="shared" ca="1" si="13"/>
        <v>26.352075651978481</v>
      </c>
      <c r="V67" s="2">
        <f t="shared" ca="1" si="13"/>
        <v>25.696181413667567</v>
      </c>
      <c r="W67" s="2">
        <f t="shared" ca="1" si="13"/>
        <v>25.51095086459733</v>
      </c>
      <c r="X67" s="2">
        <f t="shared" ca="1" si="13"/>
        <v>25.660341802302121</v>
      </c>
      <c r="Y67" s="2">
        <f t="shared" ca="1" si="11"/>
        <v>25.07446439258144</v>
      </c>
      <c r="Z67" s="2">
        <f t="shared" ca="1" si="12"/>
        <v>27.937912126337157</v>
      </c>
      <c r="AA67" s="2">
        <f t="shared" ca="1" si="12"/>
        <v>21.72951114640863</v>
      </c>
      <c r="AB67" s="2">
        <f t="shared" ca="1" si="12"/>
        <v>25.363007882768944</v>
      </c>
      <c r="AC67" s="2">
        <f t="shared" ca="1" si="12"/>
        <v>29.625873526403851</v>
      </c>
      <c r="AD67" s="2">
        <f t="shared" ca="1" si="12"/>
        <v>25.620313176528391</v>
      </c>
      <c r="AE67" s="2">
        <f t="shared" ca="1" si="12"/>
        <v>22.764484145685071</v>
      </c>
      <c r="AF67" s="2">
        <f t="shared" ca="1" si="12"/>
        <v>23.710162701402211</v>
      </c>
      <c r="AG67" s="2">
        <f t="shared" ca="1" si="12"/>
        <v>22.459097041616751</v>
      </c>
      <c r="AH67" s="2">
        <f t="shared" ca="1" si="12"/>
        <v>23.401997230556024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22.737145526983792</v>
      </c>
      <c r="D68" s="2">
        <f t="shared" ca="1" si="14"/>
        <v>25.54605120243918</v>
      </c>
      <c r="E68" s="2">
        <f t="shared" ca="1" si="14"/>
        <v>21.543254836249641</v>
      </c>
      <c r="F68" s="2">
        <f t="shared" ca="1" si="14"/>
        <v>20.149312396585479</v>
      </c>
      <c r="G68" s="2">
        <f t="shared" ca="1" si="14"/>
        <v>23.854072692939223</v>
      </c>
      <c r="H68" s="2">
        <f t="shared" ca="1" si="14"/>
        <v>27.791822683154937</v>
      </c>
      <c r="I68" s="2">
        <f t="shared" ca="1" si="14"/>
        <v>26.062530945211122</v>
      </c>
      <c r="J68" s="2">
        <f t="shared" ca="1" si="14"/>
        <v>28.312689170210582</v>
      </c>
      <c r="K68" s="2">
        <f t="shared" ca="1" si="14"/>
        <v>23.290513753227888</v>
      </c>
      <c r="L68" s="2">
        <f t="shared" ca="1" si="14"/>
        <v>27.393631692884579</v>
      </c>
      <c r="M68" s="2">
        <f t="shared" ca="1" si="14"/>
        <v>25.326652273527507</v>
      </c>
      <c r="N68" s="2">
        <f t="shared" ca="1" si="14"/>
        <v>20.878893085529601</v>
      </c>
      <c r="O68" s="2">
        <f t="shared" ca="1" si="14"/>
        <v>20.064357225916691</v>
      </c>
      <c r="P68" s="2">
        <f t="shared" ca="1" si="14"/>
        <v>24.358166312278151</v>
      </c>
      <c r="Q68" s="2">
        <f t="shared" ca="1" si="14"/>
        <v>20.423415160347048</v>
      </c>
      <c r="R68" s="2">
        <f t="shared" ref="R68:AH68" ca="1" si="15">(RAND()*0.1+0.2)*100</f>
        <v>29.807768671393482</v>
      </c>
      <c r="S68" s="2">
        <f t="shared" ca="1" si="15"/>
        <v>22.652549562571913</v>
      </c>
      <c r="T68" s="2">
        <f t="shared" ca="1" si="15"/>
        <v>20.506118960629443</v>
      </c>
      <c r="U68" s="2">
        <f t="shared" ca="1" si="15"/>
        <v>28.492908127867807</v>
      </c>
      <c r="V68" s="2">
        <f t="shared" ca="1" si="15"/>
        <v>20.712166476148969</v>
      </c>
      <c r="W68" s="2">
        <f t="shared" ca="1" si="15"/>
        <v>25.765643458592173</v>
      </c>
      <c r="X68" s="2">
        <f t="shared" ca="1" si="15"/>
        <v>29.33451343704062</v>
      </c>
      <c r="Y68" s="2">
        <f t="shared" ca="1" si="15"/>
        <v>29.774988287774594</v>
      </c>
      <c r="Z68" s="2">
        <f t="shared" ca="1" si="15"/>
        <v>25.518027944420552</v>
      </c>
      <c r="AA68" s="2">
        <f t="shared" ca="1" si="15"/>
        <v>20.954428984662787</v>
      </c>
      <c r="AB68" s="2">
        <f t="shared" ca="1" si="15"/>
        <v>20.384694580844027</v>
      </c>
      <c r="AC68" s="2">
        <f t="shared" ca="1" si="15"/>
        <v>21.706238873658666</v>
      </c>
      <c r="AD68" s="2">
        <f t="shared" ca="1" si="15"/>
        <v>29.813622264959346</v>
      </c>
      <c r="AE68" s="2">
        <f t="shared" ca="1" si="15"/>
        <v>29.528936306171609</v>
      </c>
      <c r="AF68" s="2">
        <f t="shared" ca="1" si="15"/>
        <v>25.144951143698759</v>
      </c>
      <c r="AG68" s="2">
        <f t="shared" ca="1" si="15"/>
        <v>24.590163236493169</v>
      </c>
      <c r="AH68" s="2">
        <f t="shared" ca="1" si="15"/>
        <v>21.581829904114961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8"/>
  <sheetViews>
    <sheetView zoomScale="85" zoomScaleNormal="85" workbookViewId="0">
      <selection activeCell="C1" sqref="C1:AH2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" si="0">D1</f>
        <v>Kremt</v>
      </c>
      <c r="G1" t="str">
        <f t="shared" ref="G1" si="1">E1</f>
        <v>Belg</v>
      </c>
      <c r="H1" t="str">
        <f t="shared" ref="H1" si="2">F1</f>
        <v>Kremt</v>
      </c>
      <c r="I1" t="str">
        <f t="shared" ref="I1" si="3">G1</f>
        <v>Belg</v>
      </c>
      <c r="J1" t="str">
        <f t="shared" ref="J1" si="4">H1</f>
        <v>Kremt</v>
      </c>
      <c r="K1" t="str">
        <f t="shared" ref="K1" si="5">I1</f>
        <v>Belg</v>
      </c>
      <c r="L1" t="str">
        <f t="shared" ref="L1" si="6">J1</f>
        <v>Kremt</v>
      </c>
      <c r="M1" t="str">
        <f t="shared" ref="M1" si="7">K1</f>
        <v>Belg</v>
      </c>
      <c r="N1" t="str">
        <f t="shared" ref="N1" si="8">L1</f>
        <v>Kremt</v>
      </c>
      <c r="O1" t="str">
        <f t="shared" ref="O1" si="9">M1</f>
        <v>Belg</v>
      </c>
      <c r="P1" t="str">
        <f t="shared" ref="P1" si="10">N1</f>
        <v>Kremt</v>
      </c>
      <c r="Q1" t="str">
        <f t="shared" ref="Q1" si="11">O1</f>
        <v>Belg</v>
      </c>
      <c r="R1" t="str">
        <f t="shared" ref="R1" si="12">P1</f>
        <v>Kremt</v>
      </c>
      <c r="S1" t="str">
        <f t="shared" ref="S1" si="13">Q1</f>
        <v>Belg</v>
      </c>
      <c r="T1" t="str">
        <f t="shared" ref="T1" si="14">R1</f>
        <v>Kremt</v>
      </c>
      <c r="U1" t="str">
        <f t="shared" ref="U1" si="15">S1</f>
        <v>Belg</v>
      </c>
      <c r="V1" t="str">
        <f t="shared" ref="V1" si="16">T1</f>
        <v>Kremt</v>
      </c>
      <c r="W1" t="str">
        <f t="shared" ref="W1" si="17">U1</f>
        <v>Belg</v>
      </c>
      <c r="X1" t="str">
        <f t="shared" ref="X1" si="18">V1</f>
        <v>Kremt</v>
      </c>
      <c r="Y1" t="str">
        <f t="shared" ref="Y1" si="19">W1</f>
        <v>Belg</v>
      </c>
      <c r="Z1" t="str">
        <f t="shared" ref="Z1" si="20">X1</f>
        <v>Kremt</v>
      </c>
      <c r="AA1" t="str">
        <f t="shared" ref="AA1" si="21">Y1</f>
        <v>Belg</v>
      </c>
      <c r="AB1" t="str">
        <f t="shared" ref="AB1" si="22">Z1</f>
        <v>Kremt</v>
      </c>
      <c r="AC1" t="str">
        <f t="shared" ref="AC1" si="23">AA1</f>
        <v>Belg</v>
      </c>
      <c r="AD1" t="str">
        <f t="shared" ref="AD1" si="24">AB1</f>
        <v>Kremt</v>
      </c>
      <c r="AE1" t="str">
        <f t="shared" ref="AE1" si="25">AC1</f>
        <v>Belg</v>
      </c>
      <c r="AF1" t="str">
        <f t="shared" ref="AF1" si="26">AD1</f>
        <v>Kremt</v>
      </c>
      <c r="AG1" t="str">
        <f t="shared" ref="AG1" si="27">AE1</f>
        <v>Belg</v>
      </c>
      <c r="AH1" t="str">
        <f t="shared" ref="AH1" si="28">AF1</f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29">D2+1</f>
        <v>2016</v>
      </c>
      <c r="G2">
        <f t="shared" si="29"/>
        <v>2017</v>
      </c>
      <c r="H2">
        <f t="shared" si="29"/>
        <v>2017</v>
      </c>
      <c r="I2">
        <f t="shared" si="29"/>
        <v>2018</v>
      </c>
      <c r="J2">
        <f t="shared" si="29"/>
        <v>2018</v>
      </c>
      <c r="K2">
        <f t="shared" si="29"/>
        <v>2019</v>
      </c>
      <c r="L2">
        <f t="shared" si="29"/>
        <v>2019</v>
      </c>
      <c r="M2">
        <f t="shared" si="29"/>
        <v>2020</v>
      </c>
      <c r="N2">
        <f t="shared" si="29"/>
        <v>2020</v>
      </c>
      <c r="O2">
        <f t="shared" si="29"/>
        <v>2021</v>
      </c>
      <c r="P2">
        <f t="shared" si="29"/>
        <v>2021</v>
      </c>
      <c r="Q2">
        <f t="shared" si="29"/>
        <v>2022</v>
      </c>
      <c r="R2">
        <f t="shared" si="29"/>
        <v>2022</v>
      </c>
      <c r="S2">
        <f t="shared" si="29"/>
        <v>2023</v>
      </c>
      <c r="T2">
        <f t="shared" si="29"/>
        <v>2023</v>
      </c>
      <c r="U2">
        <f t="shared" si="29"/>
        <v>2024</v>
      </c>
      <c r="V2">
        <f t="shared" si="29"/>
        <v>2024</v>
      </c>
      <c r="W2">
        <f t="shared" si="29"/>
        <v>2025</v>
      </c>
      <c r="X2">
        <f t="shared" si="29"/>
        <v>2025</v>
      </c>
      <c r="Y2">
        <f t="shared" si="29"/>
        <v>2026</v>
      </c>
      <c r="Z2">
        <f t="shared" si="29"/>
        <v>2026</v>
      </c>
      <c r="AA2">
        <f t="shared" si="29"/>
        <v>2027</v>
      </c>
      <c r="AB2">
        <f t="shared" si="29"/>
        <v>2027</v>
      </c>
      <c r="AC2">
        <f t="shared" si="29"/>
        <v>2028</v>
      </c>
      <c r="AD2">
        <f t="shared" si="29"/>
        <v>2028</v>
      </c>
      <c r="AE2">
        <f t="shared" si="29"/>
        <v>2029</v>
      </c>
      <c r="AF2">
        <f t="shared" si="29"/>
        <v>2029</v>
      </c>
      <c r="AG2">
        <f t="shared" si="29"/>
        <v>2030</v>
      </c>
      <c r="AH2">
        <f t="shared" si="29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(RAND()*1+2)*110</f>
        <v>324.74748801314672</v>
      </c>
      <c r="D3" s="2">
        <f t="shared" ref="D3:AH11" ca="1" si="30">(RAND()*1+2)*110</f>
        <v>301.89033985226894</v>
      </c>
      <c r="E3" s="2">
        <f t="shared" ca="1" si="30"/>
        <v>301.62090414271267</v>
      </c>
      <c r="F3" s="2">
        <f t="shared" ca="1" si="30"/>
        <v>255.94651276928528</v>
      </c>
      <c r="G3" s="2">
        <f t="shared" ca="1" si="30"/>
        <v>244.54098260239985</v>
      </c>
      <c r="H3" s="2">
        <f t="shared" ca="1" si="30"/>
        <v>292.65702978790097</v>
      </c>
      <c r="I3" s="2">
        <f t="shared" ca="1" si="30"/>
        <v>288.92930224708181</v>
      </c>
      <c r="J3" s="2">
        <f t="shared" ca="1" si="30"/>
        <v>321.44383872453068</v>
      </c>
      <c r="K3" s="2">
        <f t="shared" ca="1" si="30"/>
        <v>292.49685707062872</v>
      </c>
      <c r="L3" s="2">
        <f t="shared" ca="1" si="30"/>
        <v>232.31909351483435</v>
      </c>
      <c r="M3" s="2">
        <f t="shared" ca="1" si="30"/>
        <v>322.65767101970783</v>
      </c>
      <c r="N3" s="2">
        <f t="shared" ca="1" si="30"/>
        <v>239.97011297541988</v>
      </c>
      <c r="O3" s="2">
        <f t="shared" ca="1" si="30"/>
        <v>329.92793335332811</v>
      </c>
      <c r="P3" s="2">
        <f t="shared" ca="1" si="30"/>
        <v>282.4518399471774</v>
      </c>
      <c r="Q3" s="2">
        <f t="shared" ca="1" si="30"/>
        <v>270.36206606215586</v>
      </c>
      <c r="R3" s="2">
        <f t="shared" ca="1" si="30"/>
        <v>255.2395731121612</v>
      </c>
      <c r="S3" s="2">
        <f t="shared" ca="1" si="30"/>
        <v>242.1361301570393</v>
      </c>
      <c r="T3" s="2">
        <f t="shared" ca="1" si="30"/>
        <v>248.6641948346751</v>
      </c>
      <c r="U3" s="2">
        <f t="shared" ca="1" si="30"/>
        <v>323.76558698295383</v>
      </c>
      <c r="V3" s="2">
        <f t="shared" ca="1" si="30"/>
        <v>286.07444739654426</v>
      </c>
      <c r="W3" s="2">
        <f t="shared" ca="1" si="30"/>
        <v>322.60663315944595</v>
      </c>
      <c r="X3" s="2">
        <f t="shared" ca="1" si="30"/>
        <v>304.87952999100065</v>
      </c>
      <c r="Y3" s="2">
        <f t="shared" ca="1" si="30"/>
        <v>289.93898766717643</v>
      </c>
      <c r="Z3" s="2">
        <f t="shared" ca="1" si="30"/>
        <v>289.54758195989098</v>
      </c>
      <c r="AA3" s="2">
        <f t="shared" ca="1" si="30"/>
        <v>242.0486887520681</v>
      </c>
      <c r="AB3" s="2">
        <f t="shared" ca="1" si="30"/>
        <v>231.19043720555612</v>
      </c>
      <c r="AC3" s="2">
        <f t="shared" ca="1" si="30"/>
        <v>295.60550727921907</v>
      </c>
      <c r="AD3" s="2">
        <f t="shared" ca="1" si="30"/>
        <v>298.50832989571779</v>
      </c>
      <c r="AE3" s="2">
        <f t="shared" ca="1" si="30"/>
        <v>325.44920822707928</v>
      </c>
      <c r="AF3" s="2">
        <f t="shared" ca="1" si="30"/>
        <v>223.77775278053096</v>
      </c>
      <c r="AG3" s="2">
        <f t="shared" ca="1" si="30"/>
        <v>278.65548688322264</v>
      </c>
      <c r="AH3" s="2">
        <f t="shared" ca="1" si="30"/>
        <v>289.81902186937572</v>
      </c>
    </row>
    <row r="4" spans="1:34">
      <c r="A4" t="str">
        <f>sets!$H$3</f>
        <v>Teff</v>
      </c>
      <c r="B4" t="str">
        <v>Afar</v>
      </c>
      <c r="C4" s="2">
        <f t="shared" ref="C4:R13" ca="1" si="31">(RAND()*1+2)*110</f>
        <v>295.72191134794838</v>
      </c>
      <c r="D4" s="2">
        <f t="shared" ca="1" si="31"/>
        <v>281.14398140107824</v>
      </c>
      <c r="E4" s="2">
        <f t="shared" ca="1" si="31"/>
        <v>272.13743228076368</v>
      </c>
      <c r="F4" s="2">
        <f t="shared" ca="1" si="31"/>
        <v>237.755691038365</v>
      </c>
      <c r="G4" s="2">
        <f t="shared" ca="1" si="31"/>
        <v>281.57930251924319</v>
      </c>
      <c r="H4" s="2">
        <f t="shared" ca="1" si="31"/>
        <v>322.33537874296161</v>
      </c>
      <c r="I4" s="2">
        <f t="shared" ca="1" si="31"/>
        <v>274.30311751377786</v>
      </c>
      <c r="J4" s="2">
        <f t="shared" ca="1" si="31"/>
        <v>326.74666454588913</v>
      </c>
      <c r="K4" s="2">
        <f t="shared" ca="1" si="31"/>
        <v>319.30917566208467</v>
      </c>
      <c r="L4" s="2">
        <f t="shared" ca="1" si="31"/>
        <v>252.13454338961526</v>
      </c>
      <c r="M4" s="2">
        <f t="shared" ca="1" si="31"/>
        <v>266.86668315834794</v>
      </c>
      <c r="N4" s="2">
        <f t="shared" ca="1" si="31"/>
        <v>243.25120863020052</v>
      </c>
      <c r="O4" s="2">
        <f t="shared" ca="1" si="31"/>
        <v>225.00200480098809</v>
      </c>
      <c r="P4" s="2">
        <f t="shared" ca="1" si="31"/>
        <v>259.75491167819342</v>
      </c>
      <c r="Q4" s="2">
        <f t="shared" ca="1" si="31"/>
        <v>227.02833150394153</v>
      </c>
      <c r="R4" s="2">
        <f t="shared" ca="1" si="31"/>
        <v>246.74595214542182</v>
      </c>
      <c r="S4" s="2">
        <f t="shared" ca="1" si="30"/>
        <v>254.86777288821207</v>
      </c>
      <c r="T4" s="2">
        <f t="shared" ca="1" si="30"/>
        <v>241.81404652152227</v>
      </c>
      <c r="U4" s="2">
        <f t="shared" ca="1" si="30"/>
        <v>282.61838888772343</v>
      </c>
      <c r="V4" s="2">
        <f t="shared" ca="1" si="30"/>
        <v>271.619414789301</v>
      </c>
      <c r="W4" s="2">
        <f t="shared" ca="1" si="30"/>
        <v>273.88330263962672</v>
      </c>
      <c r="X4" s="2">
        <f t="shared" ca="1" si="30"/>
        <v>284.60013226342403</v>
      </c>
      <c r="Y4" s="2">
        <f t="shared" ca="1" si="30"/>
        <v>228.24429437857489</v>
      </c>
      <c r="Z4" s="2">
        <f t="shared" ca="1" si="30"/>
        <v>247.28480086096889</v>
      </c>
      <c r="AA4" s="2">
        <f t="shared" ca="1" si="30"/>
        <v>237.9807174948449</v>
      </c>
      <c r="AB4" s="2">
        <f t="shared" ca="1" si="30"/>
        <v>256.72701028636885</v>
      </c>
      <c r="AC4" s="2">
        <f t="shared" ca="1" si="30"/>
        <v>271.05844905808209</v>
      </c>
      <c r="AD4" s="2">
        <f t="shared" ca="1" si="30"/>
        <v>240.96107653079744</v>
      </c>
      <c r="AE4" s="2">
        <f t="shared" ca="1" si="30"/>
        <v>235.09434285667527</v>
      </c>
      <c r="AF4" s="2">
        <f t="shared" ca="1" si="30"/>
        <v>303.82082749069178</v>
      </c>
      <c r="AG4" s="2">
        <f t="shared" ca="1" si="30"/>
        <v>285.27975522674217</v>
      </c>
      <c r="AH4" s="2">
        <f t="shared" ca="1" si="30"/>
        <v>262.30470012581327</v>
      </c>
    </row>
    <row r="5" spans="1:34">
      <c r="A5" t="str">
        <f>sets!$H$3</f>
        <v>Teff</v>
      </c>
      <c r="B5" t="str">
        <v>Amhara</v>
      </c>
      <c r="C5" s="2">
        <f t="shared" ca="1" si="31"/>
        <v>235.38536272642116</v>
      </c>
      <c r="D5" s="2">
        <f t="shared" ca="1" si="30"/>
        <v>243.91332254339372</v>
      </c>
      <c r="E5" s="2">
        <f t="shared" ca="1" si="30"/>
        <v>301.03581461578528</v>
      </c>
      <c r="F5" s="2">
        <f t="shared" ca="1" si="30"/>
        <v>301.85698651348429</v>
      </c>
      <c r="G5" s="2">
        <f t="shared" ca="1" si="30"/>
        <v>266.66659712247719</v>
      </c>
      <c r="H5" s="2">
        <f t="shared" ca="1" si="30"/>
        <v>306.37661934476301</v>
      </c>
      <c r="I5" s="2">
        <f t="shared" ca="1" si="30"/>
        <v>272.69951705626517</v>
      </c>
      <c r="J5" s="2">
        <f t="shared" ca="1" si="30"/>
        <v>281.71808149695312</v>
      </c>
      <c r="K5" s="2">
        <f t="shared" ca="1" si="30"/>
        <v>247.45642788596803</v>
      </c>
      <c r="L5" s="2">
        <f t="shared" ca="1" si="30"/>
        <v>287.55453550929246</v>
      </c>
      <c r="M5" s="2">
        <f t="shared" ca="1" si="30"/>
        <v>252.1295266976943</v>
      </c>
      <c r="N5" s="2">
        <f t="shared" ca="1" si="30"/>
        <v>303.4760951453793</v>
      </c>
      <c r="O5" s="2">
        <f t="shared" ca="1" si="30"/>
        <v>230.89869700096003</v>
      </c>
      <c r="P5" s="2">
        <f t="shared" ca="1" si="30"/>
        <v>277.53956703775401</v>
      </c>
      <c r="Q5" s="2">
        <f t="shared" ca="1" si="30"/>
        <v>303.8888014641484</v>
      </c>
      <c r="R5" s="2">
        <f t="shared" ca="1" si="30"/>
        <v>280.87307869444027</v>
      </c>
      <c r="S5" s="2">
        <f t="shared" ca="1" si="30"/>
        <v>304.58985726348357</v>
      </c>
      <c r="T5" s="2">
        <f t="shared" ca="1" si="30"/>
        <v>223.02210090935131</v>
      </c>
      <c r="U5" s="2">
        <f t="shared" ca="1" si="30"/>
        <v>241.41946381010914</v>
      </c>
      <c r="V5" s="2">
        <f t="shared" ca="1" si="30"/>
        <v>272.35322293580629</v>
      </c>
      <c r="W5" s="2">
        <f t="shared" ca="1" si="30"/>
        <v>316.01414659879254</v>
      </c>
      <c r="X5" s="2">
        <f t="shared" ca="1" si="30"/>
        <v>322.70626492051389</v>
      </c>
      <c r="Y5" s="2">
        <f t="shared" ca="1" si="30"/>
        <v>296.43577321730874</v>
      </c>
      <c r="Z5" s="2">
        <f t="shared" ca="1" si="30"/>
        <v>319.95004958562026</v>
      </c>
      <c r="AA5" s="2">
        <f t="shared" ca="1" si="30"/>
        <v>236.55381148694497</v>
      </c>
      <c r="AB5" s="2">
        <f t="shared" ca="1" si="30"/>
        <v>313.745238760745</v>
      </c>
      <c r="AC5" s="2">
        <f t="shared" ca="1" si="30"/>
        <v>285.05906620998951</v>
      </c>
      <c r="AD5" s="2">
        <f t="shared" ca="1" si="30"/>
        <v>313.91983703179903</v>
      </c>
      <c r="AE5" s="2">
        <f t="shared" ca="1" si="30"/>
        <v>268.76665106786561</v>
      </c>
      <c r="AF5" s="2">
        <f t="shared" ca="1" si="30"/>
        <v>293.88180479038863</v>
      </c>
      <c r="AG5" s="2">
        <f t="shared" ca="1" si="30"/>
        <v>270.92395075894711</v>
      </c>
      <c r="AH5" s="2">
        <f t="shared" ca="1" si="30"/>
        <v>222.45737019379342</v>
      </c>
    </row>
    <row r="6" spans="1:34">
      <c r="A6" t="str">
        <f>sets!$H$3</f>
        <v>Teff</v>
      </c>
      <c r="B6" t="str">
        <v>Gumuz</v>
      </c>
      <c r="C6" s="2">
        <f t="shared" ca="1" si="31"/>
        <v>276.68023926928038</v>
      </c>
      <c r="D6" s="2">
        <f t="shared" ca="1" si="30"/>
        <v>323.03712834207374</v>
      </c>
      <c r="E6" s="2">
        <f t="shared" ca="1" si="30"/>
        <v>279.28600648127986</v>
      </c>
      <c r="F6" s="2">
        <f t="shared" ca="1" si="30"/>
        <v>280.81824659102773</v>
      </c>
      <c r="G6" s="2">
        <f t="shared" ca="1" si="30"/>
        <v>252.52050261583022</v>
      </c>
      <c r="H6" s="2">
        <f t="shared" ca="1" si="30"/>
        <v>311.17189785707228</v>
      </c>
      <c r="I6" s="2">
        <f t="shared" ca="1" si="30"/>
        <v>267.77062771194198</v>
      </c>
      <c r="J6" s="2">
        <f t="shared" ca="1" si="30"/>
        <v>233.63347234648614</v>
      </c>
      <c r="K6" s="2">
        <f t="shared" ca="1" si="30"/>
        <v>233.84048586058222</v>
      </c>
      <c r="L6" s="2">
        <f t="shared" ca="1" si="30"/>
        <v>317.53924362399357</v>
      </c>
      <c r="M6" s="2">
        <f t="shared" ca="1" si="30"/>
        <v>295.32114227269852</v>
      </c>
      <c r="N6" s="2">
        <f t="shared" ca="1" si="30"/>
        <v>306.13410681894919</v>
      </c>
      <c r="O6" s="2">
        <f t="shared" ca="1" si="30"/>
        <v>271.92460791708112</v>
      </c>
      <c r="P6" s="2">
        <f t="shared" ca="1" si="30"/>
        <v>232.76811239122426</v>
      </c>
      <c r="Q6" s="2">
        <f t="shared" ca="1" si="30"/>
        <v>220.8159456611375</v>
      </c>
      <c r="R6" s="2">
        <f t="shared" ca="1" si="30"/>
        <v>313.66689299634407</v>
      </c>
      <c r="S6" s="2">
        <f t="shared" ca="1" si="30"/>
        <v>293.06474058643818</v>
      </c>
      <c r="T6" s="2">
        <f t="shared" ca="1" si="30"/>
        <v>247.72868270513405</v>
      </c>
      <c r="U6" s="2">
        <f t="shared" ca="1" si="30"/>
        <v>253.38833034058806</v>
      </c>
      <c r="V6" s="2">
        <f t="shared" ca="1" si="30"/>
        <v>327.82961524743791</v>
      </c>
      <c r="W6" s="2">
        <f t="shared" ca="1" si="30"/>
        <v>235.31009813891387</v>
      </c>
      <c r="X6" s="2">
        <f t="shared" ca="1" si="30"/>
        <v>237.28641955036264</v>
      </c>
      <c r="Y6" s="2">
        <f t="shared" ca="1" si="30"/>
        <v>234.5698541714909</v>
      </c>
      <c r="Z6" s="2">
        <f t="shared" ca="1" si="30"/>
        <v>229.69002708282306</v>
      </c>
      <c r="AA6" s="2">
        <f t="shared" ca="1" si="30"/>
        <v>244.90163195700467</v>
      </c>
      <c r="AB6" s="2">
        <f t="shared" ca="1" si="30"/>
        <v>304.40081060963809</v>
      </c>
      <c r="AC6" s="2">
        <f t="shared" ca="1" si="30"/>
        <v>232.53042611032311</v>
      </c>
      <c r="AD6" s="2">
        <f t="shared" ca="1" si="30"/>
        <v>266.48327129837963</v>
      </c>
      <c r="AE6" s="2">
        <f t="shared" ca="1" si="30"/>
        <v>223.26348016307739</v>
      </c>
      <c r="AF6" s="2">
        <f t="shared" ca="1" si="30"/>
        <v>281.65347917847504</v>
      </c>
      <c r="AG6" s="2">
        <f t="shared" ca="1" si="30"/>
        <v>261.14802873120084</v>
      </c>
      <c r="AH6" s="2">
        <f t="shared" ca="1" si="30"/>
        <v>229.57783211344983</v>
      </c>
    </row>
    <row r="7" spans="1:34">
      <c r="A7" t="str">
        <f>sets!$H$3</f>
        <v>Teff</v>
      </c>
      <c r="B7" t="str">
        <v>DireDawa</v>
      </c>
      <c r="C7" s="2">
        <f t="shared" ca="1" si="31"/>
        <v>291.48778144352644</v>
      </c>
      <c r="D7" s="2">
        <f t="shared" ca="1" si="30"/>
        <v>238.63882603727956</v>
      </c>
      <c r="E7" s="2">
        <f t="shared" ca="1" si="30"/>
        <v>252.84452315121217</v>
      </c>
      <c r="F7" s="2">
        <f t="shared" ca="1" si="30"/>
        <v>293.04905855043921</v>
      </c>
      <c r="G7" s="2">
        <f t="shared" ca="1" si="30"/>
        <v>273.44200344567378</v>
      </c>
      <c r="H7" s="2">
        <f t="shared" ca="1" si="30"/>
        <v>255.12270375310982</v>
      </c>
      <c r="I7" s="2">
        <f t="shared" ca="1" si="30"/>
        <v>255.18324874644631</v>
      </c>
      <c r="J7" s="2">
        <f t="shared" ca="1" si="30"/>
        <v>270.611323898298</v>
      </c>
      <c r="K7" s="2">
        <f t="shared" ca="1" si="30"/>
        <v>240.94171642645534</v>
      </c>
      <c r="L7" s="2">
        <f t="shared" ca="1" si="30"/>
        <v>308.49481133266909</v>
      </c>
      <c r="M7" s="2">
        <f t="shared" ca="1" si="30"/>
        <v>273.53750196276826</v>
      </c>
      <c r="N7" s="2">
        <f t="shared" ca="1" si="30"/>
        <v>326.73093213940405</v>
      </c>
      <c r="O7" s="2">
        <f t="shared" ca="1" si="30"/>
        <v>259.98488234735566</v>
      </c>
      <c r="P7" s="2">
        <f t="shared" ca="1" si="30"/>
        <v>266.67652511626289</v>
      </c>
      <c r="Q7" s="2">
        <f t="shared" ca="1" si="30"/>
        <v>229.93475771784549</v>
      </c>
      <c r="R7" s="2">
        <f t="shared" ca="1" si="30"/>
        <v>278.49245026757239</v>
      </c>
      <c r="S7" s="2">
        <f t="shared" ca="1" si="30"/>
        <v>320.95808091893446</v>
      </c>
      <c r="T7" s="2">
        <f t="shared" ca="1" si="30"/>
        <v>328.25023892627365</v>
      </c>
      <c r="U7" s="2">
        <f t="shared" ca="1" si="30"/>
        <v>231.80963864023701</v>
      </c>
      <c r="V7" s="2">
        <f t="shared" ca="1" si="30"/>
        <v>242.73286480780669</v>
      </c>
      <c r="W7" s="2">
        <f t="shared" ca="1" si="30"/>
        <v>279.45752076294178</v>
      </c>
      <c r="X7" s="2">
        <f t="shared" ca="1" si="30"/>
        <v>315.12330976249802</v>
      </c>
      <c r="Y7" s="2">
        <f t="shared" ca="1" si="30"/>
        <v>225.99044967978722</v>
      </c>
      <c r="Z7" s="2">
        <f t="shared" ca="1" si="30"/>
        <v>319.99653315283547</v>
      </c>
      <c r="AA7" s="2">
        <f t="shared" ca="1" si="30"/>
        <v>259.44744094590646</v>
      </c>
      <c r="AB7" s="2">
        <f t="shared" ca="1" si="30"/>
        <v>222.18410997678592</v>
      </c>
      <c r="AC7" s="2">
        <f t="shared" ca="1" si="30"/>
        <v>223.68321113958712</v>
      </c>
      <c r="AD7" s="2">
        <f t="shared" ca="1" si="30"/>
        <v>274.99901261253376</v>
      </c>
      <c r="AE7" s="2">
        <f t="shared" ca="1" si="30"/>
        <v>249.94064255557481</v>
      </c>
      <c r="AF7" s="2">
        <f t="shared" ca="1" si="30"/>
        <v>235.78711077742832</v>
      </c>
      <c r="AG7" s="2">
        <f t="shared" ca="1" si="30"/>
        <v>265.84382112143618</v>
      </c>
      <c r="AH7" s="2">
        <f t="shared" ca="1" si="30"/>
        <v>298.0865842166462</v>
      </c>
    </row>
    <row r="8" spans="1:34">
      <c r="A8" t="str">
        <f>sets!$H$3</f>
        <v>Teff</v>
      </c>
      <c r="B8" t="str">
        <v>Gambela</v>
      </c>
      <c r="C8" s="2">
        <f t="shared" ca="1" si="31"/>
        <v>299.63553976705742</v>
      </c>
      <c r="D8" s="2">
        <f t="shared" ca="1" si="30"/>
        <v>258.93081551715829</v>
      </c>
      <c r="E8" s="2">
        <f t="shared" ca="1" si="30"/>
        <v>318.76065053838897</v>
      </c>
      <c r="F8" s="2">
        <f t="shared" ca="1" si="30"/>
        <v>287.51170677105438</v>
      </c>
      <c r="G8" s="2">
        <f t="shared" ca="1" si="30"/>
        <v>318.70825958046009</v>
      </c>
      <c r="H8" s="2">
        <f t="shared" ca="1" si="30"/>
        <v>326.67203482103116</v>
      </c>
      <c r="I8" s="2">
        <f t="shared" ca="1" si="30"/>
        <v>224.12481864500447</v>
      </c>
      <c r="J8" s="2">
        <f t="shared" ca="1" si="30"/>
        <v>236.35587858869718</v>
      </c>
      <c r="K8" s="2">
        <f t="shared" ca="1" si="30"/>
        <v>254.07387438223097</v>
      </c>
      <c r="L8" s="2">
        <f t="shared" ca="1" si="30"/>
        <v>294.82330626534724</v>
      </c>
      <c r="M8" s="2">
        <f t="shared" ca="1" si="30"/>
        <v>233.520465011493</v>
      </c>
      <c r="N8" s="2">
        <f t="shared" ca="1" si="30"/>
        <v>276.78103677318927</v>
      </c>
      <c r="O8" s="2">
        <f t="shared" ca="1" si="30"/>
        <v>239.36664360799867</v>
      </c>
      <c r="P8" s="2">
        <f t="shared" ca="1" si="30"/>
        <v>325.35113620092386</v>
      </c>
      <c r="Q8" s="2">
        <f t="shared" ca="1" si="30"/>
        <v>255.74509761561973</v>
      </c>
      <c r="R8" s="2">
        <f t="shared" ca="1" si="30"/>
        <v>319.10403594018436</v>
      </c>
      <c r="S8" s="2">
        <f t="shared" ca="1" si="30"/>
        <v>239.07582847788743</v>
      </c>
      <c r="T8" s="2">
        <f t="shared" ca="1" si="30"/>
        <v>265.74359252446851</v>
      </c>
      <c r="U8" s="2">
        <f t="shared" ca="1" si="30"/>
        <v>242.02056894383168</v>
      </c>
      <c r="V8" s="2">
        <f t="shared" ca="1" si="30"/>
        <v>305.41061103294436</v>
      </c>
      <c r="W8" s="2">
        <f t="shared" ca="1" si="30"/>
        <v>282.20802467901501</v>
      </c>
      <c r="X8" s="2">
        <f t="shared" ca="1" si="30"/>
        <v>241.25196533105591</v>
      </c>
      <c r="Y8" s="2">
        <f t="shared" ca="1" si="30"/>
        <v>314.92651428694222</v>
      </c>
      <c r="Z8" s="2">
        <f t="shared" ca="1" si="30"/>
        <v>240.92927805432947</v>
      </c>
      <c r="AA8" s="2">
        <f t="shared" ca="1" si="30"/>
        <v>261.25134695659608</v>
      </c>
      <c r="AB8" s="2">
        <f t="shared" ca="1" si="30"/>
        <v>280.06940246771717</v>
      </c>
      <c r="AC8" s="2">
        <f t="shared" ca="1" si="30"/>
        <v>277.17095401066183</v>
      </c>
      <c r="AD8" s="2">
        <f t="shared" ca="1" si="30"/>
        <v>320.4879681093405</v>
      </c>
      <c r="AE8" s="2">
        <f t="shared" ca="1" si="30"/>
        <v>263.41189773554709</v>
      </c>
      <c r="AF8" s="2">
        <f t="shared" ca="1" si="30"/>
        <v>239.62754488932396</v>
      </c>
      <c r="AG8" s="2">
        <f t="shared" ca="1" si="30"/>
        <v>298.99683030825571</v>
      </c>
      <c r="AH8" s="2">
        <f t="shared" ca="1" si="30"/>
        <v>246.41253801936543</v>
      </c>
    </row>
    <row r="9" spans="1:34">
      <c r="A9" t="str">
        <f>sets!$H$3</f>
        <v>Teff</v>
      </c>
      <c r="B9" t="str">
        <v>Harari</v>
      </c>
      <c r="C9" s="2">
        <f t="shared" ca="1" si="31"/>
        <v>320.94432730823581</v>
      </c>
      <c r="D9" s="2">
        <f t="shared" ca="1" si="30"/>
        <v>224.6694570371522</v>
      </c>
      <c r="E9" s="2">
        <f t="shared" ca="1" si="30"/>
        <v>289.24713797311182</v>
      </c>
      <c r="F9" s="2">
        <f t="shared" ca="1" si="30"/>
        <v>315.37673180660192</v>
      </c>
      <c r="G9" s="2">
        <f t="shared" ca="1" si="30"/>
        <v>231.65029580723734</v>
      </c>
      <c r="H9" s="2">
        <f t="shared" ca="1" si="30"/>
        <v>264.96881047405202</v>
      </c>
      <c r="I9" s="2">
        <f t="shared" ca="1" si="30"/>
        <v>285.72266581757248</v>
      </c>
      <c r="J9" s="2">
        <f t="shared" ca="1" si="30"/>
        <v>293.31003899746531</v>
      </c>
      <c r="K9" s="2">
        <f t="shared" ca="1" si="30"/>
        <v>236.34408503488052</v>
      </c>
      <c r="L9" s="2">
        <f t="shared" ca="1" si="30"/>
        <v>294.6374218376281</v>
      </c>
      <c r="M9" s="2">
        <f t="shared" ca="1" si="30"/>
        <v>254.33455036857512</v>
      </c>
      <c r="N9" s="2">
        <f t="shared" ca="1" si="30"/>
        <v>300.08016167764072</v>
      </c>
      <c r="O9" s="2">
        <f t="shared" ca="1" si="30"/>
        <v>306.89491186149394</v>
      </c>
      <c r="P9" s="2">
        <f t="shared" ca="1" si="30"/>
        <v>280.98372973841151</v>
      </c>
      <c r="Q9" s="2">
        <f t="shared" ca="1" si="30"/>
        <v>298.78266512619899</v>
      </c>
      <c r="R9" s="2">
        <f t="shared" ca="1" si="30"/>
        <v>233.95809221763977</v>
      </c>
      <c r="S9" s="2">
        <f t="shared" ca="1" si="30"/>
        <v>266.87045287379487</v>
      </c>
      <c r="T9" s="2">
        <f t="shared" ca="1" si="30"/>
        <v>278.39052450035689</v>
      </c>
      <c r="U9" s="2">
        <f t="shared" ca="1" si="30"/>
        <v>260.19228688719119</v>
      </c>
      <c r="V9" s="2">
        <f t="shared" ca="1" si="30"/>
        <v>281.18570492672183</v>
      </c>
      <c r="W9" s="2">
        <f t="shared" ca="1" si="30"/>
        <v>245.05391167457583</v>
      </c>
      <c r="X9" s="2">
        <f t="shared" ca="1" si="30"/>
        <v>231.9303058988674</v>
      </c>
      <c r="Y9" s="2">
        <f t="shared" ca="1" si="30"/>
        <v>236.72848459850493</v>
      </c>
      <c r="Z9" s="2">
        <f t="shared" ca="1" si="30"/>
        <v>245.02593614627315</v>
      </c>
      <c r="AA9" s="2">
        <f t="shared" ca="1" si="30"/>
        <v>317.25361762512506</v>
      </c>
      <c r="AB9" s="2">
        <f t="shared" ca="1" si="30"/>
        <v>273.36031894295945</v>
      </c>
      <c r="AC9" s="2">
        <f t="shared" ca="1" si="30"/>
        <v>222.929376412186</v>
      </c>
      <c r="AD9" s="2">
        <f t="shared" ca="1" si="30"/>
        <v>253.05795587715883</v>
      </c>
      <c r="AE9" s="2">
        <f t="shared" ca="1" si="30"/>
        <v>245.95802510482608</v>
      </c>
      <c r="AF9" s="2">
        <f t="shared" ca="1" si="30"/>
        <v>306.56200085570754</v>
      </c>
      <c r="AG9" s="2">
        <f t="shared" ca="1" si="30"/>
        <v>224.79445955294315</v>
      </c>
      <c r="AH9" s="2">
        <f t="shared" ca="1" si="30"/>
        <v>288.72743020765841</v>
      </c>
    </row>
    <row r="10" spans="1:34">
      <c r="A10" t="str">
        <f>sets!$H$3</f>
        <v>Teff</v>
      </c>
      <c r="B10" t="str">
        <v>Oromia</v>
      </c>
      <c r="C10" s="2">
        <f t="shared" ca="1" si="31"/>
        <v>326.17624174874015</v>
      </c>
      <c r="D10" s="2">
        <f t="shared" ca="1" si="30"/>
        <v>245.79902054360551</v>
      </c>
      <c r="E10" s="2">
        <f t="shared" ca="1" si="30"/>
        <v>224.26668381691465</v>
      </c>
      <c r="F10" s="2">
        <f t="shared" ca="1" si="30"/>
        <v>324.21853795030211</v>
      </c>
      <c r="G10" s="2">
        <f t="shared" ca="1" si="30"/>
        <v>261.71078165589017</v>
      </c>
      <c r="H10" s="2">
        <f t="shared" ca="1" si="30"/>
        <v>295.63123657413263</v>
      </c>
      <c r="I10" s="2">
        <f t="shared" ca="1" si="30"/>
        <v>248.71432878892836</v>
      </c>
      <c r="J10" s="2">
        <f t="shared" ca="1" si="30"/>
        <v>299.40789184507719</v>
      </c>
      <c r="K10" s="2">
        <f t="shared" ca="1" si="30"/>
        <v>266.54789245693871</v>
      </c>
      <c r="L10" s="2">
        <f t="shared" ca="1" si="30"/>
        <v>292.02336019100505</v>
      </c>
      <c r="M10" s="2">
        <f t="shared" ca="1" si="30"/>
        <v>278.69012704783182</v>
      </c>
      <c r="N10" s="2">
        <f t="shared" ca="1" si="30"/>
        <v>289.75145280989653</v>
      </c>
      <c r="O10" s="2">
        <f t="shared" ca="1" si="30"/>
        <v>229.43627907044558</v>
      </c>
      <c r="P10" s="2">
        <f t="shared" ca="1" si="30"/>
        <v>322.52528344676045</v>
      </c>
      <c r="Q10" s="2">
        <f t="shared" ca="1" si="30"/>
        <v>290.05521399717162</v>
      </c>
      <c r="R10" s="2">
        <f t="shared" ca="1" si="30"/>
        <v>236.69527154657774</v>
      </c>
      <c r="S10" s="2">
        <f t="shared" ca="1" si="30"/>
        <v>315.39097543512315</v>
      </c>
      <c r="T10" s="2">
        <f t="shared" ca="1" si="30"/>
        <v>263.16439493438509</v>
      </c>
      <c r="U10" s="2">
        <f t="shared" ca="1" si="30"/>
        <v>235.61772773129491</v>
      </c>
      <c r="V10" s="2">
        <f t="shared" ca="1" si="30"/>
        <v>321.77244250805069</v>
      </c>
      <c r="W10" s="2">
        <f t="shared" ca="1" si="30"/>
        <v>242.8247263462822</v>
      </c>
      <c r="X10" s="2">
        <f t="shared" ca="1" si="30"/>
        <v>243.49650675989881</v>
      </c>
      <c r="Y10" s="2">
        <f t="shared" ca="1" si="30"/>
        <v>281.73008243439699</v>
      </c>
      <c r="Z10" s="2">
        <f t="shared" ca="1" si="30"/>
        <v>255.81886117519781</v>
      </c>
      <c r="AA10" s="2">
        <f t="shared" ca="1" si="30"/>
        <v>286.62278239525989</v>
      </c>
      <c r="AB10" s="2">
        <f t="shared" ca="1" si="30"/>
        <v>254.84437945404505</v>
      </c>
      <c r="AC10" s="2">
        <f t="shared" ca="1" si="30"/>
        <v>232.33114039217455</v>
      </c>
      <c r="AD10" s="2">
        <f t="shared" ca="1" si="30"/>
        <v>303.71975688806469</v>
      </c>
      <c r="AE10" s="2">
        <f t="shared" ca="1" si="30"/>
        <v>249.23397542353734</v>
      </c>
      <c r="AF10" s="2">
        <f t="shared" ca="1" si="30"/>
        <v>283.56248337200299</v>
      </c>
      <c r="AG10" s="2">
        <f t="shared" ca="1" si="30"/>
        <v>299.48475740486629</v>
      </c>
      <c r="AH10" s="2">
        <f t="shared" ca="1" si="30"/>
        <v>287.91560087465223</v>
      </c>
    </row>
    <row r="11" spans="1:34">
      <c r="A11" t="str">
        <f>sets!$H$3</f>
        <v>Teff</v>
      </c>
      <c r="B11" t="str">
        <v>Somali</v>
      </c>
      <c r="C11" s="2">
        <f t="shared" ca="1" si="31"/>
        <v>285.48853861344463</v>
      </c>
      <c r="D11" s="2">
        <f t="shared" ca="1" si="30"/>
        <v>269.95328620504836</v>
      </c>
      <c r="E11" s="2">
        <f t="shared" ca="1" si="30"/>
        <v>303.62267154536408</v>
      </c>
      <c r="F11" s="2">
        <f t="shared" ca="1" si="30"/>
        <v>281.6538625890845</v>
      </c>
      <c r="G11" s="2">
        <f t="shared" ca="1" si="30"/>
        <v>255.80040181814948</v>
      </c>
      <c r="H11" s="2">
        <f t="shared" ca="1" si="30"/>
        <v>299.18211060981577</v>
      </c>
      <c r="I11" s="2">
        <f t="shared" ca="1" si="30"/>
        <v>326.91924640689564</v>
      </c>
      <c r="J11" s="2">
        <f t="shared" ca="1" si="30"/>
        <v>292.92822969790728</v>
      </c>
      <c r="K11" s="2">
        <f t="shared" ca="1" si="30"/>
        <v>260.02021295072444</v>
      </c>
      <c r="L11" s="2">
        <f t="shared" ca="1" si="30"/>
        <v>291.13841094117123</v>
      </c>
      <c r="M11" s="2">
        <f t="shared" ca="1" si="30"/>
        <v>328.6501253410953</v>
      </c>
      <c r="N11" s="2">
        <f t="shared" ca="1" si="30"/>
        <v>237.22500330786241</v>
      </c>
      <c r="O11" s="2">
        <f t="shared" ca="1" si="30"/>
        <v>285.26204632528243</v>
      </c>
      <c r="P11" s="2">
        <f t="shared" ca="1" si="30"/>
        <v>280.93716583765286</v>
      </c>
      <c r="Q11" s="2">
        <f t="shared" ca="1" si="30"/>
        <v>278.42116653186838</v>
      </c>
      <c r="R11" s="2">
        <f t="shared" ca="1" si="30"/>
        <v>253.6253451415306</v>
      </c>
      <c r="S11" s="2">
        <f t="shared" ca="1" si="30"/>
        <v>255.39062778513062</v>
      </c>
      <c r="T11" s="2">
        <f t="shared" ca="1" si="30"/>
        <v>267.88096806916724</v>
      </c>
      <c r="U11" s="2">
        <f t="shared" ca="1" si="30"/>
        <v>247.11604623686253</v>
      </c>
      <c r="V11" s="2">
        <f t="shared" ca="1" si="30"/>
        <v>280.78988001748746</v>
      </c>
      <c r="W11" s="2">
        <f t="shared" ca="1" si="30"/>
        <v>237.27113828597061</v>
      </c>
      <c r="X11" s="2">
        <f t="shared" ca="1" si="30"/>
        <v>309.44624152068059</v>
      </c>
      <c r="Y11" s="2">
        <f t="shared" ca="1" si="30"/>
        <v>319.32686059473349</v>
      </c>
      <c r="Z11" s="2">
        <f t="shared" ref="D11:AH13" ca="1" si="32">(RAND()*1+2)*110</f>
        <v>231.57108878210798</v>
      </c>
      <c r="AA11" s="2">
        <f t="shared" ca="1" si="32"/>
        <v>254.84122639432564</v>
      </c>
      <c r="AB11" s="2">
        <f t="shared" ca="1" si="32"/>
        <v>290.20266199353904</v>
      </c>
      <c r="AC11" s="2">
        <f t="shared" ca="1" si="32"/>
        <v>325.65224969470921</v>
      </c>
      <c r="AD11" s="2">
        <f t="shared" ca="1" si="32"/>
        <v>252.7354979857015</v>
      </c>
      <c r="AE11" s="2">
        <f t="shared" ca="1" si="32"/>
        <v>279.44461281073956</v>
      </c>
      <c r="AF11" s="2">
        <f t="shared" ca="1" si="32"/>
        <v>236.90982391205256</v>
      </c>
      <c r="AG11" s="2">
        <f t="shared" ca="1" si="32"/>
        <v>227.86103814937081</v>
      </c>
      <c r="AH11" s="2">
        <f t="shared" ca="1" si="32"/>
        <v>230.52195187083188</v>
      </c>
    </row>
    <row r="12" spans="1:34">
      <c r="A12" t="str">
        <f>sets!$H$3</f>
        <v>Teff</v>
      </c>
      <c r="B12" t="str">
        <v>SNNPR</v>
      </c>
      <c r="C12" s="2">
        <f t="shared" ca="1" si="31"/>
        <v>283.56206004740557</v>
      </c>
      <c r="D12" s="2">
        <f t="shared" ca="1" si="32"/>
        <v>235.48317316122245</v>
      </c>
      <c r="E12" s="2">
        <f t="shared" ca="1" si="32"/>
        <v>226.72369015153609</v>
      </c>
      <c r="F12" s="2">
        <f t="shared" ca="1" si="32"/>
        <v>229.46287636996061</v>
      </c>
      <c r="G12" s="2">
        <f t="shared" ca="1" si="32"/>
        <v>245.89017904209862</v>
      </c>
      <c r="H12" s="2">
        <f t="shared" ca="1" si="32"/>
        <v>272.0378538668366</v>
      </c>
      <c r="I12" s="2">
        <f t="shared" ca="1" si="32"/>
        <v>228.11820598896955</v>
      </c>
      <c r="J12" s="2">
        <f t="shared" ca="1" si="32"/>
        <v>257.5648667358717</v>
      </c>
      <c r="K12" s="2">
        <f t="shared" ca="1" si="32"/>
        <v>266.66409928208236</v>
      </c>
      <c r="L12" s="2">
        <f t="shared" ca="1" si="32"/>
        <v>246.51456527611552</v>
      </c>
      <c r="M12" s="2">
        <f t="shared" ca="1" si="32"/>
        <v>232.8629795092711</v>
      </c>
      <c r="N12" s="2">
        <f t="shared" ca="1" si="32"/>
        <v>249.76030864773398</v>
      </c>
      <c r="O12" s="2">
        <f t="shared" ca="1" si="32"/>
        <v>305.34635616689087</v>
      </c>
      <c r="P12" s="2">
        <f t="shared" ca="1" si="32"/>
        <v>305.10323745886677</v>
      </c>
      <c r="Q12" s="2">
        <f t="shared" ca="1" si="32"/>
        <v>289.85299141775533</v>
      </c>
      <c r="R12" s="2">
        <f t="shared" ca="1" si="32"/>
        <v>294.32019902283503</v>
      </c>
      <c r="S12" s="2">
        <f t="shared" ca="1" si="32"/>
        <v>284.67352687788326</v>
      </c>
      <c r="T12" s="2">
        <f t="shared" ca="1" si="32"/>
        <v>222.20975616409515</v>
      </c>
      <c r="U12" s="2">
        <f t="shared" ca="1" si="32"/>
        <v>281.12635530797291</v>
      </c>
      <c r="V12" s="2">
        <f t="shared" ca="1" si="32"/>
        <v>286.17791384371236</v>
      </c>
      <c r="W12" s="2">
        <f t="shared" ca="1" si="32"/>
        <v>302.64736086570241</v>
      </c>
      <c r="X12" s="2">
        <f t="shared" ca="1" si="32"/>
        <v>322.89280228080185</v>
      </c>
      <c r="Y12" s="2">
        <f t="shared" ca="1" si="32"/>
        <v>263.84266629882211</v>
      </c>
      <c r="Z12" s="2">
        <f t="shared" ca="1" si="32"/>
        <v>223.24618639367654</v>
      </c>
      <c r="AA12" s="2">
        <f t="shared" ca="1" si="32"/>
        <v>317.43640816555239</v>
      </c>
      <c r="AB12" s="2">
        <f t="shared" ca="1" si="32"/>
        <v>223.21291843069162</v>
      </c>
      <c r="AC12" s="2">
        <f t="shared" ca="1" si="32"/>
        <v>317.03963345252146</v>
      </c>
      <c r="AD12" s="2">
        <f t="shared" ca="1" si="32"/>
        <v>317.2389765336722</v>
      </c>
      <c r="AE12" s="2">
        <f t="shared" ca="1" si="32"/>
        <v>290.13406780521638</v>
      </c>
      <c r="AF12" s="2">
        <f t="shared" ca="1" si="32"/>
        <v>315.33020863344791</v>
      </c>
      <c r="AG12" s="2">
        <f t="shared" ca="1" si="32"/>
        <v>276.04982709251948</v>
      </c>
      <c r="AH12" s="2">
        <f t="shared" ca="1" si="32"/>
        <v>248.77466535085404</v>
      </c>
    </row>
    <row r="13" spans="1:34">
      <c r="A13" t="str">
        <f>sets!$H$3</f>
        <v>Teff</v>
      </c>
      <c r="B13" t="str">
        <v>Tigray</v>
      </c>
      <c r="C13" s="2">
        <f t="shared" ca="1" si="31"/>
        <v>298.31053218221842</v>
      </c>
      <c r="D13" s="2">
        <f t="shared" ca="1" si="32"/>
        <v>257.3366823774324</v>
      </c>
      <c r="E13" s="2">
        <f t="shared" ca="1" si="32"/>
        <v>227.07566797178123</v>
      </c>
      <c r="F13" s="2">
        <f t="shared" ca="1" si="32"/>
        <v>260.18948357256284</v>
      </c>
      <c r="G13" s="2">
        <f t="shared" ca="1" si="32"/>
        <v>268.15024759786911</v>
      </c>
      <c r="H13" s="2">
        <f t="shared" ca="1" si="32"/>
        <v>289.11624418494841</v>
      </c>
      <c r="I13" s="2">
        <f t="shared" ca="1" si="32"/>
        <v>308.09422851093063</v>
      </c>
      <c r="J13" s="2">
        <f t="shared" ca="1" si="32"/>
        <v>246.23174352765173</v>
      </c>
      <c r="K13" s="2">
        <f t="shared" ca="1" si="32"/>
        <v>304.39830787543576</v>
      </c>
      <c r="L13" s="2">
        <f t="shared" ca="1" si="32"/>
        <v>296.0198183059394</v>
      </c>
      <c r="M13" s="2">
        <f t="shared" ca="1" si="32"/>
        <v>273.59666879371514</v>
      </c>
      <c r="N13" s="2">
        <f t="shared" ca="1" si="32"/>
        <v>235.47310889212511</v>
      </c>
      <c r="O13" s="2">
        <f t="shared" ca="1" si="32"/>
        <v>299.03752018437547</v>
      </c>
      <c r="P13" s="2">
        <f t="shared" ca="1" si="32"/>
        <v>258.95792101295672</v>
      </c>
      <c r="Q13" s="2">
        <f t="shared" ca="1" si="32"/>
        <v>258.73162695955745</v>
      </c>
      <c r="R13" s="2">
        <f t="shared" ca="1" si="32"/>
        <v>238.5550150357017</v>
      </c>
      <c r="S13" s="2">
        <f t="shared" ca="1" si="32"/>
        <v>317.90841837261951</v>
      </c>
      <c r="T13" s="2">
        <f t="shared" ca="1" si="32"/>
        <v>258.10001083867036</v>
      </c>
      <c r="U13" s="2">
        <f t="shared" ca="1" si="32"/>
        <v>294.80872313071268</v>
      </c>
      <c r="V13" s="2">
        <f t="shared" ca="1" si="32"/>
        <v>236.07290359790244</v>
      </c>
      <c r="W13" s="2">
        <f t="shared" ca="1" si="32"/>
        <v>328.36699580056211</v>
      </c>
      <c r="X13" s="2">
        <f t="shared" ca="1" si="32"/>
        <v>278.47783327038155</v>
      </c>
      <c r="Y13" s="2">
        <f t="shared" ca="1" si="32"/>
        <v>272.38439857657073</v>
      </c>
      <c r="Z13" s="2">
        <f t="shared" ca="1" si="32"/>
        <v>286.34783486691282</v>
      </c>
      <c r="AA13" s="2">
        <f t="shared" ca="1" si="32"/>
        <v>313.41463503033526</v>
      </c>
      <c r="AB13" s="2">
        <f t="shared" ca="1" si="32"/>
        <v>246.10477719659616</v>
      </c>
      <c r="AC13" s="2">
        <f t="shared" ca="1" si="32"/>
        <v>272.77661089560297</v>
      </c>
      <c r="AD13" s="2">
        <f t="shared" ca="1" si="32"/>
        <v>282.38390158721131</v>
      </c>
      <c r="AE13" s="2">
        <f t="shared" ca="1" si="32"/>
        <v>230.00323434543631</v>
      </c>
      <c r="AF13" s="2">
        <f t="shared" ca="1" si="32"/>
        <v>226.54080854864253</v>
      </c>
      <c r="AG13" s="2">
        <f t="shared" ca="1" si="32"/>
        <v>296.90560662907177</v>
      </c>
      <c r="AH13" s="2">
        <f t="shared" ca="1" si="32"/>
        <v>291.98300325898782</v>
      </c>
    </row>
    <row r="14" spans="1:34">
      <c r="A14" t="str">
        <f t="shared" ref="A14:A68" si="33">INDEX(Food,MATCH(A3,Food,0)+1)</f>
        <v>Sorghum</v>
      </c>
      <c r="B14" t="str">
        <f>B3</f>
        <v>AddisAbaba</v>
      </c>
      <c r="C14" s="2">
        <f t="shared" ref="C4:R35" ca="1" si="34">(RAND()*1+2)*100</f>
        <v>234.71252703115476</v>
      </c>
      <c r="D14" s="2">
        <f t="shared" ca="1" si="34"/>
        <v>266.79865445832132</v>
      </c>
      <c r="E14" s="2">
        <f t="shared" ca="1" si="34"/>
        <v>223.00003221972452</v>
      </c>
      <c r="F14" s="2">
        <f t="shared" ca="1" si="34"/>
        <v>235.15520409465341</v>
      </c>
      <c r="G14" s="2">
        <f t="shared" ca="1" si="34"/>
        <v>282.54161488828186</v>
      </c>
      <c r="H14" s="2">
        <f t="shared" ca="1" si="34"/>
        <v>202.39434339712261</v>
      </c>
      <c r="I14" s="2">
        <f t="shared" ca="1" si="34"/>
        <v>220.41763345711777</v>
      </c>
      <c r="J14" s="2">
        <f t="shared" ca="1" si="34"/>
        <v>213.22724371746418</v>
      </c>
      <c r="K14" s="2">
        <f t="shared" ca="1" si="34"/>
        <v>285.20476428695991</v>
      </c>
      <c r="L14" s="2">
        <f t="shared" ca="1" si="34"/>
        <v>298.98844371413031</v>
      </c>
      <c r="M14" s="2">
        <f t="shared" ca="1" si="34"/>
        <v>232.67903501467524</v>
      </c>
      <c r="N14" s="2">
        <f t="shared" ca="1" si="34"/>
        <v>214.58683386313609</v>
      </c>
      <c r="O14" s="2">
        <f t="shared" ca="1" si="34"/>
        <v>240.94406303289918</v>
      </c>
      <c r="P14" s="2">
        <f t="shared" ca="1" si="34"/>
        <v>271.52227076232333</v>
      </c>
      <c r="Q14" s="2">
        <f t="shared" ca="1" si="34"/>
        <v>208.85377808636406</v>
      </c>
      <c r="R14" s="2">
        <f t="shared" ca="1" si="34"/>
        <v>217.66146843168119</v>
      </c>
      <c r="S14" s="2">
        <f t="shared" ref="K11:Z68" ca="1" si="35">(RAND()*1+2)*100</f>
        <v>208.3849710097096</v>
      </c>
      <c r="T14" s="2">
        <f t="shared" ca="1" si="35"/>
        <v>225.60903315208529</v>
      </c>
      <c r="U14" s="2">
        <f t="shared" ca="1" si="35"/>
        <v>261.19360510902828</v>
      </c>
      <c r="V14" s="2">
        <f t="shared" ca="1" si="35"/>
        <v>275.07933551175262</v>
      </c>
      <c r="W14" s="2">
        <f t="shared" ca="1" si="35"/>
        <v>205.57749740834223</v>
      </c>
      <c r="X14" s="2">
        <f t="shared" ca="1" si="35"/>
        <v>227.22197904089575</v>
      </c>
      <c r="Y14" s="2">
        <f t="shared" ca="1" si="35"/>
        <v>206.52850729836055</v>
      </c>
      <c r="Z14" s="2">
        <f t="shared" ca="1" si="35"/>
        <v>253.39898863703016</v>
      </c>
      <c r="AA14" s="2">
        <f t="shared" ref="AA11:AH68" ca="1" si="36">(RAND()*1+2)*100</f>
        <v>212.40286743720787</v>
      </c>
      <c r="AB14" s="2">
        <f t="shared" ca="1" si="36"/>
        <v>265.30034243738703</v>
      </c>
      <c r="AC14" s="2">
        <f t="shared" ca="1" si="36"/>
        <v>260.05581745893028</v>
      </c>
      <c r="AD14" s="2">
        <f t="shared" ca="1" si="36"/>
        <v>274.79341006194716</v>
      </c>
      <c r="AE14" s="2">
        <f t="shared" ca="1" si="36"/>
        <v>207.90198024443444</v>
      </c>
      <c r="AF14" s="2">
        <f t="shared" ca="1" si="36"/>
        <v>266.13801433287136</v>
      </c>
      <c r="AG14" s="2">
        <f t="shared" ca="1" si="36"/>
        <v>297.41737584697415</v>
      </c>
      <c r="AH14" s="2">
        <f t="shared" ca="1" si="36"/>
        <v>241.61446387634976</v>
      </c>
    </row>
    <row r="15" spans="1:34">
      <c r="A15" t="str">
        <f t="shared" si="33"/>
        <v>Sorghum</v>
      </c>
      <c r="B15" t="str">
        <f t="shared" ref="B15:B68" si="37">B4</f>
        <v>Afar</v>
      </c>
      <c r="C15" s="2">
        <f t="shared" ca="1" si="34"/>
        <v>292.1162780974808</v>
      </c>
      <c r="D15" s="2">
        <f t="shared" ca="1" si="34"/>
        <v>226.93389959916749</v>
      </c>
      <c r="E15" s="2">
        <f t="shared" ca="1" si="34"/>
        <v>217.38826876772853</v>
      </c>
      <c r="F15" s="2">
        <f t="shared" ca="1" si="34"/>
        <v>255.85217301472608</v>
      </c>
      <c r="G15" s="2">
        <f t="shared" ca="1" si="34"/>
        <v>246.51219491947649</v>
      </c>
      <c r="H15" s="2">
        <f t="shared" ca="1" si="34"/>
        <v>204.34065224739584</v>
      </c>
      <c r="I15" s="2">
        <f t="shared" ca="1" si="34"/>
        <v>236.3520606883931</v>
      </c>
      <c r="J15" s="2">
        <f t="shared" ca="1" si="34"/>
        <v>214.76052555370595</v>
      </c>
      <c r="K15" s="2">
        <f t="shared" ca="1" si="34"/>
        <v>204.06398908735284</v>
      </c>
      <c r="L15" s="2">
        <f t="shared" ca="1" si="34"/>
        <v>296.02857525942483</v>
      </c>
      <c r="M15" s="2">
        <f t="shared" ca="1" si="34"/>
        <v>273.93911005432005</v>
      </c>
      <c r="N15" s="2">
        <f t="shared" ca="1" si="34"/>
        <v>254.11196274893459</v>
      </c>
      <c r="O15" s="2">
        <f t="shared" ca="1" si="34"/>
        <v>246.13774316879451</v>
      </c>
      <c r="P15" s="2">
        <f t="shared" ca="1" si="34"/>
        <v>213.1196192339616</v>
      </c>
      <c r="Q15" s="2">
        <f t="shared" ca="1" si="34"/>
        <v>273.91182000939506</v>
      </c>
      <c r="R15" s="2">
        <f t="shared" ca="1" si="34"/>
        <v>297.98477224572918</v>
      </c>
      <c r="S15" s="2">
        <f t="shared" ca="1" si="35"/>
        <v>277.44317267091657</v>
      </c>
      <c r="T15" s="2">
        <f t="shared" ca="1" si="35"/>
        <v>286.31857946747442</v>
      </c>
      <c r="U15" s="2">
        <f t="shared" ca="1" si="35"/>
        <v>236.34223987380892</v>
      </c>
      <c r="V15" s="2">
        <f t="shared" ca="1" si="35"/>
        <v>233.83675229471618</v>
      </c>
      <c r="W15" s="2">
        <f t="shared" ca="1" si="35"/>
        <v>298.54519682992054</v>
      </c>
      <c r="X15" s="2">
        <f t="shared" ca="1" si="35"/>
        <v>282.37921220762757</v>
      </c>
      <c r="Y15" s="2">
        <f t="shared" ca="1" si="35"/>
        <v>262.33783761599716</v>
      </c>
      <c r="Z15" s="2">
        <f t="shared" ca="1" si="35"/>
        <v>248.32552501795215</v>
      </c>
      <c r="AA15" s="2">
        <f t="shared" ca="1" si="36"/>
        <v>276.71583955037579</v>
      </c>
      <c r="AB15" s="2">
        <f t="shared" ca="1" si="36"/>
        <v>226.80426496923039</v>
      </c>
      <c r="AC15" s="2">
        <f t="shared" ca="1" si="36"/>
        <v>230.67353478530649</v>
      </c>
      <c r="AD15" s="2">
        <f t="shared" ca="1" si="36"/>
        <v>232.07153312821217</v>
      </c>
      <c r="AE15" s="2">
        <f t="shared" ca="1" si="36"/>
        <v>200.35524350638147</v>
      </c>
      <c r="AF15" s="2">
        <f t="shared" ca="1" si="36"/>
        <v>231.35919369542441</v>
      </c>
      <c r="AG15" s="2">
        <f t="shared" ca="1" si="36"/>
        <v>298.63229937928782</v>
      </c>
      <c r="AH15" s="2">
        <f t="shared" ca="1" si="36"/>
        <v>251.12162490827492</v>
      </c>
    </row>
    <row r="16" spans="1:34">
      <c r="A16" t="str">
        <f t="shared" si="33"/>
        <v>Sorghum</v>
      </c>
      <c r="B16" t="str">
        <f t="shared" si="37"/>
        <v>Amhara</v>
      </c>
      <c r="C16" s="2">
        <f t="shared" ca="1" si="34"/>
        <v>250.19132894480117</v>
      </c>
      <c r="D16" s="2">
        <f t="shared" ca="1" si="34"/>
        <v>247.58017407432885</v>
      </c>
      <c r="E16" s="2">
        <f t="shared" ca="1" si="34"/>
        <v>273.59753535922147</v>
      </c>
      <c r="F16" s="2">
        <f t="shared" ca="1" si="34"/>
        <v>248.91007799553316</v>
      </c>
      <c r="G16" s="2">
        <f t="shared" ca="1" si="34"/>
        <v>260.19943042294477</v>
      </c>
      <c r="H16" s="2">
        <f t="shared" ca="1" si="34"/>
        <v>216.30773774865619</v>
      </c>
      <c r="I16" s="2">
        <f t="shared" ca="1" si="34"/>
        <v>223.77735158559008</v>
      </c>
      <c r="J16" s="2">
        <f t="shared" ca="1" si="34"/>
        <v>270.47479994089639</v>
      </c>
      <c r="K16" s="2">
        <f t="shared" ca="1" si="34"/>
        <v>203.47177484060327</v>
      </c>
      <c r="L16" s="2">
        <f t="shared" ca="1" si="34"/>
        <v>243.55770466399863</v>
      </c>
      <c r="M16" s="2">
        <f t="shared" ca="1" si="34"/>
        <v>263.52511124600392</v>
      </c>
      <c r="N16" s="2">
        <f t="shared" ca="1" si="34"/>
        <v>250.11529953107981</v>
      </c>
      <c r="O16" s="2">
        <f t="shared" ca="1" si="34"/>
        <v>268.31702755158551</v>
      </c>
      <c r="P16" s="2">
        <f t="shared" ca="1" si="34"/>
        <v>222.52739931590719</v>
      </c>
      <c r="Q16" s="2">
        <f t="shared" ca="1" si="34"/>
        <v>238.29760798239076</v>
      </c>
      <c r="R16" s="2">
        <f t="shared" ca="1" si="34"/>
        <v>214.33778180603454</v>
      </c>
      <c r="S16" s="2">
        <f t="shared" ca="1" si="35"/>
        <v>204.68731128829819</v>
      </c>
      <c r="T16" s="2">
        <f t="shared" ca="1" si="35"/>
        <v>235.5146352491987</v>
      </c>
      <c r="U16" s="2">
        <f t="shared" ca="1" si="35"/>
        <v>225.76844901020223</v>
      </c>
      <c r="V16" s="2">
        <f t="shared" ca="1" si="35"/>
        <v>219.76725694119764</v>
      </c>
      <c r="W16" s="2">
        <f t="shared" ca="1" si="35"/>
        <v>279.30318601584332</v>
      </c>
      <c r="X16" s="2">
        <f t="shared" ca="1" si="35"/>
        <v>227.89460455337124</v>
      </c>
      <c r="Y16" s="2">
        <f t="shared" ca="1" si="35"/>
        <v>232.25007647442135</v>
      </c>
      <c r="Z16" s="2">
        <f t="shared" ca="1" si="35"/>
        <v>280.19379872447672</v>
      </c>
      <c r="AA16" s="2">
        <f t="shared" ca="1" si="36"/>
        <v>226.99732917057608</v>
      </c>
      <c r="AB16" s="2">
        <f t="shared" ca="1" si="36"/>
        <v>286.2712277473226</v>
      </c>
      <c r="AC16" s="2">
        <f t="shared" ca="1" si="36"/>
        <v>218.68776480690971</v>
      </c>
      <c r="AD16" s="2">
        <f t="shared" ca="1" si="36"/>
        <v>235.40245671088394</v>
      </c>
      <c r="AE16" s="2">
        <f t="shared" ca="1" si="36"/>
        <v>227.90878348517754</v>
      </c>
      <c r="AF16" s="2">
        <f t="shared" ca="1" si="36"/>
        <v>283.22746427180607</v>
      </c>
      <c r="AG16" s="2">
        <f t="shared" ca="1" si="36"/>
        <v>229.02420880387254</v>
      </c>
      <c r="AH16" s="2">
        <f t="shared" ca="1" si="36"/>
        <v>271.14111401297743</v>
      </c>
    </row>
    <row r="17" spans="1:34">
      <c r="A17" t="str">
        <f t="shared" si="33"/>
        <v>Sorghum</v>
      </c>
      <c r="B17" t="str">
        <f t="shared" si="37"/>
        <v>Gumuz</v>
      </c>
      <c r="C17" s="2">
        <f t="shared" ca="1" si="34"/>
        <v>218.91572677159292</v>
      </c>
      <c r="D17" s="2">
        <f t="shared" ca="1" si="34"/>
        <v>267.28255951181643</v>
      </c>
      <c r="E17" s="2">
        <f t="shared" ca="1" si="34"/>
        <v>214.83130781744651</v>
      </c>
      <c r="F17" s="2">
        <f t="shared" ca="1" si="34"/>
        <v>286.4740392547663</v>
      </c>
      <c r="G17" s="2">
        <f t="shared" ca="1" si="34"/>
        <v>264.29255432531664</v>
      </c>
      <c r="H17" s="2">
        <f t="shared" ca="1" si="34"/>
        <v>243.12321798827745</v>
      </c>
      <c r="I17" s="2">
        <f t="shared" ca="1" si="34"/>
        <v>260.94204640546855</v>
      </c>
      <c r="J17" s="2">
        <f t="shared" ca="1" si="34"/>
        <v>232.64915140316842</v>
      </c>
      <c r="K17" s="2">
        <f t="shared" ca="1" si="34"/>
        <v>259.31769845534615</v>
      </c>
      <c r="L17" s="2">
        <f t="shared" ca="1" si="34"/>
        <v>294.37101647666719</v>
      </c>
      <c r="M17" s="2">
        <f t="shared" ca="1" si="34"/>
        <v>205.4558886100717</v>
      </c>
      <c r="N17" s="2">
        <f t="shared" ca="1" si="34"/>
        <v>286.16718844387202</v>
      </c>
      <c r="O17" s="2">
        <f t="shared" ca="1" si="34"/>
        <v>299.2304811263013</v>
      </c>
      <c r="P17" s="2">
        <f t="shared" ca="1" si="34"/>
        <v>279.79268657732871</v>
      </c>
      <c r="Q17" s="2">
        <f t="shared" ca="1" si="34"/>
        <v>263.57447107603889</v>
      </c>
      <c r="R17" s="2">
        <f t="shared" ca="1" si="34"/>
        <v>238.99176662274479</v>
      </c>
      <c r="S17" s="2">
        <f t="shared" ca="1" si="35"/>
        <v>252.15855702690843</v>
      </c>
      <c r="T17" s="2">
        <f t="shared" ca="1" si="35"/>
        <v>208.66717959475318</v>
      </c>
      <c r="U17" s="2">
        <f t="shared" ca="1" si="35"/>
        <v>228.94279760393115</v>
      </c>
      <c r="V17" s="2">
        <f t="shared" ca="1" si="35"/>
        <v>239.12482768060315</v>
      </c>
      <c r="W17" s="2">
        <f t="shared" ca="1" si="35"/>
        <v>287.13952340194697</v>
      </c>
      <c r="X17" s="2">
        <f t="shared" ca="1" si="35"/>
        <v>200.13322795473866</v>
      </c>
      <c r="Y17" s="2">
        <f t="shared" ca="1" si="35"/>
        <v>236.21712675359055</v>
      </c>
      <c r="Z17" s="2">
        <f t="shared" ca="1" si="35"/>
        <v>237.08741235726305</v>
      </c>
      <c r="AA17" s="2">
        <f t="shared" ca="1" si="36"/>
        <v>209.50927745220235</v>
      </c>
      <c r="AB17" s="2">
        <f t="shared" ca="1" si="36"/>
        <v>286.87060387334736</v>
      </c>
      <c r="AC17" s="2">
        <f t="shared" ca="1" si="36"/>
        <v>252.31457244342073</v>
      </c>
      <c r="AD17" s="2">
        <f t="shared" ca="1" si="36"/>
        <v>214.12559774939419</v>
      </c>
      <c r="AE17" s="2">
        <f t="shared" ca="1" si="36"/>
        <v>209.46101851729742</v>
      </c>
      <c r="AF17" s="2">
        <f t="shared" ca="1" si="36"/>
        <v>210.28324408353404</v>
      </c>
      <c r="AG17" s="2">
        <f t="shared" ca="1" si="36"/>
        <v>203.14077038441667</v>
      </c>
      <c r="AH17" s="2">
        <f t="shared" ca="1" si="36"/>
        <v>215.54136934474718</v>
      </c>
    </row>
    <row r="18" spans="1:34">
      <c r="A18" t="str">
        <f t="shared" si="33"/>
        <v>Sorghum</v>
      </c>
      <c r="B18" t="str">
        <f t="shared" si="37"/>
        <v>DireDawa</v>
      </c>
      <c r="C18" s="2">
        <f t="shared" ca="1" si="34"/>
        <v>271.09960085029871</v>
      </c>
      <c r="D18" s="2">
        <f t="shared" ca="1" si="34"/>
        <v>253.43131863992841</v>
      </c>
      <c r="E18" s="2">
        <f t="shared" ca="1" si="34"/>
        <v>294.1612531268654</v>
      </c>
      <c r="F18" s="2">
        <f t="shared" ca="1" si="34"/>
        <v>229.9165512863886</v>
      </c>
      <c r="G18" s="2">
        <f t="shared" ca="1" si="34"/>
        <v>286.49269729100604</v>
      </c>
      <c r="H18" s="2">
        <f t="shared" ca="1" si="34"/>
        <v>230.14813672149276</v>
      </c>
      <c r="I18" s="2">
        <f t="shared" ca="1" si="34"/>
        <v>221.21936369325138</v>
      </c>
      <c r="J18" s="2">
        <f t="shared" ca="1" si="34"/>
        <v>202.74367245938342</v>
      </c>
      <c r="K18" s="2">
        <f t="shared" ca="1" si="34"/>
        <v>229.05790959263715</v>
      </c>
      <c r="L18" s="2">
        <f t="shared" ca="1" si="34"/>
        <v>242.337985788852</v>
      </c>
      <c r="M18" s="2">
        <f t="shared" ca="1" si="34"/>
        <v>272.61167875048369</v>
      </c>
      <c r="N18" s="2">
        <f t="shared" ca="1" si="34"/>
        <v>259.32040973770717</v>
      </c>
      <c r="O18" s="2">
        <f t="shared" ca="1" si="34"/>
        <v>289.45991641338316</v>
      </c>
      <c r="P18" s="2">
        <f t="shared" ca="1" si="34"/>
        <v>265.0592960927147</v>
      </c>
      <c r="Q18" s="2">
        <f t="shared" ca="1" si="34"/>
        <v>208.98422310694576</v>
      </c>
      <c r="R18" s="2">
        <f t="shared" ca="1" si="34"/>
        <v>262.15107138335452</v>
      </c>
      <c r="S18" s="2">
        <f t="shared" ca="1" si="35"/>
        <v>288.38078252297049</v>
      </c>
      <c r="T18" s="2">
        <f t="shared" ca="1" si="35"/>
        <v>282.67781064254979</v>
      </c>
      <c r="U18" s="2">
        <f t="shared" ca="1" si="35"/>
        <v>275.78912289052209</v>
      </c>
      <c r="V18" s="2">
        <f t="shared" ca="1" si="35"/>
        <v>221.61133386034183</v>
      </c>
      <c r="W18" s="2">
        <f t="shared" ca="1" si="35"/>
        <v>251.25874406932661</v>
      </c>
      <c r="X18" s="2">
        <f t="shared" ca="1" si="35"/>
        <v>238.1145092658262</v>
      </c>
      <c r="Y18" s="2">
        <f t="shared" ca="1" si="35"/>
        <v>263.24905207747287</v>
      </c>
      <c r="Z18" s="2">
        <f t="shared" ca="1" si="35"/>
        <v>289.63616614236355</v>
      </c>
      <c r="AA18" s="2">
        <f t="shared" ca="1" si="36"/>
        <v>262.71076847560249</v>
      </c>
      <c r="AB18" s="2">
        <f t="shared" ca="1" si="36"/>
        <v>210.07124233012345</v>
      </c>
      <c r="AC18" s="2">
        <f t="shared" ca="1" si="36"/>
        <v>287.09343416216723</v>
      </c>
      <c r="AD18" s="2">
        <f t="shared" ca="1" si="36"/>
        <v>223.17973993775206</v>
      </c>
      <c r="AE18" s="2">
        <f t="shared" ca="1" si="36"/>
        <v>253.60719695277632</v>
      </c>
      <c r="AF18" s="2">
        <f t="shared" ca="1" si="36"/>
        <v>227.45834408903133</v>
      </c>
      <c r="AG18" s="2">
        <f t="shared" ca="1" si="36"/>
        <v>253.35520297744102</v>
      </c>
      <c r="AH18" s="2">
        <f t="shared" ca="1" si="36"/>
        <v>232.58238678398317</v>
      </c>
    </row>
    <row r="19" spans="1:34">
      <c r="A19" t="str">
        <f t="shared" si="33"/>
        <v>Sorghum</v>
      </c>
      <c r="B19" t="str">
        <f t="shared" si="37"/>
        <v>Gambela</v>
      </c>
      <c r="C19" s="2">
        <f t="shared" ca="1" si="34"/>
        <v>227.2102108916279</v>
      </c>
      <c r="D19" s="2">
        <f t="shared" ca="1" si="34"/>
        <v>276.3581880094921</v>
      </c>
      <c r="E19" s="2">
        <f t="shared" ca="1" si="34"/>
        <v>287.19244490650675</v>
      </c>
      <c r="F19" s="2">
        <f t="shared" ca="1" si="34"/>
        <v>270.67053178445695</v>
      </c>
      <c r="G19" s="2">
        <f t="shared" ca="1" si="34"/>
        <v>226.22456626717781</v>
      </c>
      <c r="H19" s="2">
        <f t="shared" ca="1" si="34"/>
        <v>276.4965574566337</v>
      </c>
      <c r="I19" s="2">
        <f t="shared" ca="1" si="34"/>
        <v>238.88884784948564</v>
      </c>
      <c r="J19" s="2">
        <f t="shared" ca="1" si="34"/>
        <v>283.08708818622739</v>
      </c>
      <c r="K19" s="2">
        <f t="shared" ca="1" si="34"/>
        <v>230.40358326407951</v>
      </c>
      <c r="L19" s="2">
        <f t="shared" ca="1" si="34"/>
        <v>283.54959521728586</v>
      </c>
      <c r="M19" s="2">
        <f t="shared" ca="1" si="34"/>
        <v>283.40024110924526</v>
      </c>
      <c r="N19" s="2">
        <f t="shared" ca="1" si="34"/>
        <v>234.63879776292461</v>
      </c>
      <c r="O19" s="2">
        <f t="shared" ca="1" si="34"/>
        <v>207.40735119605191</v>
      </c>
      <c r="P19" s="2">
        <f t="shared" ca="1" si="34"/>
        <v>203.15337340977692</v>
      </c>
      <c r="Q19" s="2">
        <f t="shared" ca="1" si="34"/>
        <v>226.91627351536542</v>
      </c>
      <c r="R19" s="2">
        <f t="shared" ca="1" si="34"/>
        <v>252.52793326803786</v>
      </c>
      <c r="S19" s="2">
        <f t="shared" ca="1" si="35"/>
        <v>262.57153330754386</v>
      </c>
      <c r="T19" s="2">
        <f t="shared" ca="1" si="35"/>
        <v>268.34071277537038</v>
      </c>
      <c r="U19" s="2">
        <f t="shared" ca="1" si="35"/>
        <v>266.5812399793947</v>
      </c>
      <c r="V19" s="2">
        <f t="shared" ca="1" si="35"/>
        <v>247.18756215154679</v>
      </c>
      <c r="W19" s="2">
        <f t="shared" ca="1" si="35"/>
        <v>201.01186769926227</v>
      </c>
      <c r="X19" s="2">
        <f t="shared" ca="1" si="35"/>
        <v>249.73323466663615</v>
      </c>
      <c r="Y19" s="2">
        <f t="shared" ca="1" si="35"/>
        <v>249.97058889721666</v>
      </c>
      <c r="Z19" s="2">
        <f t="shared" ca="1" si="35"/>
        <v>266.95842761101318</v>
      </c>
      <c r="AA19" s="2">
        <f t="shared" ca="1" si="36"/>
        <v>284.04260131980334</v>
      </c>
      <c r="AB19" s="2">
        <f t="shared" ca="1" si="36"/>
        <v>237.79385738631572</v>
      </c>
      <c r="AC19" s="2">
        <f t="shared" ca="1" si="36"/>
        <v>263.28378931005761</v>
      </c>
      <c r="AD19" s="2">
        <f t="shared" ca="1" si="36"/>
        <v>251.9497360391041</v>
      </c>
      <c r="AE19" s="2">
        <f t="shared" ca="1" si="36"/>
        <v>248.08817431895</v>
      </c>
      <c r="AF19" s="2">
        <f t="shared" ca="1" si="36"/>
        <v>225.46908069464183</v>
      </c>
      <c r="AG19" s="2">
        <f t="shared" ca="1" si="36"/>
        <v>271.74551117102203</v>
      </c>
      <c r="AH19" s="2">
        <f t="shared" ca="1" si="36"/>
        <v>256.54685052365653</v>
      </c>
    </row>
    <row r="20" spans="1:34">
      <c r="A20" t="str">
        <f t="shared" si="33"/>
        <v>Sorghum</v>
      </c>
      <c r="B20" t="str">
        <f t="shared" si="37"/>
        <v>Harari</v>
      </c>
      <c r="C20" s="2">
        <f t="shared" ca="1" si="34"/>
        <v>240.69812332107236</v>
      </c>
      <c r="D20" s="2">
        <f t="shared" ca="1" si="34"/>
        <v>266.20798226971209</v>
      </c>
      <c r="E20" s="2">
        <f t="shared" ca="1" si="34"/>
        <v>277.97486758962674</v>
      </c>
      <c r="F20" s="2">
        <f t="shared" ca="1" si="34"/>
        <v>274.41011379863471</v>
      </c>
      <c r="G20" s="2">
        <f t="shared" ca="1" si="34"/>
        <v>221.83025387975243</v>
      </c>
      <c r="H20" s="2">
        <f t="shared" ca="1" si="34"/>
        <v>253.37644236033969</v>
      </c>
      <c r="I20" s="2">
        <f t="shared" ca="1" si="34"/>
        <v>246.78450009274226</v>
      </c>
      <c r="J20" s="2">
        <f t="shared" ca="1" si="34"/>
        <v>253.37474647860839</v>
      </c>
      <c r="K20" s="2">
        <f t="shared" ca="1" si="34"/>
        <v>220.15384139057937</v>
      </c>
      <c r="L20" s="2">
        <f t="shared" ca="1" si="34"/>
        <v>274.92908115050449</v>
      </c>
      <c r="M20" s="2">
        <f t="shared" ca="1" si="34"/>
        <v>231.50469691576322</v>
      </c>
      <c r="N20" s="2">
        <f t="shared" ca="1" si="34"/>
        <v>291.93057642703388</v>
      </c>
      <c r="O20" s="2">
        <f t="shared" ca="1" si="34"/>
        <v>281.80972256313032</v>
      </c>
      <c r="P20" s="2">
        <f t="shared" ca="1" si="34"/>
        <v>287.51318333198509</v>
      </c>
      <c r="Q20" s="2">
        <f t="shared" ca="1" si="34"/>
        <v>201.98934458901167</v>
      </c>
      <c r="R20" s="2">
        <f t="shared" ca="1" si="34"/>
        <v>244.23302050220227</v>
      </c>
      <c r="S20" s="2">
        <f t="shared" ca="1" si="35"/>
        <v>281.87272061724542</v>
      </c>
      <c r="T20" s="2">
        <f t="shared" ca="1" si="35"/>
        <v>237.70120641740462</v>
      </c>
      <c r="U20" s="2">
        <f t="shared" ca="1" si="35"/>
        <v>225.06322448684381</v>
      </c>
      <c r="V20" s="2">
        <f t="shared" ca="1" si="35"/>
        <v>259.7366732524834</v>
      </c>
      <c r="W20" s="2">
        <f t="shared" ca="1" si="35"/>
        <v>247.88514625326457</v>
      </c>
      <c r="X20" s="2">
        <f t="shared" ca="1" si="35"/>
        <v>210.11394862586172</v>
      </c>
      <c r="Y20" s="2">
        <f t="shared" ca="1" si="35"/>
        <v>231.20176236987834</v>
      </c>
      <c r="Z20" s="2">
        <f t="shared" ca="1" si="35"/>
        <v>261.03876437449748</v>
      </c>
      <c r="AA20" s="2">
        <f t="shared" ca="1" si="36"/>
        <v>249.22448899068459</v>
      </c>
      <c r="AB20" s="2">
        <f t="shared" ca="1" si="36"/>
        <v>265.68072291851951</v>
      </c>
      <c r="AC20" s="2">
        <f t="shared" ca="1" si="36"/>
        <v>282.30428081464731</v>
      </c>
      <c r="AD20" s="2">
        <f t="shared" ca="1" si="36"/>
        <v>292.83585294833182</v>
      </c>
      <c r="AE20" s="2">
        <f t="shared" ca="1" si="36"/>
        <v>249.33216123212304</v>
      </c>
      <c r="AF20" s="2">
        <f t="shared" ca="1" si="36"/>
        <v>256.8749517867422</v>
      </c>
      <c r="AG20" s="2">
        <f t="shared" ca="1" si="36"/>
        <v>268.78427978642327</v>
      </c>
      <c r="AH20" s="2">
        <f t="shared" ca="1" si="36"/>
        <v>228.40736225984043</v>
      </c>
    </row>
    <row r="21" spans="1:34">
      <c r="A21" t="str">
        <f t="shared" si="33"/>
        <v>Sorghum</v>
      </c>
      <c r="B21" t="str">
        <f t="shared" si="37"/>
        <v>Oromia</v>
      </c>
      <c r="C21" s="2">
        <f t="shared" ca="1" si="34"/>
        <v>263.17529242379862</v>
      </c>
      <c r="D21" s="2">
        <f t="shared" ca="1" si="34"/>
        <v>259.33553014382704</v>
      </c>
      <c r="E21" s="2">
        <f t="shared" ca="1" si="34"/>
        <v>269.14165992111299</v>
      </c>
      <c r="F21" s="2">
        <f t="shared" ca="1" si="34"/>
        <v>205.17951262677735</v>
      </c>
      <c r="G21" s="2">
        <f t="shared" ca="1" si="34"/>
        <v>292.32589319112634</v>
      </c>
      <c r="H21" s="2">
        <f t="shared" ca="1" si="34"/>
        <v>249.15231646244348</v>
      </c>
      <c r="I21" s="2">
        <f t="shared" ca="1" si="34"/>
        <v>221.17601768242733</v>
      </c>
      <c r="J21" s="2">
        <f t="shared" ca="1" si="34"/>
        <v>273.97370060534143</v>
      </c>
      <c r="K21" s="2">
        <f t="shared" ca="1" si="34"/>
        <v>244.12960615293215</v>
      </c>
      <c r="L21" s="2">
        <f t="shared" ca="1" si="34"/>
        <v>228.671258965373</v>
      </c>
      <c r="M21" s="2">
        <f t="shared" ca="1" si="34"/>
        <v>299.54744790999598</v>
      </c>
      <c r="N21" s="2">
        <f t="shared" ca="1" si="34"/>
        <v>259.98631148484594</v>
      </c>
      <c r="O21" s="2">
        <f t="shared" ca="1" si="34"/>
        <v>264.76523475461391</v>
      </c>
      <c r="P21" s="2">
        <f t="shared" ca="1" si="34"/>
        <v>203.69570017866101</v>
      </c>
      <c r="Q21" s="2">
        <f t="shared" ca="1" si="34"/>
        <v>248.0560627632054</v>
      </c>
      <c r="R21" s="2">
        <f t="shared" ca="1" si="34"/>
        <v>245.45652478753709</v>
      </c>
      <c r="S21" s="2">
        <f t="shared" ca="1" si="35"/>
        <v>236.49777282604899</v>
      </c>
      <c r="T21" s="2">
        <f t="shared" ca="1" si="35"/>
        <v>226.17094158259397</v>
      </c>
      <c r="U21" s="2">
        <f t="shared" ca="1" si="35"/>
        <v>251.5582494981301</v>
      </c>
      <c r="V21" s="2">
        <f t="shared" ca="1" si="35"/>
        <v>238.31130268961925</v>
      </c>
      <c r="W21" s="2">
        <f t="shared" ca="1" si="35"/>
        <v>237.4248693811536</v>
      </c>
      <c r="X21" s="2">
        <f t="shared" ca="1" si="35"/>
        <v>273.63496511006281</v>
      </c>
      <c r="Y21" s="2">
        <f t="shared" ca="1" si="35"/>
        <v>202.17976627608135</v>
      </c>
      <c r="Z21" s="2">
        <f t="shared" ca="1" si="35"/>
        <v>257.97557281232991</v>
      </c>
      <c r="AA21" s="2">
        <f t="shared" ca="1" si="36"/>
        <v>234.78194126269338</v>
      </c>
      <c r="AB21" s="2">
        <f t="shared" ca="1" si="36"/>
        <v>268.80376410344519</v>
      </c>
      <c r="AC21" s="2">
        <f t="shared" ca="1" si="36"/>
        <v>288.81123411578017</v>
      </c>
      <c r="AD21" s="2">
        <f t="shared" ca="1" si="36"/>
        <v>257.43285023463676</v>
      </c>
      <c r="AE21" s="2">
        <f t="shared" ca="1" si="36"/>
        <v>238.63078301082945</v>
      </c>
      <c r="AF21" s="2">
        <f t="shared" ca="1" si="36"/>
        <v>251.96981045948181</v>
      </c>
      <c r="AG21" s="2">
        <f t="shared" ca="1" si="36"/>
        <v>274.97339503002831</v>
      </c>
      <c r="AH21" s="2">
        <f t="shared" ca="1" si="36"/>
        <v>278.14977251917179</v>
      </c>
    </row>
    <row r="22" spans="1:34">
      <c r="A22" t="str">
        <f t="shared" si="33"/>
        <v>Sorghum</v>
      </c>
      <c r="B22" t="str">
        <f t="shared" si="37"/>
        <v>Somali</v>
      </c>
      <c r="C22" s="2">
        <f t="shared" ca="1" si="34"/>
        <v>247.12778964891123</v>
      </c>
      <c r="D22" s="2">
        <f t="shared" ca="1" si="34"/>
        <v>292.64783005701281</v>
      </c>
      <c r="E22" s="2">
        <f t="shared" ca="1" si="34"/>
        <v>212.96375080379573</v>
      </c>
      <c r="F22" s="2">
        <f t="shared" ca="1" si="34"/>
        <v>211.06397792085437</v>
      </c>
      <c r="G22" s="2">
        <f t="shared" ca="1" si="34"/>
        <v>232.24513748363705</v>
      </c>
      <c r="H22" s="2">
        <f t="shared" ca="1" si="34"/>
        <v>242.1598809416551</v>
      </c>
      <c r="I22" s="2">
        <f t="shared" ca="1" si="34"/>
        <v>217.34660015724873</v>
      </c>
      <c r="J22" s="2">
        <f t="shared" ca="1" si="34"/>
        <v>269.09204573535834</v>
      </c>
      <c r="K22" s="2">
        <f t="shared" ca="1" si="34"/>
        <v>200.313866959146</v>
      </c>
      <c r="L22" s="2">
        <f t="shared" ca="1" si="34"/>
        <v>292.08099970768552</v>
      </c>
      <c r="M22" s="2">
        <f t="shared" ca="1" si="34"/>
        <v>281.33682326765336</v>
      </c>
      <c r="N22" s="2">
        <f t="shared" ca="1" si="34"/>
        <v>243.34922979225047</v>
      </c>
      <c r="O22" s="2">
        <f t="shared" ca="1" si="34"/>
        <v>200.31127617349432</v>
      </c>
      <c r="P22" s="2">
        <f t="shared" ca="1" si="34"/>
        <v>205.5515030375</v>
      </c>
      <c r="Q22" s="2">
        <f t="shared" ca="1" si="34"/>
        <v>277.91169328723731</v>
      </c>
      <c r="R22" s="2">
        <f t="shared" ca="1" si="34"/>
        <v>257.74702242179615</v>
      </c>
      <c r="S22" s="2">
        <f t="shared" ca="1" si="35"/>
        <v>278.79043282333214</v>
      </c>
      <c r="T22" s="2">
        <f t="shared" ca="1" si="35"/>
        <v>282.85872756979779</v>
      </c>
      <c r="U22" s="2">
        <f t="shared" ca="1" si="35"/>
        <v>260.66060650898629</v>
      </c>
      <c r="V22" s="2">
        <f t="shared" ca="1" si="35"/>
        <v>299.48051511257751</v>
      </c>
      <c r="W22" s="2">
        <f t="shared" ca="1" si="35"/>
        <v>228.03222435205495</v>
      </c>
      <c r="X22" s="2">
        <f t="shared" ca="1" si="35"/>
        <v>200.29763656242955</v>
      </c>
      <c r="Y22" s="2">
        <f t="shared" ca="1" si="35"/>
        <v>254.20191886908029</v>
      </c>
      <c r="Z22" s="2">
        <f t="shared" ca="1" si="35"/>
        <v>292.2562776869346</v>
      </c>
      <c r="AA22" s="2">
        <f t="shared" ca="1" si="36"/>
        <v>271.60910751246416</v>
      </c>
      <c r="AB22" s="2">
        <f t="shared" ca="1" si="36"/>
        <v>257.39594338708304</v>
      </c>
      <c r="AC22" s="2">
        <f t="shared" ca="1" si="36"/>
        <v>209.66282791231822</v>
      </c>
      <c r="AD22" s="2">
        <f t="shared" ca="1" si="36"/>
        <v>258.43519002324172</v>
      </c>
      <c r="AE22" s="2">
        <f t="shared" ca="1" si="36"/>
        <v>271.55700579983574</v>
      </c>
      <c r="AF22" s="2">
        <f t="shared" ca="1" si="36"/>
        <v>289.65906263835979</v>
      </c>
      <c r="AG22" s="2">
        <f t="shared" ca="1" si="36"/>
        <v>221.862898305816</v>
      </c>
      <c r="AH22" s="2">
        <f t="shared" ca="1" si="36"/>
        <v>263.55098551571655</v>
      </c>
    </row>
    <row r="23" spans="1:34">
      <c r="A23" t="str">
        <f t="shared" si="33"/>
        <v>Sorghum</v>
      </c>
      <c r="B23" t="str">
        <f t="shared" si="37"/>
        <v>SNNPR</v>
      </c>
      <c r="C23" s="2">
        <f t="shared" ca="1" si="34"/>
        <v>229.35219922159399</v>
      </c>
      <c r="D23" s="2">
        <f t="shared" ca="1" si="34"/>
        <v>250.78584278631416</v>
      </c>
      <c r="E23" s="2">
        <f t="shared" ca="1" si="34"/>
        <v>286.03495887397031</v>
      </c>
      <c r="F23" s="2">
        <f t="shared" ca="1" si="34"/>
        <v>297.82713287543589</v>
      </c>
      <c r="G23" s="2">
        <f t="shared" ca="1" si="34"/>
        <v>279.33034485572261</v>
      </c>
      <c r="H23" s="2">
        <f t="shared" ca="1" si="34"/>
        <v>279.26557028237551</v>
      </c>
      <c r="I23" s="2">
        <f t="shared" ca="1" si="34"/>
        <v>291.12744810956343</v>
      </c>
      <c r="J23" s="2">
        <f t="shared" ca="1" si="34"/>
        <v>249.67855950219052</v>
      </c>
      <c r="K23" s="2">
        <f t="shared" ca="1" si="34"/>
        <v>237.81471287591134</v>
      </c>
      <c r="L23" s="2">
        <f t="shared" ca="1" si="34"/>
        <v>232.40574217822365</v>
      </c>
      <c r="M23" s="2">
        <f t="shared" ca="1" si="34"/>
        <v>204.97374585595196</v>
      </c>
      <c r="N23" s="2">
        <f t="shared" ca="1" si="34"/>
        <v>284.29239010428768</v>
      </c>
      <c r="O23" s="2">
        <f t="shared" ca="1" si="34"/>
        <v>258.14617040565025</v>
      </c>
      <c r="P23" s="2">
        <f t="shared" ca="1" si="34"/>
        <v>227.2912345000822</v>
      </c>
      <c r="Q23" s="2">
        <f t="shared" ca="1" si="34"/>
        <v>234.8806478913553</v>
      </c>
      <c r="R23" s="2">
        <f t="shared" ca="1" si="34"/>
        <v>278.69531298179817</v>
      </c>
      <c r="S23" s="2">
        <f t="shared" ca="1" si="35"/>
        <v>298.83077550097033</v>
      </c>
      <c r="T23" s="2">
        <f t="shared" ca="1" si="35"/>
        <v>230.71398778013958</v>
      </c>
      <c r="U23" s="2">
        <f t="shared" ca="1" si="35"/>
        <v>295.36317238278485</v>
      </c>
      <c r="V23" s="2">
        <f t="shared" ca="1" si="35"/>
        <v>246.07343245382108</v>
      </c>
      <c r="W23" s="2">
        <f t="shared" ca="1" si="35"/>
        <v>273.32514433992731</v>
      </c>
      <c r="X23" s="2">
        <f t="shared" ca="1" si="35"/>
        <v>279.59707844952317</v>
      </c>
      <c r="Y23" s="2">
        <f t="shared" ca="1" si="35"/>
        <v>277.1245667121504</v>
      </c>
      <c r="Z23" s="2">
        <f t="shared" ca="1" si="35"/>
        <v>230.52761682774479</v>
      </c>
      <c r="AA23" s="2">
        <f t="shared" ca="1" si="36"/>
        <v>231.96866624640197</v>
      </c>
      <c r="AB23" s="2">
        <f t="shared" ca="1" si="36"/>
        <v>264.14590903330304</v>
      </c>
      <c r="AC23" s="2">
        <f t="shared" ca="1" si="36"/>
        <v>213.42707421260053</v>
      </c>
      <c r="AD23" s="2">
        <f t="shared" ca="1" si="36"/>
        <v>273.77550878327497</v>
      </c>
      <c r="AE23" s="2">
        <f t="shared" ca="1" si="36"/>
        <v>212.77005702218852</v>
      </c>
      <c r="AF23" s="2">
        <f t="shared" ca="1" si="36"/>
        <v>231.64573193960831</v>
      </c>
      <c r="AG23" s="2">
        <f t="shared" ca="1" si="36"/>
        <v>205.32911307120889</v>
      </c>
      <c r="AH23" s="2">
        <f t="shared" ca="1" si="36"/>
        <v>225.16784495242078</v>
      </c>
    </row>
    <row r="24" spans="1:34">
      <c r="A24" t="str">
        <f t="shared" si="33"/>
        <v>Sorghum</v>
      </c>
      <c r="B24" t="str">
        <f t="shared" si="37"/>
        <v>Tigray</v>
      </c>
      <c r="C24" s="2">
        <f t="shared" ca="1" si="34"/>
        <v>227.10251716749022</v>
      </c>
      <c r="D24" s="2">
        <f t="shared" ca="1" si="34"/>
        <v>241.75582898995179</v>
      </c>
      <c r="E24" s="2">
        <f t="shared" ca="1" si="34"/>
        <v>253.88426916073166</v>
      </c>
      <c r="F24" s="2">
        <f t="shared" ca="1" si="34"/>
        <v>217.20650849938716</v>
      </c>
      <c r="G24" s="2">
        <f t="shared" ca="1" si="34"/>
        <v>253.66665869470739</v>
      </c>
      <c r="H24" s="2">
        <f t="shared" ca="1" si="34"/>
        <v>201.45292276471443</v>
      </c>
      <c r="I24" s="2">
        <f t="shared" ca="1" si="34"/>
        <v>235.75134616488867</v>
      </c>
      <c r="J24" s="2">
        <f t="shared" ca="1" si="34"/>
        <v>256.31960113962782</v>
      </c>
      <c r="K24" s="2">
        <f t="shared" ca="1" si="34"/>
        <v>221.55641032261389</v>
      </c>
      <c r="L24" s="2">
        <f t="shared" ca="1" si="34"/>
        <v>290.79597429140352</v>
      </c>
      <c r="M24" s="2">
        <f t="shared" ca="1" si="34"/>
        <v>284.71450742453965</v>
      </c>
      <c r="N24" s="2">
        <f t="shared" ca="1" si="34"/>
        <v>233.29000881017495</v>
      </c>
      <c r="O24" s="2">
        <f t="shared" ca="1" si="34"/>
        <v>216.61414912032214</v>
      </c>
      <c r="P24" s="2">
        <f t="shared" ca="1" si="34"/>
        <v>237.76696879989129</v>
      </c>
      <c r="Q24" s="2">
        <f t="shared" ca="1" si="34"/>
        <v>271.28896620759821</v>
      </c>
      <c r="R24" s="2">
        <f t="shared" ca="1" si="34"/>
        <v>212.46559991389233</v>
      </c>
      <c r="S24" s="2">
        <f t="shared" ca="1" si="35"/>
        <v>203.54935807843043</v>
      </c>
      <c r="T24" s="2">
        <f t="shared" ca="1" si="35"/>
        <v>248.50091618771413</v>
      </c>
      <c r="U24" s="2">
        <f t="shared" ca="1" si="35"/>
        <v>221.38377229539211</v>
      </c>
      <c r="V24" s="2">
        <f t="shared" ca="1" si="35"/>
        <v>265.42195344640851</v>
      </c>
      <c r="W24" s="2">
        <f t="shared" ca="1" si="35"/>
        <v>284.49755941840874</v>
      </c>
      <c r="X24" s="2">
        <f t="shared" ca="1" si="35"/>
        <v>261.75351717139949</v>
      </c>
      <c r="Y24" s="2">
        <f t="shared" ca="1" si="35"/>
        <v>264.28000995621136</v>
      </c>
      <c r="Z24" s="2">
        <f t="shared" ca="1" si="35"/>
        <v>200.33416913653861</v>
      </c>
      <c r="AA24" s="2">
        <f t="shared" ca="1" si="36"/>
        <v>271.92105889185581</v>
      </c>
      <c r="AB24" s="2">
        <f t="shared" ca="1" si="36"/>
        <v>202.11268309408382</v>
      </c>
      <c r="AC24" s="2">
        <f t="shared" ca="1" si="36"/>
        <v>290.9020770446885</v>
      </c>
      <c r="AD24" s="2">
        <f t="shared" ca="1" si="36"/>
        <v>251.85708837038425</v>
      </c>
      <c r="AE24" s="2">
        <f t="shared" ca="1" si="36"/>
        <v>217.58637305465066</v>
      </c>
      <c r="AF24" s="2">
        <f t="shared" ca="1" si="36"/>
        <v>257.00656103965662</v>
      </c>
      <c r="AG24" s="2">
        <f t="shared" ca="1" si="36"/>
        <v>211.5605256115162</v>
      </c>
      <c r="AH24" s="2">
        <f t="shared" ca="1" si="36"/>
        <v>272.16964341490711</v>
      </c>
    </row>
    <row r="25" spans="1:34">
      <c r="A25" t="str">
        <f t="shared" si="33"/>
        <v>Maize</v>
      </c>
      <c r="B25" t="str">
        <f t="shared" si="37"/>
        <v>AddisAbaba</v>
      </c>
      <c r="C25" s="2">
        <f t="shared" ca="1" si="34"/>
        <v>270.13175631493095</v>
      </c>
      <c r="D25" s="2">
        <f t="shared" ca="1" si="34"/>
        <v>214.62057117804369</v>
      </c>
      <c r="E25" s="2">
        <f t="shared" ca="1" si="34"/>
        <v>240.57895080509181</v>
      </c>
      <c r="F25" s="2">
        <f t="shared" ca="1" si="34"/>
        <v>224.59634212420977</v>
      </c>
      <c r="G25" s="2">
        <f t="shared" ca="1" si="34"/>
        <v>280.5701951197168</v>
      </c>
      <c r="H25" s="2">
        <f t="shared" ca="1" si="34"/>
        <v>237.81545505783299</v>
      </c>
      <c r="I25" s="2">
        <f t="shared" ca="1" si="34"/>
        <v>239.36236403322951</v>
      </c>
      <c r="J25" s="2">
        <f t="shared" ca="1" si="34"/>
        <v>285.25313993073667</v>
      </c>
      <c r="K25" s="2">
        <f t="shared" ca="1" si="34"/>
        <v>214.72952540414769</v>
      </c>
      <c r="L25" s="2">
        <f t="shared" ca="1" si="34"/>
        <v>259.49309154182856</v>
      </c>
      <c r="M25" s="2">
        <f t="shared" ca="1" si="34"/>
        <v>240.49807524673196</v>
      </c>
      <c r="N25" s="2">
        <f t="shared" ca="1" si="34"/>
        <v>265.71412288425444</v>
      </c>
      <c r="O25" s="2">
        <f t="shared" ca="1" si="34"/>
        <v>271.51983753615292</v>
      </c>
      <c r="P25" s="2">
        <f t="shared" ca="1" si="34"/>
        <v>287.98793704223397</v>
      </c>
      <c r="Q25" s="2">
        <f t="shared" ca="1" si="34"/>
        <v>285.50244178322117</v>
      </c>
      <c r="R25" s="2">
        <f t="shared" ca="1" si="34"/>
        <v>211.20458299465383</v>
      </c>
      <c r="S25" s="2">
        <f t="shared" ca="1" si="35"/>
        <v>267.35222212038462</v>
      </c>
      <c r="T25" s="2">
        <f t="shared" ca="1" si="35"/>
        <v>243.01761696824832</v>
      </c>
      <c r="U25" s="2">
        <f t="shared" ca="1" si="35"/>
        <v>268.76057156968568</v>
      </c>
      <c r="V25" s="2">
        <f t="shared" ca="1" si="35"/>
        <v>220.44322923065002</v>
      </c>
      <c r="W25" s="2">
        <f t="shared" ca="1" si="35"/>
        <v>283.9173988015562</v>
      </c>
      <c r="X25" s="2">
        <f t="shared" ca="1" si="35"/>
        <v>285.13367275825703</v>
      </c>
      <c r="Y25" s="2">
        <f t="shared" ca="1" si="35"/>
        <v>288.21909524876304</v>
      </c>
      <c r="Z25" s="2">
        <f t="shared" ca="1" si="35"/>
        <v>249.38370605692435</v>
      </c>
      <c r="AA25" s="2">
        <f t="shared" ca="1" si="36"/>
        <v>247.94427638860893</v>
      </c>
      <c r="AB25" s="2">
        <f t="shared" ca="1" si="36"/>
        <v>252.81367856554874</v>
      </c>
      <c r="AC25" s="2">
        <f t="shared" ca="1" si="36"/>
        <v>277.98745459164059</v>
      </c>
      <c r="AD25" s="2">
        <f t="shared" ca="1" si="36"/>
        <v>273.97618239603003</v>
      </c>
      <c r="AE25" s="2">
        <f t="shared" ca="1" si="36"/>
        <v>292.1992597683647</v>
      </c>
      <c r="AF25" s="2">
        <f t="shared" ca="1" si="36"/>
        <v>259.75826266964583</v>
      </c>
      <c r="AG25" s="2">
        <f t="shared" ca="1" si="36"/>
        <v>218.89672201730974</v>
      </c>
      <c r="AH25" s="2">
        <f t="shared" ca="1" si="36"/>
        <v>287.7719608845789</v>
      </c>
    </row>
    <row r="26" spans="1:34">
      <c r="A26" t="str">
        <f t="shared" si="33"/>
        <v>Maize</v>
      </c>
      <c r="B26" t="str">
        <f t="shared" si="37"/>
        <v>Afar</v>
      </c>
      <c r="C26" s="2">
        <f t="shared" ca="1" si="34"/>
        <v>210.59059080582182</v>
      </c>
      <c r="D26" s="2">
        <f t="shared" ca="1" si="34"/>
        <v>262.28820727831135</v>
      </c>
      <c r="E26" s="2">
        <f t="shared" ca="1" si="34"/>
        <v>296.49679957826061</v>
      </c>
      <c r="F26" s="2">
        <f t="shared" ca="1" si="34"/>
        <v>203.30058724971209</v>
      </c>
      <c r="G26" s="2">
        <f t="shared" ca="1" si="34"/>
        <v>296.07368523889158</v>
      </c>
      <c r="H26" s="2">
        <f t="shared" ca="1" si="34"/>
        <v>294.16115146032712</v>
      </c>
      <c r="I26" s="2">
        <f t="shared" ca="1" si="34"/>
        <v>287.67308807257814</v>
      </c>
      <c r="J26" s="2">
        <f t="shared" ca="1" si="34"/>
        <v>230.6301401309843</v>
      </c>
      <c r="K26" s="2">
        <f t="shared" ca="1" si="34"/>
        <v>257.6202378307338</v>
      </c>
      <c r="L26" s="2">
        <f t="shared" ca="1" si="34"/>
        <v>215.88176116669507</v>
      </c>
      <c r="M26" s="2">
        <f t="shared" ca="1" si="34"/>
        <v>289.90475905260922</v>
      </c>
      <c r="N26" s="2">
        <f t="shared" ca="1" si="34"/>
        <v>276.93082903895208</v>
      </c>
      <c r="O26" s="2">
        <f t="shared" ca="1" si="34"/>
        <v>216.13372949524359</v>
      </c>
      <c r="P26" s="2">
        <f t="shared" ca="1" si="34"/>
        <v>250.66156484787035</v>
      </c>
      <c r="Q26" s="2">
        <f t="shared" ca="1" si="34"/>
        <v>200.46979524814282</v>
      </c>
      <c r="R26" s="2">
        <f t="shared" ca="1" si="34"/>
        <v>265.99146668931752</v>
      </c>
      <c r="S26" s="2">
        <f t="shared" ca="1" si="35"/>
        <v>277.05927591624794</v>
      </c>
      <c r="T26" s="2">
        <f t="shared" ca="1" si="35"/>
        <v>264.59333743127962</v>
      </c>
      <c r="U26" s="2">
        <f t="shared" ca="1" si="35"/>
        <v>268.18306145622904</v>
      </c>
      <c r="V26" s="2">
        <f t="shared" ca="1" si="35"/>
        <v>258.95175249778492</v>
      </c>
      <c r="W26" s="2">
        <f t="shared" ca="1" si="35"/>
        <v>260.37763520885352</v>
      </c>
      <c r="X26" s="2">
        <f t="shared" ca="1" si="35"/>
        <v>241.34691109523536</v>
      </c>
      <c r="Y26" s="2">
        <f t="shared" ca="1" si="35"/>
        <v>219.81913259241094</v>
      </c>
      <c r="Z26" s="2">
        <f t="shared" ca="1" si="35"/>
        <v>205.57278431611846</v>
      </c>
      <c r="AA26" s="2">
        <f t="shared" ca="1" si="36"/>
        <v>201.74944137711429</v>
      </c>
      <c r="AB26" s="2">
        <f t="shared" ca="1" si="36"/>
        <v>204.73599210374448</v>
      </c>
      <c r="AC26" s="2">
        <f t="shared" ca="1" si="36"/>
        <v>204.00672908732849</v>
      </c>
      <c r="AD26" s="2">
        <f t="shared" ca="1" si="36"/>
        <v>233.05370853780417</v>
      </c>
      <c r="AE26" s="2">
        <f t="shared" ca="1" si="36"/>
        <v>223.60817614734603</v>
      </c>
      <c r="AF26" s="2">
        <f t="shared" ca="1" si="36"/>
        <v>276.65536273517517</v>
      </c>
      <c r="AG26" s="2">
        <f t="shared" ca="1" si="36"/>
        <v>202.52410432639013</v>
      </c>
      <c r="AH26" s="2">
        <f t="shared" ca="1" si="36"/>
        <v>249.46399471158207</v>
      </c>
    </row>
    <row r="27" spans="1:34">
      <c r="A27" t="str">
        <f t="shared" si="33"/>
        <v>Maize</v>
      </c>
      <c r="B27" t="str">
        <f t="shared" si="37"/>
        <v>Amhara</v>
      </c>
      <c r="C27" s="2">
        <f t="shared" ca="1" si="34"/>
        <v>209.54295523544056</v>
      </c>
      <c r="D27" s="2">
        <f t="shared" ca="1" si="34"/>
        <v>265.06701515035184</v>
      </c>
      <c r="E27" s="2">
        <f t="shared" ca="1" si="34"/>
        <v>288.76377508197913</v>
      </c>
      <c r="F27" s="2">
        <f t="shared" ca="1" si="34"/>
        <v>255.12075027583677</v>
      </c>
      <c r="G27" s="2">
        <f t="shared" ca="1" si="34"/>
        <v>221.79683758071488</v>
      </c>
      <c r="H27" s="2">
        <f t="shared" ca="1" si="34"/>
        <v>222.77835810551503</v>
      </c>
      <c r="I27" s="2">
        <f t="shared" ca="1" si="34"/>
        <v>237.35537009437891</v>
      </c>
      <c r="J27" s="2">
        <f t="shared" ref="J27:Y68" ca="1" si="38">(RAND()*1+2)*100</f>
        <v>298.91611756337062</v>
      </c>
      <c r="K27" s="2">
        <f t="shared" ca="1" si="38"/>
        <v>260.26558770915511</v>
      </c>
      <c r="L27" s="2">
        <f t="shared" ca="1" si="38"/>
        <v>289.46544639422467</v>
      </c>
      <c r="M27" s="2">
        <f t="shared" ca="1" si="38"/>
        <v>284.70563392500748</v>
      </c>
      <c r="N27" s="2">
        <f t="shared" ca="1" si="38"/>
        <v>255.72837070125036</v>
      </c>
      <c r="O27" s="2">
        <f t="shared" ca="1" si="38"/>
        <v>231.94392915660043</v>
      </c>
      <c r="P27" s="2">
        <f t="shared" ca="1" si="38"/>
        <v>204.56350517475687</v>
      </c>
      <c r="Q27" s="2">
        <f t="shared" ca="1" si="38"/>
        <v>242.01626375737811</v>
      </c>
      <c r="R27" s="2">
        <f t="shared" ca="1" si="38"/>
        <v>211.76855500703971</v>
      </c>
      <c r="S27" s="2">
        <f t="shared" ca="1" si="38"/>
        <v>279.11377229029114</v>
      </c>
      <c r="T27" s="2">
        <f t="shared" ca="1" si="38"/>
        <v>236.28366791167988</v>
      </c>
      <c r="U27" s="2">
        <f t="shared" ca="1" si="38"/>
        <v>238.8549437476704</v>
      </c>
      <c r="V27" s="2">
        <f t="shared" ca="1" si="38"/>
        <v>240.64107553756244</v>
      </c>
      <c r="W27" s="2">
        <f t="shared" ca="1" si="38"/>
        <v>282.24707080442585</v>
      </c>
      <c r="X27" s="2">
        <f t="shared" ca="1" si="38"/>
        <v>232.75805458437921</v>
      </c>
      <c r="Y27" s="2">
        <f t="shared" ca="1" si="38"/>
        <v>295.86804563843333</v>
      </c>
      <c r="Z27" s="2">
        <f t="shared" ca="1" si="35"/>
        <v>219.11865490645616</v>
      </c>
      <c r="AA27" s="2">
        <f t="shared" ca="1" si="36"/>
        <v>236.47656700539531</v>
      </c>
      <c r="AB27" s="2">
        <f t="shared" ca="1" si="36"/>
        <v>215.28631602613456</v>
      </c>
      <c r="AC27" s="2">
        <f t="shared" ca="1" si="36"/>
        <v>204.29888507426003</v>
      </c>
      <c r="AD27" s="2">
        <f t="shared" ca="1" si="36"/>
        <v>267.19839108969097</v>
      </c>
      <c r="AE27" s="2">
        <f t="shared" ca="1" si="36"/>
        <v>267.04668024294978</v>
      </c>
      <c r="AF27" s="2">
        <f t="shared" ca="1" si="36"/>
        <v>240.29381894003686</v>
      </c>
      <c r="AG27" s="2">
        <f t="shared" ca="1" si="36"/>
        <v>246.42773679393204</v>
      </c>
      <c r="AH27" s="2">
        <f t="shared" ca="1" si="36"/>
        <v>242.04551660345942</v>
      </c>
    </row>
    <row r="28" spans="1:34">
      <c r="A28" t="str">
        <f t="shared" si="33"/>
        <v>Maize</v>
      </c>
      <c r="B28" t="str">
        <f t="shared" si="37"/>
        <v>Gumuz</v>
      </c>
      <c r="C28" s="2">
        <f t="shared" ref="C28:R68" ca="1" si="39">(RAND()*1+2)*100</f>
        <v>253.803497511519</v>
      </c>
      <c r="D28" s="2">
        <f t="shared" ca="1" si="39"/>
        <v>208.16412644151333</v>
      </c>
      <c r="E28" s="2">
        <f t="shared" ca="1" si="39"/>
        <v>256.69834056640804</v>
      </c>
      <c r="F28" s="2">
        <f t="shared" ca="1" si="39"/>
        <v>233.27828015942993</v>
      </c>
      <c r="G28" s="2">
        <f t="shared" ca="1" si="39"/>
        <v>238.88561828270781</v>
      </c>
      <c r="H28" s="2">
        <f t="shared" ca="1" si="39"/>
        <v>203.02587305475868</v>
      </c>
      <c r="I28" s="2">
        <f t="shared" ca="1" si="39"/>
        <v>293.78433057047522</v>
      </c>
      <c r="J28" s="2">
        <f t="shared" ca="1" si="39"/>
        <v>283.85219240239104</v>
      </c>
      <c r="K28" s="2">
        <f t="shared" ca="1" si="39"/>
        <v>262.48641141922502</v>
      </c>
      <c r="L28" s="2">
        <f t="shared" ca="1" si="39"/>
        <v>211.49341137262806</v>
      </c>
      <c r="M28" s="2">
        <f t="shared" ca="1" si="39"/>
        <v>239.39993619334433</v>
      </c>
      <c r="N28" s="2">
        <f t="shared" ca="1" si="39"/>
        <v>244.60027130039595</v>
      </c>
      <c r="O28" s="2">
        <f t="shared" ca="1" si="39"/>
        <v>235.79273531585437</v>
      </c>
      <c r="P28" s="2">
        <f t="shared" ca="1" si="39"/>
        <v>229.83677784245319</v>
      </c>
      <c r="Q28" s="2">
        <f t="shared" ca="1" si="39"/>
        <v>224.42372192053003</v>
      </c>
      <c r="R28" s="2">
        <f t="shared" ca="1" si="39"/>
        <v>272.98548166841073</v>
      </c>
      <c r="S28" s="2">
        <f t="shared" ca="1" si="38"/>
        <v>212.12116705275972</v>
      </c>
      <c r="T28" s="2">
        <f t="shared" ca="1" si="38"/>
        <v>270.64940801705933</v>
      </c>
      <c r="U28" s="2">
        <f t="shared" ca="1" si="38"/>
        <v>257.05527404705282</v>
      </c>
      <c r="V28" s="2">
        <f t="shared" ca="1" si="38"/>
        <v>242.43021498626254</v>
      </c>
      <c r="W28" s="2">
        <f t="shared" ca="1" si="38"/>
        <v>203.60904413318178</v>
      </c>
      <c r="X28" s="2">
        <f t="shared" ca="1" si="38"/>
        <v>240.32101894691377</v>
      </c>
      <c r="Y28" s="2">
        <f t="shared" ca="1" si="38"/>
        <v>265.65909557418183</v>
      </c>
      <c r="Z28" s="2">
        <f t="shared" ca="1" si="35"/>
        <v>201.8611860445661</v>
      </c>
      <c r="AA28" s="2">
        <f t="shared" ca="1" si="36"/>
        <v>234.48001182145498</v>
      </c>
      <c r="AB28" s="2">
        <f t="shared" ca="1" si="36"/>
        <v>225.79737549227073</v>
      </c>
      <c r="AC28" s="2">
        <f t="shared" ca="1" si="36"/>
        <v>264.58404263502223</v>
      </c>
      <c r="AD28" s="2">
        <f t="shared" ca="1" si="36"/>
        <v>293.25693949814183</v>
      </c>
      <c r="AE28" s="2">
        <f t="shared" ca="1" si="36"/>
        <v>231.83348110847254</v>
      </c>
      <c r="AF28" s="2">
        <f t="shared" ca="1" si="36"/>
        <v>238.76790884997678</v>
      </c>
      <c r="AG28" s="2">
        <f t="shared" ca="1" si="36"/>
        <v>217.52940587621734</v>
      </c>
      <c r="AH28" s="2">
        <f t="shared" ca="1" si="36"/>
        <v>213.68949134682552</v>
      </c>
    </row>
    <row r="29" spans="1:34">
      <c r="A29" t="str">
        <f t="shared" si="33"/>
        <v>Maize</v>
      </c>
      <c r="B29" t="str">
        <f t="shared" si="37"/>
        <v>DireDawa</v>
      </c>
      <c r="C29" s="2">
        <f t="shared" ca="1" si="39"/>
        <v>233.08140463800618</v>
      </c>
      <c r="D29" s="2">
        <f t="shared" ca="1" si="39"/>
        <v>283.6122588968567</v>
      </c>
      <c r="E29" s="2">
        <f t="shared" ca="1" si="39"/>
        <v>289.57191699692595</v>
      </c>
      <c r="F29" s="2">
        <f t="shared" ca="1" si="39"/>
        <v>281.9376859329239</v>
      </c>
      <c r="G29" s="2">
        <f t="shared" ca="1" si="39"/>
        <v>222.4510335554954</v>
      </c>
      <c r="H29" s="2">
        <f t="shared" ca="1" si="39"/>
        <v>203.48383544912747</v>
      </c>
      <c r="I29" s="2">
        <f t="shared" ca="1" si="39"/>
        <v>244.9985939465964</v>
      </c>
      <c r="J29" s="2">
        <f t="shared" ca="1" si="39"/>
        <v>279.94281752525598</v>
      </c>
      <c r="K29" s="2">
        <f t="shared" ca="1" si="39"/>
        <v>216.13294289424161</v>
      </c>
      <c r="L29" s="2">
        <f t="shared" ca="1" si="39"/>
        <v>294.79423550833832</v>
      </c>
      <c r="M29" s="2">
        <f t="shared" ca="1" si="39"/>
        <v>264.38257237874353</v>
      </c>
      <c r="N29" s="2">
        <f t="shared" ca="1" si="39"/>
        <v>213.228955632984</v>
      </c>
      <c r="O29" s="2">
        <f t="shared" ca="1" si="39"/>
        <v>202.13183062575268</v>
      </c>
      <c r="P29" s="2">
        <f t="shared" ca="1" si="39"/>
        <v>242.40783951302359</v>
      </c>
      <c r="Q29" s="2">
        <f t="shared" ca="1" si="39"/>
        <v>274.59857148441478</v>
      </c>
      <c r="R29" s="2">
        <f t="shared" ca="1" si="39"/>
        <v>231.04771565828187</v>
      </c>
      <c r="S29" s="2">
        <f t="shared" ca="1" si="38"/>
        <v>269.13460457821844</v>
      </c>
      <c r="T29" s="2">
        <f t="shared" ca="1" si="38"/>
        <v>256.85745927163708</v>
      </c>
      <c r="U29" s="2">
        <f t="shared" ca="1" si="38"/>
        <v>246.01562817804074</v>
      </c>
      <c r="V29" s="2">
        <f t="shared" ca="1" si="38"/>
        <v>245.09819279691865</v>
      </c>
      <c r="W29" s="2">
        <f t="shared" ca="1" si="38"/>
        <v>210.18948183097228</v>
      </c>
      <c r="X29" s="2">
        <f t="shared" ca="1" si="38"/>
        <v>232.39146531244739</v>
      </c>
      <c r="Y29" s="2">
        <f t="shared" ca="1" si="38"/>
        <v>246.99580709012884</v>
      </c>
      <c r="Z29" s="2">
        <f t="shared" ca="1" si="35"/>
        <v>214.43332534379002</v>
      </c>
      <c r="AA29" s="2">
        <f t="shared" ca="1" si="36"/>
        <v>284.36712509009573</v>
      </c>
      <c r="AB29" s="2">
        <f t="shared" ca="1" si="36"/>
        <v>271.23242239010546</v>
      </c>
      <c r="AC29" s="2">
        <f t="shared" ca="1" si="36"/>
        <v>245.94249155533151</v>
      </c>
      <c r="AD29" s="2">
        <f t="shared" ca="1" si="36"/>
        <v>237.04811523728625</v>
      </c>
      <c r="AE29" s="2">
        <f t="shared" ca="1" si="36"/>
        <v>246.2176472466889</v>
      </c>
      <c r="AF29" s="2">
        <f t="shared" ca="1" si="36"/>
        <v>257.21966379700882</v>
      </c>
      <c r="AG29" s="2">
        <f t="shared" ca="1" si="36"/>
        <v>266.25921734337368</v>
      </c>
      <c r="AH29" s="2">
        <f t="shared" ca="1" si="36"/>
        <v>233.52408257855456</v>
      </c>
    </row>
    <row r="30" spans="1:34">
      <c r="A30" t="str">
        <f t="shared" si="33"/>
        <v>Maize</v>
      </c>
      <c r="B30" t="str">
        <f t="shared" si="37"/>
        <v>Gambela</v>
      </c>
      <c r="C30" s="2">
        <f t="shared" ca="1" si="39"/>
        <v>291.08912677861144</v>
      </c>
      <c r="D30" s="2">
        <f t="shared" ca="1" si="39"/>
        <v>299.11070719683318</v>
      </c>
      <c r="E30" s="2">
        <f t="shared" ca="1" si="39"/>
        <v>299.78609078469077</v>
      </c>
      <c r="F30" s="2">
        <f t="shared" ca="1" si="39"/>
        <v>205.97445442727286</v>
      </c>
      <c r="G30" s="2">
        <f t="shared" ca="1" si="39"/>
        <v>277.81176738526091</v>
      </c>
      <c r="H30" s="2">
        <f t="shared" ca="1" si="39"/>
        <v>202.20903722147875</v>
      </c>
      <c r="I30" s="2">
        <f t="shared" ca="1" si="39"/>
        <v>258.25914121522584</v>
      </c>
      <c r="J30" s="2">
        <f t="shared" ca="1" si="39"/>
        <v>269.61570997986428</v>
      </c>
      <c r="K30" s="2">
        <f t="shared" ca="1" si="39"/>
        <v>276.57505479907536</v>
      </c>
      <c r="L30" s="2">
        <f t="shared" ca="1" si="39"/>
        <v>206.14187486821035</v>
      </c>
      <c r="M30" s="2">
        <f t="shared" ca="1" si="39"/>
        <v>286.3870080738094</v>
      </c>
      <c r="N30" s="2">
        <f t="shared" ca="1" si="39"/>
        <v>264.23495103555837</v>
      </c>
      <c r="O30" s="2">
        <f t="shared" ca="1" si="39"/>
        <v>253.87685228569558</v>
      </c>
      <c r="P30" s="2">
        <f t="shared" ca="1" si="39"/>
        <v>256.16691626741118</v>
      </c>
      <c r="Q30" s="2">
        <f t="shared" ca="1" si="39"/>
        <v>227.35958176631641</v>
      </c>
      <c r="R30" s="2">
        <f t="shared" ca="1" si="39"/>
        <v>256.84557266820957</v>
      </c>
      <c r="S30" s="2">
        <f t="shared" ca="1" si="38"/>
        <v>234.09750555536789</v>
      </c>
      <c r="T30" s="2">
        <f t="shared" ca="1" si="38"/>
        <v>242.46762700206861</v>
      </c>
      <c r="U30" s="2">
        <f t="shared" ca="1" si="38"/>
        <v>271.89936244848633</v>
      </c>
      <c r="V30" s="2">
        <f t="shared" ca="1" si="38"/>
        <v>233.60127943771286</v>
      </c>
      <c r="W30" s="2">
        <f t="shared" ca="1" si="38"/>
        <v>203.42805723336221</v>
      </c>
      <c r="X30" s="2">
        <f t="shared" ca="1" si="38"/>
        <v>298.06880861861163</v>
      </c>
      <c r="Y30" s="2">
        <f t="shared" ca="1" si="38"/>
        <v>294.14861650265192</v>
      </c>
      <c r="Z30" s="2">
        <f t="shared" ca="1" si="35"/>
        <v>229.09528487236744</v>
      </c>
      <c r="AA30" s="2">
        <f t="shared" ca="1" si="36"/>
        <v>250.30142018436848</v>
      </c>
      <c r="AB30" s="2">
        <f t="shared" ca="1" si="36"/>
        <v>230.0562459373547</v>
      </c>
      <c r="AC30" s="2">
        <f t="shared" ca="1" si="36"/>
        <v>242.47031098529169</v>
      </c>
      <c r="AD30" s="2">
        <f t="shared" ca="1" si="36"/>
        <v>256.09419389740179</v>
      </c>
      <c r="AE30" s="2">
        <f t="shared" ca="1" si="36"/>
        <v>232.83489708266688</v>
      </c>
      <c r="AF30" s="2">
        <f t="shared" ca="1" si="36"/>
        <v>215.19180191193533</v>
      </c>
      <c r="AG30" s="2">
        <f t="shared" ca="1" si="36"/>
        <v>216.49320753044998</v>
      </c>
      <c r="AH30" s="2">
        <f t="shared" ca="1" si="36"/>
        <v>226.09311620542928</v>
      </c>
    </row>
    <row r="31" spans="1:34">
      <c r="A31" t="str">
        <f t="shared" si="33"/>
        <v>Maize</v>
      </c>
      <c r="B31" t="str">
        <f t="shared" si="37"/>
        <v>Harari</v>
      </c>
      <c r="C31" s="2">
        <f t="shared" ca="1" si="39"/>
        <v>292.78965549870276</v>
      </c>
      <c r="D31" s="2">
        <f t="shared" ca="1" si="39"/>
        <v>236.49718064955073</v>
      </c>
      <c r="E31" s="2">
        <f t="shared" ca="1" si="39"/>
        <v>286.99376542115192</v>
      </c>
      <c r="F31" s="2">
        <f t="shared" ca="1" si="39"/>
        <v>205.72954042259005</v>
      </c>
      <c r="G31" s="2">
        <f t="shared" ca="1" si="39"/>
        <v>204.49578663175228</v>
      </c>
      <c r="H31" s="2">
        <f t="shared" ca="1" si="39"/>
        <v>295.511778812285</v>
      </c>
      <c r="I31" s="2">
        <f t="shared" ca="1" si="39"/>
        <v>283.24239054234215</v>
      </c>
      <c r="J31" s="2">
        <f t="shared" ca="1" si="39"/>
        <v>265.38342480793938</v>
      </c>
      <c r="K31" s="2">
        <f t="shared" ca="1" si="39"/>
        <v>202.34232379764236</v>
      </c>
      <c r="L31" s="2">
        <f t="shared" ca="1" si="39"/>
        <v>229.05295340253406</v>
      </c>
      <c r="M31" s="2">
        <f t="shared" ca="1" si="39"/>
        <v>220.60473163170406</v>
      </c>
      <c r="N31" s="2">
        <f t="shared" ca="1" si="39"/>
        <v>233.44930659066478</v>
      </c>
      <c r="O31" s="2">
        <f t="shared" ca="1" si="39"/>
        <v>223.23308356623949</v>
      </c>
      <c r="P31" s="2">
        <f t="shared" ca="1" si="39"/>
        <v>206.87490695242792</v>
      </c>
      <c r="Q31" s="2">
        <f t="shared" ca="1" si="39"/>
        <v>269.28818794648561</v>
      </c>
      <c r="R31" s="2">
        <f t="shared" ca="1" si="39"/>
        <v>280.69370508087292</v>
      </c>
      <c r="S31" s="2">
        <f t="shared" ca="1" si="38"/>
        <v>262.59952656559545</v>
      </c>
      <c r="T31" s="2">
        <f t="shared" ca="1" si="38"/>
        <v>239.4736308022988</v>
      </c>
      <c r="U31" s="2">
        <f t="shared" ca="1" si="38"/>
        <v>282.4260294338626</v>
      </c>
      <c r="V31" s="2">
        <f t="shared" ca="1" si="38"/>
        <v>255.12833001237149</v>
      </c>
      <c r="W31" s="2">
        <f t="shared" ca="1" si="38"/>
        <v>250.25430612178471</v>
      </c>
      <c r="X31" s="2">
        <f t="shared" ca="1" si="38"/>
        <v>275.19466345764141</v>
      </c>
      <c r="Y31" s="2">
        <f t="shared" ca="1" si="38"/>
        <v>286.60723671724548</v>
      </c>
      <c r="Z31" s="2">
        <f t="shared" ca="1" si="35"/>
        <v>265.935438611047</v>
      </c>
      <c r="AA31" s="2">
        <f t="shared" ca="1" si="36"/>
        <v>270.03295102682165</v>
      </c>
      <c r="AB31" s="2">
        <f t="shared" ca="1" si="36"/>
        <v>265.86915933431794</v>
      </c>
      <c r="AC31" s="2">
        <f t="shared" ca="1" si="36"/>
        <v>285.45307207284213</v>
      </c>
      <c r="AD31" s="2">
        <f t="shared" ca="1" si="36"/>
        <v>204.16416153221545</v>
      </c>
      <c r="AE31" s="2">
        <f t="shared" ca="1" si="36"/>
        <v>214.13391540017651</v>
      </c>
      <c r="AF31" s="2">
        <f t="shared" ca="1" si="36"/>
        <v>252.19881631052741</v>
      </c>
      <c r="AG31" s="2">
        <f t="shared" ca="1" si="36"/>
        <v>222.50372462559903</v>
      </c>
      <c r="AH31" s="2">
        <f t="shared" ca="1" si="36"/>
        <v>242.40409098789817</v>
      </c>
    </row>
    <row r="32" spans="1:34">
      <c r="A32" t="str">
        <f t="shared" si="33"/>
        <v>Maize</v>
      </c>
      <c r="B32" t="str">
        <f t="shared" si="37"/>
        <v>Oromia</v>
      </c>
      <c r="C32" s="2">
        <f t="shared" ca="1" si="39"/>
        <v>222.7465268043145</v>
      </c>
      <c r="D32" s="2">
        <f t="shared" ca="1" si="39"/>
        <v>243.16030975923567</v>
      </c>
      <c r="E32" s="2">
        <f t="shared" ca="1" si="39"/>
        <v>209.41058970550523</v>
      </c>
      <c r="F32" s="2">
        <f t="shared" ca="1" si="39"/>
        <v>224.65040923538771</v>
      </c>
      <c r="G32" s="2">
        <f t="shared" ca="1" si="39"/>
        <v>287.42275147182801</v>
      </c>
      <c r="H32" s="2">
        <f t="shared" ca="1" si="39"/>
        <v>207.43446213720404</v>
      </c>
      <c r="I32" s="2">
        <f t="shared" ca="1" si="39"/>
        <v>293.54931070014783</v>
      </c>
      <c r="J32" s="2">
        <f t="shared" ca="1" si="39"/>
        <v>208.54722381130165</v>
      </c>
      <c r="K32" s="2">
        <f t="shared" ca="1" si="39"/>
        <v>213.25130179510498</v>
      </c>
      <c r="L32" s="2">
        <f t="shared" ca="1" si="39"/>
        <v>242.29708291424822</v>
      </c>
      <c r="M32" s="2">
        <f t="shared" ca="1" si="39"/>
        <v>228.02922431299123</v>
      </c>
      <c r="N32" s="2">
        <f t="shared" ca="1" si="39"/>
        <v>231.20196825420928</v>
      </c>
      <c r="O32" s="2">
        <f t="shared" ca="1" si="39"/>
        <v>230.86863842898646</v>
      </c>
      <c r="P32" s="2">
        <f t="shared" ca="1" si="39"/>
        <v>263.62053933589721</v>
      </c>
      <c r="Q32" s="2">
        <f t="shared" ca="1" si="39"/>
        <v>247.55713532685192</v>
      </c>
      <c r="R32" s="2">
        <f t="shared" ca="1" si="39"/>
        <v>237.16868042408072</v>
      </c>
      <c r="S32" s="2">
        <f t="shared" ca="1" si="38"/>
        <v>210.94569123137225</v>
      </c>
      <c r="T32" s="2">
        <f t="shared" ca="1" si="38"/>
        <v>218.28772083646876</v>
      </c>
      <c r="U32" s="2">
        <f t="shared" ca="1" si="38"/>
        <v>275.76564623459313</v>
      </c>
      <c r="V32" s="2">
        <f t="shared" ca="1" si="38"/>
        <v>249.23948352265467</v>
      </c>
      <c r="W32" s="2">
        <f t="shared" ca="1" si="38"/>
        <v>272.81144471857704</v>
      </c>
      <c r="X32" s="2">
        <f t="shared" ca="1" si="38"/>
        <v>270.40879119304071</v>
      </c>
      <c r="Y32" s="2">
        <f t="shared" ca="1" si="38"/>
        <v>269.61394728281232</v>
      </c>
      <c r="Z32" s="2">
        <f t="shared" ca="1" si="35"/>
        <v>237.22540624734708</v>
      </c>
      <c r="AA32" s="2">
        <f t="shared" ca="1" si="36"/>
        <v>221.59022752231817</v>
      </c>
      <c r="AB32" s="2">
        <f t="shared" ca="1" si="36"/>
        <v>222.20937176236663</v>
      </c>
      <c r="AC32" s="2">
        <f t="shared" ca="1" si="36"/>
        <v>261.46708655604806</v>
      </c>
      <c r="AD32" s="2">
        <f t="shared" ca="1" si="36"/>
        <v>247.7022121080679</v>
      </c>
      <c r="AE32" s="2">
        <f t="shared" ca="1" si="36"/>
        <v>265.67704200888818</v>
      </c>
      <c r="AF32" s="2">
        <f t="shared" ca="1" si="36"/>
        <v>269.44744876019689</v>
      </c>
      <c r="AG32" s="2">
        <f t="shared" ca="1" si="36"/>
        <v>207.97627071392145</v>
      </c>
      <c r="AH32" s="2">
        <f t="shared" ca="1" si="36"/>
        <v>236.50817028225165</v>
      </c>
    </row>
    <row r="33" spans="1:34">
      <c r="A33" t="str">
        <f t="shared" si="33"/>
        <v>Maize</v>
      </c>
      <c r="B33" t="str">
        <f t="shared" si="37"/>
        <v>Somali</v>
      </c>
      <c r="C33" s="2">
        <f t="shared" ca="1" si="39"/>
        <v>220.86380690779083</v>
      </c>
      <c r="D33" s="2">
        <f t="shared" ca="1" si="39"/>
        <v>263.43108325830656</v>
      </c>
      <c r="E33" s="2">
        <f t="shared" ca="1" si="39"/>
        <v>238.82668945503664</v>
      </c>
      <c r="F33" s="2">
        <f t="shared" ca="1" si="39"/>
        <v>294.75856202051875</v>
      </c>
      <c r="G33" s="2">
        <f t="shared" ca="1" si="39"/>
        <v>226.48903278768267</v>
      </c>
      <c r="H33" s="2">
        <f t="shared" ca="1" si="39"/>
        <v>254.05110218389183</v>
      </c>
      <c r="I33" s="2">
        <f t="shared" ca="1" si="39"/>
        <v>256.65737946219787</v>
      </c>
      <c r="J33" s="2">
        <f t="shared" ca="1" si="39"/>
        <v>262.89239805225185</v>
      </c>
      <c r="K33" s="2">
        <f t="shared" ca="1" si="39"/>
        <v>234.17589667894197</v>
      </c>
      <c r="L33" s="2">
        <f t="shared" ca="1" si="39"/>
        <v>294.76981501742864</v>
      </c>
      <c r="M33" s="2">
        <f t="shared" ca="1" si="39"/>
        <v>258.27985830857051</v>
      </c>
      <c r="N33" s="2">
        <f t="shared" ca="1" si="39"/>
        <v>244.53590638800776</v>
      </c>
      <c r="O33" s="2">
        <f t="shared" ca="1" si="39"/>
        <v>256.08095193022615</v>
      </c>
      <c r="P33" s="2">
        <f t="shared" ca="1" si="39"/>
        <v>211.79420115621622</v>
      </c>
      <c r="Q33" s="2">
        <f t="shared" ca="1" si="39"/>
        <v>239.20054703791257</v>
      </c>
      <c r="R33" s="2">
        <f t="shared" ca="1" si="39"/>
        <v>215.07027474657971</v>
      </c>
      <c r="S33" s="2">
        <f t="shared" ca="1" si="38"/>
        <v>244.47937716258664</v>
      </c>
      <c r="T33" s="2">
        <f t="shared" ca="1" si="38"/>
        <v>237.70353502848289</v>
      </c>
      <c r="U33" s="2">
        <f t="shared" ca="1" si="38"/>
        <v>298.90915617188728</v>
      </c>
      <c r="V33" s="2">
        <f t="shared" ca="1" si="38"/>
        <v>217.52901775265161</v>
      </c>
      <c r="W33" s="2">
        <f t="shared" ca="1" si="38"/>
        <v>232.24231230490071</v>
      </c>
      <c r="X33" s="2">
        <f t="shared" ca="1" si="38"/>
        <v>277.03467580945846</v>
      </c>
      <c r="Y33" s="2">
        <f t="shared" ca="1" si="38"/>
        <v>201.1487028989952</v>
      </c>
      <c r="Z33" s="2">
        <f t="shared" ca="1" si="35"/>
        <v>255.12091985022582</v>
      </c>
      <c r="AA33" s="2">
        <f t="shared" ca="1" si="36"/>
        <v>223.15643491739453</v>
      </c>
      <c r="AB33" s="2">
        <f t="shared" ca="1" si="36"/>
        <v>271.84868987905821</v>
      </c>
      <c r="AC33" s="2">
        <f t="shared" ca="1" si="36"/>
        <v>225.63901264019611</v>
      </c>
      <c r="AD33" s="2">
        <f t="shared" ca="1" si="36"/>
        <v>278.28865217181612</v>
      </c>
      <c r="AE33" s="2">
        <f t="shared" ca="1" si="36"/>
        <v>264.11962445211157</v>
      </c>
      <c r="AF33" s="2">
        <f t="shared" ca="1" si="36"/>
        <v>280.0249978742259</v>
      </c>
      <c r="AG33" s="2">
        <f t="shared" ca="1" si="36"/>
        <v>294.43140722680835</v>
      </c>
      <c r="AH33" s="2">
        <f t="shared" ca="1" si="36"/>
        <v>210.3962138003215</v>
      </c>
    </row>
    <row r="34" spans="1:34">
      <c r="A34" t="str">
        <f t="shared" si="33"/>
        <v>Maize</v>
      </c>
      <c r="B34" t="str">
        <f t="shared" si="37"/>
        <v>SNNPR</v>
      </c>
      <c r="C34" s="2">
        <f t="shared" ca="1" si="39"/>
        <v>256.19141551506925</v>
      </c>
      <c r="D34" s="2">
        <f t="shared" ca="1" si="39"/>
        <v>233.98672683091948</v>
      </c>
      <c r="E34" s="2">
        <f t="shared" ca="1" si="39"/>
        <v>262.50833890274993</v>
      </c>
      <c r="F34" s="2">
        <f t="shared" ca="1" si="39"/>
        <v>230.42473562654737</v>
      </c>
      <c r="G34" s="2">
        <f t="shared" ca="1" si="39"/>
        <v>201.88413655889943</v>
      </c>
      <c r="H34" s="2">
        <f t="shared" ca="1" si="39"/>
        <v>239.93289784999686</v>
      </c>
      <c r="I34" s="2">
        <f t="shared" ca="1" si="39"/>
        <v>223.75108842109856</v>
      </c>
      <c r="J34" s="2">
        <f t="shared" ca="1" si="39"/>
        <v>224.10028286134053</v>
      </c>
      <c r="K34" s="2">
        <f t="shared" ca="1" si="39"/>
        <v>277.63851981973937</v>
      </c>
      <c r="L34" s="2">
        <f t="shared" ca="1" si="39"/>
        <v>296.72396832555188</v>
      </c>
      <c r="M34" s="2">
        <f t="shared" ca="1" si="39"/>
        <v>284.45792353372286</v>
      </c>
      <c r="N34" s="2">
        <f t="shared" ca="1" si="39"/>
        <v>205.40629499043334</v>
      </c>
      <c r="O34" s="2">
        <f t="shared" ca="1" si="39"/>
        <v>220.83072499915647</v>
      </c>
      <c r="P34" s="2">
        <f t="shared" ca="1" si="39"/>
        <v>258.58042564606677</v>
      </c>
      <c r="Q34" s="2">
        <f t="shared" ca="1" si="39"/>
        <v>277.47422895016302</v>
      </c>
      <c r="R34" s="2">
        <f t="shared" ca="1" si="39"/>
        <v>264.96531406820156</v>
      </c>
      <c r="S34" s="2">
        <f t="shared" ca="1" si="38"/>
        <v>230.48172113132691</v>
      </c>
      <c r="T34" s="2">
        <f t="shared" ca="1" si="38"/>
        <v>204.07427631452836</v>
      </c>
      <c r="U34" s="2">
        <f t="shared" ca="1" si="38"/>
        <v>266.83424482301251</v>
      </c>
      <c r="V34" s="2">
        <f t="shared" ca="1" si="38"/>
        <v>289.24814262535858</v>
      </c>
      <c r="W34" s="2">
        <f t="shared" ca="1" si="38"/>
        <v>256.76046511236984</v>
      </c>
      <c r="X34" s="2">
        <f t="shared" ca="1" si="38"/>
        <v>263.20385216961699</v>
      </c>
      <c r="Y34" s="2">
        <f t="shared" ca="1" si="38"/>
        <v>223.03439769851337</v>
      </c>
      <c r="Z34" s="2">
        <f t="shared" ca="1" si="35"/>
        <v>248.12200459882874</v>
      </c>
      <c r="AA34" s="2">
        <f t="shared" ca="1" si="36"/>
        <v>272.40669960360731</v>
      </c>
      <c r="AB34" s="2">
        <f t="shared" ca="1" si="36"/>
        <v>260.54829225312017</v>
      </c>
      <c r="AC34" s="2">
        <f t="shared" ca="1" si="36"/>
        <v>229.35899621620973</v>
      </c>
      <c r="AD34" s="2">
        <f t="shared" ca="1" si="36"/>
        <v>286.74353223030738</v>
      </c>
      <c r="AE34" s="2">
        <f t="shared" ca="1" si="36"/>
        <v>226.11655570103397</v>
      </c>
      <c r="AF34" s="2">
        <f t="shared" ca="1" si="36"/>
        <v>216.1066479935208</v>
      </c>
      <c r="AG34" s="2">
        <f t="shared" ca="1" si="36"/>
        <v>268.58855497170202</v>
      </c>
      <c r="AH34" s="2">
        <f t="shared" ca="1" si="36"/>
        <v>266.25959554830069</v>
      </c>
    </row>
    <row r="35" spans="1:34">
      <c r="A35" t="str">
        <f t="shared" si="33"/>
        <v>Maize</v>
      </c>
      <c r="B35" t="str">
        <f t="shared" si="37"/>
        <v>Tigray</v>
      </c>
      <c r="C35" s="2">
        <f t="shared" ca="1" si="39"/>
        <v>227.49214694709048</v>
      </c>
      <c r="D35" s="2">
        <f t="shared" ca="1" si="39"/>
        <v>290.86252837270251</v>
      </c>
      <c r="E35" s="2">
        <f t="shared" ca="1" si="39"/>
        <v>214.49976088886018</v>
      </c>
      <c r="F35" s="2">
        <f t="shared" ca="1" si="39"/>
        <v>238.74565345329879</v>
      </c>
      <c r="G35" s="2">
        <f t="shared" ca="1" si="39"/>
        <v>226.64105635986394</v>
      </c>
      <c r="H35" s="2">
        <f t="shared" ca="1" si="39"/>
        <v>247.31649251298177</v>
      </c>
      <c r="I35" s="2">
        <f t="shared" ca="1" si="39"/>
        <v>292.50771997918258</v>
      </c>
      <c r="J35" s="2">
        <f t="shared" ca="1" si="39"/>
        <v>206.40061812319971</v>
      </c>
      <c r="K35" s="2">
        <f t="shared" ca="1" si="39"/>
        <v>223.49505455723443</v>
      </c>
      <c r="L35" s="2">
        <f t="shared" ca="1" si="39"/>
        <v>259.28540774298972</v>
      </c>
      <c r="M35" s="2">
        <f t="shared" ca="1" si="39"/>
        <v>223.21022780333618</v>
      </c>
      <c r="N35" s="2">
        <f t="shared" ca="1" si="39"/>
        <v>283.56553674864477</v>
      </c>
      <c r="O35" s="2">
        <f t="shared" ca="1" si="39"/>
        <v>296.07180426060955</v>
      </c>
      <c r="P35" s="2">
        <f t="shared" ca="1" si="39"/>
        <v>260.56617582710146</v>
      </c>
      <c r="Q35" s="2">
        <f t="shared" ca="1" si="39"/>
        <v>248.03493950013609</v>
      </c>
      <c r="R35" s="2">
        <f t="shared" ca="1" si="39"/>
        <v>252.30229866949762</v>
      </c>
      <c r="S35" s="2">
        <f t="shared" ca="1" si="38"/>
        <v>240.18576124307347</v>
      </c>
      <c r="T35" s="2">
        <f t="shared" ca="1" si="38"/>
        <v>234.91537639353828</v>
      </c>
      <c r="U35" s="2">
        <f t="shared" ca="1" si="38"/>
        <v>293.07661574703127</v>
      </c>
      <c r="V35" s="2">
        <f t="shared" ca="1" si="38"/>
        <v>293.28600010151234</v>
      </c>
      <c r="W35" s="2">
        <f t="shared" ca="1" si="38"/>
        <v>228.65081845826006</v>
      </c>
      <c r="X35" s="2">
        <f t="shared" ca="1" si="38"/>
        <v>202.47300566275479</v>
      </c>
      <c r="Y35" s="2">
        <f t="shared" ca="1" si="38"/>
        <v>237.9986864382532</v>
      </c>
      <c r="Z35" s="2">
        <f t="shared" ca="1" si="35"/>
        <v>224.95532609726689</v>
      </c>
      <c r="AA35" s="2">
        <f t="shared" ca="1" si="36"/>
        <v>208.51499895021331</v>
      </c>
      <c r="AB35" s="2">
        <f t="shared" ca="1" si="36"/>
        <v>295.30352772899914</v>
      </c>
      <c r="AC35" s="2">
        <f t="shared" ca="1" si="36"/>
        <v>292.08736439545703</v>
      </c>
      <c r="AD35" s="2">
        <f t="shared" ca="1" si="36"/>
        <v>229.37170990235805</v>
      </c>
      <c r="AE35" s="2">
        <f t="shared" ca="1" si="36"/>
        <v>223.62468753937392</v>
      </c>
      <c r="AF35" s="2">
        <f t="shared" ca="1" si="36"/>
        <v>204.91305064150765</v>
      </c>
      <c r="AG35" s="2">
        <f t="shared" ca="1" si="36"/>
        <v>246.59333467421632</v>
      </c>
      <c r="AH35" s="2">
        <f t="shared" ca="1" si="36"/>
        <v>210.82344248045368</v>
      </c>
    </row>
    <row r="36" spans="1:34">
      <c r="A36" t="str">
        <f t="shared" si="33"/>
        <v>Lentils</v>
      </c>
      <c r="B36" t="str">
        <f t="shared" si="37"/>
        <v>AddisAbaba</v>
      </c>
      <c r="C36" s="2">
        <f t="shared" ca="1" si="39"/>
        <v>200.7103503972557</v>
      </c>
      <c r="D36" s="2">
        <f t="shared" ca="1" si="39"/>
        <v>294.78064372270711</v>
      </c>
      <c r="E36" s="2">
        <f t="shared" ca="1" si="39"/>
        <v>258.03587679386862</v>
      </c>
      <c r="F36" s="2">
        <f t="shared" ca="1" si="39"/>
        <v>235.38005873406399</v>
      </c>
      <c r="G36" s="2">
        <f t="shared" ca="1" si="39"/>
        <v>212.19138030307442</v>
      </c>
      <c r="H36" s="2">
        <f t="shared" ca="1" si="39"/>
        <v>213.94069904405043</v>
      </c>
      <c r="I36" s="2">
        <f t="shared" ca="1" si="39"/>
        <v>251.47743488887687</v>
      </c>
      <c r="J36" s="2">
        <f t="shared" ca="1" si="39"/>
        <v>213.39712137413974</v>
      </c>
      <c r="K36" s="2">
        <f t="shared" ca="1" si="39"/>
        <v>202.22429058436217</v>
      </c>
      <c r="L36" s="2">
        <f t="shared" ca="1" si="39"/>
        <v>264.86403257133856</v>
      </c>
      <c r="M36" s="2">
        <f t="shared" ca="1" si="39"/>
        <v>241.45386744675633</v>
      </c>
      <c r="N36" s="2">
        <f t="shared" ca="1" si="39"/>
        <v>261.45883408856525</v>
      </c>
      <c r="O36" s="2">
        <f t="shared" ca="1" si="39"/>
        <v>242.06251576907937</v>
      </c>
      <c r="P36" s="2">
        <f t="shared" ca="1" si="39"/>
        <v>253.47449405508831</v>
      </c>
      <c r="Q36" s="2">
        <f t="shared" ca="1" si="39"/>
        <v>280.53030722723383</v>
      </c>
      <c r="R36" s="2">
        <f t="shared" ca="1" si="39"/>
        <v>218.64584706669498</v>
      </c>
      <c r="S36" s="2">
        <f t="shared" ca="1" si="38"/>
        <v>277.74173106354078</v>
      </c>
      <c r="T36" s="2">
        <f t="shared" ca="1" si="38"/>
        <v>286.7254407717075</v>
      </c>
      <c r="U36" s="2">
        <f t="shared" ca="1" si="38"/>
        <v>291.80105593848367</v>
      </c>
      <c r="V36" s="2">
        <f t="shared" ca="1" si="38"/>
        <v>264.01544663868088</v>
      </c>
      <c r="W36" s="2">
        <f t="shared" ca="1" si="38"/>
        <v>260.01394834056208</v>
      </c>
      <c r="X36" s="2">
        <f t="shared" ca="1" si="38"/>
        <v>292.72230285651534</v>
      </c>
      <c r="Y36" s="2">
        <f t="shared" ca="1" si="38"/>
        <v>281.56500028373455</v>
      </c>
      <c r="Z36" s="2">
        <f t="shared" ca="1" si="35"/>
        <v>256.88975183260879</v>
      </c>
      <c r="AA36" s="2">
        <f t="shared" ca="1" si="36"/>
        <v>272.16103953951125</v>
      </c>
      <c r="AB36" s="2">
        <f t="shared" ca="1" si="36"/>
        <v>281.74330434617394</v>
      </c>
      <c r="AC36" s="2">
        <f t="shared" ca="1" si="36"/>
        <v>221.32995833126321</v>
      </c>
      <c r="AD36" s="2">
        <f t="shared" ca="1" si="36"/>
        <v>233.39119781800966</v>
      </c>
      <c r="AE36" s="2">
        <f t="shared" ca="1" si="36"/>
        <v>257.45060285388809</v>
      </c>
      <c r="AF36" s="2">
        <f t="shared" ca="1" si="36"/>
        <v>238.27612599273121</v>
      </c>
      <c r="AG36" s="2">
        <f t="shared" ca="1" si="36"/>
        <v>278.66403811278201</v>
      </c>
      <c r="AH36" s="2">
        <f t="shared" ca="1" si="36"/>
        <v>220.69881028869301</v>
      </c>
    </row>
    <row r="37" spans="1:34">
      <c r="A37" t="str">
        <f t="shared" si="33"/>
        <v>Lentils</v>
      </c>
      <c r="B37" t="str">
        <f t="shared" si="37"/>
        <v>Afar</v>
      </c>
      <c r="C37" s="2">
        <f t="shared" ca="1" si="39"/>
        <v>262.77031572482292</v>
      </c>
      <c r="D37" s="2">
        <f t="shared" ca="1" si="39"/>
        <v>254.04721687810277</v>
      </c>
      <c r="E37" s="2">
        <f t="shared" ca="1" si="39"/>
        <v>242.19128820389386</v>
      </c>
      <c r="F37" s="2">
        <f t="shared" ca="1" si="39"/>
        <v>274.89013383832963</v>
      </c>
      <c r="G37" s="2">
        <f t="shared" ca="1" si="39"/>
        <v>239.01662771151416</v>
      </c>
      <c r="H37" s="2">
        <f t="shared" ca="1" si="39"/>
        <v>299.28311281273301</v>
      </c>
      <c r="I37" s="2">
        <f t="shared" ca="1" si="39"/>
        <v>250.38483236901473</v>
      </c>
      <c r="J37" s="2">
        <f t="shared" ca="1" si="39"/>
        <v>243.32383870765187</v>
      </c>
      <c r="K37" s="2">
        <f t="shared" ca="1" si="39"/>
        <v>294.72495326625551</v>
      </c>
      <c r="L37" s="2">
        <f t="shared" ca="1" si="39"/>
        <v>251.10623478081897</v>
      </c>
      <c r="M37" s="2">
        <f t="shared" ca="1" si="39"/>
        <v>231.33361760521018</v>
      </c>
      <c r="N37" s="2">
        <f t="shared" ca="1" si="39"/>
        <v>275.32430390440544</v>
      </c>
      <c r="O37" s="2">
        <f t="shared" ca="1" si="39"/>
        <v>218.86312786624461</v>
      </c>
      <c r="P37" s="2">
        <f t="shared" ca="1" si="39"/>
        <v>226.76747549586418</v>
      </c>
      <c r="Q37" s="2">
        <f t="shared" ca="1" si="39"/>
        <v>223.54698935852414</v>
      </c>
      <c r="R37" s="2">
        <f t="shared" ca="1" si="39"/>
        <v>248.42769629251342</v>
      </c>
      <c r="S37" s="2">
        <f t="shared" ca="1" si="38"/>
        <v>294.32616986997283</v>
      </c>
      <c r="T37" s="2">
        <f t="shared" ca="1" si="38"/>
        <v>237.4217325537555</v>
      </c>
      <c r="U37" s="2">
        <f t="shared" ca="1" si="38"/>
        <v>284.51062654727008</v>
      </c>
      <c r="V37" s="2">
        <f t="shared" ca="1" si="38"/>
        <v>255.04881352825967</v>
      </c>
      <c r="W37" s="2">
        <f t="shared" ca="1" si="38"/>
        <v>215.57647965720804</v>
      </c>
      <c r="X37" s="2">
        <f t="shared" ca="1" si="38"/>
        <v>233.6680389003522</v>
      </c>
      <c r="Y37" s="2">
        <f t="shared" ca="1" si="38"/>
        <v>270.51988617509153</v>
      </c>
      <c r="Z37" s="2">
        <f t="shared" ca="1" si="35"/>
        <v>218.13505272228446</v>
      </c>
      <c r="AA37" s="2">
        <f t="shared" ca="1" si="36"/>
        <v>276.25553954382838</v>
      </c>
      <c r="AB37" s="2">
        <f t="shared" ca="1" si="36"/>
        <v>232.30354667211714</v>
      </c>
      <c r="AC37" s="2">
        <f t="shared" ca="1" si="36"/>
        <v>266.65719593244472</v>
      </c>
      <c r="AD37" s="2">
        <f t="shared" ca="1" si="36"/>
        <v>250.50323725117792</v>
      </c>
      <c r="AE37" s="2">
        <f t="shared" ca="1" si="36"/>
        <v>282.11235344269994</v>
      </c>
      <c r="AF37" s="2">
        <f t="shared" ca="1" si="36"/>
        <v>217.30846771389722</v>
      </c>
      <c r="AG37" s="2">
        <f t="shared" ca="1" si="36"/>
        <v>214.43081042213089</v>
      </c>
      <c r="AH37" s="2">
        <f t="shared" ca="1" si="36"/>
        <v>298.56217490978014</v>
      </c>
    </row>
    <row r="38" spans="1:34">
      <c r="A38" t="str">
        <f t="shared" si="33"/>
        <v>Lentils</v>
      </c>
      <c r="B38" t="str">
        <f t="shared" si="37"/>
        <v>Amhara</v>
      </c>
      <c r="C38" s="2">
        <f t="shared" ca="1" si="39"/>
        <v>213.29463305304577</v>
      </c>
      <c r="D38" s="2">
        <f t="shared" ca="1" si="39"/>
        <v>266.00220557832023</v>
      </c>
      <c r="E38" s="2">
        <f t="shared" ca="1" si="39"/>
        <v>237.52690126754774</v>
      </c>
      <c r="F38" s="2">
        <f t="shared" ca="1" si="39"/>
        <v>224.78268754540406</v>
      </c>
      <c r="G38" s="2">
        <f t="shared" ca="1" si="39"/>
        <v>277.36675158516675</v>
      </c>
      <c r="H38" s="2">
        <f t="shared" ca="1" si="39"/>
        <v>295.57368817880558</v>
      </c>
      <c r="I38" s="2">
        <f t="shared" ca="1" si="39"/>
        <v>203.55973697170424</v>
      </c>
      <c r="J38" s="2">
        <f t="shared" ca="1" si="39"/>
        <v>207.81824763650317</v>
      </c>
      <c r="K38" s="2">
        <f t="shared" ca="1" si="39"/>
        <v>288.40339944760939</v>
      </c>
      <c r="L38" s="2">
        <f t="shared" ca="1" si="39"/>
        <v>237.17479897218715</v>
      </c>
      <c r="M38" s="2">
        <f t="shared" ca="1" si="39"/>
        <v>284.88541803071399</v>
      </c>
      <c r="N38" s="2">
        <f t="shared" ca="1" si="39"/>
        <v>289.56826358934791</v>
      </c>
      <c r="O38" s="2">
        <f t="shared" ca="1" si="39"/>
        <v>289.587322154974</v>
      </c>
      <c r="P38" s="2">
        <f t="shared" ca="1" si="39"/>
        <v>206.17760850838945</v>
      </c>
      <c r="Q38" s="2">
        <f t="shared" ca="1" si="39"/>
        <v>270.74222486682885</v>
      </c>
      <c r="R38" s="2">
        <f t="shared" ca="1" si="39"/>
        <v>253.69423023254302</v>
      </c>
      <c r="S38" s="2">
        <f t="shared" ca="1" si="38"/>
        <v>236.51349309044897</v>
      </c>
      <c r="T38" s="2">
        <f t="shared" ca="1" si="38"/>
        <v>269.7978854392959</v>
      </c>
      <c r="U38" s="2">
        <f t="shared" ca="1" si="38"/>
        <v>223.44998028534189</v>
      </c>
      <c r="V38" s="2">
        <f t="shared" ca="1" si="38"/>
        <v>205.55305772828336</v>
      </c>
      <c r="W38" s="2">
        <f t="shared" ca="1" si="38"/>
        <v>264.49108879805226</v>
      </c>
      <c r="X38" s="2">
        <f t="shared" ca="1" si="38"/>
        <v>248.51239058435368</v>
      </c>
      <c r="Y38" s="2">
        <f t="shared" ca="1" si="38"/>
        <v>297.96326447393983</v>
      </c>
      <c r="Z38" s="2">
        <f t="shared" ca="1" si="35"/>
        <v>201.25904984521475</v>
      </c>
      <c r="AA38" s="2">
        <f t="shared" ca="1" si="36"/>
        <v>255.61327954605875</v>
      </c>
      <c r="AB38" s="2">
        <f t="shared" ca="1" si="36"/>
        <v>281.70284847938672</v>
      </c>
      <c r="AC38" s="2">
        <f t="shared" ca="1" si="36"/>
        <v>278.34778206405792</v>
      </c>
      <c r="AD38" s="2">
        <f t="shared" ca="1" si="36"/>
        <v>265.52808630242976</v>
      </c>
      <c r="AE38" s="2">
        <f t="shared" ca="1" si="36"/>
        <v>228.60785983866126</v>
      </c>
      <c r="AF38" s="2">
        <f t="shared" ca="1" si="36"/>
        <v>245.13391099354013</v>
      </c>
      <c r="AG38" s="2">
        <f t="shared" ca="1" si="36"/>
        <v>205.6272663264651</v>
      </c>
      <c r="AH38" s="2">
        <f t="shared" ca="1" si="36"/>
        <v>270.43683094429809</v>
      </c>
    </row>
    <row r="39" spans="1:34">
      <c r="A39" t="str">
        <f t="shared" si="33"/>
        <v>Lentils</v>
      </c>
      <c r="B39" t="str">
        <f t="shared" si="37"/>
        <v>Gumuz</v>
      </c>
      <c r="C39" s="2">
        <f t="shared" ca="1" si="39"/>
        <v>218.50136902867283</v>
      </c>
      <c r="D39" s="2">
        <f t="shared" ca="1" si="39"/>
        <v>260.6760459972682</v>
      </c>
      <c r="E39" s="2">
        <f t="shared" ca="1" si="39"/>
        <v>226.32490943039252</v>
      </c>
      <c r="F39" s="2">
        <f t="shared" ca="1" si="39"/>
        <v>278.64098506227657</v>
      </c>
      <c r="G39" s="2">
        <f t="shared" ca="1" si="39"/>
        <v>262.13448015073755</v>
      </c>
      <c r="H39" s="2">
        <f t="shared" ca="1" si="39"/>
        <v>276.0093224334953</v>
      </c>
      <c r="I39" s="2">
        <f t="shared" ca="1" si="39"/>
        <v>277.95405910630802</v>
      </c>
      <c r="J39" s="2">
        <f t="shared" ca="1" si="39"/>
        <v>257.96817001151334</v>
      </c>
      <c r="K39" s="2">
        <f t="shared" ca="1" si="39"/>
        <v>270.27863186847856</v>
      </c>
      <c r="L39" s="2">
        <f t="shared" ca="1" si="39"/>
        <v>258.32542918936952</v>
      </c>
      <c r="M39" s="2">
        <f t="shared" ca="1" si="39"/>
        <v>229.64046167319685</v>
      </c>
      <c r="N39" s="2">
        <f t="shared" ca="1" si="39"/>
        <v>239.21320109700216</v>
      </c>
      <c r="O39" s="2">
        <f t="shared" ca="1" si="39"/>
        <v>291.90878075375002</v>
      </c>
      <c r="P39" s="2">
        <f t="shared" ca="1" si="39"/>
        <v>265.04509329673857</v>
      </c>
      <c r="Q39" s="2">
        <f t="shared" ca="1" si="39"/>
        <v>220.44198397596827</v>
      </c>
      <c r="R39" s="2">
        <f t="shared" ca="1" si="39"/>
        <v>279.02654367475537</v>
      </c>
      <c r="S39" s="2">
        <f t="shared" ca="1" si="38"/>
        <v>288.87139627983396</v>
      </c>
      <c r="T39" s="2">
        <f t="shared" ca="1" si="38"/>
        <v>204.24867005236518</v>
      </c>
      <c r="U39" s="2">
        <f t="shared" ca="1" si="38"/>
        <v>297.62723130357244</v>
      </c>
      <c r="V39" s="2">
        <f t="shared" ca="1" si="38"/>
        <v>223.13582360104175</v>
      </c>
      <c r="W39" s="2">
        <f t="shared" ca="1" si="38"/>
        <v>214.40603038165261</v>
      </c>
      <c r="X39" s="2">
        <f t="shared" ca="1" si="38"/>
        <v>274.35556237324499</v>
      </c>
      <c r="Y39" s="2">
        <f t="shared" ca="1" si="38"/>
        <v>291.88035081107211</v>
      </c>
      <c r="Z39" s="2">
        <f t="shared" ca="1" si="35"/>
        <v>224.45564490537438</v>
      </c>
      <c r="AA39" s="2">
        <f t="shared" ca="1" si="36"/>
        <v>216.67624038711776</v>
      </c>
      <c r="AB39" s="2">
        <f t="shared" ca="1" si="36"/>
        <v>250.13186990404077</v>
      </c>
      <c r="AC39" s="2">
        <f t="shared" ca="1" si="36"/>
        <v>241.00010784621864</v>
      </c>
      <c r="AD39" s="2">
        <f t="shared" ca="1" si="36"/>
        <v>229.61349343203591</v>
      </c>
      <c r="AE39" s="2">
        <f t="shared" ca="1" si="36"/>
        <v>240.47225572775633</v>
      </c>
      <c r="AF39" s="2">
        <f t="shared" ca="1" si="36"/>
        <v>230.58116057463201</v>
      </c>
      <c r="AG39" s="2">
        <f t="shared" ca="1" si="36"/>
        <v>210.387566148855</v>
      </c>
      <c r="AH39" s="2">
        <f t="shared" ca="1" si="36"/>
        <v>242.96632382096846</v>
      </c>
    </row>
    <row r="40" spans="1:34">
      <c r="A40" t="str">
        <f t="shared" si="33"/>
        <v>Lentils</v>
      </c>
      <c r="B40" t="str">
        <f t="shared" si="37"/>
        <v>DireDawa</v>
      </c>
      <c r="C40" s="2">
        <f t="shared" ca="1" si="39"/>
        <v>228.15127118651625</v>
      </c>
      <c r="D40" s="2">
        <f t="shared" ca="1" si="39"/>
        <v>262.08084361263394</v>
      </c>
      <c r="E40" s="2">
        <f t="shared" ca="1" si="39"/>
        <v>211.97993935637797</v>
      </c>
      <c r="F40" s="2">
        <f t="shared" ca="1" si="39"/>
        <v>207.83978544263294</v>
      </c>
      <c r="G40" s="2">
        <f t="shared" ca="1" si="39"/>
        <v>278.0695913317868</v>
      </c>
      <c r="H40" s="2">
        <f t="shared" ca="1" si="39"/>
        <v>233.02971836694036</v>
      </c>
      <c r="I40" s="2">
        <f t="shared" ca="1" si="39"/>
        <v>256.34801012503237</v>
      </c>
      <c r="J40" s="2">
        <f t="shared" ca="1" si="39"/>
        <v>238.80000121847073</v>
      </c>
      <c r="K40" s="2">
        <f t="shared" ca="1" si="39"/>
        <v>256.42734445006391</v>
      </c>
      <c r="L40" s="2">
        <f t="shared" ca="1" si="39"/>
        <v>250.49690579835033</v>
      </c>
      <c r="M40" s="2">
        <f t="shared" ca="1" si="39"/>
        <v>275.17709832835078</v>
      </c>
      <c r="N40" s="2">
        <f t="shared" ca="1" si="39"/>
        <v>267.21489456709151</v>
      </c>
      <c r="O40" s="2">
        <f t="shared" ca="1" si="39"/>
        <v>286.88072535271812</v>
      </c>
      <c r="P40" s="2">
        <f t="shared" ca="1" si="39"/>
        <v>201.42094586914411</v>
      </c>
      <c r="Q40" s="2">
        <f t="shared" ca="1" si="39"/>
        <v>282.86209719854304</v>
      </c>
      <c r="R40" s="2">
        <f t="shared" ca="1" si="39"/>
        <v>222.7585814285593</v>
      </c>
      <c r="S40" s="2">
        <f t="shared" ca="1" si="38"/>
        <v>225.54433412003146</v>
      </c>
      <c r="T40" s="2">
        <f t="shared" ca="1" si="38"/>
        <v>239.86914965131677</v>
      </c>
      <c r="U40" s="2">
        <f t="shared" ca="1" si="38"/>
        <v>250.84137232371245</v>
      </c>
      <c r="V40" s="2">
        <f t="shared" ca="1" si="38"/>
        <v>299.98036468180499</v>
      </c>
      <c r="W40" s="2">
        <f t="shared" ca="1" si="38"/>
        <v>251.98545021407904</v>
      </c>
      <c r="X40" s="2">
        <f t="shared" ca="1" si="38"/>
        <v>268.11942023917914</v>
      </c>
      <c r="Y40" s="2">
        <f t="shared" ca="1" si="38"/>
        <v>280.36492331274275</v>
      </c>
      <c r="Z40" s="2">
        <f t="shared" ca="1" si="35"/>
        <v>297.24290212572265</v>
      </c>
      <c r="AA40" s="2">
        <f t="shared" ca="1" si="36"/>
        <v>272.26303741676577</v>
      </c>
      <c r="AB40" s="2">
        <f t="shared" ca="1" si="36"/>
        <v>264.23642649909891</v>
      </c>
      <c r="AC40" s="2">
        <f t="shared" ca="1" si="36"/>
        <v>276.88491400017409</v>
      </c>
      <c r="AD40" s="2">
        <f t="shared" ca="1" si="36"/>
        <v>254.91072760604951</v>
      </c>
      <c r="AE40" s="2">
        <f t="shared" ca="1" si="36"/>
        <v>299.95409697930933</v>
      </c>
      <c r="AF40" s="2">
        <f t="shared" ca="1" si="36"/>
        <v>296.28063781300079</v>
      </c>
      <c r="AG40" s="2">
        <f t="shared" ca="1" si="36"/>
        <v>247.70328283300458</v>
      </c>
      <c r="AH40" s="2">
        <f t="shared" ca="1" si="36"/>
        <v>242.60064682691703</v>
      </c>
    </row>
    <row r="41" spans="1:34">
      <c r="A41" t="str">
        <f t="shared" si="33"/>
        <v>Lentils</v>
      </c>
      <c r="B41" t="str">
        <f t="shared" si="37"/>
        <v>Gambela</v>
      </c>
      <c r="C41" s="2">
        <f t="shared" ca="1" si="39"/>
        <v>293.01606549126831</v>
      </c>
      <c r="D41" s="2">
        <f t="shared" ca="1" si="39"/>
        <v>224.06484408024144</v>
      </c>
      <c r="E41" s="2">
        <f t="shared" ca="1" si="39"/>
        <v>205.68856834664086</v>
      </c>
      <c r="F41" s="2">
        <f t="shared" ca="1" si="39"/>
        <v>226.81810078443056</v>
      </c>
      <c r="G41" s="2">
        <f t="shared" ca="1" si="39"/>
        <v>293.84258742727229</v>
      </c>
      <c r="H41" s="2">
        <f t="shared" ca="1" si="39"/>
        <v>248.05023264595016</v>
      </c>
      <c r="I41" s="2">
        <f t="shared" ca="1" si="39"/>
        <v>201.06764461101841</v>
      </c>
      <c r="J41" s="2">
        <f t="shared" ca="1" si="39"/>
        <v>279.42672902838865</v>
      </c>
      <c r="K41" s="2">
        <f t="shared" ca="1" si="39"/>
        <v>209.18279773843142</v>
      </c>
      <c r="L41" s="2">
        <f t="shared" ca="1" si="39"/>
        <v>297.4083577176782</v>
      </c>
      <c r="M41" s="2">
        <f t="shared" ca="1" si="39"/>
        <v>235.69185091376195</v>
      </c>
      <c r="N41" s="2">
        <f t="shared" ca="1" si="39"/>
        <v>251.42264353136073</v>
      </c>
      <c r="O41" s="2">
        <f t="shared" ca="1" si="39"/>
        <v>263.80125846698945</v>
      </c>
      <c r="P41" s="2">
        <f t="shared" ca="1" si="39"/>
        <v>257.38580517709886</v>
      </c>
      <c r="Q41" s="2">
        <f t="shared" ca="1" si="39"/>
        <v>263.32133640522443</v>
      </c>
      <c r="R41" s="2">
        <f t="shared" ca="1" si="39"/>
        <v>211.41795044611632</v>
      </c>
      <c r="S41" s="2">
        <f t="shared" ca="1" si="38"/>
        <v>260.46850721414552</v>
      </c>
      <c r="T41" s="2">
        <f t="shared" ca="1" si="38"/>
        <v>219.4772142146908</v>
      </c>
      <c r="U41" s="2">
        <f t="shared" ca="1" si="38"/>
        <v>262.8658311811372</v>
      </c>
      <c r="V41" s="2">
        <f t="shared" ca="1" si="38"/>
        <v>297.21364420403609</v>
      </c>
      <c r="W41" s="2">
        <f t="shared" ca="1" si="38"/>
        <v>210.36681880666225</v>
      </c>
      <c r="X41" s="2">
        <f t="shared" ca="1" si="38"/>
        <v>204.37321371679297</v>
      </c>
      <c r="Y41" s="2">
        <f t="shared" ca="1" si="38"/>
        <v>213.76470840103229</v>
      </c>
      <c r="Z41" s="2">
        <f t="shared" ca="1" si="35"/>
        <v>240.53632128303795</v>
      </c>
      <c r="AA41" s="2">
        <f t="shared" ca="1" si="36"/>
        <v>289.03711618446772</v>
      </c>
      <c r="AB41" s="2">
        <f t="shared" ca="1" si="36"/>
        <v>229.81766281902048</v>
      </c>
      <c r="AC41" s="2">
        <f t="shared" ca="1" si="36"/>
        <v>243.89128468722143</v>
      </c>
      <c r="AD41" s="2">
        <f t="shared" ca="1" si="36"/>
        <v>291.14277114040152</v>
      </c>
      <c r="AE41" s="2">
        <f t="shared" ca="1" si="36"/>
        <v>255.27988903359861</v>
      </c>
      <c r="AF41" s="2">
        <f t="shared" ca="1" si="36"/>
        <v>252.75765660245958</v>
      </c>
      <c r="AG41" s="2">
        <f t="shared" ca="1" si="36"/>
        <v>293.80901211699057</v>
      </c>
      <c r="AH41" s="2">
        <f t="shared" ca="1" si="36"/>
        <v>265.60276573250849</v>
      </c>
    </row>
    <row r="42" spans="1:34">
      <c r="A42" t="str">
        <f t="shared" si="33"/>
        <v>Lentils</v>
      </c>
      <c r="B42" t="str">
        <f t="shared" si="37"/>
        <v>Harari</v>
      </c>
      <c r="C42" s="2">
        <f t="shared" ca="1" si="39"/>
        <v>289.35109276141674</v>
      </c>
      <c r="D42" s="2">
        <f t="shared" ca="1" si="39"/>
        <v>226.35241852955392</v>
      </c>
      <c r="E42" s="2">
        <f t="shared" ca="1" si="39"/>
        <v>278.12453707052913</v>
      </c>
      <c r="F42" s="2">
        <f t="shared" ca="1" si="39"/>
        <v>266.0081035845044</v>
      </c>
      <c r="G42" s="2">
        <f t="shared" ca="1" si="39"/>
        <v>205.93102886863304</v>
      </c>
      <c r="H42" s="2">
        <f t="shared" ca="1" si="39"/>
        <v>272.85398651510161</v>
      </c>
      <c r="I42" s="2">
        <f t="shared" ca="1" si="39"/>
        <v>275.39278690037855</v>
      </c>
      <c r="J42" s="2">
        <f t="shared" ca="1" si="39"/>
        <v>213.43222957807529</v>
      </c>
      <c r="K42" s="2">
        <f t="shared" ca="1" si="39"/>
        <v>267.57105388589298</v>
      </c>
      <c r="L42" s="2">
        <f t="shared" ca="1" si="39"/>
        <v>249.39808251861905</v>
      </c>
      <c r="M42" s="2">
        <f t="shared" ca="1" si="39"/>
        <v>228.00277008283479</v>
      </c>
      <c r="N42" s="2">
        <f t="shared" ca="1" si="39"/>
        <v>221.4049936211521</v>
      </c>
      <c r="O42" s="2">
        <f t="shared" ca="1" si="39"/>
        <v>249.81015683687397</v>
      </c>
      <c r="P42" s="2">
        <f t="shared" ca="1" si="39"/>
        <v>241.31117611586967</v>
      </c>
      <c r="Q42" s="2">
        <f t="shared" ca="1" si="39"/>
        <v>233.85061731519681</v>
      </c>
      <c r="R42" s="2">
        <f t="shared" ca="1" si="39"/>
        <v>237.58011589222195</v>
      </c>
      <c r="S42" s="2">
        <f t="shared" ca="1" si="38"/>
        <v>239.82024161853229</v>
      </c>
      <c r="T42" s="2">
        <f t="shared" ca="1" si="38"/>
        <v>242.09038858825863</v>
      </c>
      <c r="U42" s="2">
        <f t="shared" ca="1" si="38"/>
        <v>264.44749696915551</v>
      </c>
      <c r="V42" s="2">
        <f t="shared" ca="1" si="38"/>
        <v>252.12457012602502</v>
      </c>
      <c r="W42" s="2">
        <f t="shared" ca="1" si="38"/>
        <v>252.08760121026</v>
      </c>
      <c r="X42" s="2">
        <f t="shared" ca="1" si="38"/>
        <v>279.64364184823756</v>
      </c>
      <c r="Y42" s="2">
        <f t="shared" ca="1" si="38"/>
        <v>297.84967879425409</v>
      </c>
      <c r="Z42" s="2">
        <f t="shared" ca="1" si="35"/>
        <v>238.07514693817811</v>
      </c>
      <c r="AA42" s="2">
        <f t="shared" ca="1" si="36"/>
        <v>268.18892770987367</v>
      </c>
      <c r="AB42" s="2">
        <f t="shared" ca="1" si="36"/>
        <v>230.13621126110829</v>
      </c>
      <c r="AC42" s="2">
        <f t="shared" ca="1" si="36"/>
        <v>209.80816873833152</v>
      </c>
      <c r="AD42" s="2">
        <f t="shared" ca="1" si="36"/>
        <v>272.88507606288306</v>
      </c>
      <c r="AE42" s="2">
        <f t="shared" ca="1" si="36"/>
        <v>269.67567245228878</v>
      </c>
      <c r="AF42" s="2">
        <f t="shared" ca="1" si="36"/>
        <v>209.79847617139447</v>
      </c>
      <c r="AG42" s="2">
        <f t="shared" ca="1" si="36"/>
        <v>256.84214525416132</v>
      </c>
      <c r="AH42" s="2">
        <f t="shared" ref="D42:AH68" ca="1" si="40">(RAND()*1+2)*100</f>
        <v>295.98989469906712</v>
      </c>
    </row>
    <row r="43" spans="1:34">
      <c r="A43" t="str">
        <f t="shared" si="33"/>
        <v>Lentils</v>
      </c>
      <c r="B43" t="str">
        <f t="shared" si="37"/>
        <v>Oromia</v>
      </c>
      <c r="C43" s="2">
        <f t="shared" ca="1" si="39"/>
        <v>207.77622489700781</v>
      </c>
      <c r="D43" s="2">
        <f t="shared" ca="1" si="40"/>
        <v>222.09476913227476</v>
      </c>
      <c r="E43" s="2">
        <f t="shared" ca="1" si="40"/>
        <v>257.59388709237777</v>
      </c>
      <c r="F43" s="2">
        <f t="shared" ca="1" si="40"/>
        <v>270.16664286766502</v>
      </c>
      <c r="G43" s="2">
        <f t="shared" ca="1" si="40"/>
        <v>299.29271385888416</v>
      </c>
      <c r="H43" s="2">
        <f t="shared" ca="1" si="40"/>
        <v>277.71956887609775</v>
      </c>
      <c r="I43" s="2">
        <f t="shared" ca="1" si="40"/>
        <v>209.68106313819465</v>
      </c>
      <c r="J43" s="2">
        <f t="shared" ca="1" si="40"/>
        <v>230.37140189310722</v>
      </c>
      <c r="K43" s="2">
        <f t="shared" ca="1" si="40"/>
        <v>233.46598202883993</v>
      </c>
      <c r="L43" s="2">
        <f t="shared" ca="1" si="40"/>
        <v>237.44214748810472</v>
      </c>
      <c r="M43" s="2">
        <f t="shared" ca="1" si="40"/>
        <v>240.49812048731215</v>
      </c>
      <c r="N43" s="2">
        <f t="shared" ca="1" si="40"/>
        <v>207.50371784778139</v>
      </c>
      <c r="O43" s="2">
        <f t="shared" ca="1" si="40"/>
        <v>268.14106264771692</v>
      </c>
      <c r="P43" s="2">
        <f t="shared" ca="1" si="40"/>
        <v>238.41739071704956</v>
      </c>
      <c r="Q43" s="2">
        <f t="shared" ca="1" si="40"/>
        <v>274.10067259826337</v>
      </c>
      <c r="R43" s="2">
        <f t="shared" ca="1" si="40"/>
        <v>215.10923215840512</v>
      </c>
      <c r="S43" s="2">
        <f t="shared" ca="1" si="40"/>
        <v>247.10633642016523</v>
      </c>
      <c r="T43" s="2">
        <f t="shared" ca="1" si="40"/>
        <v>209.55171290845595</v>
      </c>
      <c r="U43" s="2">
        <f t="shared" ca="1" si="40"/>
        <v>282.82207771485463</v>
      </c>
      <c r="V43" s="2">
        <f t="shared" ca="1" si="40"/>
        <v>215.88050502735962</v>
      </c>
      <c r="W43" s="2">
        <f t="shared" ca="1" si="40"/>
        <v>240.62562259093477</v>
      </c>
      <c r="X43" s="2">
        <f t="shared" ca="1" si="40"/>
        <v>291.99082415899369</v>
      </c>
      <c r="Y43" s="2">
        <f t="shared" ca="1" si="40"/>
        <v>270.0627525879425</v>
      </c>
      <c r="Z43" s="2">
        <f t="shared" ca="1" si="40"/>
        <v>235.66989794094323</v>
      </c>
      <c r="AA43" s="2">
        <f t="shared" ca="1" si="40"/>
        <v>292.7651208562076</v>
      </c>
      <c r="AB43" s="2">
        <f t="shared" ca="1" si="40"/>
        <v>271.95268174652034</v>
      </c>
      <c r="AC43" s="2">
        <f t="shared" ca="1" si="40"/>
        <v>211.11206798655897</v>
      </c>
      <c r="AD43" s="2">
        <f t="shared" ca="1" si="40"/>
        <v>299.41804959363935</v>
      </c>
      <c r="AE43" s="2">
        <f t="shared" ca="1" si="40"/>
        <v>255.26722891631141</v>
      </c>
      <c r="AF43" s="2">
        <f t="shared" ca="1" si="40"/>
        <v>221.32217464570169</v>
      </c>
      <c r="AG43" s="2">
        <f t="shared" ca="1" si="40"/>
        <v>245.46020525722642</v>
      </c>
      <c r="AH43" s="2">
        <f t="shared" ca="1" si="40"/>
        <v>285.81186535322826</v>
      </c>
    </row>
    <row r="44" spans="1:34">
      <c r="A44" t="str">
        <f t="shared" si="33"/>
        <v>Lentils</v>
      </c>
      <c r="B44" t="str">
        <f t="shared" si="37"/>
        <v>Somali</v>
      </c>
      <c r="C44" s="2">
        <f t="shared" ca="1" si="39"/>
        <v>259.19163679419364</v>
      </c>
      <c r="D44" s="2">
        <f t="shared" ca="1" si="40"/>
        <v>295.30482293132263</v>
      </c>
      <c r="E44" s="2">
        <f t="shared" ca="1" si="40"/>
        <v>239.75736326021271</v>
      </c>
      <c r="F44" s="2">
        <f t="shared" ca="1" si="40"/>
        <v>232.04670397113372</v>
      </c>
      <c r="G44" s="2">
        <f t="shared" ca="1" si="40"/>
        <v>240.38474427880527</v>
      </c>
      <c r="H44" s="2">
        <f t="shared" ca="1" si="40"/>
        <v>270.12666569611872</v>
      </c>
      <c r="I44" s="2">
        <f t="shared" ca="1" si="40"/>
        <v>279.68853458725016</v>
      </c>
      <c r="J44" s="2">
        <f t="shared" ca="1" si="40"/>
        <v>247.80015122123444</v>
      </c>
      <c r="K44" s="2">
        <f t="shared" ca="1" si="40"/>
        <v>203.13461571867296</v>
      </c>
      <c r="L44" s="2">
        <f t="shared" ca="1" si="40"/>
        <v>272.07187098220055</v>
      </c>
      <c r="M44" s="2">
        <f t="shared" ca="1" si="40"/>
        <v>217.31412181515375</v>
      </c>
      <c r="N44" s="2">
        <f t="shared" ca="1" si="40"/>
        <v>249.39609210308316</v>
      </c>
      <c r="O44" s="2">
        <f t="shared" ca="1" si="40"/>
        <v>284.21371797690125</v>
      </c>
      <c r="P44" s="2">
        <f t="shared" ca="1" si="40"/>
        <v>203.73228017472252</v>
      </c>
      <c r="Q44" s="2">
        <f t="shared" ca="1" si="40"/>
        <v>283.76251209696852</v>
      </c>
      <c r="R44" s="2">
        <f t="shared" ca="1" si="40"/>
        <v>224.18728620368665</v>
      </c>
      <c r="S44" s="2">
        <f t="shared" ca="1" si="40"/>
        <v>208.21790822608941</v>
      </c>
      <c r="T44" s="2">
        <f t="shared" ca="1" si="40"/>
        <v>274.04556071136375</v>
      </c>
      <c r="U44" s="2">
        <f t="shared" ca="1" si="40"/>
        <v>274.56216962325436</v>
      </c>
      <c r="V44" s="2">
        <f t="shared" ca="1" si="40"/>
        <v>264.52669126310104</v>
      </c>
      <c r="W44" s="2">
        <f t="shared" ca="1" si="40"/>
        <v>277.58163997295878</v>
      </c>
      <c r="X44" s="2">
        <f t="shared" ca="1" si="40"/>
        <v>216.44291405901032</v>
      </c>
      <c r="Y44" s="2">
        <f t="shared" ca="1" si="40"/>
        <v>229.51251376894319</v>
      </c>
      <c r="Z44" s="2">
        <f t="shared" ca="1" si="40"/>
        <v>277.44292359431762</v>
      </c>
      <c r="AA44" s="2">
        <f t="shared" ca="1" si="40"/>
        <v>284.83374548641615</v>
      </c>
      <c r="AB44" s="2">
        <f t="shared" ca="1" si="40"/>
        <v>257.00836500198795</v>
      </c>
      <c r="AC44" s="2">
        <f t="shared" ca="1" si="40"/>
        <v>268.78702332869466</v>
      </c>
      <c r="AD44" s="2">
        <f t="shared" ca="1" si="40"/>
        <v>258.32095653402968</v>
      </c>
      <c r="AE44" s="2">
        <f t="shared" ca="1" si="40"/>
        <v>229.01274095757734</v>
      </c>
      <c r="AF44" s="2">
        <f t="shared" ca="1" si="40"/>
        <v>208.3157952805517</v>
      </c>
      <c r="AG44" s="2">
        <f t="shared" ca="1" si="40"/>
        <v>254.91966531824858</v>
      </c>
      <c r="AH44" s="2">
        <f t="shared" ca="1" si="40"/>
        <v>215.77299634224102</v>
      </c>
    </row>
    <row r="45" spans="1:34">
      <c r="A45" t="str">
        <f t="shared" si="33"/>
        <v>Lentils</v>
      </c>
      <c r="B45" t="str">
        <f t="shared" si="37"/>
        <v>SNNPR</v>
      </c>
      <c r="C45" s="2">
        <f t="shared" ca="1" si="39"/>
        <v>245.22714587904852</v>
      </c>
      <c r="D45" s="2">
        <f t="shared" ca="1" si="40"/>
        <v>276.22736595366291</v>
      </c>
      <c r="E45" s="2">
        <f t="shared" ca="1" si="40"/>
        <v>291.62759614190622</v>
      </c>
      <c r="F45" s="2">
        <f t="shared" ca="1" si="40"/>
        <v>284.09420963167219</v>
      </c>
      <c r="G45" s="2">
        <f t="shared" ca="1" si="40"/>
        <v>211.16721329017213</v>
      </c>
      <c r="H45" s="2">
        <f t="shared" ca="1" si="40"/>
        <v>257.49194159362213</v>
      </c>
      <c r="I45" s="2">
        <f t="shared" ca="1" si="40"/>
        <v>246.84646323285912</v>
      </c>
      <c r="J45" s="2">
        <f t="shared" ca="1" si="40"/>
        <v>227.87842545628001</v>
      </c>
      <c r="K45" s="2">
        <f t="shared" ca="1" si="40"/>
        <v>270.90209870709407</v>
      </c>
      <c r="L45" s="2">
        <f t="shared" ca="1" si="40"/>
        <v>252.3446721944259</v>
      </c>
      <c r="M45" s="2">
        <f t="shared" ca="1" si="40"/>
        <v>248.16118216330744</v>
      </c>
      <c r="N45" s="2">
        <f t="shared" ca="1" si="40"/>
        <v>235.63084696299094</v>
      </c>
      <c r="O45" s="2">
        <f t="shared" ca="1" si="40"/>
        <v>272.2681001125809</v>
      </c>
      <c r="P45" s="2">
        <f t="shared" ca="1" si="40"/>
        <v>245.00352674962679</v>
      </c>
      <c r="Q45" s="2">
        <f t="shared" ca="1" si="40"/>
        <v>222.30847261400388</v>
      </c>
      <c r="R45" s="2">
        <f t="shared" ca="1" si="40"/>
        <v>206.61447342594593</v>
      </c>
      <c r="S45" s="2">
        <f t="shared" ca="1" si="40"/>
        <v>204.13002286797618</v>
      </c>
      <c r="T45" s="2">
        <f t="shared" ca="1" si="40"/>
        <v>267.13757563610557</v>
      </c>
      <c r="U45" s="2">
        <f t="shared" ca="1" si="40"/>
        <v>263.22555325307559</v>
      </c>
      <c r="V45" s="2">
        <f t="shared" ca="1" si="40"/>
        <v>219.67361358469839</v>
      </c>
      <c r="W45" s="2">
        <f t="shared" ca="1" si="40"/>
        <v>240.10461142028197</v>
      </c>
      <c r="X45" s="2">
        <f t="shared" ca="1" si="40"/>
        <v>221.43907413971968</v>
      </c>
      <c r="Y45" s="2">
        <f t="shared" ca="1" si="40"/>
        <v>290.46209410598169</v>
      </c>
      <c r="Z45" s="2">
        <f t="shared" ca="1" si="40"/>
        <v>251.25380231824585</v>
      </c>
      <c r="AA45" s="2">
        <f t="shared" ca="1" si="40"/>
        <v>280.97365057028827</v>
      </c>
      <c r="AB45" s="2">
        <f t="shared" ca="1" si="40"/>
        <v>264.50755448958932</v>
      </c>
      <c r="AC45" s="2">
        <f t="shared" ca="1" si="40"/>
        <v>265.35257351156577</v>
      </c>
      <c r="AD45" s="2">
        <f t="shared" ca="1" si="40"/>
        <v>298.42453268994484</v>
      </c>
      <c r="AE45" s="2">
        <f t="shared" ca="1" si="40"/>
        <v>257.16165934438737</v>
      </c>
      <c r="AF45" s="2">
        <f t="shared" ca="1" si="40"/>
        <v>283.76002196001116</v>
      </c>
      <c r="AG45" s="2">
        <f t="shared" ca="1" si="40"/>
        <v>274.12653245763374</v>
      </c>
      <c r="AH45" s="2">
        <f t="shared" ca="1" si="40"/>
        <v>235.92005948738245</v>
      </c>
    </row>
    <row r="46" spans="1:34">
      <c r="A46" t="str">
        <f t="shared" si="33"/>
        <v>Lentils</v>
      </c>
      <c r="B46" t="str">
        <f t="shared" si="37"/>
        <v>Tigray</v>
      </c>
      <c r="C46" s="2">
        <f t="shared" ca="1" si="39"/>
        <v>250.50105785946121</v>
      </c>
      <c r="D46" s="2">
        <f t="shared" ca="1" si="40"/>
        <v>235.39523870942611</v>
      </c>
      <c r="E46" s="2">
        <f t="shared" ca="1" si="40"/>
        <v>226.71648807497249</v>
      </c>
      <c r="F46" s="2">
        <f t="shared" ca="1" si="40"/>
        <v>235.64523279528936</v>
      </c>
      <c r="G46" s="2">
        <f t="shared" ca="1" si="40"/>
        <v>237.9692703339594</v>
      </c>
      <c r="H46" s="2">
        <f t="shared" ca="1" si="40"/>
        <v>290.45341245158448</v>
      </c>
      <c r="I46" s="2">
        <f t="shared" ca="1" si="40"/>
        <v>277.8213668302202</v>
      </c>
      <c r="J46" s="2">
        <f t="shared" ca="1" si="40"/>
        <v>256.89838075141063</v>
      </c>
      <c r="K46" s="2">
        <f t="shared" ca="1" si="40"/>
        <v>268.43122059060096</v>
      </c>
      <c r="L46" s="2">
        <f t="shared" ca="1" si="40"/>
        <v>239.80533637200284</v>
      </c>
      <c r="M46" s="2">
        <f t="shared" ca="1" si="40"/>
        <v>252.25755961968349</v>
      </c>
      <c r="N46" s="2">
        <f t="shared" ca="1" si="40"/>
        <v>268.55682038267071</v>
      </c>
      <c r="O46" s="2">
        <f t="shared" ca="1" si="40"/>
        <v>242.63427829183306</v>
      </c>
      <c r="P46" s="2">
        <f t="shared" ca="1" si="40"/>
        <v>257.4970230431212</v>
      </c>
      <c r="Q46" s="2">
        <f t="shared" ca="1" si="40"/>
        <v>275.33860780043148</v>
      </c>
      <c r="R46" s="2">
        <f t="shared" ca="1" si="40"/>
        <v>233.96014235966845</v>
      </c>
      <c r="S46" s="2">
        <f t="shared" ca="1" si="40"/>
        <v>248.75248477208393</v>
      </c>
      <c r="T46" s="2">
        <f t="shared" ca="1" si="40"/>
        <v>216.37413753445446</v>
      </c>
      <c r="U46" s="2">
        <f t="shared" ca="1" si="40"/>
        <v>279.44052096505425</v>
      </c>
      <c r="V46" s="2">
        <f t="shared" ca="1" si="40"/>
        <v>248.85561979060853</v>
      </c>
      <c r="W46" s="2">
        <f t="shared" ca="1" si="40"/>
        <v>277.82928814830575</v>
      </c>
      <c r="X46" s="2">
        <f t="shared" ca="1" si="40"/>
        <v>276.14429242780454</v>
      </c>
      <c r="Y46" s="2">
        <f t="shared" ca="1" si="40"/>
        <v>277.71347911349915</v>
      </c>
      <c r="Z46" s="2">
        <f t="shared" ca="1" si="40"/>
        <v>266.36391496975767</v>
      </c>
      <c r="AA46" s="2">
        <f t="shared" ca="1" si="40"/>
        <v>227.44231462352508</v>
      </c>
      <c r="AB46" s="2">
        <f t="shared" ca="1" si="40"/>
        <v>209.25922239049021</v>
      </c>
      <c r="AC46" s="2">
        <f t="shared" ca="1" si="40"/>
        <v>289.84085338989206</v>
      </c>
      <c r="AD46" s="2">
        <f t="shared" ca="1" si="40"/>
        <v>230.64508119409373</v>
      </c>
      <c r="AE46" s="2">
        <f t="shared" ca="1" si="40"/>
        <v>298.24422209673764</v>
      </c>
      <c r="AF46" s="2">
        <f t="shared" ca="1" si="40"/>
        <v>220.97373750732535</v>
      </c>
      <c r="AG46" s="2">
        <f t="shared" ca="1" si="40"/>
        <v>267.99448842975744</v>
      </c>
      <c r="AH46" s="2">
        <f t="shared" ca="1" si="40"/>
        <v>219.96649598573205</v>
      </c>
    </row>
    <row r="47" spans="1:34">
      <c r="A47" t="str">
        <f t="shared" si="33"/>
        <v>Vegetables</v>
      </c>
      <c r="B47" t="str">
        <f t="shared" si="37"/>
        <v>AddisAbaba</v>
      </c>
      <c r="C47" s="2">
        <f t="shared" ca="1" si="39"/>
        <v>286.76175749526732</v>
      </c>
      <c r="D47" s="2">
        <f t="shared" ca="1" si="40"/>
        <v>255.26653943894306</v>
      </c>
      <c r="E47" s="2">
        <f t="shared" ca="1" si="40"/>
        <v>285.91602656099349</v>
      </c>
      <c r="F47" s="2">
        <f t="shared" ca="1" si="40"/>
        <v>279.87922578901924</v>
      </c>
      <c r="G47" s="2">
        <f t="shared" ca="1" si="40"/>
        <v>257.33906259485519</v>
      </c>
      <c r="H47" s="2">
        <f t="shared" ca="1" si="40"/>
        <v>284.69415358770971</v>
      </c>
      <c r="I47" s="2">
        <f t="shared" ca="1" si="40"/>
        <v>263.24295632305507</v>
      </c>
      <c r="J47" s="2">
        <f t="shared" ca="1" si="40"/>
        <v>277.09667537773964</v>
      </c>
      <c r="K47" s="2">
        <f t="shared" ca="1" si="40"/>
        <v>251.85454198638729</v>
      </c>
      <c r="L47" s="2">
        <f t="shared" ca="1" si="40"/>
        <v>255.29499775017715</v>
      </c>
      <c r="M47" s="2">
        <f t="shared" ca="1" si="40"/>
        <v>239.10176895133705</v>
      </c>
      <c r="N47" s="2">
        <f t="shared" ca="1" si="40"/>
        <v>229.71002579801745</v>
      </c>
      <c r="O47" s="2">
        <f t="shared" ca="1" si="40"/>
        <v>264.42286488496507</v>
      </c>
      <c r="P47" s="2">
        <f t="shared" ca="1" si="40"/>
        <v>250.35978271595644</v>
      </c>
      <c r="Q47" s="2">
        <f t="shared" ca="1" si="40"/>
        <v>211.09399235207508</v>
      </c>
      <c r="R47" s="2">
        <f t="shared" ca="1" si="40"/>
        <v>276.60218424524362</v>
      </c>
      <c r="S47" s="2">
        <f t="shared" ca="1" si="40"/>
        <v>240.63770617358017</v>
      </c>
      <c r="T47" s="2">
        <f t="shared" ca="1" si="40"/>
        <v>270.73704826670399</v>
      </c>
      <c r="U47" s="2">
        <f t="shared" ca="1" si="40"/>
        <v>276.01417799755529</v>
      </c>
      <c r="V47" s="2">
        <f t="shared" ca="1" si="40"/>
        <v>271.89508080097482</v>
      </c>
      <c r="W47" s="2">
        <f t="shared" ca="1" si="40"/>
        <v>268.86072817319229</v>
      </c>
      <c r="X47" s="2">
        <f t="shared" ca="1" si="40"/>
        <v>207.52438520518285</v>
      </c>
      <c r="Y47" s="2">
        <f t="shared" ca="1" si="40"/>
        <v>244.55829297821313</v>
      </c>
      <c r="Z47" s="2">
        <f t="shared" ca="1" si="40"/>
        <v>281.54894274666043</v>
      </c>
      <c r="AA47" s="2">
        <f t="shared" ca="1" si="40"/>
        <v>209.96098516590916</v>
      </c>
      <c r="AB47" s="2">
        <f t="shared" ca="1" si="40"/>
        <v>239.23698332058817</v>
      </c>
      <c r="AC47" s="2">
        <f t="shared" ca="1" si="40"/>
        <v>242.19469522248863</v>
      </c>
      <c r="AD47" s="2">
        <f t="shared" ca="1" si="40"/>
        <v>262.7919246743138</v>
      </c>
      <c r="AE47" s="2">
        <f t="shared" ca="1" si="40"/>
        <v>225.61961846282639</v>
      </c>
      <c r="AF47" s="2">
        <f t="shared" ca="1" si="40"/>
        <v>282.60918546247177</v>
      </c>
      <c r="AG47" s="2">
        <f t="shared" ca="1" si="40"/>
        <v>215.79453683910774</v>
      </c>
      <c r="AH47" s="2">
        <f t="shared" ca="1" si="40"/>
        <v>235.32359328998899</v>
      </c>
    </row>
    <row r="48" spans="1:34">
      <c r="A48" t="str">
        <f t="shared" si="33"/>
        <v>Vegetables</v>
      </c>
      <c r="B48" t="str">
        <f t="shared" si="37"/>
        <v>Afar</v>
      </c>
      <c r="C48" s="2">
        <f t="shared" ca="1" si="39"/>
        <v>277.00445470378492</v>
      </c>
      <c r="D48" s="2">
        <f t="shared" ca="1" si="40"/>
        <v>257.0545164787676</v>
      </c>
      <c r="E48" s="2">
        <f t="shared" ca="1" si="40"/>
        <v>259.87214375618419</v>
      </c>
      <c r="F48" s="2">
        <f t="shared" ca="1" si="40"/>
        <v>223.958004696589</v>
      </c>
      <c r="G48" s="2">
        <f t="shared" ca="1" si="40"/>
        <v>212.74457686934008</v>
      </c>
      <c r="H48" s="2">
        <f t="shared" ca="1" si="40"/>
        <v>220.18345786071129</v>
      </c>
      <c r="I48" s="2">
        <f t="shared" ca="1" si="40"/>
        <v>292.85064062333691</v>
      </c>
      <c r="J48" s="2">
        <f t="shared" ca="1" si="40"/>
        <v>255.86842435336075</v>
      </c>
      <c r="K48" s="2">
        <f t="shared" ca="1" si="40"/>
        <v>201.06790681758397</v>
      </c>
      <c r="L48" s="2">
        <f t="shared" ca="1" si="40"/>
        <v>222.89900895430003</v>
      </c>
      <c r="M48" s="2">
        <f t="shared" ca="1" si="40"/>
        <v>262.6225105310055</v>
      </c>
      <c r="N48" s="2">
        <f t="shared" ca="1" si="40"/>
        <v>274.02272577940704</v>
      </c>
      <c r="O48" s="2">
        <f t="shared" ca="1" si="40"/>
        <v>261.27251489112956</v>
      </c>
      <c r="P48" s="2">
        <f t="shared" ca="1" si="40"/>
        <v>273.8949506839993</v>
      </c>
      <c r="Q48" s="2">
        <f t="shared" ca="1" si="40"/>
        <v>266.09681466588142</v>
      </c>
      <c r="R48" s="2">
        <f t="shared" ca="1" si="40"/>
        <v>259.8322543622823</v>
      </c>
      <c r="S48" s="2">
        <f t="shared" ca="1" si="40"/>
        <v>294.95147436894649</v>
      </c>
      <c r="T48" s="2">
        <f t="shared" ca="1" si="40"/>
        <v>237.14204648072263</v>
      </c>
      <c r="U48" s="2">
        <f t="shared" ca="1" si="40"/>
        <v>230.37162533889645</v>
      </c>
      <c r="V48" s="2">
        <f t="shared" ca="1" si="40"/>
        <v>205.81373141198841</v>
      </c>
      <c r="W48" s="2">
        <f t="shared" ca="1" si="40"/>
        <v>218.51550221685562</v>
      </c>
      <c r="X48" s="2">
        <f t="shared" ca="1" si="40"/>
        <v>222.28740187235979</v>
      </c>
      <c r="Y48" s="2">
        <f t="shared" ca="1" si="40"/>
        <v>293.93118408056125</v>
      </c>
      <c r="Z48" s="2">
        <f t="shared" ca="1" si="40"/>
        <v>283.6191980536604</v>
      </c>
      <c r="AA48" s="2">
        <f t="shared" ca="1" si="40"/>
        <v>255.10257172456207</v>
      </c>
      <c r="AB48" s="2">
        <f t="shared" ca="1" si="40"/>
        <v>248.14962399608845</v>
      </c>
      <c r="AC48" s="2">
        <f t="shared" ca="1" si="40"/>
        <v>240.44131859504381</v>
      </c>
      <c r="AD48" s="2">
        <f t="shared" ca="1" si="40"/>
        <v>291.74910916886392</v>
      </c>
      <c r="AE48" s="2">
        <f t="shared" ca="1" si="40"/>
        <v>281.71851202738634</v>
      </c>
      <c r="AF48" s="2">
        <f t="shared" ca="1" si="40"/>
        <v>207.61769063158107</v>
      </c>
      <c r="AG48" s="2">
        <f t="shared" ca="1" si="40"/>
        <v>224.63302706552577</v>
      </c>
      <c r="AH48" s="2">
        <f t="shared" ca="1" si="40"/>
        <v>241.04328595567983</v>
      </c>
    </row>
    <row r="49" spans="1:34">
      <c r="A49" t="str">
        <f t="shared" si="33"/>
        <v>Vegetables</v>
      </c>
      <c r="B49" t="str">
        <f t="shared" si="37"/>
        <v>Amhara</v>
      </c>
      <c r="C49" s="2">
        <f t="shared" ca="1" si="39"/>
        <v>255.58137675603899</v>
      </c>
      <c r="D49" s="2">
        <f t="shared" ca="1" si="40"/>
        <v>230.27968119899231</v>
      </c>
      <c r="E49" s="2">
        <f t="shared" ca="1" si="40"/>
        <v>250.00874406460153</v>
      </c>
      <c r="F49" s="2">
        <f t="shared" ca="1" si="40"/>
        <v>243.40502236238163</v>
      </c>
      <c r="G49" s="2">
        <f t="shared" ca="1" si="40"/>
        <v>268.93690434099</v>
      </c>
      <c r="H49" s="2">
        <f t="shared" ca="1" si="40"/>
        <v>276.70793222366615</v>
      </c>
      <c r="I49" s="2">
        <f t="shared" ca="1" si="40"/>
        <v>213.58120799693384</v>
      </c>
      <c r="J49" s="2">
        <f t="shared" ca="1" si="40"/>
        <v>227.40344856335781</v>
      </c>
      <c r="K49" s="2">
        <f t="shared" ca="1" si="40"/>
        <v>257.0259153336919</v>
      </c>
      <c r="L49" s="2">
        <f t="shared" ca="1" si="40"/>
        <v>232.54626038384311</v>
      </c>
      <c r="M49" s="2">
        <f t="shared" ca="1" si="40"/>
        <v>237.25491055215232</v>
      </c>
      <c r="N49" s="2">
        <f t="shared" ca="1" si="40"/>
        <v>218.7661468060972</v>
      </c>
      <c r="O49" s="2">
        <f t="shared" ca="1" si="40"/>
        <v>202.4840439435188</v>
      </c>
      <c r="P49" s="2">
        <f t="shared" ca="1" si="40"/>
        <v>226.09013445820031</v>
      </c>
      <c r="Q49" s="2">
        <f t="shared" ca="1" si="40"/>
        <v>225.88548035770381</v>
      </c>
      <c r="R49" s="2">
        <f t="shared" ca="1" si="40"/>
        <v>237.2812902943501</v>
      </c>
      <c r="S49" s="2">
        <f t="shared" ca="1" si="40"/>
        <v>286.99152331862888</v>
      </c>
      <c r="T49" s="2">
        <f t="shared" ca="1" si="40"/>
        <v>276.4981634575056</v>
      </c>
      <c r="U49" s="2">
        <f t="shared" ca="1" si="40"/>
        <v>259.6856032652866</v>
      </c>
      <c r="V49" s="2">
        <f t="shared" ca="1" si="40"/>
        <v>235.16501016805555</v>
      </c>
      <c r="W49" s="2">
        <f t="shared" ca="1" si="40"/>
        <v>230.26573908892618</v>
      </c>
      <c r="X49" s="2">
        <f t="shared" ca="1" si="40"/>
        <v>244.93549208956421</v>
      </c>
      <c r="Y49" s="2">
        <f t="shared" ca="1" si="40"/>
        <v>296.14744330934599</v>
      </c>
      <c r="Z49" s="2">
        <f t="shared" ca="1" si="40"/>
        <v>200.56483532777506</v>
      </c>
      <c r="AA49" s="2">
        <f t="shared" ca="1" si="40"/>
        <v>245.2928665724929</v>
      </c>
      <c r="AB49" s="2">
        <f t="shared" ca="1" si="40"/>
        <v>231.35173135914914</v>
      </c>
      <c r="AC49" s="2">
        <f t="shared" ca="1" si="40"/>
        <v>251.49994726311525</v>
      </c>
      <c r="AD49" s="2">
        <f t="shared" ca="1" si="40"/>
        <v>246.44280024582662</v>
      </c>
      <c r="AE49" s="2">
        <f t="shared" ca="1" si="40"/>
        <v>202.30318779464648</v>
      </c>
      <c r="AF49" s="2">
        <f t="shared" ca="1" si="40"/>
        <v>266.98912303049991</v>
      </c>
      <c r="AG49" s="2">
        <f t="shared" ca="1" si="40"/>
        <v>285.08320325999784</v>
      </c>
      <c r="AH49" s="2">
        <f t="shared" ca="1" si="40"/>
        <v>201.31427013910522</v>
      </c>
    </row>
    <row r="50" spans="1:34">
      <c r="A50" t="str">
        <f t="shared" si="33"/>
        <v>Vegetables</v>
      </c>
      <c r="B50" t="str">
        <f t="shared" si="37"/>
        <v>Gumuz</v>
      </c>
      <c r="C50" s="2">
        <f t="shared" ca="1" si="39"/>
        <v>276.55498966000715</v>
      </c>
      <c r="D50" s="2">
        <f t="shared" ca="1" si="40"/>
        <v>210.42261316551239</v>
      </c>
      <c r="E50" s="2">
        <f t="shared" ca="1" si="40"/>
        <v>250.38702476666771</v>
      </c>
      <c r="F50" s="2">
        <f t="shared" ca="1" si="40"/>
        <v>288.832532777366</v>
      </c>
      <c r="G50" s="2">
        <f t="shared" ca="1" si="40"/>
        <v>200.59269407892222</v>
      </c>
      <c r="H50" s="2">
        <f t="shared" ca="1" si="40"/>
        <v>207.67150410151825</v>
      </c>
      <c r="I50" s="2">
        <f t="shared" ca="1" si="40"/>
        <v>223.51977345160483</v>
      </c>
      <c r="J50" s="2">
        <f t="shared" ca="1" si="40"/>
        <v>208.4006944059885</v>
      </c>
      <c r="K50" s="2">
        <f t="shared" ca="1" si="40"/>
        <v>262.97781199214484</v>
      </c>
      <c r="L50" s="2">
        <f t="shared" ca="1" si="40"/>
        <v>271.59815584436717</v>
      </c>
      <c r="M50" s="2">
        <f t="shared" ca="1" si="40"/>
        <v>212.76509823590999</v>
      </c>
      <c r="N50" s="2">
        <f t="shared" ca="1" si="40"/>
        <v>236.53381917174775</v>
      </c>
      <c r="O50" s="2">
        <f t="shared" ca="1" si="40"/>
        <v>251.68832952245043</v>
      </c>
      <c r="P50" s="2">
        <f t="shared" ca="1" si="40"/>
        <v>247.41565621308092</v>
      </c>
      <c r="Q50" s="2">
        <f t="shared" ca="1" si="40"/>
        <v>283.90638887626272</v>
      </c>
      <c r="R50" s="2">
        <f t="shared" ca="1" si="40"/>
        <v>235.26769676842133</v>
      </c>
      <c r="S50" s="2">
        <f t="shared" ca="1" si="40"/>
        <v>265.22718656118639</v>
      </c>
      <c r="T50" s="2">
        <f t="shared" ca="1" si="40"/>
        <v>231.95105650509137</v>
      </c>
      <c r="U50" s="2">
        <f t="shared" ca="1" si="40"/>
        <v>250.49552830518044</v>
      </c>
      <c r="V50" s="2">
        <f t="shared" ca="1" si="40"/>
        <v>222.98446221542613</v>
      </c>
      <c r="W50" s="2">
        <f t="shared" ca="1" si="40"/>
        <v>243.98096652913938</v>
      </c>
      <c r="X50" s="2">
        <f t="shared" ca="1" si="40"/>
        <v>236.45628614234141</v>
      </c>
      <c r="Y50" s="2">
        <f t="shared" ca="1" si="40"/>
        <v>259.39111787482381</v>
      </c>
      <c r="Z50" s="2">
        <f t="shared" ca="1" si="40"/>
        <v>228.56168543241105</v>
      </c>
      <c r="AA50" s="2">
        <f t="shared" ca="1" si="40"/>
        <v>203.68952145771061</v>
      </c>
      <c r="AB50" s="2">
        <f t="shared" ca="1" si="40"/>
        <v>217.12512168158028</v>
      </c>
      <c r="AC50" s="2">
        <f t="shared" ca="1" si="40"/>
        <v>240.73020824563267</v>
      </c>
      <c r="AD50" s="2">
        <f t="shared" ca="1" si="40"/>
        <v>239.69934328359707</v>
      </c>
      <c r="AE50" s="2">
        <f t="shared" ca="1" si="40"/>
        <v>238.59069797013106</v>
      </c>
      <c r="AF50" s="2">
        <f t="shared" ca="1" si="40"/>
        <v>227.63694875395285</v>
      </c>
      <c r="AG50" s="2">
        <f t="shared" ca="1" si="40"/>
        <v>256.29827973579012</v>
      </c>
      <c r="AH50" s="2">
        <f t="shared" ca="1" si="40"/>
        <v>267.83366713188218</v>
      </c>
    </row>
    <row r="51" spans="1:34">
      <c r="A51" t="str">
        <f t="shared" si="33"/>
        <v>Vegetables</v>
      </c>
      <c r="B51" t="str">
        <f t="shared" si="37"/>
        <v>DireDawa</v>
      </c>
      <c r="C51" s="2">
        <f t="shared" ca="1" si="39"/>
        <v>275.20732692172555</v>
      </c>
      <c r="D51" s="2">
        <f t="shared" ca="1" si="40"/>
        <v>201.73359519841205</v>
      </c>
      <c r="E51" s="2">
        <f t="shared" ca="1" si="40"/>
        <v>227.51073454045999</v>
      </c>
      <c r="F51" s="2">
        <f t="shared" ca="1" si="40"/>
        <v>276.01157006744745</v>
      </c>
      <c r="G51" s="2">
        <f t="shared" ca="1" si="40"/>
        <v>239.78432650702027</v>
      </c>
      <c r="H51" s="2">
        <f t="shared" ca="1" si="40"/>
        <v>211.08430567298896</v>
      </c>
      <c r="I51" s="2">
        <f t="shared" ca="1" si="40"/>
        <v>262.28177826222975</v>
      </c>
      <c r="J51" s="2">
        <f t="shared" ref="J51:Y68" ca="1" si="41">(RAND()*1+2)*100</f>
        <v>244.0236115768875</v>
      </c>
      <c r="K51" s="2">
        <f t="shared" ca="1" si="41"/>
        <v>268.26619664822209</v>
      </c>
      <c r="L51" s="2">
        <f t="shared" ca="1" si="41"/>
        <v>246.78391535219166</v>
      </c>
      <c r="M51" s="2">
        <f t="shared" ca="1" si="41"/>
        <v>261.61156566231182</v>
      </c>
      <c r="N51" s="2">
        <f t="shared" ca="1" si="41"/>
        <v>231.21910749944595</v>
      </c>
      <c r="O51" s="2">
        <f t="shared" ca="1" si="41"/>
        <v>255.87811621437834</v>
      </c>
      <c r="P51" s="2">
        <f t="shared" ca="1" si="41"/>
        <v>208.79147962150827</v>
      </c>
      <c r="Q51" s="2">
        <f t="shared" ca="1" si="41"/>
        <v>216.68495069599044</v>
      </c>
      <c r="R51" s="2">
        <f t="shared" ca="1" si="41"/>
        <v>257.47781804780658</v>
      </c>
      <c r="S51" s="2">
        <f t="shared" ca="1" si="41"/>
        <v>201.2708192615973</v>
      </c>
      <c r="T51" s="2">
        <f t="shared" ca="1" si="41"/>
        <v>290.2812879519617</v>
      </c>
      <c r="U51" s="2">
        <f t="shared" ca="1" si="41"/>
        <v>237.25489231554374</v>
      </c>
      <c r="V51" s="2">
        <f t="shared" ca="1" si="41"/>
        <v>200.99187002920647</v>
      </c>
      <c r="W51" s="2">
        <f t="shared" ca="1" si="41"/>
        <v>243.8283918322075</v>
      </c>
      <c r="X51" s="2">
        <f t="shared" ca="1" si="41"/>
        <v>291.28186376807463</v>
      </c>
      <c r="Y51" s="2">
        <f t="shared" ca="1" si="41"/>
        <v>278.88538403599017</v>
      </c>
      <c r="Z51" s="2">
        <f t="shared" ref="Z51:AH68" ca="1" si="42">(RAND()*1+2)*100</f>
        <v>213.55949515451789</v>
      </c>
      <c r="AA51" s="2">
        <f t="shared" ca="1" si="42"/>
        <v>215.89798387716885</v>
      </c>
      <c r="AB51" s="2">
        <f t="shared" ca="1" si="42"/>
        <v>207.58306480299069</v>
      </c>
      <c r="AC51" s="2">
        <f t="shared" ca="1" si="42"/>
        <v>290.44663966481858</v>
      </c>
      <c r="AD51" s="2">
        <f t="shared" ca="1" si="42"/>
        <v>279.68602080712168</v>
      </c>
      <c r="AE51" s="2">
        <f t="shared" ca="1" si="42"/>
        <v>236.34193827771765</v>
      </c>
      <c r="AF51" s="2">
        <f t="shared" ca="1" si="42"/>
        <v>291.17809265510596</v>
      </c>
      <c r="AG51" s="2">
        <f t="shared" ca="1" si="42"/>
        <v>218.44985655774516</v>
      </c>
      <c r="AH51" s="2">
        <f t="shared" ca="1" si="42"/>
        <v>222.80777219940728</v>
      </c>
    </row>
    <row r="52" spans="1:34">
      <c r="A52" t="str">
        <f t="shared" si="33"/>
        <v>Vegetables</v>
      </c>
      <c r="B52" t="str">
        <f t="shared" si="37"/>
        <v>Gambela</v>
      </c>
      <c r="C52" s="2">
        <f t="shared" ca="1" si="39"/>
        <v>283.71220230544844</v>
      </c>
      <c r="D52" s="2">
        <f t="shared" ca="1" si="39"/>
        <v>225.16244497764632</v>
      </c>
      <c r="E52" s="2">
        <f t="shared" ca="1" si="39"/>
        <v>296.91821335666845</v>
      </c>
      <c r="F52" s="2">
        <f t="shared" ca="1" si="39"/>
        <v>285.4252245715374</v>
      </c>
      <c r="G52" s="2">
        <f t="shared" ca="1" si="39"/>
        <v>201.48548602292414</v>
      </c>
      <c r="H52" s="2">
        <f t="shared" ca="1" si="39"/>
        <v>287.56865049086019</v>
      </c>
      <c r="I52" s="2">
        <f t="shared" ref="I52:X68" ca="1" si="43">(RAND()*1+2)*100</f>
        <v>258.28123168980284</v>
      </c>
      <c r="J52" s="2">
        <f t="shared" ca="1" si="43"/>
        <v>293.26491974738673</v>
      </c>
      <c r="K52" s="2">
        <f t="shared" ca="1" si="43"/>
        <v>203.28715968906928</v>
      </c>
      <c r="L52" s="2">
        <f t="shared" ca="1" si="43"/>
        <v>256.98531676296517</v>
      </c>
      <c r="M52" s="2">
        <f t="shared" ca="1" si="43"/>
        <v>243.07293790829564</v>
      </c>
      <c r="N52" s="2">
        <f t="shared" ca="1" si="43"/>
        <v>230.26391019399367</v>
      </c>
      <c r="O52" s="2">
        <f t="shared" ca="1" si="43"/>
        <v>221.82130607899842</v>
      </c>
      <c r="P52" s="2">
        <f t="shared" ca="1" si="43"/>
        <v>221.55082679583833</v>
      </c>
      <c r="Q52" s="2">
        <f t="shared" ca="1" si="43"/>
        <v>209.03945605190901</v>
      </c>
      <c r="R52" s="2">
        <f t="shared" ca="1" si="43"/>
        <v>238.02316219305081</v>
      </c>
      <c r="S52" s="2">
        <f t="shared" ca="1" si="43"/>
        <v>280.34181199875928</v>
      </c>
      <c r="T52" s="2">
        <f t="shared" ca="1" si="43"/>
        <v>239.2920495678606</v>
      </c>
      <c r="U52" s="2">
        <f t="shared" ca="1" si="43"/>
        <v>226.7054607878074</v>
      </c>
      <c r="V52" s="2">
        <f t="shared" ca="1" si="43"/>
        <v>235.09979306236778</v>
      </c>
      <c r="W52" s="2">
        <f t="shared" ca="1" si="43"/>
        <v>221.49936471056719</v>
      </c>
      <c r="X52" s="2">
        <f t="shared" ca="1" si="43"/>
        <v>227.86621299587932</v>
      </c>
      <c r="Y52" s="2">
        <f t="shared" ca="1" si="41"/>
        <v>247.96594875677357</v>
      </c>
      <c r="Z52" s="2">
        <f t="shared" ca="1" si="42"/>
        <v>257.32377548978371</v>
      </c>
      <c r="AA52" s="2">
        <f t="shared" ca="1" si="42"/>
        <v>281.7566912719771</v>
      </c>
      <c r="AB52" s="2">
        <f t="shared" ca="1" si="42"/>
        <v>227.81899355250496</v>
      </c>
      <c r="AC52" s="2">
        <f t="shared" ca="1" si="42"/>
        <v>281.73876581653349</v>
      </c>
      <c r="AD52" s="2">
        <f t="shared" ca="1" si="42"/>
        <v>217.78818248204209</v>
      </c>
      <c r="AE52" s="2">
        <f t="shared" ca="1" si="42"/>
        <v>294.46308429747859</v>
      </c>
      <c r="AF52" s="2">
        <f t="shared" ca="1" si="42"/>
        <v>241.93412488867244</v>
      </c>
      <c r="AG52" s="2">
        <f t="shared" ca="1" si="42"/>
        <v>298.17543484755976</v>
      </c>
      <c r="AH52" s="2">
        <f t="shared" ca="1" si="42"/>
        <v>285.14185772766115</v>
      </c>
    </row>
    <row r="53" spans="1:34">
      <c r="A53" t="str">
        <f t="shared" si="33"/>
        <v>Vegetables</v>
      </c>
      <c r="B53" t="str">
        <f t="shared" si="37"/>
        <v>Harari</v>
      </c>
      <c r="C53" s="2">
        <f t="shared" ref="C53:R68" ca="1" si="44">(RAND()*1+2)*100</f>
        <v>242.61905500981476</v>
      </c>
      <c r="D53" s="2">
        <f t="shared" ca="1" si="44"/>
        <v>264.00139811016976</v>
      </c>
      <c r="E53" s="2">
        <f t="shared" ca="1" si="44"/>
        <v>278.4468192025069</v>
      </c>
      <c r="F53" s="2">
        <f t="shared" ca="1" si="44"/>
        <v>251.92194235875655</v>
      </c>
      <c r="G53" s="2">
        <f t="shared" ca="1" si="44"/>
        <v>270.24888300056114</v>
      </c>
      <c r="H53" s="2">
        <f t="shared" ca="1" si="44"/>
        <v>238.46383324107748</v>
      </c>
      <c r="I53" s="2">
        <f t="shared" ca="1" si="44"/>
        <v>213.86688556706696</v>
      </c>
      <c r="J53" s="2">
        <f t="shared" ca="1" si="44"/>
        <v>280.26687895094113</v>
      </c>
      <c r="K53" s="2">
        <f t="shared" ca="1" si="44"/>
        <v>245.71798271462893</v>
      </c>
      <c r="L53" s="2">
        <f t="shared" ca="1" si="44"/>
        <v>261.89052033265574</v>
      </c>
      <c r="M53" s="2">
        <f t="shared" ca="1" si="44"/>
        <v>260.71026687150641</v>
      </c>
      <c r="N53" s="2">
        <f t="shared" ca="1" si="44"/>
        <v>296.49015548212986</v>
      </c>
      <c r="O53" s="2">
        <f t="shared" ca="1" si="44"/>
        <v>292.35517484062996</v>
      </c>
      <c r="P53" s="2">
        <f t="shared" ca="1" si="44"/>
        <v>208.21283055025091</v>
      </c>
      <c r="Q53" s="2">
        <f t="shared" ca="1" si="44"/>
        <v>267.2002867115732</v>
      </c>
      <c r="R53" s="2">
        <f t="shared" ca="1" si="44"/>
        <v>272.91175411436615</v>
      </c>
      <c r="S53" s="2">
        <f t="shared" ca="1" si="43"/>
        <v>299.04880912255641</v>
      </c>
      <c r="T53" s="2">
        <f t="shared" ca="1" si="43"/>
        <v>250.65013439596106</v>
      </c>
      <c r="U53" s="2">
        <f t="shared" ca="1" si="43"/>
        <v>237.3358355026829</v>
      </c>
      <c r="V53" s="2">
        <f t="shared" ca="1" si="43"/>
        <v>280.08162664900834</v>
      </c>
      <c r="W53" s="2">
        <f t="shared" ca="1" si="43"/>
        <v>214.47253531430883</v>
      </c>
      <c r="X53" s="2">
        <f t="shared" ca="1" si="43"/>
        <v>227.64768009523388</v>
      </c>
      <c r="Y53" s="2">
        <f t="shared" ca="1" si="41"/>
        <v>206.49386103816414</v>
      </c>
      <c r="Z53" s="2">
        <f t="shared" ca="1" si="42"/>
        <v>299.48936142457779</v>
      </c>
      <c r="AA53" s="2">
        <f t="shared" ca="1" si="42"/>
        <v>240.63367417832069</v>
      </c>
      <c r="AB53" s="2">
        <f t="shared" ca="1" si="42"/>
        <v>268.7723358089678</v>
      </c>
      <c r="AC53" s="2">
        <f t="shared" ca="1" si="42"/>
        <v>230.84336415714137</v>
      </c>
      <c r="AD53" s="2">
        <f t="shared" ca="1" si="42"/>
        <v>241.63334530104069</v>
      </c>
      <c r="AE53" s="2">
        <f t="shared" ca="1" si="42"/>
        <v>210.12504658427849</v>
      </c>
      <c r="AF53" s="2">
        <f t="shared" ca="1" si="42"/>
        <v>272.91081637884042</v>
      </c>
      <c r="AG53" s="2">
        <f t="shared" ca="1" si="42"/>
        <v>220.72427997199665</v>
      </c>
      <c r="AH53" s="2">
        <f t="shared" ca="1" si="42"/>
        <v>216.53204256199413</v>
      </c>
    </row>
    <row r="54" spans="1:34">
      <c r="A54" t="str">
        <f t="shared" si="33"/>
        <v>Vegetables</v>
      </c>
      <c r="B54" t="str">
        <f t="shared" si="37"/>
        <v>Oromia</v>
      </c>
      <c r="C54" s="2">
        <f t="shared" ca="1" si="44"/>
        <v>263.29167605757385</v>
      </c>
      <c r="D54" s="2">
        <f t="shared" ca="1" si="44"/>
        <v>201.0235414941273</v>
      </c>
      <c r="E54" s="2">
        <f t="shared" ca="1" si="44"/>
        <v>216.51492960915454</v>
      </c>
      <c r="F54" s="2">
        <f t="shared" ca="1" si="44"/>
        <v>242.61936009239645</v>
      </c>
      <c r="G54" s="2">
        <f t="shared" ca="1" si="44"/>
        <v>243.03237579005216</v>
      </c>
      <c r="H54" s="2">
        <f t="shared" ca="1" si="44"/>
        <v>236.1926346474491</v>
      </c>
      <c r="I54" s="2">
        <f t="shared" ca="1" si="44"/>
        <v>210.3477070804893</v>
      </c>
      <c r="J54" s="2">
        <f t="shared" ca="1" si="44"/>
        <v>233.02586644664888</v>
      </c>
      <c r="K54" s="2">
        <f t="shared" ca="1" si="44"/>
        <v>280.85627970093583</v>
      </c>
      <c r="L54" s="2">
        <f t="shared" ca="1" si="44"/>
        <v>271.34463641508393</v>
      </c>
      <c r="M54" s="2">
        <f t="shared" ca="1" si="44"/>
        <v>283.01381383338605</v>
      </c>
      <c r="N54" s="2">
        <f t="shared" ca="1" si="44"/>
        <v>284.4048589649754</v>
      </c>
      <c r="O54" s="2">
        <f t="shared" ca="1" si="44"/>
        <v>295.76326891772806</v>
      </c>
      <c r="P54" s="2">
        <f t="shared" ca="1" si="44"/>
        <v>223.35945221239518</v>
      </c>
      <c r="Q54" s="2">
        <f t="shared" ca="1" si="44"/>
        <v>225.00546738987853</v>
      </c>
      <c r="R54" s="2">
        <f t="shared" ca="1" si="44"/>
        <v>255.10042256712654</v>
      </c>
      <c r="S54" s="2">
        <f t="shared" ca="1" si="43"/>
        <v>220.1825063863098</v>
      </c>
      <c r="T54" s="2">
        <f t="shared" ca="1" si="43"/>
        <v>262.34238652068626</v>
      </c>
      <c r="U54" s="2">
        <f t="shared" ca="1" si="43"/>
        <v>295.25197410547355</v>
      </c>
      <c r="V54" s="2">
        <f t="shared" ca="1" si="43"/>
        <v>201.00348936714391</v>
      </c>
      <c r="W54" s="2">
        <f t="shared" ca="1" si="43"/>
        <v>246.4967265753686</v>
      </c>
      <c r="X54" s="2">
        <f t="shared" ca="1" si="43"/>
        <v>255.99687191075085</v>
      </c>
      <c r="Y54" s="2">
        <f t="shared" ca="1" si="41"/>
        <v>229.33256777895403</v>
      </c>
      <c r="Z54" s="2">
        <f t="shared" ca="1" si="42"/>
        <v>230.90583014542992</v>
      </c>
      <c r="AA54" s="2">
        <f t="shared" ca="1" si="42"/>
        <v>280.61684302320356</v>
      </c>
      <c r="AB54" s="2">
        <f t="shared" ca="1" si="42"/>
        <v>297.92465379778503</v>
      </c>
      <c r="AC54" s="2">
        <f t="shared" ca="1" si="42"/>
        <v>267.55813856447998</v>
      </c>
      <c r="AD54" s="2">
        <f t="shared" ca="1" si="42"/>
        <v>271.67635470114743</v>
      </c>
      <c r="AE54" s="2">
        <f t="shared" ca="1" si="42"/>
        <v>241.27102930246647</v>
      </c>
      <c r="AF54" s="2">
        <f t="shared" ca="1" si="42"/>
        <v>294.53814417450388</v>
      </c>
      <c r="AG54" s="2">
        <f t="shared" ca="1" si="42"/>
        <v>219.68888736951553</v>
      </c>
      <c r="AH54" s="2">
        <f t="shared" ca="1" si="42"/>
        <v>255.48746611144759</v>
      </c>
    </row>
    <row r="55" spans="1:34">
      <c r="A55" t="str">
        <f t="shared" si="33"/>
        <v>Vegetables</v>
      </c>
      <c r="B55" t="str">
        <f t="shared" si="37"/>
        <v>Somali</v>
      </c>
      <c r="C55" s="2">
        <f t="shared" ca="1" si="44"/>
        <v>293.35708058528911</v>
      </c>
      <c r="D55" s="2">
        <f t="shared" ca="1" si="44"/>
        <v>234.41696398265788</v>
      </c>
      <c r="E55" s="2">
        <f t="shared" ca="1" si="44"/>
        <v>286.47328352300792</v>
      </c>
      <c r="F55" s="2">
        <f t="shared" ca="1" si="44"/>
        <v>256.10153461941462</v>
      </c>
      <c r="G55" s="2">
        <f t="shared" ca="1" si="44"/>
        <v>253.4128795733059</v>
      </c>
      <c r="H55" s="2">
        <f t="shared" ca="1" si="44"/>
        <v>235.93715275156245</v>
      </c>
      <c r="I55" s="2">
        <f t="shared" ca="1" si="44"/>
        <v>260.84112749826198</v>
      </c>
      <c r="J55" s="2">
        <f t="shared" ca="1" si="44"/>
        <v>208.39508642932486</v>
      </c>
      <c r="K55" s="2">
        <f t="shared" ca="1" si="44"/>
        <v>278.70282074330436</v>
      </c>
      <c r="L55" s="2">
        <f t="shared" ca="1" si="44"/>
        <v>245.58689964032814</v>
      </c>
      <c r="M55" s="2">
        <f t="shared" ca="1" si="44"/>
        <v>272.43457047051606</v>
      </c>
      <c r="N55" s="2">
        <f t="shared" ca="1" si="44"/>
        <v>259.18021581404116</v>
      </c>
      <c r="O55" s="2">
        <f t="shared" ca="1" si="44"/>
        <v>230.03947495575559</v>
      </c>
      <c r="P55" s="2">
        <f t="shared" ca="1" si="44"/>
        <v>263.97910325727747</v>
      </c>
      <c r="Q55" s="2">
        <f t="shared" ca="1" si="44"/>
        <v>244.71452232083789</v>
      </c>
      <c r="R55" s="2">
        <f t="shared" ca="1" si="44"/>
        <v>221.22569689292871</v>
      </c>
      <c r="S55" s="2">
        <f t="shared" ca="1" si="43"/>
        <v>200.78037920513117</v>
      </c>
      <c r="T55" s="2">
        <f t="shared" ca="1" si="43"/>
        <v>214.86335962003687</v>
      </c>
      <c r="U55" s="2">
        <f t="shared" ca="1" si="43"/>
        <v>261.88040697691571</v>
      </c>
      <c r="V55" s="2">
        <f t="shared" ca="1" si="43"/>
        <v>251.4835707677062</v>
      </c>
      <c r="W55" s="2">
        <f t="shared" ca="1" si="43"/>
        <v>213.6411298968807</v>
      </c>
      <c r="X55" s="2">
        <f t="shared" ca="1" si="43"/>
        <v>238.26872235790199</v>
      </c>
      <c r="Y55" s="2">
        <f t="shared" ca="1" si="41"/>
        <v>283.27597164514833</v>
      </c>
      <c r="Z55" s="2">
        <f t="shared" ca="1" si="42"/>
        <v>263.57588189112755</v>
      </c>
      <c r="AA55" s="2">
        <f t="shared" ca="1" si="42"/>
        <v>279.81254719665662</v>
      </c>
      <c r="AB55" s="2">
        <f t="shared" ca="1" si="42"/>
        <v>210.77298407615865</v>
      </c>
      <c r="AC55" s="2">
        <f t="shared" ca="1" si="42"/>
        <v>270.67631601503439</v>
      </c>
      <c r="AD55" s="2">
        <f t="shared" ca="1" si="42"/>
        <v>232.44048757231627</v>
      </c>
      <c r="AE55" s="2">
        <f t="shared" ca="1" si="42"/>
        <v>203.48471500623205</v>
      </c>
      <c r="AF55" s="2">
        <f t="shared" ca="1" si="42"/>
        <v>299.80235460010311</v>
      </c>
      <c r="AG55" s="2">
        <f t="shared" ca="1" si="42"/>
        <v>268.92439165207543</v>
      </c>
      <c r="AH55" s="2">
        <f t="shared" ca="1" si="42"/>
        <v>208.79846117638991</v>
      </c>
    </row>
    <row r="56" spans="1:34">
      <c r="A56" t="str">
        <f t="shared" si="33"/>
        <v>Vegetables</v>
      </c>
      <c r="B56" t="str">
        <f t="shared" si="37"/>
        <v>SNNPR</v>
      </c>
      <c r="C56" s="2">
        <f t="shared" ca="1" si="44"/>
        <v>299.43814370145856</v>
      </c>
      <c r="D56" s="2">
        <f t="shared" ca="1" si="44"/>
        <v>257.50306724088847</v>
      </c>
      <c r="E56" s="2">
        <f t="shared" ca="1" si="44"/>
        <v>207.5416323560913</v>
      </c>
      <c r="F56" s="2">
        <f t="shared" ca="1" si="44"/>
        <v>292.00061277830292</v>
      </c>
      <c r="G56" s="2">
        <f t="shared" ca="1" si="44"/>
        <v>213.18883836909279</v>
      </c>
      <c r="H56" s="2">
        <f t="shared" ca="1" si="44"/>
        <v>290.66924352668553</v>
      </c>
      <c r="I56" s="2">
        <f t="shared" ca="1" si="44"/>
        <v>237.00085555090155</v>
      </c>
      <c r="J56" s="2">
        <f t="shared" ca="1" si="44"/>
        <v>265.82723796881538</v>
      </c>
      <c r="K56" s="2">
        <f t="shared" ca="1" si="44"/>
        <v>238.95939117359487</v>
      </c>
      <c r="L56" s="2">
        <f t="shared" ca="1" si="44"/>
        <v>273.63514280130801</v>
      </c>
      <c r="M56" s="2">
        <f t="shared" ca="1" si="44"/>
        <v>215.17033672092748</v>
      </c>
      <c r="N56" s="2">
        <f t="shared" ca="1" si="44"/>
        <v>285.45933150692076</v>
      </c>
      <c r="O56" s="2">
        <f t="shared" ca="1" si="44"/>
        <v>258.10268447975744</v>
      </c>
      <c r="P56" s="2">
        <f t="shared" ca="1" si="44"/>
        <v>262.88424962721166</v>
      </c>
      <c r="Q56" s="2">
        <f t="shared" ca="1" si="44"/>
        <v>210.34602437186783</v>
      </c>
      <c r="R56" s="2">
        <f t="shared" ca="1" si="44"/>
        <v>257.73438721293326</v>
      </c>
      <c r="S56" s="2">
        <f t="shared" ca="1" si="43"/>
        <v>295.86084987024407</v>
      </c>
      <c r="T56" s="2">
        <f t="shared" ca="1" si="43"/>
        <v>215.02560488563924</v>
      </c>
      <c r="U56" s="2">
        <f t="shared" ca="1" si="43"/>
        <v>201.20880033897953</v>
      </c>
      <c r="V56" s="2">
        <f t="shared" ca="1" si="43"/>
        <v>256.8906170006569</v>
      </c>
      <c r="W56" s="2">
        <f t="shared" ca="1" si="43"/>
        <v>222.90683379869597</v>
      </c>
      <c r="X56" s="2">
        <f t="shared" ca="1" si="43"/>
        <v>235.41320211399662</v>
      </c>
      <c r="Y56" s="2">
        <f t="shared" ca="1" si="41"/>
        <v>259.32028740624941</v>
      </c>
      <c r="Z56" s="2">
        <f t="shared" ca="1" si="42"/>
        <v>217.35560389330769</v>
      </c>
      <c r="AA56" s="2">
        <f t="shared" ca="1" si="42"/>
        <v>293.64811749850514</v>
      </c>
      <c r="AB56" s="2">
        <f t="shared" ca="1" si="42"/>
        <v>259.04761274181635</v>
      </c>
      <c r="AC56" s="2">
        <f t="shared" ca="1" si="42"/>
        <v>225.7406500537214</v>
      </c>
      <c r="AD56" s="2">
        <f t="shared" ca="1" si="42"/>
        <v>270.54298200591086</v>
      </c>
      <c r="AE56" s="2">
        <f t="shared" ca="1" si="42"/>
        <v>258.55512201793442</v>
      </c>
      <c r="AF56" s="2">
        <f t="shared" ca="1" si="42"/>
        <v>261.47115023445446</v>
      </c>
      <c r="AG56" s="2">
        <f t="shared" ca="1" si="42"/>
        <v>228.15303710217546</v>
      </c>
      <c r="AH56" s="2">
        <f t="shared" ca="1" si="42"/>
        <v>213.35560732842046</v>
      </c>
    </row>
    <row r="57" spans="1:34">
      <c r="A57" t="str">
        <f t="shared" si="33"/>
        <v>Vegetables</v>
      </c>
      <c r="B57" t="str">
        <f t="shared" si="37"/>
        <v>Tigray</v>
      </c>
      <c r="C57" s="2">
        <f t="shared" ca="1" si="44"/>
        <v>247.50726620958315</v>
      </c>
      <c r="D57" s="2">
        <f t="shared" ca="1" si="44"/>
        <v>217.13414760922842</v>
      </c>
      <c r="E57" s="2">
        <f t="shared" ca="1" si="44"/>
        <v>256.13270227698348</v>
      </c>
      <c r="F57" s="2">
        <f t="shared" ca="1" si="44"/>
        <v>277.22318679687658</v>
      </c>
      <c r="G57" s="2">
        <f t="shared" ca="1" si="44"/>
        <v>250.98962723548667</v>
      </c>
      <c r="H57" s="2">
        <f t="shared" ca="1" si="44"/>
        <v>295.53515186168363</v>
      </c>
      <c r="I57" s="2">
        <f t="shared" ca="1" si="44"/>
        <v>211.31868317099213</v>
      </c>
      <c r="J57" s="2">
        <f t="shared" ca="1" si="44"/>
        <v>275.79560772005181</v>
      </c>
      <c r="K57" s="2">
        <f t="shared" ca="1" si="44"/>
        <v>263.46382527214473</v>
      </c>
      <c r="L57" s="2">
        <f t="shared" ca="1" si="44"/>
        <v>218.39891939399757</v>
      </c>
      <c r="M57" s="2">
        <f t="shared" ca="1" si="44"/>
        <v>280.0589694340361</v>
      </c>
      <c r="N57" s="2">
        <f t="shared" ca="1" si="44"/>
        <v>273.80444302995818</v>
      </c>
      <c r="O57" s="2">
        <f t="shared" ca="1" si="44"/>
        <v>277.12672582148804</v>
      </c>
      <c r="P57" s="2">
        <f t="shared" ca="1" si="44"/>
        <v>208.80674204757818</v>
      </c>
      <c r="Q57" s="2">
        <f t="shared" ca="1" si="44"/>
        <v>236.34591877990641</v>
      </c>
      <c r="R57" s="2">
        <f t="shared" ca="1" si="44"/>
        <v>285.5668749865311</v>
      </c>
      <c r="S57" s="2">
        <f t="shared" ca="1" si="43"/>
        <v>211.64498151143388</v>
      </c>
      <c r="T57" s="2">
        <f t="shared" ca="1" si="43"/>
        <v>245.15432475383358</v>
      </c>
      <c r="U57" s="2">
        <f t="shared" ca="1" si="43"/>
        <v>281.7627897047376</v>
      </c>
      <c r="V57" s="2">
        <f t="shared" ca="1" si="43"/>
        <v>259.30675309134756</v>
      </c>
      <c r="W57" s="2">
        <f t="shared" ca="1" si="43"/>
        <v>208.65133399100108</v>
      </c>
      <c r="X57" s="2">
        <f t="shared" ca="1" si="43"/>
        <v>209.75957747850268</v>
      </c>
      <c r="Y57" s="2">
        <f t="shared" ca="1" si="41"/>
        <v>289.85506136907333</v>
      </c>
      <c r="Z57" s="2">
        <f t="shared" ca="1" si="42"/>
        <v>265.31927124554511</v>
      </c>
      <c r="AA57" s="2">
        <f t="shared" ca="1" si="42"/>
        <v>250.71660654439154</v>
      </c>
      <c r="AB57" s="2">
        <f t="shared" ca="1" si="42"/>
        <v>299.49268209177927</v>
      </c>
      <c r="AC57" s="2">
        <f t="shared" ca="1" si="42"/>
        <v>222.79637859393736</v>
      </c>
      <c r="AD57" s="2">
        <f t="shared" ca="1" si="42"/>
        <v>293.87368322827791</v>
      </c>
      <c r="AE57" s="2">
        <f t="shared" ca="1" si="42"/>
        <v>258.11507658574573</v>
      </c>
      <c r="AF57" s="2">
        <f t="shared" ca="1" si="42"/>
        <v>249.93058050856297</v>
      </c>
      <c r="AG57" s="2">
        <f t="shared" ca="1" si="42"/>
        <v>223.79900164622845</v>
      </c>
      <c r="AH57" s="2">
        <f t="shared" ca="1" si="42"/>
        <v>211.28157069005269</v>
      </c>
    </row>
    <row r="58" spans="1:34">
      <c r="A58" t="str">
        <f t="shared" si="33"/>
        <v>Coffee</v>
      </c>
      <c r="B58" t="str">
        <f t="shared" si="37"/>
        <v>AddisAbaba</v>
      </c>
      <c r="C58" s="2">
        <f t="shared" ca="1" si="44"/>
        <v>246.26903363648776</v>
      </c>
      <c r="D58" s="2">
        <f t="shared" ca="1" si="44"/>
        <v>228.59904917826191</v>
      </c>
      <c r="E58" s="2">
        <f t="shared" ca="1" si="44"/>
        <v>206.53969692298978</v>
      </c>
      <c r="F58" s="2">
        <f t="shared" ca="1" si="44"/>
        <v>276.60170174996398</v>
      </c>
      <c r="G58" s="2">
        <f t="shared" ca="1" si="44"/>
        <v>262.33123476801262</v>
      </c>
      <c r="H58" s="2">
        <f t="shared" ca="1" si="44"/>
        <v>290.51390694859725</v>
      </c>
      <c r="I58" s="2">
        <f t="shared" ca="1" si="44"/>
        <v>208.41189569905194</v>
      </c>
      <c r="J58" s="2">
        <f t="shared" ca="1" si="44"/>
        <v>274.26912846445595</v>
      </c>
      <c r="K58" s="2">
        <f t="shared" ca="1" si="44"/>
        <v>234.2241280593847</v>
      </c>
      <c r="L58" s="2">
        <f t="shared" ca="1" si="44"/>
        <v>248.29112733780221</v>
      </c>
      <c r="M58" s="2">
        <f t="shared" ca="1" si="44"/>
        <v>264.14860327438959</v>
      </c>
      <c r="N58" s="2">
        <f t="shared" ca="1" si="44"/>
        <v>285.72863496979471</v>
      </c>
      <c r="O58" s="2">
        <f t="shared" ca="1" si="44"/>
        <v>227.22798354702448</v>
      </c>
      <c r="P58" s="2">
        <f t="shared" ca="1" si="44"/>
        <v>274.71894526140397</v>
      </c>
      <c r="Q58" s="2">
        <f t="shared" ca="1" si="44"/>
        <v>255.97793123342396</v>
      </c>
      <c r="R58" s="2">
        <f t="shared" ca="1" si="44"/>
        <v>294.21155990956549</v>
      </c>
      <c r="S58" s="2">
        <f t="shared" ca="1" si="43"/>
        <v>294.49570617121435</v>
      </c>
      <c r="T58" s="2">
        <f t="shared" ca="1" si="43"/>
        <v>203.59510477447208</v>
      </c>
      <c r="U58" s="2">
        <f t="shared" ca="1" si="43"/>
        <v>298.96793999344015</v>
      </c>
      <c r="V58" s="2">
        <f t="shared" ca="1" si="43"/>
        <v>295.67050239969518</v>
      </c>
      <c r="W58" s="2">
        <f t="shared" ca="1" si="43"/>
        <v>203.65515492611067</v>
      </c>
      <c r="X58" s="2">
        <f t="shared" ca="1" si="43"/>
        <v>223.06820406290382</v>
      </c>
      <c r="Y58" s="2">
        <f t="shared" ca="1" si="41"/>
        <v>233.36637974350589</v>
      </c>
      <c r="Z58" s="2">
        <f t="shared" ca="1" si="42"/>
        <v>237.87792220612084</v>
      </c>
      <c r="AA58" s="2">
        <f t="shared" ca="1" si="42"/>
        <v>263.35639529497905</v>
      </c>
      <c r="AB58" s="2">
        <f t="shared" ca="1" si="42"/>
        <v>225.91194094983339</v>
      </c>
      <c r="AC58" s="2">
        <f t="shared" ca="1" si="42"/>
        <v>262.28139715777866</v>
      </c>
      <c r="AD58" s="2">
        <f t="shared" ca="1" si="42"/>
        <v>260.78274369872634</v>
      </c>
      <c r="AE58" s="2">
        <f t="shared" ca="1" si="42"/>
        <v>286.66245480125417</v>
      </c>
      <c r="AF58" s="2">
        <f t="shared" ca="1" si="42"/>
        <v>215.42283882886585</v>
      </c>
      <c r="AG58" s="2">
        <f t="shared" ca="1" si="42"/>
        <v>241.78423466781226</v>
      </c>
      <c r="AH58" s="2">
        <f t="shared" ca="1" si="42"/>
        <v>201.13035339856674</v>
      </c>
    </row>
    <row r="59" spans="1:34">
      <c r="A59" t="str">
        <f t="shared" si="33"/>
        <v>Coffee</v>
      </c>
      <c r="B59" t="str">
        <f t="shared" si="37"/>
        <v>Afar</v>
      </c>
      <c r="C59" s="2">
        <f t="shared" ca="1" si="44"/>
        <v>236.96837775656451</v>
      </c>
      <c r="D59" s="2">
        <f t="shared" ca="1" si="44"/>
        <v>298.26559183096583</v>
      </c>
      <c r="E59" s="2">
        <f t="shared" ca="1" si="44"/>
        <v>215.712280869137</v>
      </c>
      <c r="F59" s="2">
        <f t="shared" ca="1" si="44"/>
        <v>264.14105920689445</v>
      </c>
      <c r="G59" s="2">
        <f t="shared" ca="1" si="44"/>
        <v>295.76508275973299</v>
      </c>
      <c r="H59" s="2">
        <f t="shared" ca="1" si="44"/>
        <v>240.70969721593656</v>
      </c>
      <c r="I59" s="2">
        <f t="shared" ca="1" si="44"/>
        <v>218.53643334319145</v>
      </c>
      <c r="J59" s="2">
        <f t="shared" ca="1" si="44"/>
        <v>224.55321631622533</v>
      </c>
      <c r="K59" s="2">
        <f t="shared" ca="1" si="44"/>
        <v>275.56976347382334</v>
      </c>
      <c r="L59" s="2">
        <f t="shared" ca="1" si="44"/>
        <v>271.88859911768037</v>
      </c>
      <c r="M59" s="2">
        <f t="shared" ca="1" si="44"/>
        <v>259.52600176730704</v>
      </c>
      <c r="N59" s="2">
        <f t="shared" ca="1" si="44"/>
        <v>203.39611738755133</v>
      </c>
      <c r="O59" s="2">
        <f t="shared" ca="1" si="44"/>
        <v>263.84211402116665</v>
      </c>
      <c r="P59" s="2">
        <f t="shared" ca="1" si="44"/>
        <v>265.92387613790345</v>
      </c>
      <c r="Q59" s="2">
        <f t="shared" ca="1" si="44"/>
        <v>258.24072105038294</v>
      </c>
      <c r="R59" s="2">
        <f t="shared" ca="1" si="44"/>
        <v>271.78910982374634</v>
      </c>
      <c r="S59" s="2">
        <f t="shared" ca="1" si="43"/>
        <v>263.33488817901883</v>
      </c>
      <c r="T59" s="2">
        <f t="shared" ca="1" si="43"/>
        <v>264.39170748151844</v>
      </c>
      <c r="U59" s="2">
        <f t="shared" ca="1" si="43"/>
        <v>203.80191627674208</v>
      </c>
      <c r="V59" s="2">
        <f t="shared" ca="1" si="43"/>
        <v>226.55428417736397</v>
      </c>
      <c r="W59" s="2">
        <f t="shared" ca="1" si="43"/>
        <v>252.36020658146526</v>
      </c>
      <c r="X59" s="2">
        <f t="shared" ca="1" si="43"/>
        <v>218.5289585016931</v>
      </c>
      <c r="Y59" s="2">
        <f t="shared" ca="1" si="41"/>
        <v>251.65960095218819</v>
      </c>
      <c r="Z59" s="2">
        <f t="shared" ca="1" si="42"/>
        <v>204.62816954604008</v>
      </c>
      <c r="AA59" s="2">
        <f t="shared" ca="1" si="42"/>
        <v>262.43076072037866</v>
      </c>
      <c r="AB59" s="2">
        <f t="shared" ca="1" si="42"/>
        <v>209.68979732033634</v>
      </c>
      <c r="AC59" s="2">
        <f t="shared" ca="1" si="42"/>
        <v>200.31665608425394</v>
      </c>
      <c r="AD59" s="2">
        <f t="shared" ca="1" si="42"/>
        <v>238.13405900358896</v>
      </c>
      <c r="AE59" s="2">
        <f t="shared" ca="1" si="42"/>
        <v>281.19262533179244</v>
      </c>
      <c r="AF59" s="2">
        <f t="shared" ca="1" si="42"/>
        <v>299.92737836728446</v>
      </c>
      <c r="AG59" s="2">
        <f t="shared" ca="1" si="42"/>
        <v>230.66404608117335</v>
      </c>
      <c r="AH59" s="2">
        <f t="shared" ca="1" si="42"/>
        <v>278.31873929257489</v>
      </c>
    </row>
    <row r="60" spans="1:34">
      <c r="A60" t="str">
        <f t="shared" si="33"/>
        <v>Coffee</v>
      </c>
      <c r="B60" t="str">
        <f t="shared" si="37"/>
        <v>Amhara</v>
      </c>
      <c r="C60" s="2">
        <f t="shared" ca="1" si="44"/>
        <v>289.18126368619943</v>
      </c>
      <c r="D60" s="2">
        <f t="shared" ca="1" si="44"/>
        <v>264.88991070627935</v>
      </c>
      <c r="E60" s="2">
        <f t="shared" ca="1" si="44"/>
        <v>269.09460513245767</v>
      </c>
      <c r="F60" s="2">
        <f t="shared" ca="1" si="44"/>
        <v>297.75367235747751</v>
      </c>
      <c r="G60" s="2">
        <f t="shared" ca="1" si="44"/>
        <v>238.99384382404057</v>
      </c>
      <c r="H60" s="2">
        <f t="shared" ca="1" si="44"/>
        <v>245.49130507983986</v>
      </c>
      <c r="I60" s="2">
        <f t="shared" ca="1" si="44"/>
        <v>218.96511618245316</v>
      </c>
      <c r="J60" s="2">
        <f t="shared" ca="1" si="44"/>
        <v>298.26104095165442</v>
      </c>
      <c r="K60" s="2">
        <f t="shared" ca="1" si="44"/>
        <v>292.64255486200136</v>
      </c>
      <c r="L60" s="2">
        <f t="shared" ca="1" si="44"/>
        <v>257.05816350352217</v>
      </c>
      <c r="M60" s="2">
        <f t="shared" ca="1" si="44"/>
        <v>273.17457735220029</v>
      </c>
      <c r="N60" s="2">
        <f t="shared" ca="1" si="44"/>
        <v>238.86132518180472</v>
      </c>
      <c r="O60" s="2">
        <f t="shared" ca="1" si="44"/>
        <v>216.63016296583376</v>
      </c>
      <c r="P60" s="2">
        <f t="shared" ca="1" si="44"/>
        <v>205.90464104442279</v>
      </c>
      <c r="Q60" s="2">
        <f t="shared" ca="1" si="44"/>
        <v>244.58709139118375</v>
      </c>
      <c r="R60" s="2">
        <f t="shared" ca="1" si="44"/>
        <v>280.15561609821447</v>
      </c>
      <c r="S60" s="2">
        <f t="shared" ca="1" si="43"/>
        <v>285.53374158136018</v>
      </c>
      <c r="T60" s="2">
        <f t="shared" ca="1" si="43"/>
        <v>278.73617525823687</v>
      </c>
      <c r="U60" s="2">
        <f t="shared" ca="1" si="43"/>
        <v>231.79494927845815</v>
      </c>
      <c r="V60" s="2">
        <f t="shared" ca="1" si="43"/>
        <v>284.70800587200722</v>
      </c>
      <c r="W60" s="2">
        <f t="shared" ca="1" si="43"/>
        <v>212.84295566123762</v>
      </c>
      <c r="X60" s="2">
        <f t="shared" ca="1" si="43"/>
        <v>282.70283022697595</v>
      </c>
      <c r="Y60" s="2">
        <f t="shared" ca="1" si="41"/>
        <v>288.06577867744363</v>
      </c>
      <c r="Z60" s="2">
        <f t="shared" ca="1" si="42"/>
        <v>228.84262053685075</v>
      </c>
      <c r="AA60" s="2">
        <f t="shared" ca="1" si="42"/>
        <v>205.13622583878336</v>
      </c>
      <c r="AB60" s="2">
        <f t="shared" ca="1" si="42"/>
        <v>265.93906597644946</v>
      </c>
      <c r="AC60" s="2">
        <f t="shared" ca="1" si="42"/>
        <v>264.84560589384137</v>
      </c>
      <c r="AD60" s="2">
        <f t="shared" ca="1" si="42"/>
        <v>261.85071368558243</v>
      </c>
      <c r="AE60" s="2">
        <f t="shared" ca="1" si="42"/>
        <v>258.0905269160657</v>
      </c>
      <c r="AF60" s="2">
        <f t="shared" ca="1" si="42"/>
        <v>279.93273661066939</v>
      </c>
      <c r="AG60" s="2">
        <f t="shared" ca="1" si="42"/>
        <v>254.87336687557499</v>
      </c>
      <c r="AH60" s="2">
        <f t="shared" ca="1" si="42"/>
        <v>237.21876160114275</v>
      </c>
    </row>
    <row r="61" spans="1:34">
      <c r="A61" t="str">
        <f t="shared" si="33"/>
        <v>Coffee</v>
      </c>
      <c r="B61" t="str">
        <f t="shared" si="37"/>
        <v>Gumuz</v>
      </c>
      <c r="C61" s="2">
        <f t="shared" ca="1" si="44"/>
        <v>224.83371626216012</v>
      </c>
      <c r="D61" s="2">
        <f t="shared" ca="1" si="44"/>
        <v>211.97271168638915</v>
      </c>
      <c r="E61" s="2">
        <f t="shared" ca="1" si="44"/>
        <v>222.58950211787081</v>
      </c>
      <c r="F61" s="2">
        <f t="shared" ca="1" si="44"/>
        <v>259.55581220002568</v>
      </c>
      <c r="G61" s="2">
        <f t="shared" ca="1" si="44"/>
        <v>281.66662672423837</v>
      </c>
      <c r="H61" s="2">
        <f t="shared" ca="1" si="44"/>
        <v>201.54347707305055</v>
      </c>
      <c r="I61" s="2">
        <f t="shared" ca="1" si="44"/>
        <v>255.05341402815046</v>
      </c>
      <c r="J61" s="2">
        <f t="shared" ca="1" si="44"/>
        <v>216.75426614643251</v>
      </c>
      <c r="K61" s="2">
        <f t="shared" ca="1" si="44"/>
        <v>215.16554917665243</v>
      </c>
      <c r="L61" s="2">
        <f t="shared" ca="1" si="44"/>
        <v>213.02419160310322</v>
      </c>
      <c r="M61" s="2">
        <f t="shared" ca="1" si="44"/>
        <v>256.05396614259394</v>
      </c>
      <c r="N61" s="2">
        <f t="shared" ca="1" si="44"/>
        <v>292.99412591066255</v>
      </c>
      <c r="O61" s="2">
        <f t="shared" ca="1" si="44"/>
        <v>252.09658163774057</v>
      </c>
      <c r="P61" s="2">
        <f t="shared" ca="1" si="44"/>
        <v>207.78310379327084</v>
      </c>
      <c r="Q61" s="2">
        <f t="shared" ca="1" si="44"/>
        <v>236.45780137944143</v>
      </c>
      <c r="R61" s="2">
        <f t="shared" ca="1" si="44"/>
        <v>294.27530674879569</v>
      </c>
      <c r="S61" s="2">
        <f t="shared" ca="1" si="43"/>
        <v>219.97624264327013</v>
      </c>
      <c r="T61" s="2">
        <f t="shared" ca="1" si="43"/>
        <v>205.02866951452242</v>
      </c>
      <c r="U61" s="2">
        <f t="shared" ca="1" si="43"/>
        <v>201.38811688057504</v>
      </c>
      <c r="V61" s="2">
        <f t="shared" ca="1" si="43"/>
        <v>238.21594626545917</v>
      </c>
      <c r="W61" s="2">
        <f t="shared" ca="1" si="43"/>
        <v>267.218385750663</v>
      </c>
      <c r="X61" s="2">
        <f t="shared" ca="1" si="43"/>
        <v>211.45110836375113</v>
      </c>
      <c r="Y61" s="2">
        <f t="shared" ca="1" si="41"/>
        <v>212.36641941699821</v>
      </c>
      <c r="Z61" s="2">
        <f t="shared" ca="1" si="42"/>
        <v>240.50052162531964</v>
      </c>
      <c r="AA61" s="2">
        <f t="shared" ca="1" si="42"/>
        <v>226.79509640720426</v>
      </c>
      <c r="AB61" s="2">
        <f t="shared" ca="1" si="42"/>
        <v>210.34463958677429</v>
      </c>
      <c r="AC61" s="2">
        <f t="shared" ca="1" si="42"/>
        <v>210.57298670486998</v>
      </c>
      <c r="AD61" s="2">
        <f t="shared" ca="1" si="42"/>
        <v>272.24730976451656</v>
      </c>
      <c r="AE61" s="2">
        <f t="shared" ca="1" si="42"/>
        <v>286.11776553958759</v>
      </c>
      <c r="AF61" s="2">
        <f t="shared" ca="1" si="42"/>
        <v>204.54190111091677</v>
      </c>
      <c r="AG61" s="2">
        <f t="shared" ca="1" si="42"/>
        <v>263.41379880904736</v>
      </c>
      <c r="AH61" s="2">
        <f t="shared" ca="1" si="42"/>
        <v>262.65235864124276</v>
      </c>
    </row>
    <row r="62" spans="1:34">
      <c r="A62" t="str">
        <f t="shared" si="33"/>
        <v>Coffee</v>
      </c>
      <c r="B62" t="str">
        <f t="shared" si="37"/>
        <v>DireDawa</v>
      </c>
      <c r="C62" s="2">
        <f t="shared" ca="1" si="44"/>
        <v>291.93921561578901</v>
      </c>
      <c r="D62" s="2">
        <f t="shared" ca="1" si="44"/>
        <v>284.42786494917095</v>
      </c>
      <c r="E62" s="2">
        <f t="shared" ca="1" si="44"/>
        <v>295.52152295280729</v>
      </c>
      <c r="F62" s="2">
        <f t="shared" ca="1" si="44"/>
        <v>229.03180227993624</v>
      </c>
      <c r="G62" s="2">
        <f t="shared" ca="1" si="44"/>
        <v>272.86956657825692</v>
      </c>
      <c r="H62" s="2">
        <f t="shared" ca="1" si="44"/>
        <v>280.19469086986402</v>
      </c>
      <c r="I62" s="2">
        <f t="shared" ca="1" si="44"/>
        <v>283.62582512629888</v>
      </c>
      <c r="J62" s="2">
        <f t="shared" ca="1" si="44"/>
        <v>247.88968830213383</v>
      </c>
      <c r="K62" s="2">
        <f t="shared" ca="1" si="44"/>
        <v>243.58101306465977</v>
      </c>
      <c r="L62" s="2">
        <f t="shared" ca="1" si="44"/>
        <v>297.52168323412343</v>
      </c>
      <c r="M62" s="2">
        <f t="shared" ca="1" si="44"/>
        <v>222.33886685922454</v>
      </c>
      <c r="N62" s="2">
        <f t="shared" ca="1" si="44"/>
        <v>271.57557909198562</v>
      </c>
      <c r="O62" s="2">
        <f t="shared" ca="1" si="44"/>
        <v>248.78525411731511</v>
      </c>
      <c r="P62" s="2">
        <f t="shared" ca="1" si="44"/>
        <v>227.30545632505473</v>
      </c>
      <c r="Q62" s="2">
        <f t="shared" ca="1" si="44"/>
        <v>254.23618299615674</v>
      </c>
      <c r="R62" s="2">
        <f t="shared" ca="1" si="44"/>
        <v>231.19697375496298</v>
      </c>
      <c r="S62" s="2">
        <f t="shared" ca="1" si="43"/>
        <v>252.47642085656486</v>
      </c>
      <c r="T62" s="2">
        <f t="shared" ca="1" si="43"/>
        <v>261.10011665071949</v>
      </c>
      <c r="U62" s="2">
        <f t="shared" ca="1" si="43"/>
        <v>256.05304329786475</v>
      </c>
      <c r="V62" s="2">
        <f t="shared" ca="1" si="43"/>
        <v>224.33480207060538</v>
      </c>
      <c r="W62" s="2">
        <f t="shared" ca="1" si="43"/>
        <v>261.82124041577907</v>
      </c>
      <c r="X62" s="2">
        <f t="shared" ca="1" si="43"/>
        <v>284.87742752544227</v>
      </c>
      <c r="Y62" s="2">
        <f t="shared" ca="1" si="41"/>
        <v>214.39144323640497</v>
      </c>
      <c r="Z62" s="2">
        <f t="shared" ca="1" si="42"/>
        <v>211.51642643934053</v>
      </c>
      <c r="AA62" s="2">
        <f t="shared" ca="1" si="42"/>
        <v>217.94842352767353</v>
      </c>
      <c r="AB62" s="2">
        <f t="shared" ca="1" si="42"/>
        <v>218.44153018903089</v>
      </c>
      <c r="AC62" s="2">
        <f t="shared" ca="1" si="42"/>
        <v>288.20198325048796</v>
      </c>
      <c r="AD62" s="2">
        <f t="shared" ca="1" si="42"/>
        <v>271.85637512602392</v>
      </c>
      <c r="AE62" s="2">
        <f t="shared" ca="1" si="42"/>
        <v>221.00088368512286</v>
      </c>
      <c r="AF62" s="2">
        <f t="shared" ca="1" si="42"/>
        <v>249.60638561055885</v>
      </c>
      <c r="AG62" s="2">
        <f t="shared" ca="1" si="42"/>
        <v>269.94782270618003</v>
      </c>
      <c r="AH62" s="2">
        <f t="shared" ca="1" si="42"/>
        <v>258.8465358318175</v>
      </c>
    </row>
    <row r="63" spans="1:34">
      <c r="A63" t="str">
        <f t="shared" si="33"/>
        <v>Coffee</v>
      </c>
      <c r="B63" t="str">
        <f t="shared" si="37"/>
        <v>Gambela</v>
      </c>
      <c r="C63" s="2">
        <f t="shared" ca="1" si="44"/>
        <v>249.78648250289882</v>
      </c>
      <c r="D63" s="2">
        <f t="shared" ca="1" si="44"/>
        <v>270.27229614882037</v>
      </c>
      <c r="E63" s="2">
        <f t="shared" ca="1" si="44"/>
        <v>294.13872116660411</v>
      </c>
      <c r="F63" s="2">
        <f t="shared" ca="1" si="44"/>
        <v>235.07767313460513</v>
      </c>
      <c r="G63" s="2">
        <f t="shared" ca="1" si="44"/>
        <v>282.85610654444497</v>
      </c>
      <c r="H63" s="2">
        <f t="shared" ca="1" si="44"/>
        <v>273.11457712439602</v>
      </c>
      <c r="I63" s="2">
        <f t="shared" ca="1" si="44"/>
        <v>218.10659866597172</v>
      </c>
      <c r="J63" s="2">
        <f t="shared" ca="1" si="44"/>
        <v>284.87398188431371</v>
      </c>
      <c r="K63" s="2">
        <f t="shared" ca="1" si="44"/>
        <v>220.45858097908172</v>
      </c>
      <c r="L63" s="2">
        <f t="shared" ca="1" si="44"/>
        <v>209.00487545316312</v>
      </c>
      <c r="M63" s="2">
        <f t="shared" ca="1" si="44"/>
        <v>227.42675702561192</v>
      </c>
      <c r="N63" s="2">
        <f t="shared" ca="1" si="44"/>
        <v>266.08415659942284</v>
      </c>
      <c r="O63" s="2">
        <f t="shared" ca="1" si="44"/>
        <v>242.23164948399912</v>
      </c>
      <c r="P63" s="2">
        <f t="shared" ca="1" si="44"/>
        <v>294.55161074651807</v>
      </c>
      <c r="Q63" s="2">
        <f t="shared" ca="1" si="44"/>
        <v>238.0223722120331</v>
      </c>
      <c r="R63" s="2">
        <f t="shared" ca="1" si="44"/>
        <v>235.34962877372178</v>
      </c>
      <c r="S63" s="2">
        <f t="shared" ca="1" si="43"/>
        <v>222.16549039554562</v>
      </c>
      <c r="T63" s="2">
        <f t="shared" ca="1" si="43"/>
        <v>269.21873431703585</v>
      </c>
      <c r="U63" s="2">
        <f t="shared" ca="1" si="43"/>
        <v>246.59964933928751</v>
      </c>
      <c r="V63" s="2">
        <f t="shared" ca="1" si="43"/>
        <v>294.24195928850992</v>
      </c>
      <c r="W63" s="2">
        <f t="shared" ca="1" si="43"/>
        <v>238.86925617144718</v>
      </c>
      <c r="X63" s="2">
        <f t="shared" ca="1" si="43"/>
        <v>263.05712948705997</v>
      </c>
      <c r="Y63" s="2">
        <f t="shared" ca="1" si="41"/>
        <v>282.83682260025824</v>
      </c>
      <c r="Z63" s="2">
        <f t="shared" ca="1" si="42"/>
        <v>244.79512720034705</v>
      </c>
      <c r="AA63" s="2">
        <f t="shared" ca="1" si="42"/>
        <v>284.83655729730071</v>
      </c>
      <c r="AB63" s="2">
        <f t="shared" ca="1" si="42"/>
        <v>210.67062878372309</v>
      </c>
      <c r="AC63" s="2">
        <f t="shared" ca="1" si="42"/>
        <v>205.10819607600487</v>
      </c>
      <c r="AD63" s="2">
        <f t="shared" ca="1" si="42"/>
        <v>288.2462634449854</v>
      </c>
      <c r="AE63" s="2">
        <f t="shared" ca="1" si="42"/>
        <v>218.78983692798681</v>
      </c>
      <c r="AF63" s="2">
        <f t="shared" ca="1" si="42"/>
        <v>215.97915455891084</v>
      </c>
      <c r="AG63" s="2">
        <f t="shared" ca="1" si="42"/>
        <v>240.99730692685225</v>
      </c>
      <c r="AH63" s="2">
        <f t="shared" ca="1" si="42"/>
        <v>297.48612935570657</v>
      </c>
    </row>
    <row r="64" spans="1:34">
      <c r="A64" t="str">
        <f t="shared" si="33"/>
        <v>Coffee</v>
      </c>
      <c r="B64" t="str">
        <f t="shared" si="37"/>
        <v>Harari</v>
      </c>
      <c r="C64" s="2">
        <f t="shared" ca="1" si="44"/>
        <v>223.13422662501782</v>
      </c>
      <c r="D64" s="2">
        <f t="shared" ca="1" si="44"/>
        <v>296.71660622478254</v>
      </c>
      <c r="E64" s="2">
        <f t="shared" ca="1" si="44"/>
        <v>276.34772235339148</v>
      </c>
      <c r="F64" s="2">
        <f t="shared" ca="1" si="44"/>
        <v>245.84126338869373</v>
      </c>
      <c r="G64" s="2">
        <f t="shared" ca="1" si="44"/>
        <v>232.97103745905198</v>
      </c>
      <c r="H64" s="2">
        <f t="shared" ca="1" si="44"/>
        <v>231.80934801422902</v>
      </c>
      <c r="I64" s="2">
        <f t="shared" ca="1" si="44"/>
        <v>260.95835360064228</v>
      </c>
      <c r="J64" s="2">
        <f t="shared" ca="1" si="44"/>
        <v>272.50286398333753</v>
      </c>
      <c r="K64" s="2">
        <f t="shared" ca="1" si="44"/>
        <v>204.74201677339238</v>
      </c>
      <c r="L64" s="2">
        <f t="shared" ca="1" si="44"/>
        <v>266.37762942050801</v>
      </c>
      <c r="M64" s="2">
        <f t="shared" ca="1" si="44"/>
        <v>276.57062377141</v>
      </c>
      <c r="N64" s="2">
        <f t="shared" ca="1" si="44"/>
        <v>215.98737019051066</v>
      </c>
      <c r="O64" s="2">
        <f t="shared" ca="1" si="44"/>
        <v>205.87831748387379</v>
      </c>
      <c r="P64" s="2">
        <f t="shared" ca="1" si="44"/>
        <v>285.05814493844412</v>
      </c>
      <c r="Q64" s="2">
        <f t="shared" ca="1" si="44"/>
        <v>235.71971716494113</v>
      </c>
      <c r="R64" s="2">
        <f t="shared" ca="1" si="44"/>
        <v>203.21607278456634</v>
      </c>
      <c r="S64" s="2">
        <f t="shared" ca="1" si="43"/>
        <v>204.07499985567375</v>
      </c>
      <c r="T64" s="2">
        <f t="shared" ca="1" si="43"/>
        <v>279.36004663206148</v>
      </c>
      <c r="U64" s="2">
        <f t="shared" ca="1" si="43"/>
        <v>272.18772577137929</v>
      </c>
      <c r="V64" s="2">
        <f t="shared" ca="1" si="43"/>
        <v>259.31032781842811</v>
      </c>
      <c r="W64" s="2">
        <f t="shared" ca="1" si="43"/>
        <v>218.59023368705422</v>
      </c>
      <c r="X64" s="2">
        <f t="shared" ca="1" si="43"/>
        <v>234.42071747494268</v>
      </c>
      <c r="Y64" s="2">
        <f t="shared" ca="1" si="41"/>
        <v>230.43376526981748</v>
      </c>
      <c r="Z64" s="2">
        <f t="shared" ca="1" si="42"/>
        <v>222.13424247015672</v>
      </c>
      <c r="AA64" s="2">
        <f t="shared" ca="1" si="42"/>
        <v>224.24520946011373</v>
      </c>
      <c r="AB64" s="2">
        <f t="shared" ca="1" si="42"/>
        <v>238.7465393413419</v>
      </c>
      <c r="AC64" s="2">
        <f t="shared" ca="1" si="42"/>
        <v>213.07399199245535</v>
      </c>
      <c r="AD64" s="2">
        <f t="shared" ca="1" si="42"/>
        <v>200.98915688537855</v>
      </c>
      <c r="AE64" s="2">
        <f t="shared" ca="1" si="42"/>
        <v>282.44092782946166</v>
      </c>
      <c r="AF64" s="2">
        <f t="shared" ca="1" si="42"/>
        <v>255.12659300866716</v>
      </c>
      <c r="AG64" s="2">
        <f t="shared" ca="1" si="42"/>
        <v>284.50873927930849</v>
      </c>
      <c r="AH64" s="2">
        <f t="shared" ca="1" si="42"/>
        <v>259.32527362224965</v>
      </c>
    </row>
    <row r="65" spans="1:34">
      <c r="A65" t="str">
        <f t="shared" si="33"/>
        <v>Coffee</v>
      </c>
      <c r="B65" t="str">
        <f t="shared" si="37"/>
        <v>Oromia</v>
      </c>
      <c r="C65" s="2">
        <f t="shared" ca="1" si="44"/>
        <v>282.71878251644546</v>
      </c>
      <c r="D65" s="2">
        <f t="shared" ca="1" si="44"/>
        <v>261.7428417968074</v>
      </c>
      <c r="E65" s="2">
        <f t="shared" ca="1" si="44"/>
        <v>286.66363629895102</v>
      </c>
      <c r="F65" s="2">
        <f t="shared" ca="1" si="44"/>
        <v>282.51160305972132</v>
      </c>
      <c r="G65" s="2">
        <f t="shared" ca="1" si="44"/>
        <v>211.27358580982261</v>
      </c>
      <c r="H65" s="2">
        <f t="shared" ca="1" si="44"/>
        <v>217.76713076345021</v>
      </c>
      <c r="I65" s="2">
        <f t="shared" ca="1" si="44"/>
        <v>224.37938228315045</v>
      </c>
      <c r="J65" s="2">
        <f t="shared" ca="1" si="44"/>
        <v>218.07471303605448</v>
      </c>
      <c r="K65" s="2">
        <f t="shared" ca="1" si="44"/>
        <v>217.8973830821412</v>
      </c>
      <c r="L65" s="2">
        <f t="shared" ca="1" si="44"/>
        <v>294.00858894766191</v>
      </c>
      <c r="M65" s="2">
        <f t="shared" ca="1" si="44"/>
        <v>296.88297591149569</v>
      </c>
      <c r="N65" s="2">
        <f t="shared" ca="1" si="44"/>
        <v>282.30885917036284</v>
      </c>
      <c r="O65" s="2">
        <f t="shared" ca="1" si="44"/>
        <v>241.52139947304906</v>
      </c>
      <c r="P65" s="2">
        <f t="shared" ca="1" si="44"/>
        <v>295.18238706603091</v>
      </c>
      <c r="Q65" s="2">
        <f t="shared" ca="1" si="44"/>
        <v>232.99977495698982</v>
      </c>
      <c r="R65" s="2">
        <f t="shared" ca="1" si="44"/>
        <v>244.71603559778131</v>
      </c>
      <c r="S65" s="2">
        <f t="shared" ca="1" si="43"/>
        <v>244.22893541679187</v>
      </c>
      <c r="T65" s="2">
        <f t="shared" ca="1" si="43"/>
        <v>225.48781878474696</v>
      </c>
      <c r="U65" s="2">
        <f t="shared" ca="1" si="43"/>
        <v>292.95717349130052</v>
      </c>
      <c r="V65" s="2">
        <f t="shared" ca="1" si="43"/>
        <v>233.05775661238908</v>
      </c>
      <c r="W65" s="2">
        <f t="shared" ca="1" si="43"/>
        <v>264.02156893262173</v>
      </c>
      <c r="X65" s="2">
        <f t="shared" ca="1" si="43"/>
        <v>295.91840915901855</v>
      </c>
      <c r="Y65" s="2">
        <f t="shared" ca="1" si="41"/>
        <v>242.34704958697256</v>
      </c>
      <c r="Z65" s="2">
        <f t="shared" ca="1" si="42"/>
        <v>256.67793152264738</v>
      </c>
      <c r="AA65" s="2">
        <f t="shared" ca="1" si="42"/>
        <v>253.70811859726601</v>
      </c>
      <c r="AB65" s="2">
        <f t="shared" ca="1" si="42"/>
        <v>292.7747044275643</v>
      </c>
      <c r="AC65" s="2">
        <f t="shared" ca="1" si="42"/>
        <v>275.54258751185239</v>
      </c>
      <c r="AD65" s="2">
        <f t="shared" ca="1" si="42"/>
        <v>214.71955250257469</v>
      </c>
      <c r="AE65" s="2">
        <f t="shared" ca="1" si="42"/>
        <v>251.12778688054652</v>
      </c>
      <c r="AF65" s="2">
        <f t="shared" ca="1" si="42"/>
        <v>258.47300603775551</v>
      </c>
      <c r="AG65" s="2">
        <f t="shared" ca="1" si="42"/>
        <v>204.64190045547443</v>
      </c>
      <c r="AH65" s="2">
        <f t="shared" ca="1" si="42"/>
        <v>284.61514753343295</v>
      </c>
    </row>
    <row r="66" spans="1:34">
      <c r="A66" t="str">
        <f t="shared" si="33"/>
        <v>Coffee</v>
      </c>
      <c r="B66" t="str">
        <f t="shared" si="37"/>
        <v>Somali</v>
      </c>
      <c r="C66" s="2">
        <f t="shared" ca="1" si="44"/>
        <v>218.30588605063986</v>
      </c>
      <c r="D66" s="2">
        <f t="shared" ca="1" si="44"/>
        <v>269.73863575913447</v>
      </c>
      <c r="E66" s="2">
        <f t="shared" ca="1" si="44"/>
        <v>245.16101658032258</v>
      </c>
      <c r="F66" s="2">
        <f t="shared" ca="1" si="44"/>
        <v>287.40736649161869</v>
      </c>
      <c r="G66" s="2">
        <f t="shared" ca="1" si="44"/>
        <v>225.45415409179301</v>
      </c>
      <c r="H66" s="2">
        <f t="shared" ca="1" si="44"/>
        <v>272.09012636701226</v>
      </c>
      <c r="I66" s="2">
        <f t="shared" ca="1" si="44"/>
        <v>228.37780316938941</v>
      </c>
      <c r="J66" s="2">
        <f t="shared" ca="1" si="44"/>
        <v>260.25206974341626</v>
      </c>
      <c r="K66" s="2">
        <f t="shared" ca="1" si="44"/>
        <v>288.93576165097147</v>
      </c>
      <c r="L66" s="2">
        <f t="shared" ca="1" si="44"/>
        <v>281.90575899405587</v>
      </c>
      <c r="M66" s="2">
        <f t="shared" ca="1" si="44"/>
        <v>205.30395652952151</v>
      </c>
      <c r="N66" s="2">
        <f t="shared" ca="1" si="44"/>
        <v>221.642321528694</v>
      </c>
      <c r="O66" s="2">
        <f t="shared" ca="1" si="44"/>
        <v>207.74470598793852</v>
      </c>
      <c r="P66" s="2">
        <f t="shared" ca="1" si="44"/>
        <v>251.37552780918898</v>
      </c>
      <c r="Q66" s="2">
        <f t="shared" ca="1" si="44"/>
        <v>224.04973784167379</v>
      </c>
      <c r="R66" s="2">
        <f t="shared" ca="1" si="44"/>
        <v>270.60496371568422</v>
      </c>
      <c r="S66" s="2">
        <f t="shared" ca="1" si="43"/>
        <v>280.55356561909707</v>
      </c>
      <c r="T66" s="2">
        <f t="shared" ca="1" si="43"/>
        <v>215.22148704101554</v>
      </c>
      <c r="U66" s="2">
        <f t="shared" ca="1" si="43"/>
        <v>244.13064980430877</v>
      </c>
      <c r="V66" s="2">
        <f t="shared" ca="1" si="43"/>
        <v>230.96353100286711</v>
      </c>
      <c r="W66" s="2">
        <f t="shared" ca="1" si="43"/>
        <v>285.08016574108763</v>
      </c>
      <c r="X66" s="2">
        <f t="shared" ca="1" si="43"/>
        <v>295.13742252955086</v>
      </c>
      <c r="Y66" s="2">
        <f t="shared" ca="1" si="41"/>
        <v>234.62870294036887</v>
      </c>
      <c r="Z66" s="2">
        <f t="shared" ca="1" si="42"/>
        <v>219.23713100428546</v>
      </c>
      <c r="AA66" s="2">
        <f t="shared" ca="1" si="42"/>
        <v>273.34777370849162</v>
      </c>
      <c r="AB66" s="2">
        <f t="shared" ca="1" si="42"/>
        <v>228.41168182807388</v>
      </c>
      <c r="AC66" s="2">
        <f t="shared" ca="1" si="42"/>
        <v>215.78556601622202</v>
      </c>
      <c r="AD66" s="2">
        <f t="shared" ca="1" si="42"/>
        <v>246.7112962864222</v>
      </c>
      <c r="AE66" s="2">
        <f t="shared" ca="1" si="42"/>
        <v>252.51780028225181</v>
      </c>
      <c r="AF66" s="2">
        <f t="shared" ca="1" si="42"/>
        <v>232.57432674568386</v>
      </c>
      <c r="AG66" s="2">
        <f t="shared" ca="1" si="42"/>
        <v>280.86606887239805</v>
      </c>
      <c r="AH66" s="2">
        <f t="shared" ca="1" si="42"/>
        <v>273.3276148269324</v>
      </c>
    </row>
    <row r="67" spans="1:34">
      <c r="A67" t="str">
        <f t="shared" si="33"/>
        <v>Coffee</v>
      </c>
      <c r="B67" t="str">
        <f t="shared" si="37"/>
        <v>SNNPR</v>
      </c>
      <c r="C67" s="2">
        <f t="shared" ca="1" si="44"/>
        <v>244.08564538633252</v>
      </c>
      <c r="D67" s="2">
        <f t="shared" ca="1" si="44"/>
        <v>208.94632859608043</v>
      </c>
      <c r="E67" s="2">
        <f t="shared" ca="1" si="44"/>
        <v>284.47099419832097</v>
      </c>
      <c r="F67" s="2">
        <f t="shared" ca="1" si="44"/>
        <v>292.12233980805843</v>
      </c>
      <c r="G67" s="2">
        <f t="shared" ca="1" si="44"/>
        <v>281.47534388373703</v>
      </c>
      <c r="H67" s="2">
        <f t="shared" ca="1" si="44"/>
        <v>234.38583343182637</v>
      </c>
      <c r="I67" s="2">
        <f t="shared" ca="1" si="44"/>
        <v>209.63066287615248</v>
      </c>
      <c r="J67" s="2">
        <f t="shared" ca="1" si="44"/>
        <v>289.29530650851041</v>
      </c>
      <c r="K67" s="2">
        <f t="shared" ca="1" si="44"/>
        <v>228.41306182082675</v>
      </c>
      <c r="L67" s="2">
        <f t="shared" ca="1" si="44"/>
        <v>268.43882051870258</v>
      </c>
      <c r="M67" s="2">
        <f t="shared" ca="1" si="44"/>
        <v>219.99610147415453</v>
      </c>
      <c r="N67" s="2">
        <f t="shared" ca="1" si="44"/>
        <v>254.98989681692836</v>
      </c>
      <c r="O67" s="2">
        <f t="shared" ca="1" si="44"/>
        <v>273.42540712707108</v>
      </c>
      <c r="P67" s="2">
        <f t="shared" ca="1" si="44"/>
        <v>217.63532453939942</v>
      </c>
      <c r="Q67" s="2">
        <f t="shared" ca="1" si="44"/>
        <v>226.72149770779563</v>
      </c>
      <c r="R67" s="2">
        <f t="shared" ca="1" si="44"/>
        <v>247.80108963099661</v>
      </c>
      <c r="S67" s="2">
        <f t="shared" ca="1" si="43"/>
        <v>282.19454833687053</v>
      </c>
      <c r="T67" s="2">
        <f t="shared" ca="1" si="43"/>
        <v>296.9389084128469</v>
      </c>
      <c r="U67" s="2">
        <f t="shared" ca="1" si="43"/>
        <v>263.77962077635794</v>
      </c>
      <c r="V67" s="2">
        <f t="shared" ca="1" si="43"/>
        <v>284.72304158128782</v>
      </c>
      <c r="W67" s="2">
        <f t="shared" ca="1" si="43"/>
        <v>263.46759303406998</v>
      </c>
      <c r="X67" s="2">
        <f t="shared" ca="1" si="43"/>
        <v>222.74188044194858</v>
      </c>
      <c r="Y67" s="2">
        <f t="shared" ca="1" si="41"/>
        <v>232.55185091392283</v>
      </c>
      <c r="Z67" s="2">
        <f t="shared" ca="1" si="42"/>
        <v>278.35675213681583</v>
      </c>
      <c r="AA67" s="2">
        <f t="shared" ca="1" si="42"/>
        <v>292.78072377387679</v>
      </c>
      <c r="AB67" s="2">
        <f t="shared" ca="1" si="42"/>
        <v>236.28100376912536</v>
      </c>
      <c r="AC67" s="2">
        <f t="shared" ca="1" si="42"/>
        <v>247.43244837944775</v>
      </c>
      <c r="AD67" s="2">
        <f t="shared" ca="1" si="42"/>
        <v>208.39245787136798</v>
      </c>
      <c r="AE67" s="2">
        <f t="shared" ca="1" si="42"/>
        <v>259.08866475438435</v>
      </c>
      <c r="AF67" s="2">
        <f t="shared" ca="1" si="42"/>
        <v>209.25561493149328</v>
      </c>
      <c r="AG67" s="2">
        <f t="shared" ca="1" si="42"/>
        <v>294.17938722079867</v>
      </c>
      <c r="AH67" s="2">
        <f t="shared" ca="1" si="42"/>
        <v>237.01404707714721</v>
      </c>
    </row>
    <row r="68" spans="1:34">
      <c r="A68" t="str">
        <f t="shared" si="33"/>
        <v>Coffee</v>
      </c>
      <c r="B68" t="str">
        <f t="shared" si="37"/>
        <v>Tigray</v>
      </c>
      <c r="C68" s="2">
        <f t="shared" ca="1" si="44"/>
        <v>262.4848636117365</v>
      </c>
      <c r="D68" s="2">
        <f t="shared" ca="1" si="44"/>
        <v>200.1326688240303</v>
      </c>
      <c r="E68" s="2">
        <f t="shared" ca="1" si="44"/>
        <v>242.79302298430494</v>
      </c>
      <c r="F68" s="2">
        <f t="shared" ca="1" si="44"/>
        <v>276.31414919441096</v>
      </c>
      <c r="G68" s="2">
        <f t="shared" ca="1" si="44"/>
        <v>201.32553822893416</v>
      </c>
      <c r="H68" s="2">
        <f t="shared" ca="1" si="44"/>
        <v>240.51393166859984</v>
      </c>
      <c r="I68" s="2">
        <f t="shared" ca="1" si="44"/>
        <v>274.57964297293847</v>
      </c>
      <c r="J68" s="2">
        <f t="shared" ca="1" si="44"/>
        <v>239.85747047703455</v>
      </c>
      <c r="K68" s="2">
        <f t="shared" ca="1" si="44"/>
        <v>206.28645874046524</v>
      </c>
      <c r="L68" s="2">
        <f t="shared" ca="1" si="44"/>
        <v>248.34460434918776</v>
      </c>
      <c r="M68" s="2">
        <f t="shared" ca="1" si="44"/>
        <v>247.20649979895461</v>
      </c>
      <c r="N68" s="2">
        <f t="shared" ca="1" si="44"/>
        <v>249.65050594011285</v>
      </c>
      <c r="O68" s="2">
        <f t="shared" ca="1" si="44"/>
        <v>243.19768604732451</v>
      </c>
      <c r="P68" s="2">
        <f t="shared" ca="1" si="44"/>
        <v>220.07699582976073</v>
      </c>
      <c r="Q68" s="2">
        <f t="shared" ca="1" si="44"/>
        <v>209.08672193438883</v>
      </c>
      <c r="R68" s="2">
        <f t="shared" ref="R68:AH68" ca="1" si="45">(RAND()*1+2)*100</f>
        <v>204.81906744907175</v>
      </c>
      <c r="S68" s="2">
        <f t="shared" ca="1" si="45"/>
        <v>216.60049011618784</v>
      </c>
      <c r="T68" s="2">
        <f t="shared" ca="1" si="45"/>
        <v>247.07724775350465</v>
      </c>
      <c r="U68" s="2">
        <f t="shared" ca="1" si="45"/>
        <v>217.57286234907593</v>
      </c>
      <c r="V68" s="2">
        <f t="shared" ca="1" si="45"/>
        <v>246.19605926166352</v>
      </c>
      <c r="W68" s="2">
        <f t="shared" ca="1" si="45"/>
        <v>267.83649289191038</v>
      </c>
      <c r="X68" s="2">
        <f t="shared" ca="1" si="45"/>
        <v>205.41371199382371</v>
      </c>
      <c r="Y68" s="2">
        <f t="shared" ca="1" si="45"/>
        <v>232.25880576361874</v>
      </c>
      <c r="Z68" s="2">
        <f t="shared" ca="1" si="45"/>
        <v>284.64662045741443</v>
      </c>
      <c r="AA68" s="2">
        <f t="shared" ca="1" si="45"/>
        <v>229.5593841977356</v>
      </c>
      <c r="AB68" s="2">
        <f t="shared" ca="1" si="45"/>
        <v>234.78249120999263</v>
      </c>
      <c r="AC68" s="2">
        <f t="shared" ca="1" si="45"/>
        <v>250.14078195404289</v>
      </c>
      <c r="AD68" s="2">
        <f t="shared" ca="1" si="45"/>
        <v>209.34065604065177</v>
      </c>
      <c r="AE68" s="2">
        <f t="shared" ca="1" si="45"/>
        <v>249.13512824900909</v>
      </c>
      <c r="AF68" s="2">
        <f t="shared" ca="1" si="45"/>
        <v>225.76126657463345</v>
      </c>
      <c r="AG68" s="2">
        <f t="shared" ca="1" si="45"/>
        <v>228.43767994197924</v>
      </c>
      <c r="AH68" s="2">
        <f t="shared" ca="1" si="45"/>
        <v>260.90407557554317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8"/>
  <sheetViews>
    <sheetView zoomScale="85" zoomScaleNormal="85" workbookViewId="0">
      <selection activeCell="C1" sqref="C1:AH2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(RAND()*1+2.5)*10</f>
        <v>30.748475688966192</v>
      </c>
      <c r="D3" s="2">
        <f t="shared" ref="D3:AH11" ca="1" si="2">(RAND()*1+2.5)*10</f>
        <v>33.777501934302173</v>
      </c>
      <c r="E3" s="2">
        <f t="shared" ca="1" si="2"/>
        <v>26.709359485564342</v>
      </c>
      <c r="F3" s="2">
        <f t="shared" ca="1" si="2"/>
        <v>33.460913697882411</v>
      </c>
      <c r="G3" s="2">
        <f t="shared" ca="1" si="2"/>
        <v>28.216624586708594</v>
      </c>
      <c r="H3" s="2">
        <f t="shared" ca="1" si="2"/>
        <v>30.618059465784157</v>
      </c>
      <c r="I3" s="2">
        <f t="shared" ca="1" si="2"/>
        <v>33.486364769149688</v>
      </c>
      <c r="J3" s="2">
        <f t="shared" ca="1" si="2"/>
        <v>25.529058687633874</v>
      </c>
      <c r="K3" s="2">
        <f t="shared" ca="1" si="2"/>
        <v>31.877855268983758</v>
      </c>
      <c r="L3" s="2">
        <f t="shared" ca="1" si="2"/>
        <v>31.792582398491788</v>
      </c>
      <c r="M3" s="2">
        <f t="shared" ca="1" si="2"/>
        <v>34.903449848508878</v>
      </c>
      <c r="N3" s="2">
        <f t="shared" ca="1" si="2"/>
        <v>29.87988341275118</v>
      </c>
      <c r="O3" s="2">
        <f t="shared" ca="1" si="2"/>
        <v>30.185642657188787</v>
      </c>
      <c r="P3" s="2">
        <f t="shared" ca="1" si="2"/>
        <v>33.285298693604076</v>
      </c>
      <c r="Q3" s="2">
        <f t="shared" ca="1" si="2"/>
        <v>27.096452697559485</v>
      </c>
      <c r="R3" s="2">
        <f t="shared" ca="1" si="2"/>
        <v>34.786030574209136</v>
      </c>
      <c r="S3" s="2">
        <f t="shared" ca="1" si="2"/>
        <v>27.874866422126804</v>
      </c>
      <c r="T3" s="2">
        <f t="shared" ca="1" si="2"/>
        <v>25.479207417636168</v>
      </c>
      <c r="U3" s="2">
        <f t="shared" ca="1" si="2"/>
        <v>33.18394111586224</v>
      </c>
      <c r="V3" s="2">
        <f t="shared" ca="1" si="2"/>
        <v>31.022637928918648</v>
      </c>
      <c r="W3" s="2">
        <f t="shared" ca="1" si="2"/>
        <v>33.765246675520963</v>
      </c>
      <c r="X3" s="2">
        <f t="shared" ca="1" si="2"/>
        <v>25.632271558622016</v>
      </c>
      <c r="Y3" s="2">
        <f t="shared" ca="1" si="2"/>
        <v>27.644977154338886</v>
      </c>
      <c r="Z3" s="2">
        <f t="shared" ca="1" si="2"/>
        <v>28.018199106186312</v>
      </c>
      <c r="AA3" s="2">
        <f t="shared" ca="1" si="2"/>
        <v>27.489626191089791</v>
      </c>
      <c r="AB3" s="2">
        <f t="shared" ca="1" si="2"/>
        <v>27.813019563900667</v>
      </c>
      <c r="AC3" s="2">
        <f t="shared" ca="1" si="2"/>
        <v>32.833846922376175</v>
      </c>
      <c r="AD3" s="2">
        <f t="shared" ca="1" si="2"/>
        <v>26.612317197260957</v>
      </c>
      <c r="AE3" s="2">
        <f t="shared" ca="1" si="2"/>
        <v>26.869315341298567</v>
      </c>
      <c r="AF3" s="2">
        <f t="shared" ca="1" si="2"/>
        <v>28.099084288585125</v>
      </c>
      <c r="AG3" s="2">
        <f t="shared" ca="1" si="2"/>
        <v>31.588424322584654</v>
      </c>
      <c r="AH3" s="2">
        <f t="shared" ca="1" si="2"/>
        <v>28.668650195063819</v>
      </c>
    </row>
    <row r="4" spans="1:34">
      <c r="A4" t="str">
        <f>sets!$H$3</f>
        <v>Teff</v>
      </c>
      <c r="B4" t="str">
        <v>Afar</v>
      </c>
      <c r="C4" s="2">
        <f t="shared" ref="C4:R35" ca="1" si="3">(RAND()*1+2.5)*10</f>
        <v>26.777068505686884</v>
      </c>
      <c r="D4" s="2">
        <f t="shared" ca="1" si="2"/>
        <v>33.313037881334658</v>
      </c>
      <c r="E4" s="2">
        <f t="shared" ca="1" si="2"/>
        <v>29.223015031056626</v>
      </c>
      <c r="F4" s="2">
        <f t="shared" ca="1" si="2"/>
        <v>34.677128650770705</v>
      </c>
      <c r="G4" s="2">
        <f t="shared" ca="1" si="2"/>
        <v>29.151331638769406</v>
      </c>
      <c r="H4" s="2">
        <f t="shared" ca="1" si="2"/>
        <v>26.618827324285927</v>
      </c>
      <c r="I4" s="2">
        <f t="shared" ca="1" si="2"/>
        <v>32.791842754542259</v>
      </c>
      <c r="J4" s="2">
        <f t="shared" ca="1" si="2"/>
        <v>25.268557642711698</v>
      </c>
      <c r="K4" s="2">
        <f t="shared" ca="1" si="2"/>
        <v>26.35827971116036</v>
      </c>
      <c r="L4" s="2">
        <f t="shared" ca="1" si="2"/>
        <v>26.632016954049643</v>
      </c>
      <c r="M4" s="2">
        <f t="shared" ca="1" si="2"/>
        <v>32.914901763875029</v>
      </c>
      <c r="N4" s="2">
        <f t="shared" ca="1" si="2"/>
        <v>27.55032664775058</v>
      </c>
      <c r="O4" s="2">
        <f t="shared" ca="1" si="2"/>
        <v>29.011024896706907</v>
      </c>
      <c r="P4" s="2">
        <f t="shared" ca="1" si="2"/>
        <v>33.279986719451692</v>
      </c>
      <c r="Q4" s="2">
        <f t="shared" ca="1" si="2"/>
        <v>33.980069309463154</v>
      </c>
      <c r="R4" s="2">
        <f t="shared" ca="1" si="2"/>
        <v>29.099650910638701</v>
      </c>
      <c r="S4" s="2">
        <f t="shared" ca="1" si="2"/>
        <v>29.867651811453367</v>
      </c>
      <c r="T4" s="2">
        <f t="shared" ca="1" si="2"/>
        <v>30.555396834556696</v>
      </c>
      <c r="U4" s="2">
        <f t="shared" ca="1" si="2"/>
        <v>28.488849817249275</v>
      </c>
      <c r="V4" s="2">
        <f t="shared" ca="1" si="2"/>
        <v>30.16857345749078</v>
      </c>
      <c r="W4" s="2">
        <f t="shared" ca="1" si="2"/>
        <v>34.953022871312058</v>
      </c>
      <c r="X4" s="2">
        <f t="shared" ca="1" si="2"/>
        <v>34.524469435756508</v>
      </c>
      <c r="Y4" s="2">
        <f t="shared" ca="1" si="2"/>
        <v>34.817131580853172</v>
      </c>
      <c r="Z4" s="2">
        <f t="shared" ca="1" si="2"/>
        <v>30.489737493837048</v>
      </c>
      <c r="AA4" s="2">
        <f t="shared" ca="1" si="2"/>
        <v>34.217603690635855</v>
      </c>
      <c r="AB4" s="2">
        <f t="shared" ca="1" si="2"/>
        <v>34.050147487659707</v>
      </c>
      <c r="AC4" s="2">
        <f t="shared" ca="1" si="2"/>
        <v>30.719910775634443</v>
      </c>
      <c r="AD4" s="2">
        <f t="shared" ca="1" si="2"/>
        <v>34.775643408445738</v>
      </c>
      <c r="AE4" s="2">
        <f t="shared" ca="1" si="2"/>
        <v>30.581088533934192</v>
      </c>
      <c r="AF4" s="2">
        <f t="shared" ca="1" si="2"/>
        <v>27.165933079718258</v>
      </c>
      <c r="AG4" s="2">
        <f t="shared" ca="1" si="2"/>
        <v>27.974014674014526</v>
      </c>
      <c r="AH4" s="2">
        <f t="shared" ca="1" si="2"/>
        <v>28.395476921931557</v>
      </c>
    </row>
    <row r="5" spans="1:34">
      <c r="A5" t="str">
        <f>sets!$H$3</f>
        <v>Teff</v>
      </c>
      <c r="B5" t="str">
        <v>Amhara</v>
      </c>
      <c r="C5" s="2">
        <f t="shared" ca="1" si="3"/>
        <v>29.804074906416194</v>
      </c>
      <c r="D5" s="2">
        <f t="shared" ca="1" si="2"/>
        <v>33.960848672188973</v>
      </c>
      <c r="E5" s="2">
        <f t="shared" ca="1" si="2"/>
        <v>33.44635719588743</v>
      </c>
      <c r="F5" s="2">
        <f t="shared" ca="1" si="2"/>
        <v>29.487347553434748</v>
      </c>
      <c r="G5" s="2">
        <f t="shared" ca="1" si="2"/>
        <v>32.630249182367841</v>
      </c>
      <c r="H5" s="2">
        <f t="shared" ca="1" si="2"/>
        <v>29.563424101036144</v>
      </c>
      <c r="I5" s="2">
        <f t="shared" ca="1" si="2"/>
        <v>28.482896652463928</v>
      </c>
      <c r="J5" s="2">
        <f t="shared" ca="1" si="2"/>
        <v>29.598551938919986</v>
      </c>
      <c r="K5" s="2">
        <f t="shared" ca="1" si="2"/>
        <v>25.122298608256635</v>
      </c>
      <c r="L5" s="2">
        <f t="shared" ca="1" si="2"/>
        <v>27.19612205756011</v>
      </c>
      <c r="M5" s="2">
        <f t="shared" ca="1" si="2"/>
        <v>29.879352822582746</v>
      </c>
      <c r="N5" s="2">
        <f t="shared" ca="1" si="2"/>
        <v>28.115137606030849</v>
      </c>
      <c r="O5" s="2">
        <f t="shared" ca="1" si="2"/>
        <v>32.842696810900136</v>
      </c>
      <c r="P5" s="2">
        <f t="shared" ca="1" si="2"/>
        <v>31.770059065767768</v>
      </c>
      <c r="Q5" s="2">
        <f t="shared" ca="1" si="2"/>
        <v>28.581568992060021</v>
      </c>
      <c r="R5" s="2">
        <f t="shared" ca="1" si="2"/>
        <v>27.802138622582749</v>
      </c>
      <c r="S5" s="2">
        <f t="shared" ca="1" si="2"/>
        <v>25.252144645507538</v>
      </c>
      <c r="T5" s="2">
        <f t="shared" ca="1" si="2"/>
        <v>31.801879569899974</v>
      </c>
      <c r="U5" s="2">
        <f t="shared" ca="1" si="2"/>
        <v>32.173451387722494</v>
      </c>
      <c r="V5" s="2">
        <f t="shared" ca="1" si="2"/>
        <v>30.153984093511617</v>
      </c>
      <c r="W5" s="2">
        <f t="shared" ca="1" si="2"/>
        <v>34.389755049681334</v>
      </c>
      <c r="X5" s="2">
        <f t="shared" ca="1" si="2"/>
        <v>26.410411180724434</v>
      </c>
      <c r="Y5" s="2">
        <f t="shared" ca="1" si="2"/>
        <v>29.080841969840492</v>
      </c>
      <c r="Z5" s="2">
        <f t="shared" ca="1" si="2"/>
        <v>34.215359892763665</v>
      </c>
      <c r="AA5" s="2">
        <f t="shared" ca="1" si="2"/>
        <v>33.025347747473532</v>
      </c>
      <c r="AB5" s="2">
        <f t="shared" ca="1" si="2"/>
        <v>25.188889246720166</v>
      </c>
      <c r="AC5" s="2">
        <f t="shared" ca="1" si="2"/>
        <v>34.279841593471403</v>
      </c>
      <c r="AD5" s="2">
        <f t="shared" ca="1" si="2"/>
        <v>34.53631389193167</v>
      </c>
      <c r="AE5" s="2">
        <f t="shared" ca="1" si="2"/>
        <v>25.859166647510008</v>
      </c>
      <c r="AF5" s="2">
        <f t="shared" ca="1" si="2"/>
        <v>28.898820581875594</v>
      </c>
      <c r="AG5" s="2">
        <f t="shared" ca="1" si="2"/>
        <v>33.47770027947972</v>
      </c>
      <c r="AH5" s="2">
        <f t="shared" ca="1" si="2"/>
        <v>30.770843319152057</v>
      </c>
    </row>
    <row r="6" spans="1:34">
      <c r="A6" t="str">
        <f>sets!$H$3</f>
        <v>Teff</v>
      </c>
      <c r="B6" t="str">
        <v>Gumuz</v>
      </c>
      <c r="C6" s="2">
        <f t="shared" ca="1" si="3"/>
        <v>31.69620941982803</v>
      </c>
      <c r="D6" s="2">
        <f t="shared" ca="1" si="2"/>
        <v>26.224976310551789</v>
      </c>
      <c r="E6" s="2">
        <f t="shared" ca="1" si="2"/>
        <v>26.262523161179914</v>
      </c>
      <c r="F6" s="2">
        <f t="shared" ca="1" si="2"/>
        <v>29.820955130058131</v>
      </c>
      <c r="G6" s="2">
        <f t="shared" ca="1" si="2"/>
        <v>33.512741928049714</v>
      </c>
      <c r="H6" s="2">
        <f t="shared" ca="1" si="2"/>
        <v>30.8507058253332</v>
      </c>
      <c r="I6" s="2">
        <f t="shared" ca="1" si="2"/>
        <v>27.296534978552405</v>
      </c>
      <c r="J6" s="2">
        <f t="shared" ca="1" si="2"/>
        <v>33.419623811513432</v>
      </c>
      <c r="K6" s="2">
        <f t="shared" ca="1" si="2"/>
        <v>25.97353619366757</v>
      </c>
      <c r="L6" s="2">
        <f t="shared" ca="1" si="2"/>
        <v>32.572345488013198</v>
      </c>
      <c r="M6" s="2">
        <f t="shared" ca="1" si="2"/>
        <v>28.736950682255539</v>
      </c>
      <c r="N6" s="2">
        <f t="shared" ca="1" si="2"/>
        <v>30.633084080040227</v>
      </c>
      <c r="O6" s="2">
        <f t="shared" ca="1" si="2"/>
        <v>30.195533240112162</v>
      </c>
      <c r="P6" s="2">
        <f t="shared" ca="1" si="2"/>
        <v>28.666974721383145</v>
      </c>
      <c r="Q6" s="2">
        <f t="shared" ca="1" si="2"/>
        <v>32.297004543019412</v>
      </c>
      <c r="R6" s="2">
        <f t="shared" ca="1" si="2"/>
        <v>34.083947606515551</v>
      </c>
      <c r="S6" s="2">
        <f t="shared" ca="1" si="2"/>
        <v>27.950986637706411</v>
      </c>
      <c r="T6" s="2">
        <f t="shared" ca="1" si="2"/>
        <v>33.553544551821602</v>
      </c>
      <c r="U6" s="2">
        <f t="shared" ca="1" si="2"/>
        <v>25.073705209220314</v>
      </c>
      <c r="V6" s="2">
        <f t="shared" ca="1" si="2"/>
        <v>30.216171082718937</v>
      </c>
      <c r="W6" s="2">
        <f t="shared" ca="1" si="2"/>
        <v>31.694843971568272</v>
      </c>
      <c r="X6" s="2">
        <f t="shared" ca="1" si="2"/>
        <v>27.403778196639959</v>
      </c>
      <c r="Y6" s="2">
        <f t="shared" ca="1" si="2"/>
        <v>28.836919658708105</v>
      </c>
      <c r="Z6" s="2">
        <f t="shared" ca="1" si="2"/>
        <v>27.979093870210576</v>
      </c>
      <c r="AA6" s="2">
        <f t="shared" ca="1" si="2"/>
        <v>27.214750920177568</v>
      </c>
      <c r="AB6" s="2">
        <f t="shared" ca="1" si="2"/>
        <v>27.363725199635091</v>
      </c>
      <c r="AC6" s="2">
        <f t="shared" ca="1" si="2"/>
        <v>30.215468012318372</v>
      </c>
      <c r="AD6" s="2">
        <f t="shared" ca="1" si="2"/>
        <v>30.630719383160244</v>
      </c>
      <c r="AE6" s="2">
        <f t="shared" ca="1" si="2"/>
        <v>28.6010369273762</v>
      </c>
      <c r="AF6" s="2">
        <f t="shared" ca="1" si="2"/>
        <v>31.800013689804317</v>
      </c>
      <c r="AG6" s="2">
        <f t="shared" ca="1" si="2"/>
        <v>32.120489338675064</v>
      </c>
      <c r="AH6" s="2">
        <f t="shared" ca="1" si="2"/>
        <v>26.931534884419449</v>
      </c>
    </row>
    <row r="7" spans="1:34">
      <c r="A7" t="str">
        <f>sets!$H$3</f>
        <v>Teff</v>
      </c>
      <c r="B7" t="str">
        <v>DireDawa</v>
      </c>
      <c r="C7" s="2">
        <f t="shared" ca="1" si="3"/>
        <v>29.457958136107706</v>
      </c>
      <c r="D7" s="2">
        <f t="shared" ca="1" si="2"/>
        <v>26.145755121626799</v>
      </c>
      <c r="E7" s="2">
        <f t="shared" ca="1" si="2"/>
        <v>25.383981862582765</v>
      </c>
      <c r="F7" s="2">
        <f t="shared" ca="1" si="2"/>
        <v>29.080698501061306</v>
      </c>
      <c r="G7" s="2">
        <f t="shared" ca="1" si="2"/>
        <v>34.572652249716491</v>
      </c>
      <c r="H7" s="2">
        <f t="shared" ca="1" si="2"/>
        <v>34.171066558833331</v>
      </c>
      <c r="I7" s="2">
        <f t="shared" ca="1" si="2"/>
        <v>29.450927046863072</v>
      </c>
      <c r="J7" s="2">
        <f t="shared" ca="1" si="2"/>
        <v>30.999388715058373</v>
      </c>
      <c r="K7" s="2">
        <f t="shared" ca="1" si="2"/>
        <v>28.508037844169678</v>
      </c>
      <c r="L7" s="2">
        <f t="shared" ca="1" si="2"/>
        <v>34.518024581548296</v>
      </c>
      <c r="M7" s="2">
        <f t="shared" ca="1" si="2"/>
        <v>28.489614860396095</v>
      </c>
      <c r="N7" s="2">
        <f t="shared" ca="1" si="2"/>
        <v>31.981513311265402</v>
      </c>
      <c r="O7" s="2">
        <f t="shared" ca="1" si="2"/>
        <v>25.984455638733451</v>
      </c>
      <c r="P7" s="2">
        <f t="shared" ca="1" si="2"/>
        <v>31.385101011910624</v>
      </c>
      <c r="Q7" s="2">
        <f t="shared" ca="1" si="2"/>
        <v>31.589601831058857</v>
      </c>
      <c r="R7" s="2">
        <f t="shared" ca="1" si="2"/>
        <v>26.962713886199701</v>
      </c>
      <c r="S7" s="2">
        <f t="shared" ca="1" si="2"/>
        <v>33.797358777526796</v>
      </c>
      <c r="T7" s="2">
        <f t="shared" ca="1" si="2"/>
        <v>32.608595396135705</v>
      </c>
      <c r="U7" s="2">
        <f t="shared" ca="1" si="2"/>
        <v>28.239303521545015</v>
      </c>
      <c r="V7" s="2">
        <f t="shared" ca="1" si="2"/>
        <v>34.976527055802322</v>
      </c>
      <c r="W7" s="2">
        <f t="shared" ca="1" si="2"/>
        <v>29.834408028044443</v>
      </c>
      <c r="X7" s="2">
        <f t="shared" ca="1" si="2"/>
        <v>33.821782971881369</v>
      </c>
      <c r="Y7" s="2">
        <f t="shared" ca="1" si="2"/>
        <v>31.064513254263204</v>
      </c>
      <c r="Z7" s="2">
        <f t="shared" ca="1" si="2"/>
        <v>30.374859919134821</v>
      </c>
      <c r="AA7" s="2">
        <f t="shared" ca="1" si="2"/>
        <v>26.618569600197421</v>
      </c>
      <c r="AB7" s="2">
        <f t="shared" ca="1" si="2"/>
        <v>29.451424162872758</v>
      </c>
      <c r="AC7" s="2">
        <f t="shared" ca="1" si="2"/>
        <v>33.502941091657547</v>
      </c>
      <c r="AD7" s="2">
        <f t="shared" ca="1" si="2"/>
        <v>28.604665698259247</v>
      </c>
      <c r="AE7" s="2">
        <f t="shared" ca="1" si="2"/>
        <v>29.233348314425708</v>
      </c>
      <c r="AF7" s="2">
        <f t="shared" ca="1" si="2"/>
        <v>30.910179959505683</v>
      </c>
      <c r="AG7" s="2">
        <f t="shared" ca="1" si="2"/>
        <v>28.311945287862123</v>
      </c>
      <c r="AH7" s="2">
        <f t="shared" ca="1" si="2"/>
        <v>28.015084651528074</v>
      </c>
    </row>
    <row r="8" spans="1:34">
      <c r="A8" t="str">
        <f>sets!$H$3</f>
        <v>Teff</v>
      </c>
      <c r="B8" t="str">
        <v>Gambela</v>
      </c>
      <c r="C8" s="2">
        <f t="shared" ca="1" si="3"/>
        <v>30.549249176823928</v>
      </c>
      <c r="D8" s="2">
        <f t="shared" ca="1" si="2"/>
        <v>34.12510765052825</v>
      </c>
      <c r="E8" s="2">
        <f t="shared" ca="1" si="2"/>
        <v>29.143162302438359</v>
      </c>
      <c r="F8" s="2">
        <f t="shared" ca="1" si="2"/>
        <v>33.740378568791741</v>
      </c>
      <c r="G8" s="2">
        <f t="shared" ca="1" si="2"/>
        <v>27.0930820512148</v>
      </c>
      <c r="H8" s="2">
        <f t="shared" ca="1" si="2"/>
        <v>30.239038903969334</v>
      </c>
      <c r="I8" s="2">
        <f t="shared" ca="1" si="2"/>
        <v>32.805894444397168</v>
      </c>
      <c r="J8" s="2">
        <f t="shared" ca="1" si="2"/>
        <v>32.750368398790862</v>
      </c>
      <c r="K8" s="2">
        <f t="shared" ca="1" si="2"/>
        <v>31.340132886354088</v>
      </c>
      <c r="L8" s="2">
        <f t="shared" ca="1" si="2"/>
        <v>33.021443337302301</v>
      </c>
      <c r="M8" s="2">
        <f t="shared" ca="1" si="2"/>
        <v>29.510936284257223</v>
      </c>
      <c r="N8" s="2">
        <f t="shared" ca="1" si="2"/>
        <v>32.633091481643284</v>
      </c>
      <c r="O8" s="2">
        <f t="shared" ca="1" si="2"/>
        <v>27.442707642348722</v>
      </c>
      <c r="P8" s="2">
        <f t="shared" ca="1" si="2"/>
        <v>28.73900103060333</v>
      </c>
      <c r="Q8" s="2">
        <f t="shared" ca="1" si="2"/>
        <v>33.838339389770972</v>
      </c>
      <c r="R8" s="2">
        <f t="shared" ca="1" si="2"/>
        <v>29.474127896743653</v>
      </c>
      <c r="S8" s="2">
        <f t="shared" ca="1" si="2"/>
        <v>29.081166404162634</v>
      </c>
      <c r="T8" s="2">
        <f t="shared" ca="1" si="2"/>
        <v>33.825225333071714</v>
      </c>
      <c r="U8" s="2">
        <f t="shared" ca="1" si="2"/>
        <v>25.811359836850496</v>
      </c>
      <c r="V8" s="2">
        <f t="shared" ca="1" si="2"/>
        <v>29.859726484792578</v>
      </c>
      <c r="W8" s="2">
        <f t="shared" ca="1" si="2"/>
        <v>28.100131310561054</v>
      </c>
      <c r="X8" s="2">
        <f t="shared" ca="1" si="2"/>
        <v>28.748568349132203</v>
      </c>
      <c r="Y8" s="2">
        <f t="shared" ca="1" si="2"/>
        <v>34.059851862901105</v>
      </c>
      <c r="Z8" s="2">
        <f t="shared" ca="1" si="2"/>
        <v>30.944825252550714</v>
      </c>
      <c r="AA8" s="2">
        <f t="shared" ca="1" si="2"/>
        <v>27.337045155077057</v>
      </c>
      <c r="AB8" s="2">
        <f t="shared" ca="1" si="2"/>
        <v>34.481811708192623</v>
      </c>
      <c r="AC8" s="2">
        <f t="shared" ca="1" si="2"/>
        <v>29.186063196958418</v>
      </c>
      <c r="AD8" s="2">
        <f t="shared" ca="1" si="2"/>
        <v>32.611471966443077</v>
      </c>
      <c r="AE8" s="2">
        <f t="shared" ca="1" si="2"/>
        <v>28.656185674259056</v>
      </c>
      <c r="AF8" s="2">
        <f t="shared" ca="1" si="2"/>
        <v>32.499269308516773</v>
      </c>
      <c r="AG8" s="2">
        <f t="shared" ca="1" si="2"/>
        <v>34.241380653802956</v>
      </c>
      <c r="AH8" s="2">
        <f t="shared" ca="1" si="2"/>
        <v>26.419879191641222</v>
      </c>
    </row>
    <row r="9" spans="1:34">
      <c r="A9" t="str">
        <f>sets!$H$3</f>
        <v>Teff</v>
      </c>
      <c r="B9" t="str">
        <v>Harari</v>
      </c>
      <c r="C9" s="2">
        <f t="shared" ca="1" si="3"/>
        <v>32.499866108545568</v>
      </c>
      <c r="D9" s="2">
        <f t="shared" ca="1" si="2"/>
        <v>34.636307306466037</v>
      </c>
      <c r="E9" s="2">
        <f t="shared" ca="1" si="2"/>
        <v>30.241981321858038</v>
      </c>
      <c r="F9" s="2">
        <f t="shared" ca="1" si="2"/>
        <v>26.172788170068628</v>
      </c>
      <c r="G9" s="2">
        <f t="shared" ca="1" si="2"/>
        <v>26.288157782591199</v>
      </c>
      <c r="H9" s="2">
        <f t="shared" ca="1" si="2"/>
        <v>34.454485772205508</v>
      </c>
      <c r="I9" s="2">
        <f t="shared" ca="1" si="2"/>
        <v>32.604406202013855</v>
      </c>
      <c r="J9" s="2">
        <f t="shared" ca="1" si="2"/>
        <v>32.052452270505547</v>
      </c>
      <c r="K9" s="2">
        <f t="shared" ca="1" si="2"/>
        <v>30.519048219286304</v>
      </c>
      <c r="L9" s="2">
        <f t="shared" ca="1" si="2"/>
        <v>33.732191867070576</v>
      </c>
      <c r="M9" s="2">
        <f t="shared" ca="1" si="2"/>
        <v>26.864666863708781</v>
      </c>
      <c r="N9" s="2">
        <f t="shared" ca="1" si="2"/>
        <v>27.665239061819918</v>
      </c>
      <c r="O9" s="2">
        <f t="shared" ca="1" si="2"/>
        <v>30.746422138557175</v>
      </c>
      <c r="P9" s="2">
        <f t="shared" ca="1" si="2"/>
        <v>31.582358128123893</v>
      </c>
      <c r="Q9" s="2">
        <f t="shared" ca="1" si="2"/>
        <v>27.902674682465609</v>
      </c>
      <c r="R9" s="2">
        <f t="shared" ca="1" si="2"/>
        <v>27.195005817169495</v>
      </c>
      <c r="S9" s="2">
        <f t="shared" ca="1" si="2"/>
        <v>29.300355604327617</v>
      </c>
      <c r="T9" s="2">
        <f t="shared" ca="1" si="2"/>
        <v>27.346805019037355</v>
      </c>
      <c r="U9" s="2">
        <f t="shared" ca="1" si="2"/>
        <v>25.803819886188364</v>
      </c>
      <c r="V9" s="2">
        <f t="shared" ca="1" si="2"/>
        <v>30.850245561186938</v>
      </c>
      <c r="W9" s="2">
        <f t="shared" ca="1" si="2"/>
        <v>29.713842468483662</v>
      </c>
      <c r="X9" s="2">
        <f t="shared" ca="1" si="2"/>
        <v>25.862765626217268</v>
      </c>
      <c r="Y9" s="2">
        <f t="shared" ca="1" si="2"/>
        <v>27.917421844062979</v>
      </c>
      <c r="Z9" s="2">
        <f t="shared" ca="1" si="2"/>
        <v>25.447514731029255</v>
      </c>
      <c r="AA9" s="2">
        <f t="shared" ca="1" si="2"/>
        <v>33.483824246745442</v>
      </c>
      <c r="AB9" s="2">
        <f t="shared" ca="1" si="2"/>
        <v>29.107507563405495</v>
      </c>
      <c r="AC9" s="2">
        <f t="shared" ca="1" si="2"/>
        <v>27.17067135589982</v>
      </c>
      <c r="AD9" s="2">
        <f t="shared" ca="1" si="2"/>
        <v>34.808699804393981</v>
      </c>
      <c r="AE9" s="2">
        <f t="shared" ca="1" si="2"/>
        <v>25.273505123598497</v>
      </c>
      <c r="AF9" s="2">
        <f t="shared" ca="1" si="2"/>
        <v>30.542653914070709</v>
      </c>
      <c r="AG9" s="2">
        <f t="shared" ca="1" si="2"/>
        <v>28.194231168593369</v>
      </c>
      <c r="AH9" s="2">
        <f t="shared" ca="1" si="2"/>
        <v>26.702161932698985</v>
      </c>
    </row>
    <row r="10" spans="1:34">
      <c r="A10" t="str">
        <f>sets!$H$3</f>
        <v>Teff</v>
      </c>
      <c r="B10" t="str">
        <v>Oromia</v>
      </c>
      <c r="C10" s="2">
        <f t="shared" ca="1" si="3"/>
        <v>27.62927447396293</v>
      </c>
      <c r="D10" s="2">
        <f t="shared" ca="1" si="2"/>
        <v>31.104626905093884</v>
      </c>
      <c r="E10" s="2">
        <f t="shared" ca="1" si="2"/>
        <v>29.95413086340465</v>
      </c>
      <c r="F10" s="2">
        <f t="shared" ca="1" si="2"/>
        <v>28.288452762320631</v>
      </c>
      <c r="G10" s="2">
        <f t="shared" ca="1" si="2"/>
        <v>34.638887851718366</v>
      </c>
      <c r="H10" s="2">
        <f t="shared" ca="1" si="2"/>
        <v>29.970920354109289</v>
      </c>
      <c r="I10" s="2">
        <f t="shared" ca="1" si="2"/>
        <v>31.222629861738614</v>
      </c>
      <c r="J10" s="2">
        <f t="shared" ca="1" si="2"/>
        <v>31.12842498785195</v>
      </c>
      <c r="K10" s="2">
        <f t="shared" ca="1" si="2"/>
        <v>33.373491252847266</v>
      </c>
      <c r="L10" s="2">
        <f t="shared" ca="1" si="2"/>
        <v>31.650087601330519</v>
      </c>
      <c r="M10" s="2">
        <f t="shared" ca="1" si="2"/>
        <v>25.952343505071337</v>
      </c>
      <c r="N10" s="2">
        <f t="shared" ca="1" si="2"/>
        <v>34.155732135397855</v>
      </c>
      <c r="O10" s="2">
        <f t="shared" ca="1" si="2"/>
        <v>29.910713362710823</v>
      </c>
      <c r="P10" s="2">
        <f t="shared" ca="1" si="2"/>
        <v>25.420054060513067</v>
      </c>
      <c r="Q10" s="2">
        <f t="shared" ca="1" si="2"/>
        <v>25.699401866341304</v>
      </c>
      <c r="R10" s="2">
        <f t="shared" ca="1" si="2"/>
        <v>27.049117160332582</v>
      </c>
      <c r="S10" s="2">
        <f t="shared" ca="1" si="2"/>
        <v>33.142707810018798</v>
      </c>
      <c r="T10" s="2">
        <f t="shared" ca="1" si="2"/>
        <v>27.771602241325862</v>
      </c>
      <c r="U10" s="2">
        <f t="shared" ca="1" si="2"/>
        <v>31.254145879243129</v>
      </c>
      <c r="V10" s="2">
        <f t="shared" ca="1" si="2"/>
        <v>29.59691963043085</v>
      </c>
      <c r="W10" s="2">
        <f t="shared" ca="1" si="2"/>
        <v>30.150897937978929</v>
      </c>
      <c r="X10" s="2">
        <f t="shared" ca="1" si="2"/>
        <v>31.176536447152632</v>
      </c>
      <c r="Y10" s="2">
        <f t="shared" ca="1" si="2"/>
        <v>25.61806564299204</v>
      </c>
      <c r="Z10" s="2">
        <f t="shared" ca="1" si="2"/>
        <v>34.221112468030498</v>
      </c>
      <c r="AA10" s="2">
        <f t="shared" ca="1" si="2"/>
        <v>31.985560420579983</v>
      </c>
      <c r="AB10" s="2">
        <f t="shared" ca="1" si="2"/>
        <v>28.676828033338619</v>
      </c>
      <c r="AC10" s="2">
        <f t="shared" ca="1" si="2"/>
        <v>25.104465983149481</v>
      </c>
      <c r="AD10" s="2">
        <f t="shared" ca="1" si="2"/>
        <v>28.578532467002667</v>
      </c>
      <c r="AE10" s="2">
        <f t="shared" ca="1" si="2"/>
        <v>34.321054374073704</v>
      </c>
      <c r="AF10" s="2">
        <f t="shared" ca="1" si="2"/>
        <v>28.223480018879357</v>
      </c>
      <c r="AG10" s="2">
        <f t="shared" ca="1" si="2"/>
        <v>29.1466508076875</v>
      </c>
      <c r="AH10" s="2">
        <f t="shared" ca="1" si="2"/>
        <v>25.504947292273656</v>
      </c>
    </row>
    <row r="11" spans="1:34">
      <c r="A11" t="str">
        <f>sets!$H$3</f>
        <v>Teff</v>
      </c>
      <c r="B11" t="str">
        <v>Somali</v>
      </c>
      <c r="C11" s="2">
        <f t="shared" ca="1" si="3"/>
        <v>30.710111401284969</v>
      </c>
      <c r="D11" s="2">
        <f t="shared" ca="1" si="2"/>
        <v>32.516716410236441</v>
      </c>
      <c r="E11" s="2">
        <f t="shared" ca="1" si="2"/>
        <v>34.011575143502057</v>
      </c>
      <c r="F11" s="2">
        <f t="shared" ca="1" si="2"/>
        <v>30.047895862033048</v>
      </c>
      <c r="G11" s="2">
        <f t="shared" ca="1" si="2"/>
        <v>34.056913123987307</v>
      </c>
      <c r="H11" s="2">
        <f t="shared" ca="1" si="2"/>
        <v>33.781411918733056</v>
      </c>
      <c r="I11" s="2">
        <f t="shared" ca="1" si="2"/>
        <v>28.713526719006058</v>
      </c>
      <c r="J11" s="2">
        <f t="shared" ca="1" si="2"/>
        <v>29.358162200472897</v>
      </c>
      <c r="K11" s="2">
        <f t="shared" ref="K11:Z68" ca="1" si="4">(RAND()*1+2.5)*10</f>
        <v>34.131260063332469</v>
      </c>
      <c r="L11" s="2">
        <f t="shared" ca="1" si="4"/>
        <v>26.66773076070475</v>
      </c>
      <c r="M11" s="2">
        <f t="shared" ca="1" si="4"/>
        <v>25.552486805441418</v>
      </c>
      <c r="N11" s="2">
        <f t="shared" ca="1" si="4"/>
        <v>25.172611780573639</v>
      </c>
      <c r="O11" s="2">
        <f t="shared" ca="1" si="4"/>
        <v>34.745641512327843</v>
      </c>
      <c r="P11" s="2">
        <f t="shared" ca="1" si="4"/>
        <v>25.191389863450752</v>
      </c>
      <c r="Q11" s="2">
        <f t="shared" ca="1" si="4"/>
        <v>30.924602399769046</v>
      </c>
      <c r="R11" s="2">
        <f t="shared" ca="1" si="4"/>
        <v>28.270373374933982</v>
      </c>
      <c r="S11" s="2">
        <f t="shared" ca="1" si="4"/>
        <v>29.468367094220586</v>
      </c>
      <c r="T11" s="2">
        <f t="shared" ca="1" si="4"/>
        <v>25.121117067254382</v>
      </c>
      <c r="U11" s="2">
        <f t="shared" ca="1" si="4"/>
        <v>27.839088140246165</v>
      </c>
      <c r="V11" s="2">
        <f t="shared" ca="1" si="4"/>
        <v>27.65052891936234</v>
      </c>
      <c r="W11" s="2">
        <f t="shared" ca="1" si="4"/>
        <v>34.391687385701204</v>
      </c>
      <c r="X11" s="2">
        <f t="shared" ca="1" si="4"/>
        <v>25.866420026886018</v>
      </c>
      <c r="Y11" s="2">
        <f t="shared" ca="1" si="4"/>
        <v>33.833546926911765</v>
      </c>
      <c r="Z11" s="2">
        <f t="shared" ca="1" si="4"/>
        <v>33.543542706007244</v>
      </c>
      <c r="AA11" s="2">
        <f t="shared" ref="AA11:AH68" ca="1" si="5">(RAND()*1+2.5)*10</f>
        <v>33.730230542179143</v>
      </c>
      <c r="AB11" s="2">
        <f t="shared" ca="1" si="5"/>
        <v>33.034292182730532</v>
      </c>
      <c r="AC11" s="2">
        <f t="shared" ca="1" si="5"/>
        <v>30.177027011158053</v>
      </c>
      <c r="AD11" s="2">
        <f t="shared" ca="1" si="5"/>
        <v>33.494230487524071</v>
      </c>
      <c r="AE11" s="2">
        <f t="shared" ca="1" si="5"/>
        <v>27.642206717735583</v>
      </c>
      <c r="AF11" s="2">
        <f t="shared" ca="1" si="5"/>
        <v>28.987241416342137</v>
      </c>
      <c r="AG11" s="2">
        <f t="shared" ca="1" si="5"/>
        <v>31.06842912955134</v>
      </c>
      <c r="AH11" s="2">
        <f t="shared" ca="1" si="5"/>
        <v>32.233270895508845</v>
      </c>
    </row>
    <row r="12" spans="1:34">
      <c r="A12" t="str">
        <f>sets!$H$3</f>
        <v>Teff</v>
      </c>
      <c r="B12" t="str">
        <v>SNNPR</v>
      </c>
      <c r="C12" s="2">
        <f t="shared" ca="1" si="3"/>
        <v>25.919320298460164</v>
      </c>
      <c r="D12" s="2">
        <f t="shared" ca="1" si="3"/>
        <v>27.393336852774457</v>
      </c>
      <c r="E12" s="2">
        <f t="shared" ca="1" si="3"/>
        <v>27.768556884084191</v>
      </c>
      <c r="F12" s="2">
        <f t="shared" ca="1" si="3"/>
        <v>34.870205208514228</v>
      </c>
      <c r="G12" s="2">
        <f t="shared" ca="1" si="3"/>
        <v>31.620824950235068</v>
      </c>
      <c r="H12" s="2">
        <f t="shared" ca="1" si="3"/>
        <v>28.484154690962839</v>
      </c>
      <c r="I12" s="2">
        <f t="shared" ca="1" si="3"/>
        <v>31.409106046827677</v>
      </c>
      <c r="J12" s="2">
        <f t="shared" ca="1" si="3"/>
        <v>34.093004141428764</v>
      </c>
      <c r="K12" s="2">
        <f t="shared" ca="1" si="3"/>
        <v>30.812862857462655</v>
      </c>
      <c r="L12" s="2">
        <f t="shared" ca="1" si="3"/>
        <v>34.574956038927183</v>
      </c>
      <c r="M12" s="2">
        <f t="shared" ca="1" si="3"/>
        <v>28.385375842192992</v>
      </c>
      <c r="N12" s="2">
        <f t="shared" ca="1" si="3"/>
        <v>33.123638139739839</v>
      </c>
      <c r="O12" s="2">
        <f t="shared" ca="1" si="3"/>
        <v>32.436825803213722</v>
      </c>
      <c r="P12" s="2">
        <f t="shared" ca="1" si="3"/>
        <v>30.261128675564983</v>
      </c>
      <c r="Q12" s="2">
        <f t="shared" ca="1" si="3"/>
        <v>27.458667697551849</v>
      </c>
      <c r="R12" s="2">
        <f t="shared" ca="1" si="3"/>
        <v>32.315137459563623</v>
      </c>
      <c r="S12" s="2">
        <f t="shared" ca="1" si="4"/>
        <v>25.066930083921285</v>
      </c>
      <c r="T12" s="2">
        <f t="shared" ca="1" si="4"/>
        <v>31.569336927385056</v>
      </c>
      <c r="U12" s="2">
        <f t="shared" ca="1" si="4"/>
        <v>32.870003758854935</v>
      </c>
      <c r="V12" s="2">
        <f t="shared" ca="1" si="4"/>
        <v>31.164098354361116</v>
      </c>
      <c r="W12" s="2">
        <f t="shared" ca="1" si="4"/>
        <v>32.988775149425763</v>
      </c>
      <c r="X12" s="2">
        <f t="shared" ca="1" si="4"/>
        <v>27.88691833324847</v>
      </c>
      <c r="Y12" s="2">
        <f t="shared" ca="1" si="4"/>
        <v>26.021396704510984</v>
      </c>
      <c r="Z12" s="2">
        <f t="shared" ca="1" si="4"/>
        <v>26.992322273794287</v>
      </c>
      <c r="AA12" s="2">
        <f t="shared" ca="1" si="5"/>
        <v>30.509308569288041</v>
      </c>
      <c r="AB12" s="2">
        <f t="shared" ca="1" si="5"/>
        <v>30.430332662015864</v>
      </c>
      <c r="AC12" s="2">
        <f t="shared" ca="1" si="5"/>
        <v>30.093179494193194</v>
      </c>
      <c r="AD12" s="2">
        <f t="shared" ca="1" si="5"/>
        <v>34.223419024906462</v>
      </c>
      <c r="AE12" s="2">
        <f t="shared" ca="1" si="5"/>
        <v>29.488991055684608</v>
      </c>
      <c r="AF12" s="2">
        <f t="shared" ca="1" si="5"/>
        <v>30.834661010423979</v>
      </c>
      <c r="AG12" s="2">
        <f t="shared" ca="1" si="5"/>
        <v>29.76596101431339</v>
      </c>
      <c r="AH12" s="2">
        <f t="shared" ca="1" si="5"/>
        <v>30.671011394861498</v>
      </c>
    </row>
    <row r="13" spans="1:34">
      <c r="A13" t="str">
        <f>sets!$H$3</f>
        <v>Teff</v>
      </c>
      <c r="B13" t="str">
        <v>Tigray</v>
      </c>
      <c r="C13" s="2">
        <f t="shared" ca="1" si="3"/>
        <v>30.716828950233381</v>
      </c>
      <c r="D13" s="2">
        <f t="shared" ca="1" si="3"/>
        <v>28.37661019045192</v>
      </c>
      <c r="E13" s="2">
        <f t="shared" ca="1" si="3"/>
        <v>25.079121085175757</v>
      </c>
      <c r="F13" s="2">
        <f t="shared" ca="1" si="3"/>
        <v>31.52897458749511</v>
      </c>
      <c r="G13" s="2">
        <f t="shared" ca="1" si="3"/>
        <v>29.863562025685695</v>
      </c>
      <c r="H13" s="2">
        <f t="shared" ca="1" si="3"/>
        <v>30.089511712670863</v>
      </c>
      <c r="I13" s="2">
        <f t="shared" ca="1" si="3"/>
        <v>33.64067237405883</v>
      </c>
      <c r="J13" s="2">
        <f t="shared" ca="1" si="3"/>
        <v>33.066010722212084</v>
      </c>
      <c r="K13" s="2">
        <f t="shared" ca="1" si="3"/>
        <v>31.430459237026721</v>
      </c>
      <c r="L13" s="2">
        <f t="shared" ca="1" si="3"/>
        <v>28.307628256926222</v>
      </c>
      <c r="M13" s="2">
        <f t="shared" ca="1" si="3"/>
        <v>27.270294088765855</v>
      </c>
      <c r="N13" s="2">
        <f t="shared" ca="1" si="3"/>
        <v>27.951885369413194</v>
      </c>
      <c r="O13" s="2">
        <f t="shared" ca="1" si="3"/>
        <v>27.118531047793898</v>
      </c>
      <c r="P13" s="2">
        <f t="shared" ca="1" si="3"/>
        <v>33.814478405826677</v>
      </c>
      <c r="Q13" s="2">
        <f t="shared" ca="1" si="3"/>
        <v>25.087139810858929</v>
      </c>
      <c r="R13" s="2">
        <f t="shared" ca="1" si="3"/>
        <v>25.101279704140843</v>
      </c>
      <c r="S13" s="2">
        <f t="shared" ca="1" si="4"/>
        <v>34.679241393527811</v>
      </c>
      <c r="T13" s="2">
        <f t="shared" ca="1" si="4"/>
        <v>28.086248704247684</v>
      </c>
      <c r="U13" s="2">
        <f t="shared" ca="1" si="4"/>
        <v>27.547027029352744</v>
      </c>
      <c r="V13" s="2">
        <f t="shared" ca="1" si="4"/>
        <v>26.57545067410129</v>
      </c>
      <c r="W13" s="2">
        <f t="shared" ca="1" si="4"/>
        <v>29.44602445772361</v>
      </c>
      <c r="X13" s="2">
        <f t="shared" ca="1" si="4"/>
        <v>31.566161619033089</v>
      </c>
      <c r="Y13" s="2">
        <f t="shared" ca="1" si="4"/>
        <v>25.846802720336459</v>
      </c>
      <c r="Z13" s="2">
        <f t="shared" ca="1" si="4"/>
        <v>31.080183005636094</v>
      </c>
      <c r="AA13" s="2">
        <f t="shared" ca="1" si="5"/>
        <v>29.615199011315354</v>
      </c>
      <c r="AB13" s="2">
        <f t="shared" ca="1" si="5"/>
        <v>31.600827916669594</v>
      </c>
      <c r="AC13" s="2">
        <f t="shared" ca="1" si="5"/>
        <v>30.033299324498639</v>
      </c>
      <c r="AD13" s="2">
        <f t="shared" ca="1" si="5"/>
        <v>34.672348838134567</v>
      </c>
      <c r="AE13" s="2">
        <f t="shared" ca="1" si="5"/>
        <v>33.685763278866069</v>
      </c>
      <c r="AF13" s="2">
        <f t="shared" ca="1" si="5"/>
        <v>32.677461356735719</v>
      </c>
      <c r="AG13" s="2">
        <f t="shared" ca="1" si="5"/>
        <v>25.493515287856457</v>
      </c>
      <c r="AH13" s="2">
        <f t="shared" ca="1" si="5"/>
        <v>29.490774712557368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26.998731925967569</v>
      </c>
      <c r="D14" s="2">
        <f t="shared" ca="1" si="3"/>
        <v>29.212191022942768</v>
      </c>
      <c r="E14" s="2">
        <f t="shared" ca="1" si="3"/>
        <v>32.733864627238361</v>
      </c>
      <c r="F14" s="2">
        <f t="shared" ca="1" si="3"/>
        <v>28.468208718784638</v>
      </c>
      <c r="G14" s="2">
        <f t="shared" ca="1" si="3"/>
        <v>28.300649517955414</v>
      </c>
      <c r="H14" s="2">
        <f t="shared" ca="1" si="3"/>
        <v>32.659309790758982</v>
      </c>
      <c r="I14" s="2">
        <f t="shared" ca="1" si="3"/>
        <v>33.159063417334515</v>
      </c>
      <c r="J14" s="2">
        <f t="shared" ca="1" si="3"/>
        <v>27.427202409288046</v>
      </c>
      <c r="K14" s="2">
        <f t="shared" ca="1" si="3"/>
        <v>25.1920158333477</v>
      </c>
      <c r="L14" s="2">
        <f t="shared" ca="1" si="3"/>
        <v>30.896380385955354</v>
      </c>
      <c r="M14" s="2">
        <f t="shared" ca="1" si="3"/>
        <v>26.126802092216735</v>
      </c>
      <c r="N14" s="2">
        <f t="shared" ca="1" si="3"/>
        <v>26.031058280019479</v>
      </c>
      <c r="O14" s="2">
        <f t="shared" ca="1" si="3"/>
        <v>34.288556700167931</v>
      </c>
      <c r="P14" s="2">
        <f t="shared" ca="1" si="3"/>
        <v>27.204977682780811</v>
      </c>
      <c r="Q14" s="2">
        <f t="shared" ca="1" si="3"/>
        <v>25.866783095184136</v>
      </c>
      <c r="R14" s="2">
        <f t="shared" ca="1" si="3"/>
        <v>33.807854891777957</v>
      </c>
      <c r="S14" s="2">
        <f t="shared" ca="1" si="4"/>
        <v>31.612555793222267</v>
      </c>
      <c r="T14" s="2">
        <f t="shared" ca="1" si="4"/>
        <v>26.800325571782558</v>
      </c>
      <c r="U14" s="2">
        <f t="shared" ca="1" si="4"/>
        <v>32.157413930250158</v>
      </c>
      <c r="V14" s="2">
        <f t="shared" ca="1" si="4"/>
        <v>31.568556316468168</v>
      </c>
      <c r="W14" s="2">
        <f t="shared" ca="1" si="4"/>
        <v>26.195939630135658</v>
      </c>
      <c r="X14" s="2">
        <f t="shared" ca="1" si="4"/>
        <v>25.230034776335934</v>
      </c>
      <c r="Y14" s="2">
        <f t="shared" ca="1" si="4"/>
        <v>32.076836145269979</v>
      </c>
      <c r="Z14" s="2">
        <f t="shared" ca="1" si="4"/>
        <v>25.123705406345699</v>
      </c>
      <c r="AA14" s="2">
        <f t="shared" ca="1" si="5"/>
        <v>25.196107433397476</v>
      </c>
      <c r="AB14" s="2">
        <f t="shared" ca="1" si="5"/>
        <v>31.117998288900715</v>
      </c>
      <c r="AC14" s="2">
        <f t="shared" ca="1" si="5"/>
        <v>32.245210125250964</v>
      </c>
      <c r="AD14" s="2">
        <f t="shared" ca="1" si="5"/>
        <v>28.71230084972705</v>
      </c>
      <c r="AE14" s="2">
        <f t="shared" ca="1" si="5"/>
        <v>34.715827226378124</v>
      </c>
      <c r="AF14" s="2">
        <f t="shared" ca="1" si="5"/>
        <v>33.524929800445982</v>
      </c>
      <c r="AG14" s="2">
        <f t="shared" ca="1" si="5"/>
        <v>30.984353509793131</v>
      </c>
      <c r="AH14" s="2">
        <f t="shared" ca="1" si="5"/>
        <v>25.418969526050425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29.238642637824704</v>
      </c>
      <c r="D15" s="2">
        <f t="shared" ca="1" si="3"/>
        <v>27.522969855074514</v>
      </c>
      <c r="E15" s="2">
        <f t="shared" ca="1" si="3"/>
        <v>28.167403248093418</v>
      </c>
      <c r="F15" s="2">
        <f t="shared" ca="1" si="3"/>
        <v>28.01108410747425</v>
      </c>
      <c r="G15" s="2">
        <f t="shared" ca="1" si="3"/>
        <v>28.874082366851944</v>
      </c>
      <c r="H15" s="2">
        <f t="shared" ca="1" si="3"/>
        <v>27.258564842610543</v>
      </c>
      <c r="I15" s="2">
        <f t="shared" ca="1" si="3"/>
        <v>27.584247504190561</v>
      </c>
      <c r="J15" s="2">
        <f t="shared" ca="1" si="3"/>
        <v>34.383267078334377</v>
      </c>
      <c r="K15" s="2">
        <f t="shared" ca="1" si="3"/>
        <v>27.149135534486323</v>
      </c>
      <c r="L15" s="2">
        <f t="shared" ca="1" si="3"/>
        <v>29.230906764931834</v>
      </c>
      <c r="M15" s="2">
        <f t="shared" ca="1" si="3"/>
        <v>25.539093507205934</v>
      </c>
      <c r="N15" s="2">
        <f t="shared" ca="1" si="3"/>
        <v>29.34079866697531</v>
      </c>
      <c r="O15" s="2">
        <f t="shared" ca="1" si="3"/>
        <v>28.185402263038284</v>
      </c>
      <c r="P15" s="2">
        <f t="shared" ca="1" si="3"/>
        <v>33.877571878454553</v>
      </c>
      <c r="Q15" s="2">
        <f t="shared" ca="1" si="3"/>
        <v>27.545795759771671</v>
      </c>
      <c r="R15" s="2">
        <f t="shared" ca="1" si="3"/>
        <v>34.944219831759995</v>
      </c>
      <c r="S15" s="2">
        <f t="shared" ca="1" si="4"/>
        <v>30.84622236887002</v>
      </c>
      <c r="T15" s="2">
        <f t="shared" ca="1" si="4"/>
        <v>25.889381229241245</v>
      </c>
      <c r="U15" s="2">
        <f t="shared" ca="1" si="4"/>
        <v>32.401061051303323</v>
      </c>
      <c r="V15" s="2">
        <f t="shared" ca="1" si="4"/>
        <v>28.216681926645567</v>
      </c>
      <c r="W15" s="2">
        <f t="shared" ca="1" si="4"/>
        <v>32.664076726016283</v>
      </c>
      <c r="X15" s="2">
        <f t="shared" ca="1" si="4"/>
        <v>32.688229789668355</v>
      </c>
      <c r="Y15" s="2">
        <f t="shared" ca="1" si="4"/>
        <v>29.684301312768806</v>
      </c>
      <c r="Z15" s="2">
        <f t="shared" ca="1" si="4"/>
        <v>28.370514077502563</v>
      </c>
      <c r="AA15" s="2">
        <f t="shared" ca="1" si="5"/>
        <v>27.492512108816914</v>
      </c>
      <c r="AB15" s="2">
        <f t="shared" ca="1" si="5"/>
        <v>28.889994443834791</v>
      </c>
      <c r="AC15" s="2">
        <f t="shared" ca="1" si="5"/>
        <v>29.533655765160525</v>
      </c>
      <c r="AD15" s="2">
        <f t="shared" ca="1" si="5"/>
        <v>26.35757214254113</v>
      </c>
      <c r="AE15" s="2">
        <f t="shared" ca="1" si="5"/>
        <v>27.38594914434141</v>
      </c>
      <c r="AF15" s="2">
        <f t="shared" ca="1" si="5"/>
        <v>30.849250762199052</v>
      </c>
      <c r="AG15" s="2">
        <f t="shared" ca="1" si="5"/>
        <v>33.10445976153855</v>
      </c>
      <c r="AH15" s="2">
        <f t="shared" ca="1" si="5"/>
        <v>27.835882574666844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32.347857054371623</v>
      </c>
      <c r="D16" s="2">
        <f t="shared" ca="1" si="3"/>
        <v>25.781643750349524</v>
      </c>
      <c r="E16" s="2">
        <f t="shared" ca="1" si="3"/>
        <v>32.223694627073868</v>
      </c>
      <c r="F16" s="2">
        <f t="shared" ca="1" si="3"/>
        <v>28.314725004332395</v>
      </c>
      <c r="G16" s="2">
        <f t="shared" ca="1" si="3"/>
        <v>34.465740030950606</v>
      </c>
      <c r="H16" s="2">
        <f t="shared" ca="1" si="3"/>
        <v>28.52028624174843</v>
      </c>
      <c r="I16" s="2">
        <f t="shared" ca="1" si="3"/>
        <v>31.597354433322518</v>
      </c>
      <c r="J16" s="2">
        <f t="shared" ca="1" si="3"/>
        <v>27.704284766894673</v>
      </c>
      <c r="K16" s="2">
        <f t="shared" ca="1" si="3"/>
        <v>32.840078816224512</v>
      </c>
      <c r="L16" s="2">
        <f t="shared" ca="1" si="3"/>
        <v>28.41348217878808</v>
      </c>
      <c r="M16" s="2">
        <f t="shared" ca="1" si="3"/>
        <v>29.236752589486915</v>
      </c>
      <c r="N16" s="2">
        <f t="shared" ca="1" si="3"/>
        <v>33.52230268494575</v>
      </c>
      <c r="O16" s="2">
        <f t="shared" ca="1" si="3"/>
        <v>25.91322857610503</v>
      </c>
      <c r="P16" s="2">
        <f t="shared" ca="1" si="3"/>
        <v>31.896057059577714</v>
      </c>
      <c r="Q16" s="2">
        <f t="shared" ca="1" si="3"/>
        <v>25.371063887781069</v>
      </c>
      <c r="R16" s="2">
        <f t="shared" ca="1" si="3"/>
        <v>31.270546571875659</v>
      </c>
      <c r="S16" s="2">
        <f t="shared" ca="1" si="4"/>
        <v>30.791018979567212</v>
      </c>
      <c r="T16" s="2">
        <f t="shared" ca="1" si="4"/>
        <v>30.450936242810329</v>
      </c>
      <c r="U16" s="2">
        <f t="shared" ca="1" si="4"/>
        <v>30.912245195112291</v>
      </c>
      <c r="V16" s="2">
        <f t="shared" ca="1" si="4"/>
        <v>27.417033676332725</v>
      </c>
      <c r="W16" s="2">
        <f t="shared" ca="1" si="4"/>
        <v>30.924526048783957</v>
      </c>
      <c r="X16" s="2">
        <f t="shared" ca="1" si="4"/>
        <v>34.591825806645055</v>
      </c>
      <c r="Y16" s="2">
        <f t="shared" ca="1" si="4"/>
        <v>27.048510639601098</v>
      </c>
      <c r="Z16" s="2">
        <f t="shared" ca="1" si="4"/>
        <v>28.871973002602104</v>
      </c>
      <c r="AA16" s="2">
        <f t="shared" ca="1" si="5"/>
        <v>25.3405624401341</v>
      </c>
      <c r="AB16" s="2">
        <f t="shared" ca="1" si="5"/>
        <v>26.157030836171764</v>
      </c>
      <c r="AC16" s="2">
        <f t="shared" ca="1" si="5"/>
        <v>30.02882342251409</v>
      </c>
      <c r="AD16" s="2">
        <f t="shared" ca="1" si="5"/>
        <v>32.477520227084213</v>
      </c>
      <c r="AE16" s="2">
        <f t="shared" ca="1" si="5"/>
        <v>34.279480945735557</v>
      </c>
      <c r="AF16" s="2">
        <f t="shared" ca="1" si="5"/>
        <v>33.019625789787035</v>
      </c>
      <c r="AG16" s="2">
        <f t="shared" ca="1" si="5"/>
        <v>27.768392316364682</v>
      </c>
      <c r="AH16" s="2">
        <f t="shared" ca="1" si="5"/>
        <v>26.661082447285111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28.576428284457002</v>
      </c>
      <c r="D17" s="2">
        <f t="shared" ca="1" si="3"/>
        <v>34.216469011165259</v>
      </c>
      <c r="E17" s="2">
        <f t="shared" ca="1" si="3"/>
        <v>33.112931703033453</v>
      </c>
      <c r="F17" s="2">
        <f t="shared" ca="1" si="3"/>
        <v>30.683705995913726</v>
      </c>
      <c r="G17" s="2">
        <f t="shared" ca="1" si="3"/>
        <v>26.084035754691225</v>
      </c>
      <c r="H17" s="2">
        <f t="shared" ca="1" si="3"/>
        <v>32.501332355128</v>
      </c>
      <c r="I17" s="2">
        <f t="shared" ca="1" si="3"/>
        <v>31.408688247777551</v>
      </c>
      <c r="J17" s="2">
        <f t="shared" ca="1" si="3"/>
        <v>31.038411444456614</v>
      </c>
      <c r="K17" s="2">
        <f t="shared" ca="1" si="3"/>
        <v>34.709455546564804</v>
      </c>
      <c r="L17" s="2">
        <f t="shared" ca="1" si="3"/>
        <v>28.571970679416996</v>
      </c>
      <c r="M17" s="2">
        <f t="shared" ca="1" si="3"/>
        <v>27.405288752767582</v>
      </c>
      <c r="N17" s="2">
        <f t="shared" ca="1" si="3"/>
        <v>32.804277729402244</v>
      </c>
      <c r="O17" s="2">
        <f t="shared" ca="1" si="3"/>
        <v>34.373361973821545</v>
      </c>
      <c r="P17" s="2">
        <f t="shared" ca="1" si="3"/>
        <v>33.655346898688876</v>
      </c>
      <c r="Q17" s="2">
        <f t="shared" ca="1" si="3"/>
        <v>25.60697729612713</v>
      </c>
      <c r="R17" s="2">
        <f t="shared" ca="1" si="3"/>
        <v>31.570320889712722</v>
      </c>
      <c r="S17" s="2">
        <f t="shared" ca="1" si="4"/>
        <v>26.114886714637613</v>
      </c>
      <c r="T17" s="2">
        <f t="shared" ca="1" si="4"/>
        <v>34.434232674184166</v>
      </c>
      <c r="U17" s="2">
        <f t="shared" ca="1" si="4"/>
        <v>26.882324741964499</v>
      </c>
      <c r="V17" s="2">
        <f t="shared" ca="1" si="4"/>
        <v>28.278905432453108</v>
      </c>
      <c r="W17" s="2">
        <f t="shared" ca="1" si="4"/>
        <v>27.69084982098018</v>
      </c>
      <c r="X17" s="2">
        <f t="shared" ca="1" si="4"/>
        <v>26.991869808093213</v>
      </c>
      <c r="Y17" s="2">
        <f t="shared" ca="1" si="4"/>
        <v>28.816588134422084</v>
      </c>
      <c r="Z17" s="2">
        <f t="shared" ca="1" si="4"/>
        <v>29.710311567234136</v>
      </c>
      <c r="AA17" s="2">
        <f t="shared" ca="1" si="5"/>
        <v>27.152296658331835</v>
      </c>
      <c r="AB17" s="2">
        <f t="shared" ca="1" si="5"/>
        <v>32.446558693301178</v>
      </c>
      <c r="AC17" s="2">
        <f t="shared" ca="1" si="5"/>
        <v>33.228880248006995</v>
      </c>
      <c r="AD17" s="2">
        <f t="shared" ca="1" si="5"/>
        <v>32.19036418178905</v>
      </c>
      <c r="AE17" s="2">
        <f t="shared" ca="1" si="5"/>
        <v>29.972165867798559</v>
      </c>
      <c r="AF17" s="2">
        <f t="shared" ca="1" si="5"/>
        <v>33.805904328743843</v>
      </c>
      <c r="AG17" s="2">
        <f t="shared" ca="1" si="5"/>
        <v>27.877135899585539</v>
      </c>
      <c r="AH17" s="2">
        <f t="shared" ca="1" si="5"/>
        <v>31.204318521037067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29.580109021113017</v>
      </c>
      <c r="D18" s="2">
        <f t="shared" ca="1" si="3"/>
        <v>27.214350632304335</v>
      </c>
      <c r="E18" s="2">
        <f t="shared" ca="1" si="3"/>
        <v>25.881124645985388</v>
      </c>
      <c r="F18" s="2">
        <f t="shared" ca="1" si="3"/>
        <v>25.232680051588616</v>
      </c>
      <c r="G18" s="2">
        <f t="shared" ca="1" si="3"/>
        <v>25.924359669238292</v>
      </c>
      <c r="H18" s="2">
        <f t="shared" ca="1" si="3"/>
        <v>25.80986497412729</v>
      </c>
      <c r="I18" s="2">
        <f t="shared" ca="1" si="3"/>
        <v>25.064168221451041</v>
      </c>
      <c r="J18" s="2">
        <f t="shared" ca="1" si="3"/>
        <v>28.148206234509793</v>
      </c>
      <c r="K18" s="2">
        <f t="shared" ca="1" si="3"/>
        <v>25.40245016656111</v>
      </c>
      <c r="L18" s="2">
        <f t="shared" ca="1" si="3"/>
        <v>29.262759849070072</v>
      </c>
      <c r="M18" s="2">
        <f t="shared" ca="1" si="3"/>
        <v>34.942367921306506</v>
      </c>
      <c r="N18" s="2">
        <f t="shared" ca="1" si="3"/>
        <v>31.288753819438455</v>
      </c>
      <c r="O18" s="2">
        <f t="shared" ca="1" si="3"/>
        <v>34.675261368835677</v>
      </c>
      <c r="P18" s="2">
        <f t="shared" ca="1" si="3"/>
        <v>27.932308300216828</v>
      </c>
      <c r="Q18" s="2">
        <f t="shared" ca="1" si="3"/>
        <v>25.283204797944279</v>
      </c>
      <c r="R18" s="2">
        <f t="shared" ca="1" si="3"/>
        <v>29.546848910711425</v>
      </c>
      <c r="S18" s="2">
        <f t="shared" ca="1" si="4"/>
        <v>31.729553061353787</v>
      </c>
      <c r="T18" s="2">
        <f t="shared" ca="1" si="4"/>
        <v>28.609539209774194</v>
      </c>
      <c r="U18" s="2">
        <f t="shared" ca="1" si="4"/>
        <v>34.851319029322369</v>
      </c>
      <c r="V18" s="2">
        <f t="shared" ca="1" si="4"/>
        <v>30.356529217770255</v>
      </c>
      <c r="W18" s="2">
        <f t="shared" ca="1" si="4"/>
        <v>33.301538925390503</v>
      </c>
      <c r="X18" s="2">
        <f t="shared" ca="1" si="4"/>
        <v>28.289711196106783</v>
      </c>
      <c r="Y18" s="2">
        <f t="shared" ca="1" si="4"/>
        <v>29.224829903721343</v>
      </c>
      <c r="Z18" s="2">
        <f t="shared" ca="1" si="4"/>
        <v>34.115841553786922</v>
      </c>
      <c r="AA18" s="2">
        <f t="shared" ca="1" si="5"/>
        <v>33.667252453255365</v>
      </c>
      <c r="AB18" s="2">
        <f t="shared" ca="1" si="5"/>
        <v>29.933797748546297</v>
      </c>
      <c r="AC18" s="2">
        <f t="shared" ca="1" si="5"/>
        <v>32.322182961816701</v>
      </c>
      <c r="AD18" s="2">
        <f t="shared" ca="1" si="5"/>
        <v>29.702328511085337</v>
      </c>
      <c r="AE18" s="2">
        <f t="shared" ca="1" si="5"/>
        <v>27.255110222208351</v>
      </c>
      <c r="AF18" s="2">
        <f t="shared" ca="1" si="5"/>
        <v>34.507416255444504</v>
      </c>
      <c r="AG18" s="2">
        <f t="shared" ca="1" si="5"/>
        <v>25.742698662091847</v>
      </c>
      <c r="AH18" s="2">
        <f t="shared" ca="1" si="5"/>
        <v>26.095342007111345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33.210335475959333</v>
      </c>
      <c r="D19" s="2">
        <f t="shared" ca="1" si="3"/>
        <v>26.208998425330385</v>
      </c>
      <c r="E19" s="2">
        <f t="shared" ca="1" si="3"/>
        <v>32.926873635562643</v>
      </c>
      <c r="F19" s="2">
        <f t="shared" ca="1" si="3"/>
        <v>32.625630595295057</v>
      </c>
      <c r="G19" s="2">
        <f t="shared" ca="1" si="3"/>
        <v>31.966090109040024</v>
      </c>
      <c r="H19" s="2">
        <f t="shared" ca="1" si="3"/>
        <v>31.635817324798357</v>
      </c>
      <c r="I19" s="2">
        <f t="shared" ca="1" si="3"/>
        <v>32.525473143971382</v>
      </c>
      <c r="J19" s="2">
        <f t="shared" ca="1" si="3"/>
        <v>25.79649085485012</v>
      </c>
      <c r="K19" s="2">
        <f t="shared" ca="1" si="3"/>
        <v>30.280887146640207</v>
      </c>
      <c r="L19" s="2">
        <f t="shared" ca="1" si="3"/>
        <v>29.762599928741338</v>
      </c>
      <c r="M19" s="2">
        <f t="shared" ca="1" si="3"/>
        <v>29.3688331057221</v>
      </c>
      <c r="N19" s="2">
        <f t="shared" ca="1" si="3"/>
        <v>32.954848550084463</v>
      </c>
      <c r="O19" s="2">
        <f t="shared" ca="1" si="3"/>
        <v>29.831678113552378</v>
      </c>
      <c r="P19" s="2">
        <f t="shared" ca="1" si="3"/>
        <v>34.287280912509146</v>
      </c>
      <c r="Q19" s="2">
        <f t="shared" ca="1" si="3"/>
        <v>28.249147158114106</v>
      </c>
      <c r="R19" s="2">
        <f t="shared" ca="1" si="3"/>
        <v>25.340520857005995</v>
      </c>
      <c r="S19" s="2">
        <f t="shared" ca="1" si="4"/>
        <v>27.917958051450377</v>
      </c>
      <c r="T19" s="2">
        <f t="shared" ca="1" si="4"/>
        <v>26.466701796788374</v>
      </c>
      <c r="U19" s="2">
        <f t="shared" ca="1" si="4"/>
        <v>30.38417618923496</v>
      </c>
      <c r="V19" s="2">
        <f t="shared" ca="1" si="4"/>
        <v>33.001185545852429</v>
      </c>
      <c r="W19" s="2">
        <f t="shared" ca="1" si="4"/>
        <v>30.797290238416295</v>
      </c>
      <c r="X19" s="2">
        <f t="shared" ca="1" si="4"/>
        <v>34.030224856883549</v>
      </c>
      <c r="Y19" s="2">
        <f t="shared" ca="1" si="4"/>
        <v>30.438781002318059</v>
      </c>
      <c r="Z19" s="2">
        <f t="shared" ca="1" si="4"/>
        <v>25.29072626010494</v>
      </c>
      <c r="AA19" s="2">
        <f t="shared" ca="1" si="5"/>
        <v>26.423303856167514</v>
      </c>
      <c r="AB19" s="2">
        <f t="shared" ca="1" si="5"/>
        <v>32.47759514050049</v>
      </c>
      <c r="AC19" s="2">
        <f t="shared" ca="1" si="5"/>
        <v>29.996239038180043</v>
      </c>
      <c r="AD19" s="2">
        <f t="shared" ca="1" si="5"/>
        <v>32.661375360869847</v>
      </c>
      <c r="AE19" s="2">
        <f t="shared" ca="1" si="5"/>
        <v>30.443543440004099</v>
      </c>
      <c r="AF19" s="2">
        <f t="shared" ca="1" si="5"/>
        <v>29.358216571837197</v>
      </c>
      <c r="AG19" s="2">
        <f t="shared" ca="1" si="5"/>
        <v>30.009179308910831</v>
      </c>
      <c r="AH19" s="2">
        <f t="shared" ca="1" si="5"/>
        <v>29.673585749551403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27.635194028026255</v>
      </c>
      <c r="D20" s="2">
        <f t="shared" ca="1" si="3"/>
        <v>26.108468075385993</v>
      </c>
      <c r="E20" s="2">
        <f t="shared" ca="1" si="3"/>
        <v>26.530777442196708</v>
      </c>
      <c r="F20" s="2">
        <f t="shared" ca="1" si="3"/>
        <v>30.279453168998295</v>
      </c>
      <c r="G20" s="2">
        <f t="shared" ca="1" si="3"/>
        <v>25.502473929609415</v>
      </c>
      <c r="H20" s="2">
        <f t="shared" ca="1" si="3"/>
        <v>28.450587929044481</v>
      </c>
      <c r="I20" s="2">
        <f t="shared" ca="1" si="3"/>
        <v>31.764659277717708</v>
      </c>
      <c r="J20" s="2">
        <f t="shared" ca="1" si="3"/>
        <v>28.496433677964635</v>
      </c>
      <c r="K20" s="2">
        <f t="shared" ca="1" si="3"/>
        <v>28.74673528519714</v>
      </c>
      <c r="L20" s="2">
        <f t="shared" ca="1" si="3"/>
        <v>30.565907708457836</v>
      </c>
      <c r="M20" s="2">
        <f t="shared" ca="1" si="3"/>
        <v>31.37033344240308</v>
      </c>
      <c r="N20" s="2">
        <f t="shared" ca="1" si="3"/>
        <v>29.369215577995782</v>
      </c>
      <c r="O20" s="2">
        <f t="shared" ca="1" si="3"/>
        <v>32.121266430465155</v>
      </c>
      <c r="P20" s="2">
        <f t="shared" ca="1" si="3"/>
        <v>31.464632428330532</v>
      </c>
      <c r="Q20" s="2">
        <f t="shared" ca="1" si="3"/>
        <v>32.71985126634803</v>
      </c>
      <c r="R20" s="2">
        <f t="shared" ca="1" si="3"/>
        <v>30.565388017465889</v>
      </c>
      <c r="S20" s="2">
        <f t="shared" ca="1" si="4"/>
        <v>28.089655449090294</v>
      </c>
      <c r="T20" s="2">
        <f t="shared" ca="1" si="4"/>
        <v>34.391926447602906</v>
      </c>
      <c r="U20" s="2">
        <f t="shared" ca="1" si="4"/>
        <v>34.382205409201987</v>
      </c>
      <c r="V20" s="2">
        <f t="shared" ca="1" si="4"/>
        <v>30.350402275546134</v>
      </c>
      <c r="W20" s="2">
        <f t="shared" ca="1" si="4"/>
        <v>28.951294462561474</v>
      </c>
      <c r="X20" s="2">
        <f t="shared" ca="1" si="4"/>
        <v>29.439338531804637</v>
      </c>
      <c r="Y20" s="2">
        <f t="shared" ca="1" si="4"/>
        <v>30.821663377369674</v>
      </c>
      <c r="Z20" s="2">
        <f t="shared" ca="1" si="4"/>
        <v>25.709564398542881</v>
      </c>
      <c r="AA20" s="2">
        <f t="shared" ca="1" si="5"/>
        <v>34.096994785716106</v>
      </c>
      <c r="AB20" s="2">
        <f t="shared" ca="1" si="5"/>
        <v>30.840023949875757</v>
      </c>
      <c r="AC20" s="2">
        <f t="shared" ca="1" si="5"/>
        <v>30.698668770204737</v>
      </c>
      <c r="AD20" s="2">
        <f t="shared" ca="1" si="5"/>
        <v>31.490121007032165</v>
      </c>
      <c r="AE20" s="2">
        <f t="shared" ca="1" si="5"/>
        <v>26.246658265285994</v>
      </c>
      <c r="AF20" s="2">
        <f t="shared" ca="1" si="5"/>
        <v>33.041231857758532</v>
      </c>
      <c r="AG20" s="2">
        <f t="shared" ca="1" si="5"/>
        <v>31.919403473979401</v>
      </c>
      <c r="AH20" s="2">
        <f t="shared" ca="1" si="5"/>
        <v>29.110364143550477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28.445553569665929</v>
      </c>
      <c r="D21" s="2">
        <f t="shared" ca="1" si="3"/>
        <v>27.092182506403638</v>
      </c>
      <c r="E21" s="2">
        <f t="shared" ca="1" si="3"/>
        <v>27.970758751687285</v>
      </c>
      <c r="F21" s="2">
        <f t="shared" ca="1" si="3"/>
        <v>25.68947092726593</v>
      </c>
      <c r="G21" s="2">
        <f t="shared" ca="1" si="3"/>
        <v>33.278430851018612</v>
      </c>
      <c r="H21" s="2">
        <f t="shared" ca="1" si="3"/>
        <v>30.880765253277556</v>
      </c>
      <c r="I21" s="2">
        <f t="shared" ca="1" si="3"/>
        <v>32.816619850767331</v>
      </c>
      <c r="J21" s="2">
        <f t="shared" ca="1" si="3"/>
        <v>28.719315726174976</v>
      </c>
      <c r="K21" s="2">
        <f t="shared" ca="1" si="3"/>
        <v>25.607175178704914</v>
      </c>
      <c r="L21" s="2">
        <f t="shared" ca="1" si="3"/>
        <v>28.601241492046114</v>
      </c>
      <c r="M21" s="2">
        <f t="shared" ca="1" si="3"/>
        <v>26.216566209708887</v>
      </c>
      <c r="N21" s="2">
        <f t="shared" ca="1" si="3"/>
        <v>28.869555178990581</v>
      </c>
      <c r="O21" s="2">
        <f t="shared" ca="1" si="3"/>
        <v>31.102819483237933</v>
      </c>
      <c r="P21" s="2">
        <f t="shared" ca="1" si="3"/>
        <v>33.905429394299595</v>
      </c>
      <c r="Q21" s="2">
        <f t="shared" ca="1" si="3"/>
        <v>25.878427020399375</v>
      </c>
      <c r="R21" s="2">
        <f t="shared" ca="1" si="3"/>
        <v>30.824884030611326</v>
      </c>
      <c r="S21" s="2">
        <f t="shared" ca="1" si="4"/>
        <v>31.54711585718114</v>
      </c>
      <c r="T21" s="2">
        <f t="shared" ca="1" si="4"/>
        <v>29.632119003062904</v>
      </c>
      <c r="U21" s="2">
        <f t="shared" ca="1" si="4"/>
        <v>31.217124502810492</v>
      </c>
      <c r="V21" s="2">
        <f t="shared" ca="1" si="4"/>
        <v>32.944500255828032</v>
      </c>
      <c r="W21" s="2">
        <f t="shared" ca="1" si="4"/>
        <v>26.13562202955379</v>
      </c>
      <c r="X21" s="2">
        <f t="shared" ca="1" si="4"/>
        <v>26.035292468502487</v>
      </c>
      <c r="Y21" s="2">
        <f t="shared" ca="1" si="4"/>
        <v>33.149076757980211</v>
      </c>
      <c r="Z21" s="2">
        <f t="shared" ca="1" si="4"/>
        <v>29.128260301268185</v>
      </c>
      <c r="AA21" s="2">
        <f t="shared" ca="1" si="5"/>
        <v>31.011327829574824</v>
      </c>
      <c r="AB21" s="2">
        <f t="shared" ca="1" si="5"/>
        <v>27.411973476643567</v>
      </c>
      <c r="AC21" s="2">
        <f t="shared" ca="1" si="5"/>
        <v>34.28288956032867</v>
      </c>
      <c r="AD21" s="2">
        <f t="shared" ca="1" si="5"/>
        <v>33.89130250159586</v>
      </c>
      <c r="AE21" s="2">
        <f t="shared" ca="1" si="5"/>
        <v>25.529452611738527</v>
      </c>
      <c r="AF21" s="2">
        <f t="shared" ca="1" si="5"/>
        <v>33.676338959954748</v>
      </c>
      <c r="AG21" s="2">
        <f t="shared" ca="1" si="5"/>
        <v>27.79832357865439</v>
      </c>
      <c r="AH21" s="2">
        <f t="shared" ca="1" si="5"/>
        <v>30.627791509880574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32.48043832910561</v>
      </c>
      <c r="D22" s="2">
        <f t="shared" ca="1" si="3"/>
        <v>29.370420204913785</v>
      </c>
      <c r="E22" s="2">
        <f t="shared" ca="1" si="3"/>
        <v>28.608128103351916</v>
      </c>
      <c r="F22" s="2">
        <f t="shared" ca="1" si="3"/>
        <v>30.018122192680305</v>
      </c>
      <c r="G22" s="2">
        <f t="shared" ca="1" si="3"/>
        <v>25.084962077677151</v>
      </c>
      <c r="H22" s="2">
        <f t="shared" ca="1" si="3"/>
        <v>31.207002733980097</v>
      </c>
      <c r="I22" s="2">
        <f t="shared" ca="1" si="3"/>
        <v>33.503621158203188</v>
      </c>
      <c r="J22" s="2">
        <f t="shared" ca="1" si="3"/>
        <v>30.928187599853398</v>
      </c>
      <c r="K22" s="2">
        <f t="shared" ca="1" si="3"/>
        <v>26.994339094007493</v>
      </c>
      <c r="L22" s="2">
        <f t="shared" ca="1" si="3"/>
        <v>26.563828243274514</v>
      </c>
      <c r="M22" s="2">
        <f t="shared" ca="1" si="3"/>
        <v>26.364810294440662</v>
      </c>
      <c r="N22" s="2">
        <f t="shared" ca="1" si="3"/>
        <v>33.980386662674242</v>
      </c>
      <c r="O22" s="2">
        <f t="shared" ca="1" si="3"/>
        <v>25.342638852606928</v>
      </c>
      <c r="P22" s="2">
        <f t="shared" ca="1" si="3"/>
        <v>29.021850159811837</v>
      </c>
      <c r="Q22" s="2">
        <f t="shared" ca="1" si="3"/>
        <v>31.394858626086489</v>
      </c>
      <c r="R22" s="2">
        <f t="shared" ca="1" si="3"/>
        <v>27.134524888965281</v>
      </c>
      <c r="S22" s="2">
        <f t="shared" ca="1" si="4"/>
        <v>30.315830107289749</v>
      </c>
      <c r="T22" s="2">
        <f t="shared" ca="1" si="4"/>
        <v>29.784552510144447</v>
      </c>
      <c r="U22" s="2">
        <f t="shared" ca="1" si="4"/>
        <v>33.60788918187577</v>
      </c>
      <c r="V22" s="2">
        <f t="shared" ca="1" si="4"/>
        <v>27.632045227244866</v>
      </c>
      <c r="W22" s="2">
        <f t="shared" ca="1" si="4"/>
        <v>28.302500955932068</v>
      </c>
      <c r="X22" s="2">
        <f t="shared" ca="1" si="4"/>
        <v>27.361087479961881</v>
      </c>
      <c r="Y22" s="2">
        <f t="shared" ca="1" si="4"/>
        <v>32.416780126305724</v>
      </c>
      <c r="Z22" s="2">
        <f t="shared" ca="1" si="4"/>
        <v>25.375172271671712</v>
      </c>
      <c r="AA22" s="2">
        <f t="shared" ca="1" si="5"/>
        <v>25.604561542834219</v>
      </c>
      <c r="AB22" s="2">
        <f t="shared" ca="1" si="5"/>
        <v>29.651589882375756</v>
      </c>
      <c r="AC22" s="2">
        <f t="shared" ca="1" si="5"/>
        <v>32.102213351993313</v>
      </c>
      <c r="AD22" s="2">
        <f t="shared" ca="1" si="5"/>
        <v>30.9355764639905</v>
      </c>
      <c r="AE22" s="2">
        <f t="shared" ca="1" si="5"/>
        <v>27.864390841248543</v>
      </c>
      <c r="AF22" s="2">
        <f t="shared" ca="1" si="5"/>
        <v>33.980749639286444</v>
      </c>
      <c r="AG22" s="2">
        <f t="shared" ca="1" si="5"/>
        <v>28.506097136836622</v>
      </c>
      <c r="AH22" s="2">
        <f t="shared" ca="1" si="5"/>
        <v>28.853861288574336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33.843215522629023</v>
      </c>
      <c r="D23" s="2">
        <f t="shared" ca="1" si="3"/>
        <v>25.627184690839279</v>
      </c>
      <c r="E23" s="2">
        <f t="shared" ca="1" si="3"/>
        <v>32.128928659727748</v>
      </c>
      <c r="F23" s="2">
        <f t="shared" ca="1" si="3"/>
        <v>32.511306732814724</v>
      </c>
      <c r="G23" s="2">
        <f t="shared" ca="1" si="3"/>
        <v>26.124090531234248</v>
      </c>
      <c r="H23" s="2">
        <f t="shared" ca="1" si="3"/>
        <v>33.714817023389635</v>
      </c>
      <c r="I23" s="2">
        <f t="shared" ca="1" si="3"/>
        <v>34.972074248694376</v>
      </c>
      <c r="J23" s="2">
        <f t="shared" ca="1" si="3"/>
        <v>31.091227792207555</v>
      </c>
      <c r="K23" s="2">
        <f t="shared" ca="1" si="3"/>
        <v>34.445989545362565</v>
      </c>
      <c r="L23" s="2">
        <f t="shared" ca="1" si="3"/>
        <v>25.272327247795786</v>
      </c>
      <c r="M23" s="2">
        <f t="shared" ca="1" si="3"/>
        <v>34.465277195430374</v>
      </c>
      <c r="N23" s="2">
        <f t="shared" ca="1" si="3"/>
        <v>26.001960882215997</v>
      </c>
      <c r="O23" s="2">
        <f t="shared" ca="1" si="3"/>
        <v>32.909057447514726</v>
      </c>
      <c r="P23" s="2">
        <f t="shared" ca="1" si="3"/>
        <v>29.274148282115249</v>
      </c>
      <c r="Q23" s="2">
        <f t="shared" ca="1" si="3"/>
        <v>26.270976264218703</v>
      </c>
      <c r="R23" s="2">
        <f t="shared" ca="1" si="3"/>
        <v>28.515567894726615</v>
      </c>
      <c r="S23" s="2">
        <f t="shared" ca="1" si="4"/>
        <v>32.002497536127017</v>
      </c>
      <c r="T23" s="2">
        <f t="shared" ca="1" si="4"/>
        <v>34.117222721392373</v>
      </c>
      <c r="U23" s="2">
        <f t="shared" ca="1" si="4"/>
        <v>32.682257295095233</v>
      </c>
      <c r="V23" s="2">
        <f t="shared" ca="1" si="4"/>
        <v>31.314086301911086</v>
      </c>
      <c r="W23" s="2">
        <f t="shared" ca="1" si="4"/>
        <v>25.672920098861859</v>
      </c>
      <c r="X23" s="2">
        <f t="shared" ca="1" si="4"/>
        <v>34.174125699088734</v>
      </c>
      <c r="Y23" s="2">
        <f t="shared" ca="1" si="4"/>
        <v>30.745395140630272</v>
      </c>
      <c r="Z23" s="2">
        <f t="shared" ca="1" si="4"/>
        <v>25.494880699932658</v>
      </c>
      <c r="AA23" s="2">
        <f t="shared" ca="1" si="5"/>
        <v>31.203402055072992</v>
      </c>
      <c r="AB23" s="2">
        <f t="shared" ca="1" si="5"/>
        <v>34.570240900324414</v>
      </c>
      <c r="AC23" s="2">
        <f t="shared" ca="1" si="5"/>
        <v>26.117088353195328</v>
      </c>
      <c r="AD23" s="2">
        <f t="shared" ca="1" si="5"/>
        <v>25.643647449000699</v>
      </c>
      <c r="AE23" s="2">
        <f t="shared" ca="1" si="5"/>
        <v>33.520281204576911</v>
      </c>
      <c r="AF23" s="2">
        <f t="shared" ca="1" si="5"/>
        <v>31.789935399641355</v>
      </c>
      <c r="AG23" s="2">
        <f t="shared" ca="1" si="5"/>
        <v>26.429057029489659</v>
      </c>
      <c r="AH23" s="2">
        <f t="shared" ca="1" si="5"/>
        <v>33.281344054720307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26.907579673280637</v>
      </c>
      <c r="D24" s="2">
        <f t="shared" ca="1" si="3"/>
        <v>28.833604373225601</v>
      </c>
      <c r="E24" s="2">
        <f t="shared" ca="1" si="3"/>
        <v>26.536563006843821</v>
      </c>
      <c r="F24" s="2">
        <f t="shared" ca="1" si="3"/>
        <v>28.045766716169076</v>
      </c>
      <c r="G24" s="2">
        <f t="shared" ca="1" si="3"/>
        <v>34.413408128518327</v>
      </c>
      <c r="H24" s="2">
        <f t="shared" ca="1" si="3"/>
        <v>26.037056088446363</v>
      </c>
      <c r="I24" s="2">
        <f t="shared" ca="1" si="3"/>
        <v>25.349280648668156</v>
      </c>
      <c r="J24" s="2">
        <f t="shared" ca="1" si="3"/>
        <v>31.537780789927435</v>
      </c>
      <c r="K24" s="2">
        <f t="shared" ca="1" si="3"/>
        <v>26.680067720919624</v>
      </c>
      <c r="L24" s="2">
        <f t="shared" ca="1" si="3"/>
        <v>32.18438766510387</v>
      </c>
      <c r="M24" s="2">
        <f t="shared" ca="1" si="3"/>
        <v>34.617298469907738</v>
      </c>
      <c r="N24" s="2">
        <f t="shared" ca="1" si="3"/>
        <v>29.977690804112818</v>
      </c>
      <c r="O24" s="2">
        <f t="shared" ca="1" si="3"/>
        <v>33.132113761302051</v>
      </c>
      <c r="P24" s="2">
        <f t="shared" ca="1" si="3"/>
        <v>32.099936239173843</v>
      </c>
      <c r="Q24" s="2">
        <f t="shared" ca="1" si="3"/>
        <v>25.42878566427067</v>
      </c>
      <c r="R24" s="2">
        <f t="shared" ca="1" si="3"/>
        <v>34.607226525353518</v>
      </c>
      <c r="S24" s="2">
        <f t="shared" ca="1" si="4"/>
        <v>33.735640384015262</v>
      </c>
      <c r="T24" s="2">
        <f t="shared" ca="1" si="4"/>
        <v>30.170190378081145</v>
      </c>
      <c r="U24" s="2">
        <f t="shared" ca="1" si="4"/>
        <v>27.281390340549265</v>
      </c>
      <c r="V24" s="2">
        <f t="shared" ca="1" si="4"/>
        <v>27.583080106135718</v>
      </c>
      <c r="W24" s="2">
        <f t="shared" ca="1" si="4"/>
        <v>29.197416801750123</v>
      </c>
      <c r="X24" s="2">
        <f t="shared" ca="1" si="4"/>
        <v>26.061894781714997</v>
      </c>
      <c r="Y24" s="2">
        <f t="shared" ca="1" si="4"/>
        <v>28.2446937661365</v>
      </c>
      <c r="Z24" s="2">
        <f t="shared" ca="1" si="4"/>
        <v>27.373000603288453</v>
      </c>
      <c r="AA24" s="2">
        <f t="shared" ca="1" si="5"/>
        <v>31.990923962702098</v>
      </c>
      <c r="AB24" s="2">
        <f t="shared" ca="1" si="5"/>
        <v>26.537490863710786</v>
      </c>
      <c r="AC24" s="2">
        <f t="shared" ca="1" si="5"/>
        <v>33.696990934672336</v>
      </c>
      <c r="AD24" s="2">
        <f t="shared" ca="1" si="5"/>
        <v>30.499236815519772</v>
      </c>
      <c r="AE24" s="2">
        <f t="shared" ca="1" si="5"/>
        <v>28.260815128809213</v>
      </c>
      <c r="AF24" s="2">
        <f t="shared" ca="1" si="5"/>
        <v>34.157379862803865</v>
      </c>
      <c r="AG24" s="2">
        <f t="shared" ca="1" si="5"/>
        <v>32.628089449150089</v>
      </c>
      <c r="AH24" s="2">
        <f t="shared" ca="1" si="5"/>
        <v>34.150164430948678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28.445530034780944</v>
      </c>
      <c r="D25" s="2">
        <f t="shared" ca="1" si="3"/>
        <v>33.651495644487497</v>
      </c>
      <c r="E25" s="2">
        <f t="shared" ca="1" si="3"/>
        <v>31.441044810926204</v>
      </c>
      <c r="F25" s="2">
        <f t="shared" ca="1" si="3"/>
        <v>32.067201132312022</v>
      </c>
      <c r="G25" s="2">
        <f t="shared" ca="1" si="3"/>
        <v>30.041746543100885</v>
      </c>
      <c r="H25" s="2">
        <f t="shared" ca="1" si="3"/>
        <v>28.223143299546113</v>
      </c>
      <c r="I25" s="2">
        <f t="shared" ca="1" si="3"/>
        <v>30.96702361050637</v>
      </c>
      <c r="J25" s="2">
        <f t="shared" ca="1" si="3"/>
        <v>26.771528497438606</v>
      </c>
      <c r="K25" s="2">
        <f t="shared" ca="1" si="3"/>
        <v>25.155706068771067</v>
      </c>
      <c r="L25" s="2">
        <f t="shared" ca="1" si="3"/>
        <v>27.536686356257572</v>
      </c>
      <c r="M25" s="2">
        <f t="shared" ca="1" si="3"/>
        <v>30.818982281765397</v>
      </c>
      <c r="N25" s="2">
        <f t="shared" ca="1" si="3"/>
        <v>33.690064979810344</v>
      </c>
      <c r="O25" s="2">
        <f t="shared" ca="1" si="3"/>
        <v>34.738356818021131</v>
      </c>
      <c r="P25" s="2">
        <f t="shared" ca="1" si="3"/>
        <v>33.081896600579718</v>
      </c>
      <c r="Q25" s="2">
        <f t="shared" ca="1" si="3"/>
        <v>26.691782410296156</v>
      </c>
      <c r="R25" s="2">
        <f t="shared" ca="1" si="3"/>
        <v>31.191295842664218</v>
      </c>
      <c r="S25" s="2">
        <f t="shared" ca="1" si="4"/>
        <v>29.071392718336249</v>
      </c>
      <c r="T25" s="2">
        <f t="shared" ca="1" si="4"/>
        <v>32.062487776485241</v>
      </c>
      <c r="U25" s="2">
        <f t="shared" ca="1" si="4"/>
        <v>32.785873118203128</v>
      </c>
      <c r="V25" s="2">
        <f t="shared" ca="1" si="4"/>
        <v>30.902293033932338</v>
      </c>
      <c r="W25" s="2">
        <f t="shared" ca="1" si="4"/>
        <v>25.788504329513778</v>
      </c>
      <c r="X25" s="2">
        <f t="shared" ca="1" si="4"/>
        <v>25.328608770008895</v>
      </c>
      <c r="Y25" s="2">
        <f t="shared" ca="1" si="4"/>
        <v>31.487378706996711</v>
      </c>
      <c r="Z25" s="2">
        <f t="shared" ca="1" si="4"/>
        <v>32.698922747671531</v>
      </c>
      <c r="AA25" s="2">
        <f t="shared" ca="1" si="5"/>
        <v>34.004012269803724</v>
      </c>
      <c r="AB25" s="2">
        <f t="shared" ca="1" si="5"/>
        <v>25.226487160136099</v>
      </c>
      <c r="AC25" s="2">
        <f t="shared" ca="1" si="5"/>
        <v>31.286935601691553</v>
      </c>
      <c r="AD25" s="2">
        <f t="shared" ca="1" si="5"/>
        <v>30.788069527273713</v>
      </c>
      <c r="AE25" s="2">
        <f t="shared" ca="1" si="5"/>
        <v>33.420779762151994</v>
      </c>
      <c r="AF25" s="2">
        <f t="shared" ca="1" si="5"/>
        <v>26.586280030224287</v>
      </c>
      <c r="AG25" s="2">
        <f t="shared" ca="1" si="5"/>
        <v>29.848041490914412</v>
      </c>
      <c r="AH25" s="2">
        <f t="shared" ca="1" si="5"/>
        <v>31.786773060207398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29.952229577953528</v>
      </c>
      <c r="D26" s="2">
        <f t="shared" ca="1" si="3"/>
        <v>34.821161137492879</v>
      </c>
      <c r="E26" s="2">
        <f t="shared" ca="1" si="3"/>
        <v>31.527748314309513</v>
      </c>
      <c r="F26" s="2">
        <f t="shared" ca="1" si="3"/>
        <v>32.050150605755697</v>
      </c>
      <c r="G26" s="2">
        <f t="shared" ca="1" si="3"/>
        <v>28.475244699924982</v>
      </c>
      <c r="H26" s="2">
        <f t="shared" ca="1" si="3"/>
        <v>25.673364836609423</v>
      </c>
      <c r="I26" s="2">
        <f t="shared" ca="1" si="3"/>
        <v>26.967678286871134</v>
      </c>
      <c r="J26" s="2">
        <f t="shared" ca="1" si="3"/>
        <v>27.766528841867274</v>
      </c>
      <c r="K26" s="2">
        <f t="shared" ca="1" si="3"/>
        <v>27.274378876041986</v>
      </c>
      <c r="L26" s="2">
        <f t="shared" ca="1" si="3"/>
        <v>28.562010967483481</v>
      </c>
      <c r="M26" s="2">
        <f t="shared" ca="1" si="3"/>
        <v>34.862182684364484</v>
      </c>
      <c r="N26" s="2">
        <f t="shared" ca="1" si="3"/>
        <v>29.126302655427718</v>
      </c>
      <c r="O26" s="2">
        <f t="shared" ca="1" si="3"/>
        <v>27.517179419255868</v>
      </c>
      <c r="P26" s="2">
        <f t="shared" ca="1" si="3"/>
        <v>33.161024582207979</v>
      </c>
      <c r="Q26" s="2">
        <f t="shared" ca="1" si="3"/>
        <v>26.327738817901366</v>
      </c>
      <c r="R26" s="2">
        <f t="shared" ca="1" si="3"/>
        <v>32.265122427002268</v>
      </c>
      <c r="S26" s="2">
        <f t="shared" ca="1" si="4"/>
        <v>33.73660123286713</v>
      </c>
      <c r="T26" s="2">
        <f t="shared" ca="1" si="4"/>
        <v>28.332762856976686</v>
      </c>
      <c r="U26" s="2">
        <f t="shared" ca="1" si="4"/>
        <v>30.8324655231519</v>
      </c>
      <c r="V26" s="2">
        <f t="shared" ca="1" si="4"/>
        <v>34.170699485855579</v>
      </c>
      <c r="W26" s="2">
        <f t="shared" ca="1" si="4"/>
        <v>26.768206710893413</v>
      </c>
      <c r="X26" s="2">
        <f t="shared" ca="1" si="4"/>
        <v>26.149131586647812</v>
      </c>
      <c r="Y26" s="2">
        <f t="shared" ca="1" si="4"/>
        <v>27.920526139305522</v>
      </c>
      <c r="Z26" s="2">
        <f t="shared" ca="1" si="4"/>
        <v>34.474132162482007</v>
      </c>
      <c r="AA26" s="2">
        <f t="shared" ca="1" si="5"/>
        <v>32.399951430224007</v>
      </c>
      <c r="AB26" s="2">
        <f t="shared" ca="1" si="5"/>
        <v>28.820092781031125</v>
      </c>
      <c r="AC26" s="2">
        <f t="shared" ca="1" si="5"/>
        <v>33.242981555727184</v>
      </c>
      <c r="AD26" s="2">
        <f t="shared" ca="1" si="5"/>
        <v>32.638982865898257</v>
      </c>
      <c r="AE26" s="2">
        <f t="shared" ca="1" si="5"/>
        <v>32.146642987641634</v>
      </c>
      <c r="AF26" s="2">
        <f t="shared" ca="1" si="5"/>
        <v>31.74577940135201</v>
      </c>
      <c r="AG26" s="2">
        <f t="shared" ca="1" si="5"/>
        <v>34.115775932363555</v>
      </c>
      <c r="AH26" s="2">
        <f t="shared" ca="1" si="5"/>
        <v>34.636584318030472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29.524534122012337</v>
      </c>
      <c r="D27" s="2">
        <f t="shared" ca="1" si="3"/>
        <v>33.6241149892778</v>
      </c>
      <c r="E27" s="2">
        <f t="shared" ca="1" si="3"/>
        <v>29.415812093500744</v>
      </c>
      <c r="F27" s="2">
        <f t="shared" ca="1" si="3"/>
        <v>29.72949187109565</v>
      </c>
      <c r="G27" s="2">
        <f t="shared" ca="1" si="3"/>
        <v>33.305833663970411</v>
      </c>
      <c r="H27" s="2">
        <f t="shared" ca="1" si="3"/>
        <v>25.886534835723857</v>
      </c>
      <c r="I27" s="2">
        <f t="shared" ca="1" si="3"/>
        <v>26.63018361429268</v>
      </c>
      <c r="J27" s="2">
        <f t="shared" ref="J27:Y68" ca="1" si="8">(RAND()*1+2.5)*10</f>
        <v>31.575884962178957</v>
      </c>
      <c r="K27" s="2">
        <f t="shared" ca="1" si="8"/>
        <v>29.463999022997758</v>
      </c>
      <c r="L27" s="2">
        <f t="shared" ca="1" si="8"/>
        <v>29.727517107300542</v>
      </c>
      <c r="M27" s="2">
        <f t="shared" ca="1" si="8"/>
        <v>28.028679122754415</v>
      </c>
      <c r="N27" s="2">
        <f t="shared" ca="1" si="8"/>
        <v>34.401417525898012</v>
      </c>
      <c r="O27" s="2">
        <f t="shared" ca="1" si="8"/>
        <v>28.58208930383087</v>
      </c>
      <c r="P27" s="2">
        <f t="shared" ca="1" si="8"/>
        <v>25.336750298605665</v>
      </c>
      <c r="Q27" s="2">
        <f t="shared" ca="1" si="8"/>
        <v>32.977993198002423</v>
      </c>
      <c r="R27" s="2">
        <f t="shared" ca="1" si="8"/>
        <v>29.410474123364281</v>
      </c>
      <c r="S27" s="2">
        <f t="shared" ca="1" si="8"/>
        <v>34.916078609262364</v>
      </c>
      <c r="T27" s="2">
        <f t="shared" ca="1" si="8"/>
        <v>28.336372546071583</v>
      </c>
      <c r="U27" s="2">
        <f t="shared" ca="1" si="8"/>
        <v>34.629267920527589</v>
      </c>
      <c r="V27" s="2">
        <f t="shared" ca="1" si="8"/>
        <v>33.730326745347121</v>
      </c>
      <c r="W27" s="2">
        <f t="shared" ca="1" si="8"/>
        <v>31.89505662689454</v>
      </c>
      <c r="X27" s="2">
        <f t="shared" ca="1" si="8"/>
        <v>25.741800650951738</v>
      </c>
      <c r="Y27" s="2">
        <f t="shared" ca="1" si="8"/>
        <v>33.401490720952488</v>
      </c>
      <c r="Z27" s="2">
        <f t="shared" ca="1" si="4"/>
        <v>33.4046264329046</v>
      </c>
      <c r="AA27" s="2">
        <f t="shared" ca="1" si="5"/>
        <v>31.470909934386043</v>
      </c>
      <c r="AB27" s="2">
        <f t="shared" ca="1" si="5"/>
        <v>28.745262984320881</v>
      </c>
      <c r="AC27" s="2">
        <f t="shared" ca="1" si="5"/>
        <v>32.841793210566777</v>
      </c>
      <c r="AD27" s="2">
        <f t="shared" ca="1" si="5"/>
        <v>27.810363595182451</v>
      </c>
      <c r="AE27" s="2">
        <f t="shared" ca="1" si="5"/>
        <v>34.435410132523913</v>
      </c>
      <c r="AF27" s="2">
        <f t="shared" ca="1" si="5"/>
        <v>26.874317447891244</v>
      </c>
      <c r="AG27" s="2">
        <f t="shared" ca="1" si="5"/>
        <v>25.612325199187485</v>
      </c>
      <c r="AH27" s="2">
        <f t="shared" ca="1" si="5"/>
        <v>25.730332117654811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68" ca="1" si="9">(RAND()*1+2.5)*10</f>
        <v>30.646143155425673</v>
      </c>
      <c r="D28" s="2">
        <f t="shared" ca="1" si="9"/>
        <v>34.259321069186832</v>
      </c>
      <c r="E28" s="2">
        <f t="shared" ca="1" si="9"/>
        <v>32.551768694035111</v>
      </c>
      <c r="F28" s="2">
        <f t="shared" ca="1" si="9"/>
        <v>26.777227026089999</v>
      </c>
      <c r="G28" s="2">
        <f t="shared" ca="1" si="9"/>
        <v>33.071114784005864</v>
      </c>
      <c r="H28" s="2">
        <f t="shared" ca="1" si="9"/>
        <v>27.434463467106603</v>
      </c>
      <c r="I28" s="2">
        <f t="shared" ca="1" si="9"/>
        <v>29.833400938865438</v>
      </c>
      <c r="J28" s="2">
        <f t="shared" ca="1" si="9"/>
        <v>30.842478414371222</v>
      </c>
      <c r="K28" s="2">
        <f t="shared" ca="1" si="9"/>
        <v>33.972162439347009</v>
      </c>
      <c r="L28" s="2">
        <f t="shared" ca="1" si="9"/>
        <v>34.915640298375671</v>
      </c>
      <c r="M28" s="2">
        <f t="shared" ca="1" si="9"/>
        <v>34.517629847647882</v>
      </c>
      <c r="N28" s="2">
        <f t="shared" ca="1" si="9"/>
        <v>33.237557201419307</v>
      </c>
      <c r="O28" s="2">
        <f t="shared" ca="1" si="9"/>
        <v>29.899382004710574</v>
      </c>
      <c r="P28" s="2">
        <f t="shared" ca="1" si="9"/>
        <v>30.261665877905457</v>
      </c>
      <c r="Q28" s="2">
        <f t="shared" ca="1" si="9"/>
        <v>34.991210899274165</v>
      </c>
      <c r="R28" s="2">
        <f t="shared" ca="1" si="9"/>
        <v>30.805886121572396</v>
      </c>
      <c r="S28" s="2">
        <f t="shared" ca="1" si="8"/>
        <v>33.372320670575363</v>
      </c>
      <c r="T28" s="2">
        <f t="shared" ca="1" si="8"/>
        <v>29.592719331441344</v>
      </c>
      <c r="U28" s="2">
        <f t="shared" ca="1" si="8"/>
        <v>33.692362823838195</v>
      </c>
      <c r="V28" s="2">
        <f t="shared" ca="1" si="8"/>
        <v>25.419047010558504</v>
      </c>
      <c r="W28" s="2">
        <f t="shared" ca="1" si="8"/>
        <v>30.805561128727291</v>
      </c>
      <c r="X28" s="2">
        <f t="shared" ca="1" si="8"/>
        <v>30.351651155120216</v>
      </c>
      <c r="Y28" s="2">
        <f t="shared" ca="1" si="8"/>
        <v>31.345590480826665</v>
      </c>
      <c r="Z28" s="2">
        <f t="shared" ca="1" si="4"/>
        <v>34.853098581880388</v>
      </c>
      <c r="AA28" s="2">
        <f t="shared" ca="1" si="5"/>
        <v>25.468902047969344</v>
      </c>
      <c r="AB28" s="2">
        <f t="shared" ca="1" si="5"/>
        <v>29.984017676334144</v>
      </c>
      <c r="AC28" s="2">
        <f t="shared" ca="1" si="5"/>
        <v>25.159003520566301</v>
      </c>
      <c r="AD28" s="2">
        <f t="shared" ca="1" si="5"/>
        <v>25.101542964063466</v>
      </c>
      <c r="AE28" s="2">
        <f t="shared" ca="1" si="5"/>
        <v>26.045866106298298</v>
      </c>
      <c r="AF28" s="2">
        <f t="shared" ca="1" si="5"/>
        <v>28.397798370190905</v>
      </c>
      <c r="AG28" s="2">
        <f t="shared" ca="1" si="5"/>
        <v>28.8736270402168</v>
      </c>
      <c r="AH28" s="2">
        <f t="shared" ca="1" si="5"/>
        <v>31.370838240515834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30.180633748960183</v>
      </c>
      <c r="D29" s="2">
        <f t="shared" ca="1" si="9"/>
        <v>30.937974366309277</v>
      </c>
      <c r="E29" s="2">
        <f t="shared" ca="1" si="9"/>
        <v>34.883854840435461</v>
      </c>
      <c r="F29" s="2">
        <f t="shared" ca="1" si="9"/>
        <v>25.620839372972291</v>
      </c>
      <c r="G29" s="2">
        <f t="shared" ca="1" si="9"/>
        <v>28.734055295342014</v>
      </c>
      <c r="H29" s="2">
        <f t="shared" ca="1" si="9"/>
        <v>33.655886093869881</v>
      </c>
      <c r="I29" s="2">
        <f t="shared" ca="1" si="9"/>
        <v>33.558444980269478</v>
      </c>
      <c r="J29" s="2">
        <f t="shared" ca="1" si="9"/>
        <v>32.055166264819739</v>
      </c>
      <c r="K29" s="2">
        <f t="shared" ca="1" si="9"/>
        <v>26.475103517932492</v>
      </c>
      <c r="L29" s="2">
        <f t="shared" ca="1" si="9"/>
        <v>30.343995433185409</v>
      </c>
      <c r="M29" s="2">
        <f t="shared" ca="1" si="9"/>
        <v>32.162285138464803</v>
      </c>
      <c r="N29" s="2">
        <f t="shared" ca="1" si="9"/>
        <v>25.85065730372844</v>
      </c>
      <c r="O29" s="2">
        <f t="shared" ca="1" si="9"/>
        <v>27.245440867105373</v>
      </c>
      <c r="P29" s="2">
        <f t="shared" ca="1" si="9"/>
        <v>25.309776511662037</v>
      </c>
      <c r="Q29" s="2">
        <f t="shared" ca="1" si="9"/>
        <v>25.752609307781398</v>
      </c>
      <c r="R29" s="2">
        <f t="shared" ca="1" si="9"/>
        <v>33.377166432128405</v>
      </c>
      <c r="S29" s="2">
        <f t="shared" ca="1" si="8"/>
        <v>32.064350264552587</v>
      </c>
      <c r="T29" s="2">
        <f t="shared" ca="1" si="8"/>
        <v>26.419586580040292</v>
      </c>
      <c r="U29" s="2">
        <f t="shared" ca="1" si="8"/>
        <v>30.873971384415285</v>
      </c>
      <c r="V29" s="2">
        <f t="shared" ca="1" si="8"/>
        <v>33.670040271543975</v>
      </c>
      <c r="W29" s="2">
        <f t="shared" ca="1" si="8"/>
        <v>30.341262283286142</v>
      </c>
      <c r="X29" s="2">
        <f t="shared" ca="1" si="8"/>
        <v>27.022927269835186</v>
      </c>
      <c r="Y29" s="2">
        <f t="shared" ca="1" si="8"/>
        <v>26.477861723734719</v>
      </c>
      <c r="Z29" s="2">
        <f t="shared" ca="1" si="4"/>
        <v>27.929664695918088</v>
      </c>
      <c r="AA29" s="2">
        <f t="shared" ca="1" si="5"/>
        <v>33.190256548223388</v>
      </c>
      <c r="AB29" s="2">
        <f t="shared" ca="1" si="5"/>
        <v>28.829999647296386</v>
      </c>
      <c r="AC29" s="2">
        <f t="shared" ca="1" si="5"/>
        <v>33.665635933470902</v>
      </c>
      <c r="AD29" s="2">
        <f t="shared" ca="1" si="5"/>
        <v>26.535653951350593</v>
      </c>
      <c r="AE29" s="2">
        <f t="shared" ca="1" si="5"/>
        <v>27.334397860501074</v>
      </c>
      <c r="AF29" s="2">
        <f t="shared" ca="1" si="5"/>
        <v>27.828916198440588</v>
      </c>
      <c r="AG29" s="2">
        <f t="shared" ca="1" si="5"/>
        <v>32.632816173974398</v>
      </c>
      <c r="AH29" s="2">
        <f t="shared" ca="1" si="5"/>
        <v>29.997845321098289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33.319571606588681</v>
      </c>
      <c r="D30" s="2">
        <f t="shared" ca="1" si="9"/>
        <v>31.838088629319444</v>
      </c>
      <c r="E30" s="2">
        <f t="shared" ca="1" si="9"/>
        <v>27.887746476683148</v>
      </c>
      <c r="F30" s="2">
        <f t="shared" ca="1" si="9"/>
        <v>33.086554462488699</v>
      </c>
      <c r="G30" s="2">
        <f t="shared" ca="1" si="9"/>
        <v>26.957954973496399</v>
      </c>
      <c r="H30" s="2">
        <f t="shared" ca="1" si="9"/>
        <v>26.300509937118829</v>
      </c>
      <c r="I30" s="2">
        <f t="shared" ca="1" si="9"/>
        <v>27.528715407759037</v>
      </c>
      <c r="J30" s="2">
        <f t="shared" ca="1" si="9"/>
        <v>31.996165588049969</v>
      </c>
      <c r="K30" s="2">
        <f t="shared" ca="1" si="9"/>
        <v>29.534092196842376</v>
      </c>
      <c r="L30" s="2">
        <f t="shared" ca="1" si="9"/>
        <v>27.052980254746302</v>
      </c>
      <c r="M30" s="2">
        <f t="shared" ca="1" si="9"/>
        <v>31.848574487746632</v>
      </c>
      <c r="N30" s="2">
        <f t="shared" ca="1" si="9"/>
        <v>32.033502593760353</v>
      </c>
      <c r="O30" s="2">
        <f t="shared" ca="1" si="9"/>
        <v>28.20665811416599</v>
      </c>
      <c r="P30" s="2">
        <f t="shared" ca="1" si="9"/>
        <v>26.531840177309817</v>
      </c>
      <c r="Q30" s="2">
        <f t="shared" ca="1" si="9"/>
        <v>26.156873354695513</v>
      </c>
      <c r="R30" s="2">
        <f t="shared" ca="1" si="9"/>
        <v>27.564689444717448</v>
      </c>
      <c r="S30" s="2">
        <f t="shared" ca="1" si="8"/>
        <v>32.479379890820077</v>
      </c>
      <c r="T30" s="2">
        <f t="shared" ca="1" si="8"/>
        <v>27.211350372235607</v>
      </c>
      <c r="U30" s="2">
        <f t="shared" ca="1" si="8"/>
        <v>25.044976793707455</v>
      </c>
      <c r="V30" s="2">
        <f t="shared" ca="1" si="8"/>
        <v>34.475140200686852</v>
      </c>
      <c r="W30" s="2">
        <f t="shared" ca="1" si="8"/>
        <v>34.24836758598974</v>
      </c>
      <c r="X30" s="2">
        <f t="shared" ca="1" si="8"/>
        <v>33.184996159914029</v>
      </c>
      <c r="Y30" s="2">
        <f t="shared" ca="1" si="8"/>
        <v>32.191734613377349</v>
      </c>
      <c r="Z30" s="2">
        <f t="shared" ca="1" si="4"/>
        <v>29.158542868328603</v>
      </c>
      <c r="AA30" s="2">
        <f t="shared" ca="1" si="5"/>
        <v>29.190974064934672</v>
      </c>
      <c r="AB30" s="2">
        <f t="shared" ca="1" si="5"/>
        <v>33.225954422797656</v>
      </c>
      <c r="AC30" s="2">
        <f t="shared" ca="1" si="5"/>
        <v>25.017097812522774</v>
      </c>
      <c r="AD30" s="2">
        <f t="shared" ca="1" si="5"/>
        <v>27.536669219519005</v>
      </c>
      <c r="AE30" s="2">
        <f t="shared" ca="1" si="5"/>
        <v>32.929691368057831</v>
      </c>
      <c r="AF30" s="2">
        <f t="shared" ca="1" si="5"/>
        <v>26.124844609959226</v>
      </c>
      <c r="AG30" s="2">
        <f t="shared" ca="1" si="5"/>
        <v>26.594024915717746</v>
      </c>
      <c r="AH30" s="2">
        <f t="shared" ca="1" si="5"/>
        <v>27.195993859917927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27.059182667994868</v>
      </c>
      <c r="D31" s="2">
        <f t="shared" ca="1" si="9"/>
        <v>26.607264589236475</v>
      </c>
      <c r="E31" s="2">
        <f t="shared" ca="1" si="9"/>
        <v>25.692690868358028</v>
      </c>
      <c r="F31" s="2">
        <f t="shared" ca="1" si="9"/>
        <v>33.977919154816156</v>
      </c>
      <c r="G31" s="2">
        <f t="shared" ca="1" si="9"/>
        <v>32.453219186205729</v>
      </c>
      <c r="H31" s="2">
        <f t="shared" ca="1" si="9"/>
        <v>28.663253463088267</v>
      </c>
      <c r="I31" s="2">
        <f t="shared" ca="1" si="9"/>
        <v>33.372379599208116</v>
      </c>
      <c r="J31" s="2">
        <f t="shared" ca="1" si="9"/>
        <v>31.430882467775309</v>
      </c>
      <c r="K31" s="2">
        <f t="shared" ca="1" si="9"/>
        <v>31.150411121396342</v>
      </c>
      <c r="L31" s="2">
        <f t="shared" ca="1" si="9"/>
        <v>31.788468220608465</v>
      </c>
      <c r="M31" s="2">
        <f t="shared" ca="1" si="9"/>
        <v>33.103934823272127</v>
      </c>
      <c r="N31" s="2">
        <f t="shared" ca="1" si="9"/>
        <v>28.689197422070414</v>
      </c>
      <c r="O31" s="2">
        <f t="shared" ca="1" si="9"/>
        <v>26.522097845133452</v>
      </c>
      <c r="P31" s="2">
        <f t="shared" ca="1" si="9"/>
        <v>25.545770334686523</v>
      </c>
      <c r="Q31" s="2">
        <f t="shared" ca="1" si="9"/>
        <v>28.307698999843247</v>
      </c>
      <c r="R31" s="2">
        <f t="shared" ca="1" si="9"/>
        <v>26.887574212568946</v>
      </c>
      <c r="S31" s="2">
        <f t="shared" ca="1" si="8"/>
        <v>26.583954542384692</v>
      </c>
      <c r="T31" s="2">
        <f t="shared" ca="1" si="8"/>
        <v>31.702060828707666</v>
      </c>
      <c r="U31" s="2">
        <f t="shared" ca="1" si="8"/>
        <v>31.77999901380662</v>
      </c>
      <c r="V31" s="2">
        <f t="shared" ca="1" si="8"/>
        <v>30.628239224244535</v>
      </c>
      <c r="W31" s="2">
        <f t="shared" ca="1" si="8"/>
        <v>25.808420175812881</v>
      </c>
      <c r="X31" s="2">
        <f t="shared" ca="1" si="8"/>
        <v>33.899978104383884</v>
      </c>
      <c r="Y31" s="2">
        <f t="shared" ca="1" si="8"/>
        <v>26.285183083818396</v>
      </c>
      <c r="Z31" s="2">
        <f t="shared" ca="1" si="4"/>
        <v>34.027527712751784</v>
      </c>
      <c r="AA31" s="2">
        <f t="shared" ca="1" si="5"/>
        <v>27.640536885121868</v>
      </c>
      <c r="AB31" s="2">
        <f t="shared" ca="1" si="5"/>
        <v>32.257517319480009</v>
      </c>
      <c r="AC31" s="2">
        <f t="shared" ca="1" si="5"/>
        <v>30.326852732419436</v>
      </c>
      <c r="AD31" s="2">
        <f t="shared" ca="1" si="5"/>
        <v>31.775108130619401</v>
      </c>
      <c r="AE31" s="2">
        <f t="shared" ca="1" si="5"/>
        <v>33.966780929883804</v>
      </c>
      <c r="AF31" s="2">
        <f t="shared" ca="1" si="5"/>
        <v>30.703679546679975</v>
      </c>
      <c r="AG31" s="2">
        <f t="shared" ca="1" si="5"/>
        <v>31.931691385214172</v>
      </c>
      <c r="AH31" s="2">
        <f t="shared" ca="1" si="5"/>
        <v>30.551345076536954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28.054529911972772</v>
      </c>
      <c r="D32" s="2">
        <f t="shared" ca="1" si="9"/>
        <v>28.760084801121405</v>
      </c>
      <c r="E32" s="2">
        <f t="shared" ca="1" si="9"/>
        <v>31.616445052668276</v>
      </c>
      <c r="F32" s="2">
        <f t="shared" ca="1" si="9"/>
        <v>27.139527686409686</v>
      </c>
      <c r="G32" s="2">
        <f t="shared" ca="1" si="9"/>
        <v>25.839235029619516</v>
      </c>
      <c r="H32" s="2">
        <f t="shared" ca="1" si="9"/>
        <v>30.006757436266284</v>
      </c>
      <c r="I32" s="2">
        <f t="shared" ca="1" si="9"/>
        <v>25.088964440084855</v>
      </c>
      <c r="J32" s="2">
        <f t="shared" ca="1" si="9"/>
        <v>25.457082131062563</v>
      </c>
      <c r="K32" s="2">
        <f t="shared" ca="1" si="9"/>
        <v>27.561881474665032</v>
      </c>
      <c r="L32" s="2">
        <f t="shared" ca="1" si="9"/>
        <v>30.413228454582057</v>
      </c>
      <c r="M32" s="2">
        <f t="shared" ca="1" si="9"/>
        <v>28.764777544136322</v>
      </c>
      <c r="N32" s="2">
        <f t="shared" ca="1" si="9"/>
        <v>34.796513171438605</v>
      </c>
      <c r="O32" s="2">
        <f t="shared" ca="1" si="9"/>
        <v>29.138306429501739</v>
      </c>
      <c r="P32" s="2">
        <f t="shared" ca="1" si="9"/>
        <v>26.395773994569538</v>
      </c>
      <c r="Q32" s="2">
        <f t="shared" ca="1" si="9"/>
        <v>34.577857776289235</v>
      </c>
      <c r="R32" s="2">
        <f t="shared" ca="1" si="9"/>
        <v>26.0104097529764</v>
      </c>
      <c r="S32" s="2">
        <f t="shared" ca="1" si="8"/>
        <v>27.902564126521359</v>
      </c>
      <c r="T32" s="2">
        <f t="shared" ca="1" si="8"/>
        <v>29.435737421455745</v>
      </c>
      <c r="U32" s="2">
        <f t="shared" ca="1" si="8"/>
        <v>25.711955789350856</v>
      </c>
      <c r="V32" s="2">
        <f t="shared" ca="1" si="8"/>
        <v>34.718696636440065</v>
      </c>
      <c r="W32" s="2">
        <f t="shared" ca="1" si="8"/>
        <v>29.550648781694477</v>
      </c>
      <c r="X32" s="2">
        <f t="shared" ca="1" si="8"/>
        <v>32.018547661292502</v>
      </c>
      <c r="Y32" s="2">
        <f t="shared" ca="1" si="8"/>
        <v>27.53753049339393</v>
      </c>
      <c r="Z32" s="2">
        <f t="shared" ca="1" si="4"/>
        <v>34.515792796696473</v>
      </c>
      <c r="AA32" s="2">
        <f t="shared" ca="1" si="5"/>
        <v>27.492700655954586</v>
      </c>
      <c r="AB32" s="2">
        <f t="shared" ca="1" si="5"/>
        <v>32.745444767492003</v>
      </c>
      <c r="AC32" s="2">
        <f t="shared" ca="1" si="5"/>
        <v>28.721555831707878</v>
      </c>
      <c r="AD32" s="2">
        <f t="shared" ca="1" si="5"/>
        <v>27.202819360792322</v>
      </c>
      <c r="AE32" s="2">
        <f t="shared" ca="1" si="5"/>
        <v>32.990200777026054</v>
      </c>
      <c r="AF32" s="2">
        <f t="shared" ca="1" si="5"/>
        <v>25.408748795816184</v>
      </c>
      <c r="AG32" s="2">
        <f t="shared" ca="1" si="5"/>
        <v>25.2838474693501</v>
      </c>
      <c r="AH32" s="2">
        <f t="shared" ca="1" si="5"/>
        <v>30.188113367695181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28.901615855203488</v>
      </c>
      <c r="D33" s="2">
        <f t="shared" ca="1" si="9"/>
        <v>34.607709332497528</v>
      </c>
      <c r="E33" s="2">
        <f t="shared" ca="1" si="9"/>
        <v>25.231295729137976</v>
      </c>
      <c r="F33" s="2">
        <f t="shared" ca="1" si="9"/>
        <v>28.819522117257911</v>
      </c>
      <c r="G33" s="2">
        <f t="shared" ca="1" si="9"/>
        <v>28.252090185490005</v>
      </c>
      <c r="H33" s="2">
        <f t="shared" ca="1" si="9"/>
        <v>34.899290660932209</v>
      </c>
      <c r="I33" s="2">
        <f t="shared" ca="1" si="9"/>
        <v>31.941125982957786</v>
      </c>
      <c r="J33" s="2">
        <f t="shared" ca="1" si="9"/>
        <v>32.08421661003208</v>
      </c>
      <c r="K33" s="2">
        <f t="shared" ca="1" si="9"/>
        <v>33.6346368164929</v>
      </c>
      <c r="L33" s="2">
        <f t="shared" ca="1" si="9"/>
        <v>25.326925759415609</v>
      </c>
      <c r="M33" s="2">
        <f t="shared" ca="1" si="9"/>
        <v>28.818715501540161</v>
      </c>
      <c r="N33" s="2">
        <f t="shared" ca="1" si="9"/>
        <v>33.952488539829957</v>
      </c>
      <c r="O33" s="2">
        <f t="shared" ca="1" si="9"/>
        <v>29.580252911307142</v>
      </c>
      <c r="P33" s="2">
        <f t="shared" ca="1" si="9"/>
        <v>25.564471355977183</v>
      </c>
      <c r="Q33" s="2">
        <f t="shared" ca="1" si="9"/>
        <v>30.494514737152425</v>
      </c>
      <c r="R33" s="2">
        <f t="shared" ca="1" si="9"/>
        <v>32.459456652902979</v>
      </c>
      <c r="S33" s="2">
        <f t="shared" ca="1" si="8"/>
        <v>26.383246504045449</v>
      </c>
      <c r="T33" s="2">
        <f t="shared" ca="1" si="8"/>
        <v>28.212282137275182</v>
      </c>
      <c r="U33" s="2">
        <f t="shared" ca="1" si="8"/>
        <v>34.267203744089294</v>
      </c>
      <c r="V33" s="2">
        <f t="shared" ca="1" si="8"/>
        <v>26.702267178034042</v>
      </c>
      <c r="W33" s="2">
        <f t="shared" ca="1" si="8"/>
        <v>33.687618172723532</v>
      </c>
      <c r="X33" s="2">
        <f t="shared" ca="1" si="8"/>
        <v>28.94582466381863</v>
      </c>
      <c r="Y33" s="2">
        <f t="shared" ca="1" si="8"/>
        <v>30.124136809398777</v>
      </c>
      <c r="Z33" s="2">
        <f t="shared" ca="1" si="4"/>
        <v>25.187364931330521</v>
      </c>
      <c r="AA33" s="2">
        <f t="shared" ca="1" si="5"/>
        <v>28.151834638941928</v>
      </c>
      <c r="AB33" s="2">
        <f t="shared" ca="1" si="5"/>
        <v>26.649507264879308</v>
      </c>
      <c r="AC33" s="2">
        <f t="shared" ca="1" si="5"/>
        <v>25.678752795457687</v>
      </c>
      <c r="AD33" s="2">
        <f t="shared" ca="1" si="5"/>
        <v>32.54410189990115</v>
      </c>
      <c r="AE33" s="2">
        <f t="shared" ca="1" si="5"/>
        <v>34.651695877323625</v>
      </c>
      <c r="AF33" s="2">
        <f t="shared" ca="1" si="5"/>
        <v>33.445482290081337</v>
      </c>
      <c r="AG33" s="2">
        <f t="shared" ca="1" si="5"/>
        <v>27.402912494980889</v>
      </c>
      <c r="AH33" s="2">
        <f t="shared" ca="1" si="5"/>
        <v>33.95009234285348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33.48066500851499</v>
      </c>
      <c r="D34" s="2">
        <f t="shared" ca="1" si="9"/>
        <v>25.470056233445632</v>
      </c>
      <c r="E34" s="2">
        <f t="shared" ca="1" si="9"/>
        <v>25.763083362494463</v>
      </c>
      <c r="F34" s="2">
        <f t="shared" ca="1" si="9"/>
        <v>25.645569758874849</v>
      </c>
      <c r="G34" s="2">
        <f t="shared" ca="1" si="9"/>
        <v>34.684649482400502</v>
      </c>
      <c r="H34" s="2">
        <f t="shared" ca="1" si="9"/>
        <v>32.102564761210786</v>
      </c>
      <c r="I34" s="2">
        <f t="shared" ca="1" si="9"/>
        <v>27.30190991754241</v>
      </c>
      <c r="J34" s="2">
        <f t="shared" ca="1" si="9"/>
        <v>26.42566488686926</v>
      </c>
      <c r="K34" s="2">
        <f t="shared" ca="1" si="9"/>
        <v>32.109253643910691</v>
      </c>
      <c r="L34" s="2">
        <f t="shared" ca="1" si="9"/>
        <v>29.90522606199989</v>
      </c>
      <c r="M34" s="2">
        <f t="shared" ca="1" si="9"/>
        <v>30.080354468183003</v>
      </c>
      <c r="N34" s="2">
        <f t="shared" ca="1" si="9"/>
        <v>30.440691441096948</v>
      </c>
      <c r="O34" s="2">
        <f t="shared" ca="1" si="9"/>
        <v>25.489127224263086</v>
      </c>
      <c r="P34" s="2">
        <f t="shared" ca="1" si="9"/>
        <v>34.506676734699198</v>
      </c>
      <c r="Q34" s="2">
        <f t="shared" ca="1" si="9"/>
        <v>25.264798576931248</v>
      </c>
      <c r="R34" s="2">
        <f t="shared" ca="1" si="9"/>
        <v>26.938657553451826</v>
      </c>
      <c r="S34" s="2">
        <f t="shared" ca="1" si="8"/>
        <v>33.557425350178121</v>
      </c>
      <c r="T34" s="2">
        <f t="shared" ca="1" si="8"/>
        <v>32.466373820883064</v>
      </c>
      <c r="U34" s="2">
        <f t="shared" ca="1" si="8"/>
        <v>32.270721504055331</v>
      </c>
      <c r="V34" s="2">
        <f t="shared" ca="1" si="8"/>
        <v>30.66678206280794</v>
      </c>
      <c r="W34" s="2">
        <f t="shared" ca="1" si="8"/>
        <v>30.185451117787522</v>
      </c>
      <c r="X34" s="2">
        <f t="shared" ca="1" si="8"/>
        <v>26.216371239937928</v>
      </c>
      <c r="Y34" s="2">
        <f t="shared" ca="1" si="8"/>
        <v>34.741918085632989</v>
      </c>
      <c r="Z34" s="2">
        <f t="shared" ca="1" si="4"/>
        <v>33.251726067423022</v>
      </c>
      <c r="AA34" s="2">
        <f t="shared" ca="1" si="5"/>
        <v>28.986660440451665</v>
      </c>
      <c r="AB34" s="2">
        <f t="shared" ca="1" si="5"/>
        <v>33.957294796625703</v>
      </c>
      <c r="AC34" s="2">
        <f t="shared" ca="1" si="5"/>
        <v>25.140447827963403</v>
      </c>
      <c r="AD34" s="2">
        <f t="shared" ca="1" si="5"/>
        <v>32.814534632076963</v>
      </c>
      <c r="AE34" s="2">
        <f t="shared" ca="1" si="5"/>
        <v>34.648859582722189</v>
      </c>
      <c r="AF34" s="2">
        <f t="shared" ca="1" si="5"/>
        <v>27.911953762116831</v>
      </c>
      <c r="AG34" s="2">
        <f t="shared" ca="1" si="5"/>
        <v>33.349216406539497</v>
      </c>
      <c r="AH34" s="2">
        <f t="shared" ca="1" si="5"/>
        <v>34.009201949086297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25.217582185873667</v>
      </c>
      <c r="D35" s="2">
        <f t="shared" ca="1" si="9"/>
        <v>33.805400504001668</v>
      </c>
      <c r="E35" s="2">
        <f t="shared" ca="1" si="9"/>
        <v>32.812154852481875</v>
      </c>
      <c r="F35" s="2">
        <f t="shared" ca="1" si="9"/>
        <v>25.227620228883872</v>
      </c>
      <c r="G35" s="2">
        <f t="shared" ca="1" si="9"/>
        <v>27.758203410378755</v>
      </c>
      <c r="H35" s="2">
        <f t="shared" ca="1" si="9"/>
        <v>29.418892888089019</v>
      </c>
      <c r="I35" s="2">
        <f t="shared" ca="1" si="9"/>
        <v>25.685603883762049</v>
      </c>
      <c r="J35" s="2">
        <f t="shared" ca="1" si="9"/>
        <v>33.422731264540005</v>
      </c>
      <c r="K35" s="2">
        <f t="shared" ca="1" si="9"/>
        <v>28.634382394868009</v>
      </c>
      <c r="L35" s="2">
        <f t="shared" ca="1" si="9"/>
        <v>27.953015160624663</v>
      </c>
      <c r="M35" s="2">
        <f t="shared" ca="1" si="9"/>
        <v>33.242310758241942</v>
      </c>
      <c r="N35" s="2">
        <f t="shared" ca="1" si="9"/>
        <v>25.696336314392703</v>
      </c>
      <c r="O35" s="2">
        <f t="shared" ca="1" si="9"/>
        <v>25.811132661741489</v>
      </c>
      <c r="P35" s="2">
        <f t="shared" ca="1" si="9"/>
        <v>30.284698258721189</v>
      </c>
      <c r="Q35" s="2">
        <f t="shared" ca="1" si="9"/>
        <v>34.39729633542175</v>
      </c>
      <c r="R35" s="2">
        <f t="shared" ca="1" si="9"/>
        <v>29.040862764513161</v>
      </c>
      <c r="S35" s="2">
        <f t="shared" ca="1" si="8"/>
        <v>26.319950577277599</v>
      </c>
      <c r="T35" s="2">
        <f t="shared" ca="1" si="8"/>
        <v>34.782930745984743</v>
      </c>
      <c r="U35" s="2">
        <f t="shared" ca="1" si="8"/>
        <v>28.245192268756661</v>
      </c>
      <c r="V35" s="2">
        <f t="shared" ca="1" si="8"/>
        <v>26.506715128431249</v>
      </c>
      <c r="W35" s="2">
        <f t="shared" ca="1" si="8"/>
        <v>28.331512825419033</v>
      </c>
      <c r="X35" s="2">
        <f t="shared" ca="1" si="8"/>
        <v>32.26998242970253</v>
      </c>
      <c r="Y35" s="2">
        <f t="shared" ca="1" si="8"/>
        <v>27.110693544487429</v>
      </c>
      <c r="Z35" s="2">
        <f t="shared" ca="1" si="4"/>
        <v>27.836165918706346</v>
      </c>
      <c r="AA35" s="2">
        <f t="shared" ca="1" si="5"/>
        <v>31.538657094716473</v>
      </c>
      <c r="AB35" s="2">
        <f t="shared" ca="1" si="5"/>
        <v>29.886264793064221</v>
      </c>
      <c r="AC35" s="2">
        <f t="shared" ca="1" si="5"/>
        <v>26.060472836741756</v>
      </c>
      <c r="AD35" s="2">
        <f t="shared" ca="1" si="5"/>
        <v>28.385545183487935</v>
      </c>
      <c r="AE35" s="2">
        <f t="shared" ca="1" si="5"/>
        <v>34.876254132070855</v>
      </c>
      <c r="AF35" s="2">
        <f t="shared" ca="1" si="5"/>
        <v>28.594561706783832</v>
      </c>
      <c r="AG35" s="2">
        <f t="shared" ca="1" si="5"/>
        <v>34.11709220362043</v>
      </c>
      <c r="AH35" s="2">
        <f t="shared" ca="1" si="5"/>
        <v>32.700927562487593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25.593804739136349</v>
      </c>
      <c r="D36" s="2">
        <f t="shared" ca="1" si="9"/>
        <v>29.132708413656484</v>
      </c>
      <c r="E36" s="2">
        <f t="shared" ca="1" si="9"/>
        <v>26.647247202658537</v>
      </c>
      <c r="F36" s="2">
        <f t="shared" ca="1" si="9"/>
        <v>32.07021125069349</v>
      </c>
      <c r="G36" s="2">
        <f t="shared" ca="1" si="9"/>
        <v>31.959781588978871</v>
      </c>
      <c r="H36" s="2">
        <f t="shared" ca="1" si="9"/>
        <v>27.668141109790056</v>
      </c>
      <c r="I36" s="2">
        <f t="shared" ca="1" si="9"/>
        <v>28.624869308688812</v>
      </c>
      <c r="J36" s="2">
        <f t="shared" ca="1" si="9"/>
        <v>28.427238597235206</v>
      </c>
      <c r="K36" s="2">
        <f t="shared" ca="1" si="9"/>
        <v>26.34218629231972</v>
      </c>
      <c r="L36" s="2">
        <f t="shared" ca="1" si="9"/>
        <v>27.81411452634428</v>
      </c>
      <c r="M36" s="2">
        <f t="shared" ca="1" si="9"/>
        <v>33.775016993551496</v>
      </c>
      <c r="N36" s="2">
        <f t="shared" ca="1" si="9"/>
        <v>26.782667702169579</v>
      </c>
      <c r="O36" s="2">
        <f t="shared" ca="1" si="9"/>
        <v>27.918082839095181</v>
      </c>
      <c r="P36" s="2">
        <f t="shared" ca="1" si="9"/>
        <v>25.074316162209406</v>
      </c>
      <c r="Q36" s="2">
        <f t="shared" ca="1" si="9"/>
        <v>26.998416253214444</v>
      </c>
      <c r="R36" s="2">
        <f t="shared" ca="1" si="9"/>
        <v>26.500870220611247</v>
      </c>
      <c r="S36" s="2">
        <f t="shared" ca="1" si="8"/>
        <v>25.668671365675198</v>
      </c>
      <c r="T36" s="2">
        <f t="shared" ca="1" si="8"/>
        <v>27.422225041010165</v>
      </c>
      <c r="U36" s="2">
        <f t="shared" ca="1" si="8"/>
        <v>25.207273911273553</v>
      </c>
      <c r="V36" s="2">
        <f t="shared" ca="1" si="8"/>
        <v>30.83943091245996</v>
      </c>
      <c r="W36" s="2">
        <f t="shared" ca="1" si="8"/>
        <v>28.886478047615192</v>
      </c>
      <c r="X36" s="2">
        <f t="shared" ca="1" si="8"/>
        <v>30.133912589274395</v>
      </c>
      <c r="Y36" s="2">
        <f t="shared" ca="1" si="8"/>
        <v>27.08384449717925</v>
      </c>
      <c r="Z36" s="2">
        <f t="shared" ca="1" si="4"/>
        <v>30.462257976882864</v>
      </c>
      <c r="AA36" s="2">
        <f t="shared" ca="1" si="5"/>
        <v>27.165461973941788</v>
      </c>
      <c r="AB36" s="2">
        <f t="shared" ca="1" si="5"/>
        <v>28.889170179519127</v>
      </c>
      <c r="AC36" s="2">
        <f t="shared" ca="1" si="5"/>
        <v>33.577642906046563</v>
      </c>
      <c r="AD36" s="2">
        <f t="shared" ca="1" si="5"/>
        <v>27.077923907327005</v>
      </c>
      <c r="AE36" s="2">
        <f t="shared" ca="1" si="5"/>
        <v>25.508623494942839</v>
      </c>
      <c r="AF36" s="2">
        <f t="shared" ca="1" si="5"/>
        <v>29.948962640979182</v>
      </c>
      <c r="AG36" s="2">
        <f t="shared" ca="1" si="5"/>
        <v>32.394965402200675</v>
      </c>
      <c r="AH36" s="2">
        <f t="shared" ca="1" si="5"/>
        <v>29.170894845656829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28.688851544060903</v>
      </c>
      <c r="D37" s="2">
        <f t="shared" ca="1" si="9"/>
        <v>31.591533575703</v>
      </c>
      <c r="E37" s="2">
        <f t="shared" ca="1" si="9"/>
        <v>34.372474933980598</v>
      </c>
      <c r="F37" s="2">
        <f t="shared" ca="1" si="9"/>
        <v>31.144284479597999</v>
      </c>
      <c r="G37" s="2">
        <f t="shared" ca="1" si="9"/>
        <v>33.278218067392103</v>
      </c>
      <c r="H37" s="2">
        <f t="shared" ca="1" si="9"/>
        <v>31.344718316890436</v>
      </c>
      <c r="I37" s="2">
        <f t="shared" ca="1" si="9"/>
        <v>30.214111238131672</v>
      </c>
      <c r="J37" s="2">
        <f t="shared" ca="1" si="9"/>
        <v>31.017893249121631</v>
      </c>
      <c r="K37" s="2">
        <f t="shared" ca="1" si="9"/>
        <v>34.72507005988669</v>
      </c>
      <c r="L37" s="2">
        <f t="shared" ca="1" si="9"/>
        <v>25.566090476348538</v>
      </c>
      <c r="M37" s="2">
        <f t="shared" ca="1" si="9"/>
        <v>31.552210813963661</v>
      </c>
      <c r="N37" s="2">
        <f t="shared" ca="1" si="9"/>
        <v>30.168058230197367</v>
      </c>
      <c r="O37" s="2">
        <f t="shared" ca="1" si="9"/>
        <v>34.714915954763732</v>
      </c>
      <c r="P37" s="2">
        <f t="shared" ca="1" si="9"/>
        <v>30.00228435497139</v>
      </c>
      <c r="Q37" s="2">
        <f t="shared" ca="1" si="9"/>
        <v>26.644760840526224</v>
      </c>
      <c r="R37" s="2">
        <f t="shared" ca="1" si="9"/>
        <v>28.62218024503828</v>
      </c>
      <c r="S37" s="2">
        <f t="shared" ca="1" si="8"/>
        <v>25.469801576909681</v>
      </c>
      <c r="T37" s="2">
        <f t="shared" ca="1" si="8"/>
        <v>32.209435848457041</v>
      </c>
      <c r="U37" s="2">
        <f t="shared" ca="1" si="8"/>
        <v>29.594737453615288</v>
      </c>
      <c r="V37" s="2">
        <f t="shared" ca="1" si="8"/>
        <v>25.609132385621095</v>
      </c>
      <c r="W37" s="2">
        <f t="shared" ca="1" si="8"/>
        <v>29.175830569193749</v>
      </c>
      <c r="X37" s="2">
        <f t="shared" ca="1" si="8"/>
        <v>25.943413622045</v>
      </c>
      <c r="Y37" s="2">
        <f t="shared" ca="1" si="8"/>
        <v>34.427726551582808</v>
      </c>
      <c r="Z37" s="2">
        <f t="shared" ca="1" si="4"/>
        <v>25.000067931374481</v>
      </c>
      <c r="AA37" s="2">
        <f t="shared" ca="1" si="5"/>
        <v>31.514999233274548</v>
      </c>
      <c r="AB37" s="2">
        <f t="shared" ca="1" si="5"/>
        <v>29.538921370681102</v>
      </c>
      <c r="AC37" s="2">
        <f t="shared" ca="1" si="5"/>
        <v>31.807129244552375</v>
      </c>
      <c r="AD37" s="2">
        <f t="shared" ca="1" si="5"/>
        <v>25.732083521558625</v>
      </c>
      <c r="AE37" s="2">
        <f t="shared" ca="1" si="5"/>
        <v>34.794707883273503</v>
      </c>
      <c r="AF37" s="2">
        <f t="shared" ca="1" si="5"/>
        <v>27.836095738002228</v>
      </c>
      <c r="AG37" s="2">
        <f t="shared" ca="1" si="5"/>
        <v>26.105769986386321</v>
      </c>
      <c r="AH37" s="2">
        <f t="shared" ca="1" si="5"/>
        <v>30.986428592996891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30.40591171080294</v>
      </c>
      <c r="D38" s="2">
        <f t="shared" ca="1" si="9"/>
        <v>28.498242171458344</v>
      </c>
      <c r="E38" s="2">
        <f t="shared" ca="1" si="9"/>
        <v>34.116945668619067</v>
      </c>
      <c r="F38" s="2">
        <f t="shared" ca="1" si="9"/>
        <v>28.790393335713368</v>
      </c>
      <c r="G38" s="2">
        <f t="shared" ca="1" si="9"/>
        <v>32.066322489952455</v>
      </c>
      <c r="H38" s="2">
        <f t="shared" ca="1" si="9"/>
        <v>28.461230812061459</v>
      </c>
      <c r="I38" s="2">
        <f t="shared" ca="1" si="9"/>
        <v>26.406738911663894</v>
      </c>
      <c r="J38" s="2">
        <f t="shared" ca="1" si="9"/>
        <v>27.076190908449384</v>
      </c>
      <c r="K38" s="2">
        <f t="shared" ca="1" si="9"/>
        <v>25.872378565621965</v>
      </c>
      <c r="L38" s="2">
        <f t="shared" ca="1" si="9"/>
        <v>26.697438803891401</v>
      </c>
      <c r="M38" s="2">
        <f t="shared" ca="1" si="9"/>
        <v>31.831441971275083</v>
      </c>
      <c r="N38" s="2">
        <f t="shared" ca="1" si="9"/>
        <v>31.257235246725262</v>
      </c>
      <c r="O38" s="2">
        <f t="shared" ca="1" si="9"/>
        <v>25.274211209159425</v>
      </c>
      <c r="P38" s="2">
        <f t="shared" ca="1" si="9"/>
        <v>27.707693194719294</v>
      </c>
      <c r="Q38" s="2">
        <f t="shared" ca="1" si="9"/>
        <v>29.97842547532434</v>
      </c>
      <c r="R38" s="2">
        <f t="shared" ca="1" si="9"/>
        <v>27.143945716254319</v>
      </c>
      <c r="S38" s="2">
        <f t="shared" ca="1" si="8"/>
        <v>29.271529355834698</v>
      </c>
      <c r="T38" s="2">
        <f t="shared" ca="1" si="8"/>
        <v>32.57691591723286</v>
      </c>
      <c r="U38" s="2">
        <f t="shared" ca="1" si="8"/>
        <v>25.032369512085229</v>
      </c>
      <c r="V38" s="2">
        <f t="shared" ca="1" si="8"/>
        <v>28.0404342819512</v>
      </c>
      <c r="W38" s="2">
        <f t="shared" ca="1" si="8"/>
        <v>28.006648811733012</v>
      </c>
      <c r="X38" s="2">
        <f t="shared" ca="1" si="8"/>
        <v>32.871109725560743</v>
      </c>
      <c r="Y38" s="2">
        <f t="shared" ca="1" si="8"/>
        <v>28.494532927901879</v>
      </c>
      <c r="Z38" s="2">
        <f t="shared" ca="1" si="4"/>
        <v>33.175381106727571</v>
      </c>
      <c r="AA38" s="2">
        <f t="shared" ca="1" si="5"/>
        <v>25.466220395814993</v>
      </c>
      <c r="AB38" s="2">
        <f t="shared" ca="1" si="5"/>
        <v>26.252760551601263</v>
      </c>
      <c r="AC38" s="2">
        <f t="shared" ca="1" si="5"/>
        <v>31.152235922865266</v>
      </c>
      <c r="AD38" s="2">
        <f t="shared" ca="1" si="5"/>
        <v>33.077838137461853</v>
      </c>
      <c r="AE38" s="2">
        <f t="shared" ca="1" si="5"/>
        <v>31.627565002978688</v>
      </c>
      <c r="AF38" s="2">
        <f t="shared" ca="1" si="5"/>
        <v>30.057908253933871</v>
      </c>
      <c r="AG38" s="2">
        <f t="shared" ca="1" si="5"/>
        <v>27.105024087582169</v>
      </c>
      <c r="AH38" s="2">
        <f t="shared" ca="1" si="5"/>
        <v>25.033011738869149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26.145228418266594</v>
      </c>
      <c r="D39" s="2">
        <f t="shared" ca="1" si="9"/>
        <v>29.602848068337021</v>
      </c>
      <c r="E39" s="2">
        <f t="shared" ca="1" si="9"/>
        <v>29.921137754691408</v>
      </c>
      <c r="F39" s="2">
        <f t="shared" ca="1" si="9"/>
        <v>31.003999841942171</v>
      </c>
      <c r="G39" s="2">
        <f t="shared" ca="1" si="9"/>
        <v>31.405781540434177</v>
      </c>
      <c r="H39" s="2">
        <f t="shared" ca="1" si="9"/>
        <v>28.368482144173583</v>
      </c>
      <c r="I39" s="2">
        <f t="shared" ca="1" si="9"/>
        <v>26.932186815556108</v>
      </c>
      <c r="J39" s="2">
        <f t="shared" ca="1" si="9"/>
        <v>26.507098503099474</v>
      </c>
      <c r="K39" s="2">
        <f t="shared" ca="1" si="9"/>
        <v>30.72383318315547</v>
      </c>
      <c r="L39" s="2">
        <f t="shared" ca="1" si="9"/>
        <v>27.157992045255483</v>
      </c>
      <c r="M39" s="2">
        <f t="shared" ca="1" si="9"/>
        <v>28.540378560693224</v>
      </c>
      <c r="N39" s="2">
        <f t="shared" ca="1" si="9"/>
        <v>26.503588695316918</v>
      </c>
      <c r="O39" s="2">
        <f t="shared" ca="1" si="9"/>
        <v>26.875041733298776</v>
      </c>
      <c r="P39" s="2">
        <f t="shared" ca="1" si="9"/>
        <v>32.50627303574187</v>
      </c>
      <c r="Q39" s="2">
        <f t="shared" ca="1" si="9"/>
        <v>26.462792786590835</v>
      </c>
      <c r="R39" s="2">
        <f t="shared" ca="1" si="9"/>
        <v>26.07984197580641</v>
      </c>
      <c r="S39" s="2">
        <f t="shared" ca="1" si="8"/>
        <v>27.225400103199384</v>
      </c>
      <c r="T39" s="2">
        <f t="shared" ca="1" si="8"/>
        <v>29.15296901725204</v>
      </c>
      <c r="U39" s="2">
        <f t="shared" ca="1" si="8"/>
        <v>33.270815612561847</v>
      </c>
      <c r="V39" s="2">
        <f t="shared" ca="1" si="8"/>
        <v>34.799806273719568</v>
      </c>
      <c r="W39" s="2">
        <f t="shared" ca="1" si="8"/>
        <v>26.004067655748834</v>
      </c>
      <c r="X39" s="2">
        <f t="shared" ca="1" si="8"/>
        <v>28.700906111358396</v>
      </c>
      <c r="Y39" s="2">
        <f t="shared" ca="1" si="8"/>
        <v>34.88462552455222</v>
      </c>
      <c r="Z39" s="2">
        <f t="shared" ca="1" si="4"/>
        <v>27.801799263370256</v>
      </c>
      <c r="AA39" s="2">
        <f t="shared" ca="1" si="5"/>
        <v>33.365999238516643</v>
      </c>
      <c r="AB39" s="2">
        <f t="shared" ca="1" si="5"/>
        <v>32.937031561828192</v>
      </c>
      <c r="AC39" s="2">
        <f t="shared" ca="1" si="5"/>
        <v>34.958611307368706</v>
      </c>
      <c r="AD39" s="2">
        <f t="shared" ca="1" si="5"/>
        <v>28.146704047306276</v>
      </c>
      <c r="AE39" s="2">
        <f t="shared" ca="1" si="5"/>
        <v>28.728995232380655</v>
      </c>
      <c r="AF39" s="2">
        <f t="shared" ca="1" si="5"/>
        <v>32.399418816485451</v>
      </c>
      <c r="AG39" s="2">
        <f t="shared" ca="1" si="5"/>
        <v>28.016240402631247</v>
      </c>
      <c r="AH39" s="2">
        <f t="shared" ca="1" si="5"/>
        <v>25.11077851725371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33.703874331869635</v>
      </c>
      <c r="D40" s="2">
        <f t="shared" ca="1" si="9"/>
        <v>25.204894092501462</v>
      </c>
      <c r="E40" s="2">
        <f t="shared" ca="1" si="9"/>
        <v>30.250673725362542</v>
      </c>
      <c r="F40" s="2">
        <f t="shared" ca="1" si="9"/>
        <v>33.157939616362214</v>
      </c>
      <c r="G40" s="2">
        <f t="shared" ca="1" si="9"/>
        <v>32.294098386529917</v>
      </c>
      <c r="H40" s="2">
        <f t="shared" ca="1" si="9"/>
        <v>30.087273887434854</v>
      </c>
      <c r="I40" s="2">
        <f t="shared" ca="1" si="9"/>
        <v>34.86266262340947</v>
      </c>
      <c r="J40" s="2">
        <f t="shared" ca="1" si="9"/>
        <v>27.864147578464667</v>
      </c>
      <c r="K40" s="2">
        <f t="shared" ca="1" si="9"/>
        <v>28.164883414717409</v>
      </c>
      <c r="L40" s="2">
        <f t="shared" ca="1" si="9"/>
        <v>33.993140328017411</v>
      </c>
      <c r="M40" s="2">
        <f t="shared" ca="1" si="9"/>
        <v>25.653505665033403</v>
      </c>
      <c r="N40" s="2">
        <f t="shared" ca="1" si="9"/>
        <v>29.35000915301535</v>
      </c>
      <c r="O40" s="2">
        <f t="shared" ca="1" si="9"/>
        <v>25.711891729657644</v>
      </c>
      <c r="P40" s="2">
        <f t="shared" ca="1" si="9"/>
        <v>26.870134011415967</v>
      </c>
      <c r="Q40" s="2">
        <f t="shared" ca="1" si="9"/>
        <v>28.898282360836088</v>
      </c>
      <c r="R40" s="2">
        <f t="shared" ca="1" si="9"/>
        <v>32.120535401591198</v>
      </c>
      <c r="S40" s="2">
        <f t="shared" ca="1" si="8"/>
        <v>28.915805588492113</v>
      </c>
      <c r="T40" s="2">
        <f t="shared" ca="1" si="8"/>
        <v>27.439796165761365</v>
      </c>
      <c r="U40" s="2">
        <f t="shared" ca="1" si="8"/>
        <v>33.960409147112721</v>
      </c>
      <c r="V40" s="2">
        <f t="shared" ca="1" si="8"/>
        <v>27.627795682982249</v>
      </c>
      <c r="W40" s="2">
        <f t="shared" ca="1" si="8"/>
        <v>28.595104767313934</v>
      </c>
      <c r="X40" s="2">
        <f t="shared" ca="1" si="8"/>
        <v>26.054831779590039</v>
      </c>
      <c r="Y40" s="2">
        <f t="shared" ca="1" si="8"/>
        <v>30.374332773893506</v>
      </c>
      <c r="Z40" s="2">
        <f t="shared" ca="1" si="4"/>
        <v>33.458972036250415</v>
      </c>
      <c r="AA40" s="2">
        <f t="shared" ca="1" si="5"/>
        <v>29.388073281732176</v>
      </c>
      <c r="AB40" s="2">
        <f t="shared" ca="1" si="5"/>
        <v>30.838643464982383</v>
      </c>
      <c r="AC40" s="2">
        <f t="shared" ca="1" si="5"/>
        <v>27.86572243988094</v>
      </c>
      <c r="AD40" s="2">
        <f t="shared" ca="1" si="5"/>
        <v>26.993868048626982</v>
      </c>
      <c r="AE40" s="2">
        <f t="shared" ca="1" si="5"/>
        <v>30.255604284558515</v>
      </c>
      <c r="AF40" s="2">
        <f t="shared" ca="1" si="5"/>
        <v>25.498871932502588</v>
      </c>
      <c r="AG40" s="2">
        <f t="shared" ca="1" si="5"/>
        <v>27.869519467520547</v>
      </c>
      <c r="AH40" s="2">
        <f t="shared" ca="1" si="5"/>
        <v>26.744193000308449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29.966122953802884</v>
      </c>
      <c r="D41" s="2">
        <f t="shared" ca="1" si="9"/>
        <v>31.098224935936621</v>
      </c>
      <c r="E41" s="2">
        <f t="shared" ca="1" si="9"/>
        <v>30.602702847768214</v>
      </c>
      <c r="F41" s="2">
        <f t="shared" ca="1" si="9"/>
        <v>29.996344888858776</v>
      </c>
      <c r="G41" s="2">
        <f t="shared" ca="1" si="9"/>
        <v>31.08264195671229</v>
      </c>
      <c r="H41" s="2">
        <f t="shared" ca="1" si="9"/>
        <v>33.888118637884098</v>
      </c>
      <c r="I41" s="2">
        <f t="shared" ca="1" si="9"/>
        <v>31.783298341030324</v>
      </c>
      <c r="J41" s="2">
        <f t="shared" ca="1" si="9"/>
        <v>31.770150008922649</v>
      </c>
      <c r="K41" s="2">
        <f t="shared" ca="1" si="9"/>
        <v>33.962952107444096</v>
      </c>
      <c r="L41" s="2">
        <f t="shared" ca="1" si="9"/>
        <v>33.047197789356069</v>
      </c>
      <c r="M41" s="2">
        <f t="shared" ca="1" si="9"/>
        <v>30.33552450770884</v>
      </c>
      <c r="N41" s="2">
        <f t="shared" ca="1" si="9"/>
        <v>28.249580543481905</v>
      </c>
      <c r="O41" s="2">
        <f t="shared" ca="1" si="9"/>
        <v>29.422599691980771</v>
      </c>
      <c r="P41" s="2">
        <f t="shared" ca="1" si="9"/>
        <v>33.75579885108764</v>
      </c>
      <c r="Q41" s="2">
        <f t="shared" ca="1" si="9"/>
        <v>33.069524907099677</v>
      </c>
      <c r="R41" s="2">
        <f t="shared" ca="1" si="9"/>
        <v>31.962024650745676</v>
      </c>
      <c r="S41" s="2">
        <f t="shared" ca="1" si="8"/>
        <v>33.510932354980802</v>
      </c>
      <c r="T41" s="2">
        <f t="shared" ca="1" si="8"/>
        <v>25.094881870161608</v>
      </c>
      <c r="U41" s="2">
        <f t="shared" ca="1" si="8"/>
        <v>27.13436916741728</v>
      </c>
      <c r="V41" s="2">
        <f t="shared" ca="1" si="8"/>
        <v>32.431064614544027</v>
      </c>
      <c r="W41" s="2">
        <f t="shared" ca="1" si="8"/>
        <v>29.016680811231037</v>
      </c>
      <c r="X41" s="2">
        <f t="shared" ca="1" si="8"/>
        <v>34.044094492041566</v>
      </c>
      <c r="Y41" s="2">
        <f t="shared" ca="1" si="8"/>
        <v>26.405406477364085</v>
      </c>
      <c r="Z41" s="2">
        <f t="shared" ca="1" si="4"/>
        <v>27.305438306591956</v>
      </c>
      <c r="AA41" s="2">
        <f t="shared" ca="1" si="5"/>
        <v>27.56489774436103</v>
      </c>
      <c r="AB41" s="2">
        <f t="shared" ca="1" si="5"/>
        <v>30.820899649067165</v>
      </c>
      <c r="AC41" s="2">
        <f t="shared" ca="1" si="5"/>
        <v>34.856058839867451</v>
      </c>
      <c r="AD41" s="2">
        <f t="shared" ca="1" si="5"/>
        <v>25.94489211758242</v>
      </c>
      <c r="AE41" s="2">
        <f t="shared" ca="1" si="5"/>
        <v>27.259219280432202</v>
      </c>
      <c r="AF41" s="2">
        <f t="shared" ca="1" si="5"/>
        <v>26.135324279857723</v>
      </c>
      <c r="AG41" s="2">
        <f t="shared" ca="1" si="5"/>
        <v>28.639949958265586</v>
      </c>
      <c r="AH41" s="2">
        <f t="shared" ca="1" si="5"/>
        <v>31.22761288451612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34.27923779787168</v>
      </c>
      <c r="D42" s="2">
        <f t="shared" ca="1" si="9"/>
        <v>30.532332654808755</v>
      </c>
      <c r="E42" s="2">
        <f t="shared" ca="1" si="9"/>
        <v>29.230120128777344</v>
      </c>
      <c r="F42" s="2">
        <f t="shared" ca="1" si="9"/>
        <v>25.976681569315616</v>
      </c>
      <c r="G42" s="2">
        <f t="shared" ca="1" si="9"/>
        <v>28.435916526597744</v>
      </c>
      <c r="H42" s="2">
        <f t="shared" ca="1" si="9"/>
        <v>28.644622412535504</v>
      </c>
      <c r="I42" s="2">
        <f t="shared" ca="1" si="9"/>
        <v>27.834364065452295</v>
      </c>
      <c r="J42" s="2">
        <f t="shared" ca="1" si="9"/>
        <v>32.188436907939092</v>
      </c>
      <c r="K42" s="2">
        <f t="shared" ca="1" si="9"/>
        <v>32.645366134611599</v>
      </c>
      <c r="L42" s="2">
        <f t="shared" ca="1" si="9"/>
        <v>29.136817028258044</v>
      </c>
      <c r="M42" s="2">
        <f t="shared" ca="1" si="9"/>
        <v>31.657484950730961</v>
      </c>
      <c r="N42" s="2">
        <f t="shared" ca="1" si="9"/>
        <v>33.297032373106333</v>
      </c>
      <c r="O42" s="2">
        <f t="shared" ca="1" si="9"/>
        <v>33.843412944436658</v>
      </c>
      <c r="P42" s="2">
        <f t="shared" ca="1" si="9"/>
        <v>32.879571124330617</v>
      </c>
      <c r="Q42" s="2">
        <f t="shared" ca="1" si="9"/>
        <v>33.506914320626997</v>
      </c>
      <c r="R42" s="2">
        <f t="shared" ca="1" si="9"/>
        <v>26.808687462701485</v>
      </c>
      <c r="S42" s="2">
        <f t="shared" ca="1" si="8"/>
        <v>29.138598383718097</v>
      </c>
      <c r="T42" s="2">
        <f t="shared" ca="1" si="8"/>
        <v>29.942587884204301</v>
      </c>
      <c r="U42" s="2">
        <f t="shared" ca="1" si="8"/>
        <v>31.090085360317502</v>
      </c>
      <c r="V42" s="2">
        <f t="shared" ca="1" si="8"/>
        <v>34.670699258154023</v>
      </c>
      <c r="W42" s="2">
        <f t="shared" ca="1" si="8"/>
        <v>34.434555032627337</v>
      </c>
      <c r="X42" s="2">
        <f t="shared" ca="1" si="8"/>
        <v>28.551626504612049</v>
      </c>
      <c r="Y42" s="2">
        <f t="shared" ca="1" si="8"/>
        <v>26.018984185021811</v>
      </c>
      <c r="Z42" s="2">
        <f t="shared" ca="1" si="4"/>
        <v>32.126330454806308</v>
      </c>
      <c r="AA42" s="2">
        <f t="shared" ca="1" si="5"/>
        <v>33.224731622512834</v>
      </c>
      <c r="AB42" s="2">
        <f t="shared" ca="1" si="5"/>
        <v>27.863435293509795</v>
      </c>
      <c r="AC42" s="2">
        <f t="shared" ca="1" si="5"/>
        <v>27.538191146900761</v>
      </c>
      <c r="AD42" s="2">
        <f t="shared" ca="1" si="5"/>
        <v>34.072571605287656</v>
      </c>
      <c r="AE42" s="2">
        <f t="shared" ca="1" si="5"/>
        <v>30.540184352356281</v>
      </c>
      <c r="AF42" s="2">
        <f t="shared" ca="1" si="5"/>
        <v>31.02228416865135</v>
      </c>
      <c r="AG42" s="2">
        <f t="shared" ca="1" si="5"/>
        <v>31.948836341049649</v>
      </c>
      <c r="AH42" s="2">
        <f t="shared" ref="D42:AH68" ca="1" si="10">(RAND()*1+2.5)*10</f>
        <v>33.77057401830254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26.34637146875399</v>
      </c>
      <c r="D43" s="2">
        <f t="shared" ca="1" si="10"/>
        <v>26.834244292277724</v>
      </c>
      <c r="E43" s="2">
        <f t="shared" ca="1" si="10"/>
        <v>26.491730456219944</v>
      </c>
      <c r="F43" s="2">
        <f t="shared" ca="1" si="10"/>
        <v>31.486949362169337</v>
      </c>
      <c r="G43" s="2">
        <f t="shared" ca="1" si="10"/>
        <v>34.17621608749711</v>
      </c>
      <c r="H43" s="2">
        <f t="shared" ca="1" si="10"/>
        <v>32.097038995726251</v>
      </c>
      <c r="I43" s="2">
        <f t="shared" ca="1" si="10"/>
        <v>25.929737807783255</v>
      </c>
      <c r="J43" s="2">
        <f t="shared" ca="1" si="10"/>
        <v>32.940545699606503</v>
      </c>
      <c r="K43" s="2">
        <f t="shared" ca="1" si="10"/>
        <v>33.554956506216584</v>
      </c>
      <c r="L43" s="2">
        <f t="shared" ca="1" si="10"/>
        <v>32.792410173422169</v>
      </c>
      <c r="M43" s="2">
        <f t="shared" ca="1" si="10"/>
        <v>28.773065334892323</v>
      </c>
      <c r="N43" s="2">
        <f t="shared" ca="1" si="10"/>
        <v>25.439376443922527</v>
      </c>
      <c r="O43" s="2">
        <f t="shared" ca="1" si="10"/>
        <v>32.459926471380186</v>
      </c>
      <c r="P43" s="2">
        <f t="shared" ca="1" si="10"/>
        <v>32.597729384566229</v>
      </c>
      <c r="Q43" s="2">
        <f t="shared" ca="1" si="10"/>
        <v>32.16021886382471</v>
      </c>
      <c r="R43" s="2">
        <f t="shared" ca="1" si="10"/>
        <v>31.393148353467172</v>
      </c>
      <c r="S43" s="2">
        <f t="shared" ca="1" si="10"/>
        <v>32.828789904399287</v>
      </c>
      <c r="T43" s="2">
        <f t="shared" ca="1" si="10"/>
        <v>29.02845489270538</v>
      </c>
      <c r="U43" s="2">
        <f t="shared" ca="1" si="10"/>
        <v>25.7941119801478</v>
      </c>
      <c r="V43" s="2">
        <f t="shared" ca="1" si="10"/>
        <v>26.469629077798864</v>
      </c>
      <c r="W43" s="2">
        <f t="shared" ca="1" si="10"/>
        <v>31.200248043714822</v>
      </c>
      <c r="X43" s="2">
        <f t="shared" ca="1" si="10"/>
        <v>31.891754060981317</v>
      </c>
      <c r="Y43" s="2">
        <f t="shared" ca="1" si="10"/>
        <v>31.82914099845469</v>
      </c>
      <c r="Z43" s="2">
        <f t="shared" ca="1" si="10"/>
        <v>28.986338866922246</v>
      </c>
      <c r="AA43" s="2">
        <f t="shared" ca="1" si="10"/>
        <v>31.867672303629195</v>
      </c>
      <c r="AB43" s="2">
        <f t="shared" ca="1" si="10"/>
        <v>28.451155826734229</v>
      </c>
      <c r="AC43" s="2">
        <f t="shared" ca="1" si="10"/>
        <v>31.879022948879935</v>
      </c>
      <c r="AD43" s="2">
        <f t="shared" ca="1" si="10"/>
        <v>27.874171696575345</v>
      </c>
      <c r="AE43" s="2">
        <f t="shared" ca="1" si="10"/>
        <v>32.802372746073452</v>
      </c>
      <c r="AF43" s="2">
        <f t="shared" ca="1" si="10"/>
        <v>25.2623840528003</v>
      </c>
      <c r="AG43" s="2">
        <f t="shared" ca="1" si="10"/>
        <v>28.800072222370609</v>
      </c>
      <c r="AH43" s="2">
        <f t="shared" ca="1" si="10"/>
        <v>25.429034194194109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26.297718786171693</v>
      </c>
      <c r="D44" s="2">
        <f t="shared" ca="1" si="10"/>
        <v>27.019715527864591</v>
      </c>
      <c r="E44" s="2">
        <f t="shared" ca="1" si="10"/>
        <v>29.577353510546239</v>
      </c>
      <c r="F44" s="2">
        <f t="shared" ca="1" si="10"/>
        <v>33.922869106137711</v>
      </c>
      <c r="G44" s="2">
        <f t="shared" ca="1" si="10"/>
        <v>25.936444695379542</v>
      </c>
      <c r="H44" s="2">
        <f t="shared" ca="1" si="10"/>
        <v>31.712352030207374</v>
      </c>
      <c r="I44" s="2">
        <f t="shared" ca="1" si="10"/>
        <v>27.220820787141879</v>
      </c>
      <c r="J44" s="2">
        <f t="shared" ca="1" si="10"/>
        <v>34.618565559423629</v>
      </c>
      <c r="K44" s="2">
        <f t="shared" ca="1" si="10"/>
        <v>33.48167540308809</v>
      </c>
      <c r="L44" s="2">
        <f t="shared" ca="1" si="10"/>
        <v>30.710624418941542</v>
      </c>
      <c r="M44" s="2">
        <f t="shared" ca="1" si="10"/>
        <v>29.764369549938081</v>
      </c>
      <c r="N44" s="2">
        <f t="shared" ca="1" si="10"/>
        <v>33.206447749889819</v>
      </c>
      <c r="O44" s="2">
        <f t="shared" ca="1" si="10"/>
        <v>25.918760136145735</v>
      </c>
      <c r="P44" s="2">
        <f t="shared" ca="1" si="10"/>
        <v>31.641697914599938</v>
      </c>
      <c r="Q44" s="2">
        <f t="shared" ca="1" si="10"/>
        <v>34.670734103952185</v>
      </c>
      <c r="R44" s="2">
        <f t="shared" ca="1" si="10"/>
        <v>34.134353196894018</v>
      </c>
      <c r="S44" s="2">
        <f t="shared" ca="1" si="10"/>
        <v>25.354038634541382</v>
      </c>
      <c r="T44" s="2">
        <f t="shared" ca="1" si="10"/>
        <v>27.584235690250427</v>
      </c>
      <c r="U44" s="2">
        <f t="shared" ca="1" si="10"/>
        <v>26.384299668331685</v>
      </c>
      <c r="V44" s="2">
        <f t="shared" ca="1" si="10"/>
        <v>34.316773585167439</v>
      </c>
      <c r="W44" s="2">
        <f t="shared" ca="1" si="10"/>
        <v>34.621989024158459</v>
      </c>
      <c r="X44" s="2">
        <f t="shared" ca="1" si="10"/>
        <v>34.775245851574226</v>
      </c>
      <c r="Y44" s="2">
        <f t="shared" ca="1" si="10"/>
        <v>29.045970217293814</v>
      </c>
      <c r="Z44" s="2">
        <f t="shared" ca="1" si="10"/>
        <v>34.668092180825461</v>
      </c>
      <c r="AA44" s="2">
        <f t="shared" ca="1" si="10"/>
        <v>25.281266889411903</v>
      </c>
      <c r="AB44" s="2">
        <f t="shared" ca="1" si="10"/>
        <v>34.139851196998769</v>
      </c>
      <c r="AC44" s="2">
        <f t="shared" ca="1" si="10"/>
        <v>34.091206898776228</v>
      </c>
      <c r="AD44" s="2">
        <f t="shared" ca="1" si="10"/>
        <v>34.089531952668651</v>
      </c>
      <c r="AE44" s="2">
        <f t="shared" ca="1" si="10"/>
        <v>26.027684559646048</v>
      </c>
      <c r="AF44" s="2">
        <f t="shared" ca="1" si="10"/>
        <v>29.63312391466912</v>
      </c>
      <c r="AG44" s="2">
        <f t="shared" ca="1" si="10"/>
        <v>32.563310471156555</v>
      </c>
      <c r="AH44" s="2">
        <f t="shared" ca="1" si="10"/>
        <v>29.750068061481262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27.950889499464036</v>
      </c>
      <c r="D45" s="2">
        <f t="shared" ca="1" si="10"/>
        <v>30.307131700523051</v>
      </c>
      <c r="E45" s="2">
        <f t="shared" ca="1" si="10"/>
        <v>34.839324071030575</v>
      </c>
      <c r="F45" s="2">
        <f t="shared" ca="1" si="10"/>
        <v>29.297786025049191</v>
      </c>
      <c r="G45" s="2">
        <f t="shared" ca="1" si="10"/>
        <v>32.415784416238665</v>
      </c>
      <c r="H45" s="2">
        <f t="shared" ca="1" si="10"/>
        <v>27.914501928417433</v>
      </c>
      <c r="I45" s="2">
        <f t="shared" ca="1" si="10"/>
        <v>28.147398701205354</v>
      </c>
      <c r="J45" s="2">
        <f t="shared" ca="1" si="10"/>
        <v>25.947887280649667</v>
      </c>
      <c r="K45" s="2">
        <f t="shared" ca="1" si="10"/>
        <v>32.298846336676739</v>
      </c>
      <c r="L45" s="2">
        <f t="shared" ca="1" si="10"/>
        <v>26.121474017460343</v>
      </c>
      <c r="M45" s="2">
        <f t="shared" ca="1" si="10"/>
        <v>30.132196038875733</v>
      </c>
      <c r="N45" s="2">
        <f t="shared" ca="1" si="10"/>
        <v>31.991912936783908</v>
      </c>
      <c r="O45" s="2">
        <f t="shared" ca="1" si="10"/>
        <v>25.851820351642928</v>
      </c>
      <c r="P45" s="2">
        <f t="shared" ca="1" si="10"/>
        <v>29.917005626745414</v>
      </c>
      <c r="Q45" s="2">
        <f t="shared" ca="1" si="10"/>
        <v>32.922606009873839</v>
      </c>
      <c r="R45" s="2">
        <f t="shared" ca="1" si="10"/>
        <v>29.286658678506285</v>
      </c>
      <c r="S45" s="2">
        <f t="shared" ca="1" si="10"/>
        <v>34.430766237198171</v>
      </c>
      <c r="T45" s="2">
        <f t="shared" ca="1" si="10"/>
        <v>33.63735996917957</v>
      </c>
      <c r="U45" s="2">
        <f t="shared" ca="1" si="10"/>
        <v>26.77284229309322</v>
      </c>
      <c r="V45" s="2">
        <f t="shared" ca="1" si="10"/>
        <v>26.442965529638972</v>
      </c>
      <c r="W45" s="2">
        <f t="shared" ca="1" si="10"/>
        <v>31.468515381340598</v>
      </c>
      <c r="X45" s="2">
        <f t="shared" ca="1" si="10"/>
        <v>31.790437216177288</v>
      </c>
      <c r="Y45" s="2">
        <f t="shared" ca="1" si="10"/>
        <v>26.091903709831421</v>
      </c>
      <c r="Z45" s="2">
        <f t="shared" ca="1" si="10"/>
        <v>30.964152993174618</v>
      </c>
      <c r="AA45" s="2">
        <f t="shared" ca="1" si="10"/>
        <v>34.783008322391879</v>
      </c>
      <c r="AB45" s="2">
        <f t="shared" ca="1" si="10"/>
        <v>34.549631081726282</v>
      </c>
      <c r="AC45" s="2">
        <f t="shared" ca="1" si="10"/>
        <v>28.837413757596337</v>
      </c>
      <c r="AD45" s="2">
        <f t="shared" ca="1" si="10"/>
        <v>28.851684912992759</v>
      </c>
      <c r="AE45" s="2">
        <f t="shared" ca="1" si="10"/>
        <v>26.075102261475127</v>
      </c>
      <c r="AF45" s="2">
        <f t="shared" ca="1" si="10"/>
        <v>33.778531322880276</v>
      </c>
      <c r="AG45" s="2">
        <f t="shared" ca="1" si="10"/>
        <v>28.870228643700631</v>
      </c>
      <c r="AH45" s="2">
        <f t="shared" ca="1" si="10"/>
        <v>32.757272509458396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28.177676247436683</v>
      </c>
      <c r="D46" s="2">
        <f t="shared" ca="1" si="10"/>
        <v>33.413669001505014</v>
      </c>
      <c r="E46" s="2">
        <f t="shared" ca="1" si="10"/>
        <v>34.65084947173164</v>
      </c>
      <c r="F46" s="2">
        <f t="shared" ca="1" si="10"/>
        <v>29.298188811075928</v>
      </c>
      <c r="G46" s="2">
        <f t="shared" ca="1" si="10"/>
        <v>32.292636197307594</v>
      </c>
      <c r="H46" s="2">
        <f t="shared" ca="1" si="10"/>
        <v>31.555800493854782</v>
      </c>
      <c r="I46" s="2">
        <f t="shared" ca="1" si="10"/>
        <v>27.948227338163306</v>
      </c>
      <c r="J46" s="2">
        <f t="shared" ca="1" si="10"/>
        <v>32.221581962410056</v>
      </c>
      <c r="K46" s="2">
        <f t="shared" ca="1" si="10"/>
        <v>29.719222002709902</v>
      </c>
      <c r="L46" s="2">
        <f t="shared" ca="1" si="10"/>
        <v>33.414862593730462</v>
      </c>
      <c r="M46" s="2">
        <f t="shared" ca="1" si="10"/>
        <v>32.146979741768753</v>
      </c>
      <c r="N46" s="2">
        <f t="shared" ca="1" si="10"/>
        <v>27.193603518467611</v>
      </c>
      <c r="O46" s="2">
        <f t="shared" ca="1" si="10"/>
        <v>28.650942717740399</v>
      </c>
      <c r="P46" s="2">
        <f t="shared" ca="1" si="10"/>
        <v>33.977808375939709</v>
      </c>
      <c r="Q46" s="2">
        <f t="shared" ca="1" si="10"/>
        <v>25.344614143985645</v>
      </c>
      <c r="R46" s="2">
        <f t="shared" ca="1" si="10"/>
        <v>29.712940933680187</v>
      </c>
      <c r="S46" s="2">
        <f t="shared" ca="1" si="10"/>
        <v>26.683477083317261</v>
      </c>
      <c r="T46" s="2">
        <f t="shared" ca="1" si="10"/>
        <v>30.159274843918261</v>
      </c>
      <c r="U46" s="2">
        <f t="shared" ca="1" si="10"/>
        <v>27.572397474757686</v>
      </c>
      <c r="V46" s="2">
        <f t="shared" ca="1" si="10"/>
        <v>31.233197409177809</v>
      </c>
      <c r="W46" s="2">
        <f t="shared" ca="1" si="10"/>
        <v>33.341651637718755</v>
      </c>
      <c r="X46" s="2">
        <f t="shared" ca="1" si="10"/>
        <v>27.587746267721045</v>
      </c>
      <c r="Y46" s="2">
        <f t="shared" ca="1" si="10"/>
        <v>26.936536998328027</v>
      </c>
      <c r="Z46" s="2">
        <f t="shared" ca="1" si="10"/>
        <v>34.520753507724876</v>
      </c>
      <c r="AA46" s="2">
        <f t="shared" ca="1" si="10"/>
        <v>32.794366872030949</v>
      </c>
      <c r="AB46" s="2">
        <f t="shared" ca="1" si="10"/>
        <v>27.931780512688434</v>
      </c>
      <c r="AC46" s="2">
        <f t="shared" ca="1" si="10"/>
        <v>33.046905750360779</v>
      </c>
      <c r="AD46" s="2">
        <f t="shared" ca="1" si="10"/>
        <v>25.832641886138454</v>
      </c>
      <c r="AE46" s="2">
        <f t="shared" ca="1" si="10"/>
        <v>34.531900015945581</v>
      </c>
      <c r="AF46" s="2">
        <f t="shared" ca="1" si="10"/>
        <v>31.958298290213264</v>
      </c>
      <c r="AG46" s="2">
        <f t="shared" ca="1" si="10"/>
        <v>32.780054517521627</v>
      </c>
      <c r="AH46" s="2">
        <f t="shared" ca="1" si="10"/>
        <v>25.839723947655582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30.555622347355829</v>
      </c>
      <c r="D47" s="2">
        <f t="shared" ca="1" si="10"/>
        <v>28.666295628486527</v>
      </c>
      <c r="E47" s="2">
        <f t="shared" ca="1" si="10"/>
        <v>32.635287046283402</v>
      </c>
      <c r="F47" s="2">
        <f t="shared" ca="1" si="10"/>
        <v>28.496075174247309</v>
      </c>
      <c r="G47" s="2">
        <f t="shared" ca="1" si="10"/>
        <v>33.459028412663997</v>
      </c>
      <c r="H47" s="2">
        <f t="shared" ca="1" si="10"/>
        <v>30.151249395635308</v>
      </c>
      <c r="I47" s="2">
        <f t="shared" ca="1" si="10"/>
        <v>33.926569222904021</v>
      </c>
      <c r="J47" s="2">
        <f t="shared" ca="1" si="10"/>
        <v>30.861500885967409</v>
      </c>
      <c r="K47" s="2">
        <f t="shared" ca="1" si="10"/>
        <v>30.491683079150086</v>
      </c>
      <c r="L47" s="2">
        <f t="shared" ca="1" si="10"/>
        <v>33.314353450420533</v>
      </c>
      <c r="M47" s="2">
        <f t="shared" ca="1" si="10"/>
        <v>30.226585371635259</v>
      </c>
      <c r="N47" s="2">
        <f t="shared" ca="1" si="10"/>
        <v>32.804069085126386</v>
      </c>
      <c r="O47" s="2">
        <f t="shared" ca="1" si="10"/>
        <v>33.023629723644284</v>
      </c>
      <c r="P47" s="2">
        <f t="shared" ca="1" si="10"/>
        <v>29.256828193136826</v>
      </c>
      <c r="Q47" s="2">
        <f t="shared" ca="1" si="10"/>
        <v>28.530580874584768</v>
      </c>
      <c r="R47" s="2">
        <f t="shared" ca="1" si="10"/>
        <v>31.898899334883147</v>
      </c>
      <c r="S47" s="2">
        <f t="shared" ca="1" si="10"/>
        <v>25.801969960272608</v>
      </c>
      <c r="T47" s="2">
        <f t="shared" ca="1" si="10"/>
        <v>26.832413379617797</v>
      </c>
      <c r="U47" s="2">
        <f t="shared" ca="1" si="10"/>
        <v>26.620589099246814</v>
      </c>
      <c r="V47" s="2">
        <f t="shared" ca="1" si="10"/>
        <v>33.049514859693041</v>
      </c>
      <c r="W47" s="2">
        <f t="shared" ca="1" si="10"/>
        <v>30.521483365471699</v>
      </c>
      <c r="X47" s="2">
        <f t="shared" ca="1" si="10"/>
        <v>32.503718098642558</v>
      </c>
      <c r="Y47" s="2">
        <f t="shared" ca="1" si="10"/>
        <v>25.744031894480067</v>
      </c>
      <c r="Z47" s="2">
        <f t="shared" ca="1" si="10"/>
        <v>27.234323079941554</v>
      </c>
      <c r="AA47" s="2">
        <f t="shared" ca="1" si="10"/>
        <v>34.724878713909291</v>
      </c>
      <c r="AB47" s="2">
        <f t="shared" ca="1" si="10"/>
        <v>33.994683836288374</v>
      </c>
      <c r="AC47" s="2">
        <f t="shared" ca="1" si="10"/>
        <v>34.880440087232529</v>
      </c>
      <c r="AD47" s="2">
        <f t="shared" ca="1" si="10"/>
        <v>30.308519858168843</v>
      </c>
      <c r="AE47" s="2">
        <f t="shared" ca="1" si="10"/>
        <v>27.1857347217734</v>
      </c>
      <c r="AF47" s="2">
        <f t="shared" ca="1" si="10"/>
        <v>30.00953369908304</v>
      </c>
      <c r="AG47" s="2">
        <f t="shared" ca="1" si="10"/>
        <v>26.503585667207126</v>
      </c>
      <c r="AH47" s="2">
        <f t="shared" ca="1" si="10"/>
        <v>32.848817224722644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32.768332894879755</v>
      </c>
      <c r="D48" s="2">
        <f t="shared" ca="1" si="10"/>
        <v>27.562368444085589</v>
      </c>
      <c r="E48" s="2">
        <f t="shared" ca="1" si="10"/>
        <v>30.480183504200596</v>
      </c>
      <c r="F48" s="2">
        <f t="shared" ca="1" si="10"/>
        <v>34.008159373614674</v>
      </c>
      <c r="G48" s="2">
        <f t="shared" ca="1" si="10"/>
        <v>27.674066007299892</v>
      </c>
      <c r="H48" s="2">
        <f t="shared" ca="1" si="10"/>
        <v>33.632208284936922</v>
      </c>
      <c r="I48" s="2">
        <f t="shared" ca="1" si="10"/>
        <v>28.431505102111739</v>
      </c>
      <c r="J48" s="2">
        <f t="shared" ca="1" si="10"/>
        <v>34.835640688696671</v>
      </c>
      <c r="K48" s="2">
        <f t="shared" ca="1" si="10"/>
        <v>29.347936041535966</v>
      </c>
      <c r="L48" s="2">
        <f t="shared" ca="1" si="10"/>
        <v>25.966434508144715</v>
      </c>
      <c r="M48" s="2">
        <f t="shared" ca="1" si="10"/>
        <v>30.858205139486799</v>
      </c>
      <c r="N48" s="2">
        <f t="shared" ca="1" si="10"/>
        <v>25.855882050800467</v>
      </c>
      <c r="O48" s="2">
        <f t="shared" ca="1" si="10"/>
        <v>30.243501557401377</v>
      </c>
      <c r="P48" s="2">
        <f t="shared" ca="1" si="10"/>
        <v>30.752009362437835</v>
      </c>
      <c r="Q48" s="2">
        <f t="shared" ca="1" si="10"/>
        <v>29.933559613953555</v>
      </c>
      <c r="R48" s="2">
        <f t="shared" ca="1" si="10"/>
        <v>25.04672409414697</v>
      </c>
      <c r="S48" s="2">
        <f t="shared" ca="1" si="10"/>
        <v>28.951228998499026</v>
      </c>
      <c r="T48" s="2">
        <f t="shared" ca="1" si="10"/>
        <v>32.809418600160846</v>
      </c>
      <c r="U48" s="2">
        <f t="shared" ca="1" si="10"/>
        <v>27.123257949137141</v>
      </c>
      <c r="V48" s="2">
        <f t="shared" ca="1" si="10"/>
        <v>28.162129102300536</v>
      </c>
      <c r="W48" s="2">
        <f t="shared" ca="1" si="10"/>
        <v>28.209768440706696</v>
      </c>
      <c r="X48" s="2">
        <f t="shared" ca="1" si="10"/>
        <v>33.429762729852477</v>
      </c>
      <c r="Y48" s="2">
        <f t="shared" ca="1" si="10"/>
        <v>30.329178763790559</v>
      </c>
      <c r="Z48" s="2">
        <f t="shared" ca="1" si="10"/>
        <v>30.886021283446571</v>
      </c>
      <c r="AA48" s="2">
        <f t="shared" ca="1" si="10"/>
        <v>34.964848671659958</v>
      </c>
      <c r="AB48" s="2">
        <f t="shared" ca="1" si="10"/>
        <v>30.42029733241931</v>
      </c>
      <c r="AC48" s="2">
        <f t="shared" ca="1" si="10"/>
        <v>26.860006595393564</v>
      </c>
      <c r="AD48" s="2">
        <f t="shared" ca="1" si="10"/>
        <v>27.227459355393894</v>
      </c>
      <c r="AE48" s="2">
        <f t="shared" ca="1" si="10"/>
        <v>28.541478680245529</v>
      </c>
      <c r="AF48" s="2">
        <f t="shared" ca="1" si="10"/>
        <v>34.888876133159854</v>
      </c>
      <c r="AG48" s="2">
        <f t="shared" ca="1" si="10"/>
        <v>26.520834109519743</v>
      </c>
      <c r="AH48" s="2">
        <f t="shared" ca="1" si="10"/>
        <v>33.454933128858301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28.293470776840653</v>
      </c>
      <c r="D49" s="2">
        <f t="shared" ca="1" si="10"/>
        <v>25.402777193046575</v>
      </c>
      <c r="E49" s="2">
        <f t="shared" ca="1" si="10"/>
        <v>28.218521674082808</v>
      </c>
      <c r="F49" s="2">
        <f t="shared" ca="1" si="10"/>
        <v>31.812538721606497</v>
      </c>
      <c r="G49" s="2">
        <f t="shared" ca="1" si="10"/>
        <v>27.878085284274281</v>
      </c>
      <c r="H49" s="2">
        <f t="shared" ca="1" si="10"/>
        <v>25.775262612119306</v>
      </c>
      <c r="I49" s="2">
        <f t="shared" ca="1" si="10"/>
        <v>28.903497930527138</v>
      </c>
      <c r="J49" s="2">
        <f t="shared" ca="1" si="10"/>
        <v>29.567670570098528</v>
      </c>
      <c r="K49" s="2">
        <f t="shared" ca="1" si="10"/>
        <v>29.285405684195812</v>
      </c>
      <c r="L49" s="2">
        <f t="shared" ca="1" si="10"/>
        <v>34.283546340113389</v>
      </c>
      <c r="M49" s="2">
        <f t="shared" ca="1" si="10"/>
        <v>25.877646669158242</v>
      </c>
      <c r="N49" s="2">
        <f t="shared" ca="1" si="10"/>
        <v>31.899559332663777</v>
      </c>
      <c r="O49" s="2">
        <f t="shared" ca="1" si="10"/>
        <v>26.733504628239931</v>
      </c>
      <c r="P49" s="2">
        <f t="shared" ca="1" si="10"/>
        <v>31.58605817484289</v>
      </c>
      <c r="Q49" s="2">
        <f t="shared" ca="1" si="10"/>
        <v>33.077525891761248</v>
      </c>
      <c r="R49" s="2">
        <f t="shared" ca="1" si="10"/>
        <v>32.330644361907922</v>
      </c>
      <c r="S49" s="2">
        <f t="shared" ca="1" si="10"/>
        <v>25.97896100903483</v>
      </c>
      <c r="T49" s="2">
        <f t="shared" ca="1" si="10"/>
        <v>34.783043631599703</v>
      </c>
      <c r="U49" s="2">
        <f t="shared" ca="1" si="10"/>
        <v>27.943505437229827</v>
      </c>
      <c r="V49" s="2">
        <f t="shared" ca="1" si="10"/>
        <v>26.882226139170839</v>
      </c>
      <c r="W49" s="2">
        <f t="shared" ca="1" si="10"/>
        <v>33.388395372551813</v>
      </c>
      <c r="X49" s="2">
        <f t="shared" ca="1" si="10"/>
        <v>31.468891330939286</v>
      </c>
      <c r="Y49" s="2">
        <f t="shared" ca="1" si="10"/>
        <v>29.186482572442873</v>
      </c>
      <c r="Z49" s="2">
        <f t="shared" ca="1" si="10"/>
        <v>30.165856410614932</v>
      </c>
      <c r="AA49" s="2">
        <f t="shared" ca="1" si="10"/>
        <v>31.302694486603542</v>
      </c>
      <c r="AB49" s="2">
        <f t="shared" ca="1" si="10"/>
        <v>27.756983608662445</v>
      </c>
      <c r="AC49" s="2">
        <f t="shared" ca="1" si="10"/>
        <v>32.131724637565249</v>
      </c>
      <c r="AD49" s="2">
        <f t="shared" ca="1" si="10"/>
        <v>27.151826269361056</v>
      </c>
      <c r="AE49" s="2">
        <f t="shared" ca="1" si="10"/>
        <v>30.088320004141664</v>
      </c>
      <c r="AF49" s="2">
        <f t="shared" ca="1" si="10"/>
        <v>26.185816927661719</v>
      </c>
      <c r="AG49" s="2">
        <f t="shared" ca="1" si="10"/>
        <v>30.544656960384028</v>
      </c>
      <c r="AH49" s="2">
        <f t="shared" ca="1" si="10"/>
        <v>34.215376882599742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32.679188594556486</v>
      </c>
      <c r="D50" s="2">
        <f t="shared" ca="1" si="10"/>
        <v>28.045134946833066</v>
      </c>
      <c r="E50" s="2">
        <f t="shared" ca="1" si="10"/>
        <v>27.832921168299944</v>
      </c>
      <c r="F50" s="2">
        <f t="shared" ca="1" si="10"/>
        <v>30.549719650543132</v>
      </c>
      <c r="G50" s="2">
        <f t="shared" ca="1" si="10"/>
        <v>33.483089042097745</v>
      </c>
      <c r="H50" s="2">
        <f t="shared" ca="1" si="10"/>
        <v>33.824130018556708</v>
      </c>
      <c r="I50" s="2">
        <f t="shared" ca="1" si="10"/>
        <v>25.47005471138343</v>
      </c>
      <c r="J50" s="2">
        <f t="shared" ca="1" si="10"/>
        <v>32.33366510428602</v>
      </c>
      <c r="K50" s="2">
        <f t="shared" ca="1" si="10"/>
        <v>30.034287034353369</v>
      </c>
      <c r="L50" s="2">
        <f t="shared" ca="1" si="10"/>
        <v>25.169792116397801</v>
      </c>
      <c r="M50" s="2">
        <f t="shared" ca="1" si="10"/>
        <v>25.0819308452615</v>
      </c>
      <c r="N50" s="2">
        <f t="shared" ca="1" si="10"/>
        <v>32.79761977206401</v>
      </c>
      <c r="O50" s="2">
        <f t="shared" ca="1" si="10"/>
        <v>27.176766568832559</v>
      </c>
      <c r="P50" s="2">
        <f t="shared" ca="1" si="10"/>
        <v>29.587609597364306</v>
      </c>
      <c r="Q50" s="2">
        <f t="shared" ca="1" si="10"/>
        <v>28.014995258404944</v>
      </c>
      <c r="R50" s="2">
        <f t="shared" ca="1" si="10"/>
        <v>32.945433700380264</v>
      </c>
      <c r="S50" s="2">
        <f t="shared" ca="1" si="10"/>
        <v>29.095694904006155</v>
      </c>
      <c r="T50" s="2">
        <f t="shared" ca="1" si="10"/>
        <v>29.61038768467251</v>
      </c>
      <c r="U50" s="2">
        <f t="shared" ca="1" si="10"/>
        <v>30.194803489350992</v>
      </c>
      <c r="V50" s="2">
        <f t="shared" ca="1" si="10"/>
        <v>27.107857212160766</v>
      </c>
      <c r="W50" s="2">
        <f t="shared" ca="1" si="10"/>
        <v>31.123129959298982</v>
      </c>
      <c r="X50" s="2">
        <f t="shared" ca="1" si="10"/>
        <v>25.298281092488967</v>
      </c>
      <c r="Y50" s="2">
        <f t="shared" ca="1" si="10"/>
        <v>33.812226420757611</v>
      </c>
      <c r="Z50" s="2">
        <f t="shared" ca="1" si="10"/>
        <v>32.422024263621147</v>
      </c>
      <c r="AA50" s="2">
        <f t="shared" ca="1" si="10"/>
        <v>27.677715004548091</v>
      </c>
      <c r="AB50" s="2">
        <f t="shared" ca="1" si="10"/>
        <v>31.873790044903743</v>
      </c>
      <c r="AC50" s="2">
        <f t="shared" ca="1" si="10"/>
        <v>32.117321276334195</v>
      </c>
      <c r="AD50" s="2">
        <f t="shared" ca="1" si="10"/>
        <v>28.825045684135269</v>
      </c>
      <c r="AE50" s="2">
        <f t="shared" ca="1" si="10"/>
        <v>31.381651564775758</v>
      </c>
      <c r="AF50" s="2">
        <f t="shared" ca="1" si="10"/>
        <v>34.681398015632034</v>
      </c>
      <c r="AG50" s="2">
        <f t="shared" ca="1" si="10"/>
        <v>28.915638180481416</v>
      </c>
      <c r="AH50" s="2">
        <f t="shared" ca="1" si="10"/>
        <v>25.279360890854022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30.39471192138965</v>
      </c>
      <c r="D51" s="2">
        <f t="shared" ca="1" si="10"/>
        <v>34.572333601081475</v>
      </c>
      <c r="E51" s="2">
        <f t="shared" ca="1" si="10"/>
        <v>29.823828922653345</v>
      </c>
      <c r="F51" s="2">
        <f t="shared" ca="1" si="10"/>
        <v>34.465509184778099</v>
      </c>
      <c r="G51" s="2">
        <f t="shared" ca="1" si="10"/>
        <v>28.763252037794427</v>
      </c>
      <c r="H51" s="2">
        <f t="shared" ca="1" si="10"/>
        <v>33.153570074170418</v>
      </c>
      <c r="I51" s="2">
        <f t="shared" ca="1" si="10"/>
        <v>28.572975410141972</v>
      </c>
      <c r="J51" s="2">
        <f t="shared" ref="J51:Y68" ca="1" si="11">(RAND()*1+2.5)*10</f>
        <v>29.810098567130531</v>
      </c>
      <c r="K51" s="2">
        <f t="shared" ca="1" si="11"/>
        <v>27.179680768580774</v>
      </c>
      <c r="L51" s="2">
        <f t="shared" ca="1" si="11"/>
        <v>31.017550116580917</v>
      </c>
      <c r="M51" s="2">
        <f t="shared" ca="1" si="11"/>
        <v>29.039572202151174</v>
      </c>
      <c r="N51" s="2">
        <f t="shared" ca="1" si="11"/>
        <v>33.39482364603478</v>
      </c>
      <c r="O51" s="2">
        <f t="shared" ca="1" si="11"/>
        <v>33.818604369376025</v>
      </c>
      <c r="P51" s="2">
        <f t="shared" ca="1" si="11"/>
        <v>34.761468620312456</v>
      </c>
      <c r="Q51" s="2">
        <f t="shared" ca="1" si="11"/>
        <v>31.847686279820326</v>
      </c>
      <c r="R51" s="2">
        <f t="shared" ca="1" si="11"/>
        <v>26.829346551009763</v>
      </c>
      <c r="S51" s="2">
        <f t="shared" ca="1" si="11"/>
        <v>31.228066421563916</v>
      </c>
      <c r="T51" s="2">
        <f t="shared" ca="1" si="11"/>
        <v>28.614967925049388</v>
      </c>
      <c r="U51" s="2">
        <f t="shared" ca="1" si="11"/>
        <v>25.690175394632639</v>
      </c>
      <c r="V51" s="2">
        <f t="shared" ca="1" si="11"/>
        <v>32.229277932010817</v>
      </c>
      <c r="W51" s="2">
        <f t="shared" ca="1" si="11"/>
        <v>25.870326374164165</v>
      </c>
      <c r="X51" s="2">
        <f t="shared" ca="1" si="11"/>
        <v>31.285885239175396</v>
      </c>
      <c r="Y51" s="2">
        <f t="shared" ca="1" si="11"/>
        <v>25.198826891483929</v>
      </c>
      <c r="Z51" s="2">
        <f t="shared" ref="Z51:AH68" ca="1" si="12">(RAND()*1+2.5)*10</f>
        <v>33.161770994287352</v>
      </c>
      <c r="AA51" s="2">
        <f t="shared" ca="1" si="12"/>
        <v>29.237611685255949</v>
      </c>
      <c r="AB51" s="2">
        <f t="shared" ca="1" si="12"/>
        <v>29.922475076018323</v>
      </c>
      <c r="AC51" s="2">
        <f t="shared" ca="1" si="12"/>
        <v>27.431821688602565</v>
      </c>
      <c r="AD51" s="2">
        <f t="shared" ca="1" si="12"/>
        <v>32.4288322372553</v>
      </c>
      <c r="AE51" s="2">
        <f t="shared" ca="1" si="12"/>
        <v>25.318044336028393</v>
      </c>
      <c r="AF51" s="2">
        <f t="shared" ca="1" si="12"/>
        <v>32.671976225572919</v>
      </c>
      <c r="AG51" s="2">
        <f t="shared" ca="1" si="12"/>
        <v>28.442837717441151</v>
      </c>
      <c r="AH51" s="2">
        <f t="shared" ca="1" si="12"/>
        <v>33.65306442195255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33.948422389105744</v>
      </c>
      <c r="D52" s="2">
        <f t="shared" ca="1" si="9"/>
        <v>34.269260058148994</v>
      </c>
      <c r="E52" s="2">
        <f t="shared" ca="1" si="9"/>
        <v>25.988802328974543</v>
      </c>
      <c r="F52" s="2">
        <f t="shared" ca="1" si="9"/>
        <v>31.198058590370433</v>
      </c>
      <c r="G52" s="2">
        <f t="shared" ca="1" si="9"/>
        <v>32.181792084060291</v>
      </c>
      <c r="H52" s="2">
        <f t="shared" ca="1" si="9"/>
        <v>31.567695269897492</v>
      </c>
      <c r="I52" s="2">
        <f t="shared" ref="I52:X68" ca="1" si="13">(RAND()*1+2.5)*10</f>
        <v>33.136741206141529</v>
      </c>
      <c r="J52" s="2">
        <f t="shared" ca="1" si="13"/>
        <v>31.250434677157628</v>
      </c>
      <c r="K52" s="2">
        <f t="shared" ca="1" si="13"/>
        <v>27.976232039437473</v>
      </c>
      <c r="L52" s="2">
        <f t="shared" ca="1" si="13"/>
        <v>27.638787334112731</v>
      </c>
      <c r="M52" s="2">
        <f t="shared" ca="1" si="13"/>
        <v>34.880425078408763</v>
      </c>
      <c r="N52" s="2">
        <f t="shared" ca="1" si="13"/>
        <v>29.939688423166764</v>
      </c>
      <c r="O52" s="2">
        <f t="shared" ca="1" si="13"/>
        <v>32.267478298040416</v>
      </c>
      <c r="P52" s="2">
        <f t="shared" ca="1" si="13"/>
        <v>31.844878794069345</v>
      </c>
      <c r="Q52" s="2">
        <f t="shared" ca="1" si="13"/>
        <v>32.094279172264642</v>
      </c>
      <c r="R52" s="2">
        <f t="shared" ca="1" si="13"/>
        <v>30.043551463279591</v>
      </c>
      <c r="S52" s="2">
        <f t="shared" ca="1" si="13"/>
        <v>31.337363150921085</v>
      </c>
      <c r="T52" s="2">
        <f t="shared" ca="1" si="13"/>
        <v>31.331859715834881</v>
      </c>
      <c r="U52" s="2">
        <f t="shared" ca="1" si="13"/>
        <v>31.762305086404314</v>
      </c>
      <c r="V52" s="2">
        <f t="shared" ca="1" si="13"/>
        <v>25.415726932309539</v>
      </c>
      <c r="W52" s="2">
        <f t="shared" ca="1" si="13"/>
        <v>33.987834843183528</v>
      </c>
      <c r="X52" s="2">
        <f t="shared" ca="1" si="13"/>
        <v>25.227066674565751</v>
      </c>
      <c r="Y52" s="2">
        <f t="shared" ca="1" si="11"/>
        <v>27.374621035293011</v>
      </c>
      <c r="Z52" s="2">
        <f t="shared" ca="1" si="12"/>
        <v>31.315374362665299</v>
      </c>
      <c r="AA52" s="2">
        <f t="shared" ca="1" si="12"/>
        <v>31.4420732815191</v>
      </c>
      <c r="AB52" s="2">
        <f t="shared" ca="1" si="12"/>
        <v>28.503665798260513</v>
      </c>
      <c r="AC52" s="2">
        <f t="shared" ca="1" si="12"/>
        <v>28.161277386435231</v>
      </c>
      <c r="AD52" s="2">
        <f t="shared" ca="1" si="12"/>
        <v>32.260929899164211</v>
      </c>
      <c r="AE52" s="2">
        <f t="shared" ca="1" si="12"/>
        <v>32.176405349345565</v>
      </c>
      <c r="AF52" s="2">
        <f t="shared" ca="1" si="12"/>
        <v>28.85086739748585</v>
      </c>
      <c r="AG52" s="2">
        <f t="shared" ca="1" si="12"/>
        <v>33.224127745054595</v>
      </c>
      <c r="AH52" s="2">
        <f t="shared" ca="1" si="12"/>
        <v>32.049190996050939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(RAND()*1+2.5)*10</f>
        <v>34.885926256307336</v>
      </c>
      <c r="D53" s="2">
        <f t="shared" ca="1" si="14"/>
        <v>33.048222047058829</v>
      </c>
      <c r="E53" s="2">
        <f t="shared" ca="1" si="14"/>
        <v>28.17287935278457</v>
      </c>
      <c r="F53" s="2">
        <f t="shared" ca="1" si="14"/>
        <v>27.497160617567054</v>
      </c>
      <c r="G53" s="2">
        <f t="shared" ca="1" si="14"/>
        <v>34.212604517820274</v>
      </c>
      <c r="H53" s="2">
        <f t="shared" ca="1" si="14"/>
        <v>32.566521078981836</v>
      </c>
      <c r="I53" s="2">
        <f t="shared" ca="1" si="14"/>
        <v>26.814589220122663</v>
      </c>
      <c r="J53" s="2">
        <f t="shared" ca="1" si="14"/>
        <v>25.005606655661481</v>
      </c>
      <c r="K53" s="2">
        <f t="shared" ca="1" si="14"/>
        <v>25.011542069510583</v>
      </c>
      <c r="L53" s="2">
        <f t="shared" ca="1" si="14"/>
        <v>31.973549194534144</v>
      </c>
      <c r="M53" s="2">
        <f t="shared" ca="1" si="14"/>
        <v>34.392750728383845</v>
      </c>
      <c r="N53" s="2">
        <f t="shared" ca="1" si="14"/>
        <v>33.222368849856892</v>
      </c>
      <c r="O53" s="2">
        <f t="shared" ca="1" si="14"/>
        <v>28.333072140896899</v>
      </c>
      <c r="P53" s="2">
        <f t="shared" ca="1" si="14"/>
        <v>34.058239506616907</v>
      </c>
      <c r="Q53" s="2">
        <f t="shared" ca="1" si="14"/>
        <v>27.183092625260116</v>
      </c>
      <c r="R53" s="2">
        <f t="shared" ca="1" si="14"/>
        <v>25.203145776895937</v>
      </c>
      <c r="S53" s="2">
        <f t="shared" ca="1" si="13"/>
        <v>26.751244047695035</v>
      </c>
      <c r="T53" s="2">
        <f t="shared" ca="1" si="13"/>
        <v>27.070969993384146</v>
      </c>
      <c r="U53" s="2">
        <f t="shared" ca="1" si="13"/>
        <v>34.455644033101279</v>
      </c>
      <c r="V53" s="2">
        <f t="shared" ca="1" si="13"/>
        <v>29.208585873747744</v>
      </c>
      <c r="W53" s="2">
        <f t="shared" ca="1" si="13"/>
        <v>29.941649925710205</v>
      </c>
      <c r="X53" s="2">
        <f t="shared" ca="1" si="13"/>
        <v>32.738092206740184</v>
      </c>
      <c r="Y53" s="2">
        <f t="shared" ca="1" si="11"/>
        <v>28.033828509077669</v>
      </c>
      <c r="Z53" s="2">
        <f t="shared" ca="1" si="12"/>
        <v>28.557677615331144</v>
      </c>
      <c r="AA53" s="2">
        <f t="shared" ca="1" si="12"/>
        <v>33.710867809958287</v>
      </c>
      <c r="AB53" s="2">
        <f t="shared" ca="1" si="12"/>
        <v>27.115437156373826</v>
      </c>
      <c r="AC53" s="2">
        <f t="shared" ca="1" si="12"/>
        <v>33.658061336057735</v>
      </c>
      <c r="AD53" s="2">
        <f t="shared" ca="1" si="12"/>
        <v>34.842189977276306</v>
      </c>
      <c r="AE53" s="2">
        <f t="shared" ca="1" si="12"/>
        <v>31.129015589761959</v>
      </c>
      <c r="AF53" s="2">
        <f t="shared" ca="1" si="12"/>
        <v>28.233731797562559</v>
      </c>
      <c r="AG53" s="2">
        <f t="shared" ca="1" si="12"/>
        <v>33.782364585553424</v>
      </c>
      <c r="AH53" s="2">
        <f t="shared" ca="1" si="12"/>
        <v>33.277059903042463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30.575916949222851</v>
      </c>
      <c r="D54" s="2">
        <f t="shared" ca="1" si="14"/>
        <v>31.830252571388531</v>
      </c>
      <c r="E54" s="2">
        <f t="shared" ca="1" si="14"/>
        <v>34.73547721681043</v>
      </c>
      <c r="F54" s="2">
        <f t="shared" ca="1" si="14"/>
        <v>30.917407378358771</v>
      </c>
      <c r="G54" s="2">
        <f t="shared" ca="1" si="14"/>
        <v>33.699860398109571</v>
      </c>
      <c r="H54" s="2">
        <f t="shared" ca="1" si="14"/>
        <v>30.093538963035613</v>
      </c>
      <c r="I54" s="2">
        <f t="shared" ca="1" si="14"/>
        <v>34.046728398246344</v>
      </c>
      <c r="J54" s="2">
        <f t="shared" ca="1" si="14"/>
        <v>26.038991064693931</v>
      </c>
      <c r="K54" s="2">
        <f t="shared" ca="1" si="14"/>
        <v>33.973808885065694</v>
      </c>
      <c r="L54" s="2">
        <f t="shared" ca="1" si="14"/>
        <v>32.229120350856739</v>
      </c>
      <c r="M54" s="2">
        <f t="shared" ca="1" si="14"/>
        <v>28.546209606131853</v>
      </c>
      <c r="N54" s="2">
        <f t="shared" ca="1" si="14"/>
        <v>33.898910549967766</v>
      </c>
      <c r="O54" s="2">
        <f t="shared" ca="1" si="14"/>
        <v>31.884367517178759</v>
      </c>
      <c r="P54" s="2">
        <f t="shared" ca="1" si="14"/>
        <v>29.881603927018961</v>
      </c>
      <c r="Q54" s="2">
        <f t="shared" ca="1" si="14"/>
        <v>30.56005123370937</v>
      </c>
      <c r="R54" s="2">
        <f t="shared" ca="1" si="14"/>
        <v>33.188813492964641</v>
      </c>
      <c r="S54" s="2">
        <f t="shared" ca="1" si="13"/>
        <v>26.996747625709364</v>
      </c>
      <c r="T54" s="2">
        <f t="shared" ca="1" si="13"/>
        <v>26.457131794145859</v>
      </c>
      <c r="U54" s="2">
        <f t="shared" ca="1" si="13"/>
        <v>25.2468522004731</v>
      </c>
      <c r="V54" s="2">
        <f t="shared" ca="1" si="13"/>
        <v>31.507516972517603</v>
      </c>
      <c r="W54" s="2">
        <f t="shared" ca="1" si="13"/>
        <v>32.039769338231174</v>
      </c>
      <c r="X54" s="2">
        <f t="shared" ca="1" si="13"/>
        <v>33.514009177764848</v>
      </c>
      <c r="Y54" s="2">
        <f t="shared" ca="1" si="11"/>
        <v>29.904210643982214</v>
      </c>
      <c r="Z54" s="2">
        <f t="shared" ca="1" si="12"/>
        <v>31.921893060335329</v>
      </c>
      <c r="AA54" s="2">
        <f t="shared" ca="1" si="12"/>
        <v>29.540642382868469</v>
      </c>
      <c r="AB54" s="2">
        <f t="shared" ca="1" si="12"/>
        <v>25.930024473042401</v>
      </c>
      <c r="AC54" s="2">
        <f t="shared" ca="1" si="12"/>
        <v>33.621594478571346</v>
      </c>
      <c r="AD54" s="2">
        <f t="shared" ca="1" si="12"/>
        <v>25.838207139956584</v>
      </c>
      <c r="AE54" s="2">
        <f t="shared" ca="1" si="12"/>
        <v>33.620995810314483</v>
      </c>
      <c r="AF54" s="2">
        <f t="shared" ca="1" si="12"/>
        <v>33.725900129261014</v>
      </c>
      <c r="AG54" s="2">
        <f t="shared" ca="1" si="12"/>
        <v>30.652035661692885</v>
      </c>
      <c r="AH54" s="2">
        <f t="shared" ca="1" si="12"/>
        <v>33.582575908433704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32.257384554813022</v>
      </c>
      <c r="D55" s="2">
        <f t="shared" ca="1" si="14"/>
        <v>32.943986306431931</v>
      </c>
      <c r="E55" s="2">
        <f t="shared" ca="1" si="14"/>
        <v>28.017586665015575</v>
      </c>
      <c r="F55" s="2">
        <f t="shared" ca="1" si="14"/>
        <v>30.521187264756371</v>
      </c>
      <c r="G55" s="2">
        <f t="shared" ca="1" si="14"/>
        <v>26.487685126789184</v>
      </c>
      <c r="H55" s="2">
        <f t="shared" ca="1" si="14"/>
        <v>34.335966338881462</v>
      </c>
      <c r="I55" s="2">
        <f t="shared" ca="1" si="14"/>
        <v>34.626259549925933</v>
      </c>
      <c r="J55" s="2">
        <f t="shared" ca="1" si="14"/>
        <v>29.715179483259178</v>
      </c>
      <c r="K55" s="2">
        <f t="shared" ca="1" si="14"/>
        <v>25.489264007611496</v>
      </c>
      <c r="L55" s="2">
        <f t="shared" ca="1" si="14"/>
        <v>26.096332456737947</v>
      </c>
      <c r="M55" s="2">
        <f t="shared" ca="1" si="14"/>
        <v>30.484697965122045</v>
      </c>
      <c r="N55" s="2">
        <f t="shared" ca="1" si="14"/>
        <v>34.358589754679848</v>
      </c>
      <c r="O55" s="2">
        <f t="shared" ca="1" si="14"/>
        <v>26.293100913945562</v>
      </c>
      <c r="P55" s="2">
        <f t="shared" ca="1" si="14"/>
        <v>28.494364128000068</v>
      </c>
      <c r="Q55" s="2">
        <f t="shared" ca="1" si="14"/>
        <v>26.333701620320152</v>
      </c>
      <c r="R55" s="2">
        <f t="shared" ca="1" si="14"/>
        <v>31.526956886474249</v>
      </c>
      <c r="S55" s="2">
        <f t="shared" ca="1" si="13"/>
        <v>29.823010976748698</v>
      </c>
      <c r="T55" s="2">
        <f t="shared" ca="1" si="13"/>
        <v>33.240733977476026</v>
      </c>
      <c r="U55" s="2">
        <f t="shared" ca="1" si="13"/>
        <v>33.965636821707086</v>
      </c>
      <c r="V55" s="2">
        <f t="shared" ca="1" si="13"/>
        <v>31.871805157913784</v>
      </c>
      <c r="W55" s="2">
        <f t="shared" ca="1" si="13"/>
        <v>27.870190314182807</v>
      </c>
      <c r="X55" s="2">
        <f t="shared" ca="1" si="13"/>
        <v>34.402824050479538</v>
      </c>
      <c r="Y55" s="2">
        <f t="shared" ca="1" si="11"/>
        <v>27.517407530123023</v>
      </c>
      <c r="Z55" s="2">
        <f t="shared" ca="1" si="12"/>
        <v>25.652214064036151</v>
      </c>
      <c r="AA55" s="2">
        <f t="shared" ca="1" si="12"/>
        <v>30.162060749734081</v>
      </c>
      <c r="AB55" s="2">
        <f t="shared" ca="1" si="12"/>
        <v>26.269916757720722</v>
      </c>
      <c r="AC55" s="2">
        <f t="shared" ca="1" si="12"/>
        <v>31.311690782283797</v>
      </c>
      <c r="AD55" s="2">
        <f t="shared" ca="1" si="12"/>
        <v>30.487517855851742</v>
      </c>
      <c r="AE55" s="2">
        <f t="shared" ca="1" si="12"/>
        <v>29.057421094088657</v>
      </c>
      <c r="AF55" s="2">
        <f t="shared" ca="1" si="12"/>
        <v>27.028397462616248</v>
      </c>
      <c r="AG55" s="2">
        <f t="shared" ca="1" si="12"/>
        <v>31.599909665534341</v>
      </c>
      <c r="AH55" s="2">
        <f t="shared" ca="1" si="12"/>
        <v>31.959987169316186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29.249719376229081</v>
      </c>
      <c r="D56" s="2">
        <f t="shared" ca="1" si="14"/>
        <v>26.062720664827033</v>
      </c>
      <c r="E56" s="2">
        <f t="shared" ca="1" si="14"/>
        <v>31.664292585533268</v>
      </c>
      <c r="F56" s="2">
        <f t="shared" ca="1" si="14"/>
        <v>33.303290651656113</v>
      </c>
      <c r="G56" s="2">
        <f t="shared" ca="1" si="14"/>
        <v>29.632791561175051</v>
      </c>
      <c r="H56" s="2">
        <f t="shared" ca="1" si="14"/>
        <v>34.839228340923384</v>
      </c>
      <c r="I56" s="2">
        <f t="shared" ca="1" si="14"/>
        <v>25.207216147468081</v>
      </c>
      <c r="J56" s="2">
        <f t="shared" ca="1" si="14"/>
        <v>33.228983691973902</v>
      </c>
      <c r="K56" s="2">
        <f t="shared" ca="1" si="14"/>
        <v>28.597993011718145</v>
      </c>
      <c r="L56" s="2">
        <f t="shared" ca="1" si="14"/>
        <v>34.973063862039673</v>
      </c>
      <c r="M56" s="2">
        <f t="shared" ca="1" si="14"/>
        <v>27.773762920255063</v>
      </c>
      <c r="N56" s="2">
        <f t="shared" ca="1" si="14"/>
        <v>28.023405192176334</v>
      </c>
      <c r="O56" s="2">
        <f t="shared" ca="1" si="14"/>
        <v>32.42732306055143</v>
      </c>
      <c r="P56" s="2">
        <f t="shared" ca="1" si="14"/>
        <v>25.476691973356623</v>
      </c>
      <c r="Q56" s="2">
        <f t="shared" ca="1" si="14"/>
        <v>31.753274020995544</v>
      </c>
      <c r="R56" s="2">
        <f t="shared" ca="1" si="14"/>
        <v>26.2462424835355</v>
      </c>
      <c r="S56" s="2">
        <f t="shared" ca="1" si="13"/>
        <v>27.018819768283606</v>
      </c>
      <c r="T56" s="2">
        <f t="shared" ca="1" si="13"/>
        <v>29.22476100173661</v>
      </c>
      <c r="U56" s="2">
        <f t="shared" ca="1" si="13"/>
        <v>30.502557523234092</v>
      </c>
      <c r="V56" s="2">
        <f t="shared" ca="1" si="13"/>
        <v>29.757886272910021</v>
      </c>
      <c r="W56" s="2">
        <f t="shared" ca="1" si="13"/>
        <v>28.945538100657551</v>
      </c>
      <c r="X56" s="2">
        <f t="shared" ca="1" si="13"/>
        <v>32.093309307040542</v>
      </c>
      <c r="Y56" s="2">
        <f t="shared" ca="1" si="11"/>
        <v>28.461916295812138</v>
      </c>
      <c r="Z56" s="2">
        <f t="shared" ca="1" si="12"/>
        <v>28.293698987815532</v>
      </c>
      <c r="AA56" s="2">
        <f t="shared" ca="1" si="12"/>
        <v>34.902812142653488</v>
      </c>
      <c r="AB56" s="2">
        <f t="shared" ca="1" si="12"/>
        <v>29.183752247734759</v>
      </c>
      <c r="AC56" s="2">
        <f t="shared" ca="1" si="12"/>
        <v>26.95520639890438</v>
      </c>
      <c r="AD56" s="2">
        <f t="shared" ca="1" si="12"/>
        <v>27.636380339169826</v>
      </c>
      <c r="AE56" s="2">
        <f t="shared" ca="1" si="12"/>
        <v>29.191826098922277</v>
      </c>
      <c r="AF56" s="2">
        <f t="shared" ca="1" si="12"/>
        <v>32.069956281804266</v>
      </c>
      <c r="AG56" s="2">
        <f t="shared" ca="1" si="12"/>
        <v>29.022047750284536</v>
      </c>
      <c r="AH56" s="2">
        <f t="shared" ca="1" si="12"/>
        <v>27.322608065154149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32.42747291524261</v>
      </c>
      <c r="D57" s="2">
        <f t="shared" ca="1" si="14"/>
        <v>29.702391757765461</v>
      </c>
      <c r="E57" s="2">
        <f t="shared" ca="1" si="14"/>
        <v>28.999502439668351</v>
      </c>
      <c r="F57" s="2">
        <f t="shared" ca="1" si="14"/>
        <v>29.27625908453518</v>
      </c>
      <c r="G57" s="2">
        <f t="shared" ca="1" si="14"/>
        <v>27.662379043108729</v>
      </c>
      <c r="H57" s="2">
        <f t="shared" ca="1" si="14"/>
        <v>32.88791177414911</v>
      </c>
      <c r="I57" s="2">
        <f t="shared" ca="1" si="14"/>
        <v>31.573525351379679</v>
      </c>
      <c r="J57" s="2">
        <f t="shared" ca="1" si="14"/>
        <v>32.698072002931767</v>
      </c>
      <c r="K57" s="2">
        <f t="shared" ca="1" si="14"/>
        <v>27.750786096510289</v>
      </c>
      <c r="L57" s="2">
        <f t="shared" ca="1" si="14"/>
        <v>27.498324004448584</v>
      </c>
      <c r="M57" s="2">
        <f t="shared" ca="1" si="14"/>
        <v>27.468441960554397</v>
      </c>
      <c r="N57" s="2">
        <f t="shared" ca="1" si="14"/>
        <v>29.564865921667966</v>
      </c>
      <c r="O57" s="2">
        <f t="shared" ca="1" si="14"/>
        <v>34.963749469333052</v>
      </c>
      <c r="P57" s="2">
        <f t="shared" ca="1" si="14"/>
        <v>30.368530093663356</v>
      </c>
      <c r="Q57" s="2">
        <f t="shared" ca="1" si="14"/>
        <v>34.064323204179622</v>
      </c>
      <c r="R57" s="2">
        <f t="shared" ca="1" si="14"/>
        <v>34.671030484049687</v>
      </c>
      <c r="S57" s="2">
        <f t="shared" ca="1" si="13"/>
        <v>28.15558485947453</v>
      </c>
      <c r="T57" s="2">
        <f t="shared" ca="1" si="13"/>
        <v>34.493750819733528</v>
      </c>
      <c r="U57" s="2">
        <f t="shared" ca="1" si="13"/>
        <v>26.853008292643427</v>
      </c>
      <c r="V57" s="2">
        <f t="shared" ca="1" si="13"/>
        <v>27.782046636542375</v>
      </c>
      <c r="W57" s="2">
        <f t="shared" ca="1" si="13"/>
        <v>32.282025351064483</v>
      </c>
      <c r="X57" s="2">
        <f t="shared" ca="1" si="13"/>
        <v>29.665778087562764</v>
      </c>
      <c r="Y57" s="2">
        <f t="shared" ca="1" si="11"/>
        <v>31.178112098629068</v>
      </c>
      <c r="Z57" s="2">
        <f t="shared" ca="1" si="12"/>
        <v>31.637149759891479</v>
      </c>
      <c r="AA57" s="2">
        <f t="shared" ca="1" si="12"/>
        <v>30.501270115502102</v>
      </c>
      <c r="AB57" s="2">
        <f t="shared" ca="1" si="12"/>
        <v>34.579045074095916</v>
      </c>
      <c r="AC57" s="2">
        <f t="shared" ca="1" si="12"/>
        <v>32.742429505741299</v>
      </c>
      <c r="AD57" s="2">
        <f t="shared" ca="1" si="12"/>
        <v>31.709168787023366</v>
      </c>
      <c r="AE57" s="2">
        <f t="shared" ca="1" si="12"/>
        <v>30.69401288193297</v>
      </c>
      <c r="AF57" s="2">
        <f t="shared" ca="1" si="12"/>
        <v>25.866181911788185</v>
      </c>
      <c r="AG57" s="2">
        <f t="shared" ca="1" si="12"/>
        <v>32.557146964509343</v>
      </c>
      <c r="AH57" s="2">
        <f t="shared" ca="1" si="12"/>
        <v>30.664978250066078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30.151758458367325</v>
      </c>
      <c r="D58" s="2">
        <f t="shared" ca="1" si="14"/>
        <v>29.926178265834785</v>
      </c>
      <c r="E58" s="2">
        <f t="shared" ca="1" si="14"/>
        <v>30.781230070298307</v>
      </c>
      <c r="F58" s="2">
        <f t="shared" ca="1" si="14"/>
        <v>31.104100798381609</v>
      </c>
      <c r="G58" s="2">
        <f t="shared" ca="1" si="14"/>
        <v>33.540259428995597</v>
      </c>
      <c r="H58" s="2">
        <f t="shared" ca="1" si="14"/>
        <v>27.829357528007481</v>
      </c>
      <c r="I58" s="2">
        <f t="shared" ca="1" si="14"/>
        <v>25.543925296861893</v>
      </c>
      <c r="J58" s="2">
        <f t="shared" ca="1" si="14"/>
        <v>32.649302905808796</v>
      </c>
      <c r="K58" s="2">
        <f t="shared" ca="1" si="14"/>
        <v>29.579305408568814</v>
      </c>
      <c r="L58" s="2">
        <f t="shared" ca="1" si="14"/>
        <v>25.973756193803737</v>
      </c>
      <c r="M58" s="2">
        <f t="shared" ca="1" si="14"/>
        <v>34.399398672150582</v>
      </c>
      <c r="N58" s="2">
        <f t="shared" ca="1" si="14"/>
        <v>27.743100112595261</v>
      </c>
      <c r="O58" s="2">
        <f t="shared" ca="1" si="14"/>
        <v>29.764795973935495</v>
      </c>
      <c r="P58" s="2">
        <f t="shared" ca="1" si="14"/>
        <v>26.690293852257739</v>
      </c>
      <c r="Q58" s="2">
        <f t="shared" ca="1" si="14"/>
        <v>34.687200607867759</v>
      </c>
      <c r="R58" s="2">
        <f t="shared" ca="1" si="14"/>
        <v>32.751333571167621</v>
      </c>
      <c r="S58" s="2">
        <f t="shared" ca="1" si="13"/>
        <v>25.317640694581172</v>
      </c>
      <c r="T58" s="2">
        <f t="shared" ca="1" si="13"/>
        <v>30.67702928415067</v>
      </c>
      <c r="U58" s="2">
        <f t="shared" ca="1" si="13"/>
        <v>25.688779488009878</v>
      </c>
      <c r="V58" s="2">
        <f t="shared" ca="1" si="13"/>
        <v>26.180865181673081</v>
      </c>
      <c r="W58" s="2">
        <f t="shared" ca="1" si="13"/>
        <v>32.220837867726544</v>
      </c>
      <c r="X58" s="2">
        <f t="shared" ca="1" si="13"/>
        <v>33.098002162755876</v>
      </c>
      <c r="Y58" s="2">
        <f t="shared" ca="1" si="11"/>
        <v>29.900830588572177</v>
      </c>
      <c r="Z58" s="2">
        <f t="shared" ca="1" si="12"/>
        <v>30.152643464693796</v>
      </c>
      <c r="AA58" s="2">
        <f t="shared" ca="1" si="12"/>
        <v>29.09600175914866</v>
      </c>
      <c r="AB58" s="2">
        <f t="shared" ca="1" si="12"/>
        <v>27.300136384246425</v>
      </c>
      <c r="AC58" s="2">
        <f t="shared" ca="1" si="12"/>
        <v>34.743969299445602</v>
      </c>
      <c r="AD58" s="2">
        <f t="shared" ca="1" si="12"/>
        <v>27.945818913234671</v>
      </c>
      <c r="AE58" s="2">
        <f t="shared" ca="1" si="12"/>
        <v>26.956491644587469</v>
      </c>
      <c r="AF58" s="2">
        <f t="shared" ca="1" si="12"/>
        <v>28.017148788720199</v>
      </c>
      <c r="AG58" s="2">
        <f t="shared" ca="1" si="12"/>
        <v>32.100159242166683</v>
      </c>
      <c r="AH58" s="2">
        <f t="shared" ca="1" si="12"/>
        <v>30.177679667893685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29.240144407905216</v>
      </c>
      <c r="D59" s="2">
        <f t="shared" ca="1" si="14"/>
        <v>29.853026627707486</v>
      </c>
      <c r="E59" s="2">
        <f t="shared" ca="1" si="14"/>
        <v>32.976147332291788</v>
      </c>
      <c r="F59" s="2">
        <f t="shared" ca="1" si="14"/>
        <v>31.943717257742989</v>
      </c>
      <c r="G59" s="2">
        <f t="shared" ca="1" si="14"/>
        <v>26.459235702313673</v>
      </c>
      <c r="H59" s="2">
        <f t="shared" ca="1" si="14"/>
        <v>30.174132387959212</v>
      </c>
      <c r="I59" s="2">
        <f t="shared" ca="1" si="14"/>
        <v>27.331876893070945</v>
      </c>
      <c r="J59" s="2">
        <f t="shared" ca="1" si="14"/>
        <v>34.550112661746567</v>
      </c>
      <c r="K59" s="2">
        <f t="shared" ca="1" si="14"/>
        <v>32.763655400979786</v>
      </c>
      <c r="L59" s="2">
        <f t="shared" ca="1" si="14"/>
        <v>33.951618989538012</v>
      </c>
      <c r="M59" s="2">
        <f t="shared" ca="1" si="14"/>
        <v>34.830324605445128</v>
      </c>
      <c r="N59" s="2">
        <f t="shared" ca="1" si="14"/>
        <v>28.882609389352417</v>
      </c>
      <c r="O59" s="2">
        <f t="shared" ca="1" si="14"/>
        <v>30.119827169070991</v>
      </c>
      <c r="P59" s="2">
        <f t="shared" ca="1" si="14"/>
        <v>34.826567491881796</v>
      </c>
      <c r="Q59" s="2">
        <f t="shared" ca="1" si="14"/>
        <v>27.072544745137009</v>
      </c>
      <c r="R59" s="2">
        <f t="shared" ca="1" si="14"/>
        <v>26.240856621041249</v>
      </c>
      <c r="S59" s="2">
        <f t="shared" ca="1" si="13"/>
        <v>33.592890088655992</v>
      </c>
      <c r="T59" s="2">
        <f t="shared" ca="1" si="13"/>
        <v>25.100656988114562</v>
      </c>
      <c r="U59" s="2">
        <f t="shared" ca="1" si="13"/>
        <v>32.332500045940272</v>
      </c>
      <c r="V59" s="2">
        <f t="shared" ca="1" si="13"/>
        <v>34.299443304582923</v>
      </c>
      <c r="W59" s="2">
        <f t="shared" ca="1" si="13"/>
        <v>25.407943185999208</v>
      </c>
      <c r="X59" s="2">
        <f t="shared" ca="1" si="13"/>
        <v>29.819160766573717</v>
      </c>
      <c r="Y59" s="2">
        <f t="shared" ca="1" si="11"/>
        <v>26.721281825161945</v>
      </c>
      <c r="Z59" s="2">
        <f t="shared" ca="1" si="12"/>
        <v>30.606271842005604</v>
      </c>
      <c r="AA59" s="2">
        <f t="shared" ca="1" si="12"/>
        <v>25.188499835178146</v>
      </c>
      <c r="AB59" s="2">
        <f t="shared" ca="1" si="12"/>
        <v>26.662232846619155</v>
      </c>
      <c r="AC59" s="2">
        <f t="shared" ca="1" si="12"/>
        <v>33.422935309538751</v>
      </c>
      <c r="AD59" s="2">
        <f t="shared" ca="1" si="12"/>
        <v>25.421144165348405</v>
      </c>
      <c r="AE59" s="2">
        <f t="shared" ca="1" si="12"/>
        <v>30.784867408936158</v>
      </c>
      <c r="AF59" s="2">
        <f t="shared" ca="1" si="12"/>
        <v>33.09862339102434</v>
      </c>
      <c r="AG59" s="2">
        <f t="shared" ca="1" si="12"/>
        <v>33.444885391450953</v>
      </c>
      <c r="AH59" s="2">
        <f t="shared" ca="1" si="12"/>
        <v>32.453767948891425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27.291261392098956</v>
      </c>
      <c r="D60" s="2">
        <f t="shared" ca="1" si="14"/>
        <v>25.813023731657054</v>
      </c>
      <c r="E60" s="2">
        <f t="shared" ca="1" si="14"/>
        <v>30.65311100562035</v>
      </c>
      <c r="F60" s="2">
        <f t="shared" ca="1" si="14"/>
        <v>33.338545859876945</v>
      </c>
      <c r="G60" s="2">
        <f t="shared" ca="1" si="14"/>
        <v>25.514231824941945</v>
      </c>
      <c r="H60" s="2">
        <f t="shared" ca="1" si="14"/>
        <v>25.096629535838591</v>
      </c>
      <c r="I60" s="2">
        <f t="shared" ca="1" si="14"/>
        <v>28.439199989965431</v>
      </c>
      <c r="J60" s="2">
        <f t="shared" ca="1" si="14"/>
        <v>32.822826041943443</v>
      </c>
      <c r="K60" s="2">
        <f t="shared" ca="1" si="14"/>
        <v>33.921045105059029</v>
      </c>
      <c r="L60" s="2">
        <f t="shared" ca="1" si="14"/>
        <v>31.821532877408654</v>
      </c>
      <c r="M60" s="2">
        <f t="shared" ca="1" si="14"/>
        <v>30.44812502368562</v>
      </c>
      <c r="N60" s="2">
        <f t="shared" ca="1" si="14"/>
        <v>31.970207790158689</v>
      </c>
      <c r="O60" s="2">
        <f t="shared" ca="1" si="14"/>
        <v>29.798674495592028</v>
      </c>
      <c r="P60" s="2">
        <f t="shared" ca="1" si="14"/>
        <v>29.637600584270714</v>
      </c>
      <c r="Q60" s="2">
        <f t="shared" ca="1" si="14"/>
        <v>27.21604515536507</v>
      </c>
      <c r="R60" s="2">
        <f t="shared" ca="1" si="14"/>
        <v>32.394253868479282</v>
      </c>
      <c r="S60" s="2">
        <f t="shared" ca="1" si="13"/>
        <v>27.760855490522442</v>
      </c>
      <c r="T60" s="2">
        <f t="shared" ca="1" si="13"/>
        <v>28.757124446670538</v>
      </c>
      <c r="U60" s="2">
        <f t="shared" ca="1" si="13"/>
        <v>30.496777345507251</v>
      </c>
      <c r="V60" s="2">
        <f t="shared" ca="1" si="13"/>
        <v>32.956097379438567</v>
      </c>
      <c r="W60" s="2">
        <f t="shared" ca="1" si="13"/>
        <v>26.16390887050132</v>
      </c>
      <c r="X60" s="2">
        <f t="shared" ca="1" si="13"/>
        <v>29.9030969418232</v>
      </c>
      <c r="Y60" s="2">
        <f t="shared" ca="1" si="11"/>
        <v>33.339441211327099</v>
      </c>
      <c r="Z60" s="2">
        <f t="shared" ca="1" si="12"/>
        <v>29.165563541258798</v>
      </c>
      <c r="AA60" s="2">
        <f t="shared" ca="1" si="12"/>
        <v>31.303156705797342</v>
      </c>
      <c r="AB60" s="2">
        <f t="shared" ca="1" si="12"/>
        <v>32.017691754414763</v>
      </c>
      <c r="AC60" s="2">
        <f t="shared" ca="1" si="12"/>
        <v>32.541495029128924</v>
      </c>
      <c r="AD60" s="2">
        <f t="shared" ca="1" si="12"/>
        <v>29.98437088893273</v>
      </c>
      <c r="AE60" s="2">
        <f t="shared" ca="1" si="12"/>
        <v>27.16876236244066</v>
      </c>
      <c r="AF60" s="2">
        <f t="shared" ca="1" si="12"/>
        <v>31.693276723557332</v>
      </c>
      <c r="AG60" s="2">
        <f t="shared" ca="1" si="12"/>
        <v>32.832661439482905</v>
      </c>
      <c r="AH60" s="2">
        <f t="shared" ca="1" si="12"/>
        <v>31.932804052016195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30.219433982563181</v>
      </c>
      <c r="D61" s="2">
        <f t="shared" ca="1" si="14"/>
        <v>34.101714849395954</v>
      </c>
      <c r="E61" s="2">
        <f t="shared" ca="1" si="14"/>
        <v>28.643204948538028</v>
      </c>
      <c r="F61" s="2">
        <f t="shared" ca="1" si="14"/>
        <v>25.017491333839406</v>
      </c>
      <c r="G61" s="2">
        <f t="shared" ca="1" si="14"/>
        <v>29.465813528997529</v>
      </c>
      <c r="H61" s="2">
        <f t="shared" ca="1" si="14"/>
        <v>26.83833872999368</v>
      </c>
      <c r="I61" s="2">
        <f t="shared" ca="1" si="14"/>
        <v>28.905038280211262</v>
      </c>
      <c r="J61" s="2">
        <f t="shared" ca="1" si="14"/>
        <v>25.841806863766465</v>
      </c>
      <c r="K61" s="2">
        <f t="shared" ca="1" si="14"/>
        <v>32.411752555738211</v>
      </c>
      <c r="L61" s="2">
        <f t="shared" ca="1" si="14"/>
        <v>25.855285366061274</v>
      </c>
      <c r="M61" s="2">
        <f t="shared" ca="1" si="14"/>
        <v>34.412687625421299</v>
      </c>
      <c r="N61" s="2">
        <f t="shared" ca="1" si="14"/>
        <v>26.450583679701111</v>
      </c>
      <c r="O61" s="2">
        <f t="shared" ca="1" si="14"/>
        <v>28.122714366728662</v>
      </c>
      <c r="P61" s="2">
        <f t="shared" ca="1" si="14"/>
        <v>34.236413753149499</v>
      </c>
      <c r="Q61" s="2">
        <f t="shared" ca="1" si="14"/>
        <v>28.64374063022828</v>
      </c>
      <c r="R61" s="2">
        <f t="shared" ca="1" si="14"/>
        <v>31.301757646018476</v>
      </c>
      <c r="S61" s="2">
        <f t="shared" ca="1" si="13"/>
        <v>29.797875816800108</v>
      </c>
      <c r="T61" s="2">
        <f t="shared" ca="1" si="13"/>
        <v>31.64443678841776</v>
      </c>
      <c r="U61" s="2">
        <f t="shared" ca="1" si="13"/>
        <v>33.490990444171999</v>
      </c>
      <c r="V61" s="2">
        <f t="shared" ca="1" si="13"/>
        <v>27.062030474119716</v>
      </c>
      <c r="W61" s="2">
        <f t="shared" ca="1" si="13"/>
        <v>31.992188150548003</v>
      </c>
      <c r="X61" s="2">
        <f t="shared" ca="1" si="13"/>
        <v>31.309499160802865</v>
      </c>
      <c r="Y61" s="2">
        <f t="shared" ca="1" si="11"/>
        <v>32.866326651590477</v>
      </c>
      <c r="Z61" s="2">
        <f t="shared" ca="1" si="12"/>
        <v>33.350555445283703</v>
      </c>
      <c r="AA61" s="2">
        <f t="shared" ca="1" si="12"/>
        <v>33.440870117343508</v>
      </c>
      <c r="AB61" s="2">
        <f t="shared" ca="1" si="12"/>
        <v>30.310167814279545</v>
      </c>
      <c r="AC61" s="2">
        <f t="shared" ca="1" si="12"/>
        <v>27.763581824953807</v>
      </c>
      <c r="AD61" s="2">
        <f t="shared" ca="1" si="12"/>
        <v>31.766661750438328</v>
      </c>
      <c r="AE61" s="2">
        <f t="shared" ca="1" si="12"/>
        <v>30.208760617678365</v>
      </c>
      <c r="AF61" s="2">
        <f t="shared" ca="1" si="12"/>
        <v>29.202249004990083</v>
      </c>
      <c r="AG61" s="2">
        <f t="shared" ca="1" si="12"/>
        <v>29.783434300189949</v>
      </c>
      <c r="AH61" s="2">
        <f t="shared" ca="1" si="12"/>
        <v>26.522444476885397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34.315407705131435</v>
      </c>
      <c r="D62" s="2">
        <f t="shared" ca="1" si="14"/>
        <v>28.865330876639469</v>
      </c>
      <c r="E62" s="2">
        <f t="shared" ca="1" si="14"/>
        <v>31.415939489242241</v>
      </c>
      <c r="F62" s="2">
        <f t="shared" ca="1" si="14"/>
        <v>28.580268492282379</v>
      </c>
      <c r="G62" s="2">
        <f t="shared" ca="1" si="14"/>
        <v>34.60588962172163</v>
      </c>
      <c r="H62" s="2">
        <f t="shared" ca="1" si="14"/>
        <v>33.577530763418515</v>
      </c>
      <c r="I62" s="2">
        <f t="shared" ca="1" si="14"/>
        <v>27.575130651904129</v>
      </c>
      <c r="J62" s="2">
        <f t="shared" ca="1" si="14"/>
        <v>29.119480892253389</v>
      </c>
      <c r="K62" s="2">
        <f t="shared" ca="1" si="14"/>
        <v>29.025120646037283</v>
      </c>
      <c r="L62" s="2">
        <f t="shared" ca="1" si="14"/>
        <v>34.804672504407485</v>
      </c>
      <c r="M62" s="2">
        <f t="shared" ca="1" si="14"/>
        <v>34.000611801172937</v>
      </c>
      <c r="N62" s="2">
        <f t="shared" ca="1" si="14"/>
        <v>25.532106121653374</v>
      </c>
      <c r="O62" s="2">
        <f t="shared" ca="1" si="14"/>
        <v>32.413459147598822</v>
      </c>
      <c r="P62" s="2">
        <f t="shared" ca="1" si="14"/>
        <v>31.104878953730587</v>
      </c>
      <c r="Q62" s="2">
        <f t="shared" ca="1" si="14"/>
        <v>25.016106001851554</v>
      </c>
      <c r="R62" s="2">
        <f t="shared" ca="1" si="14"/>
        <v>28.753170439481437</v>
      </c>
      <c r="S62" s="2">
        <f t="shared" ca="1" si="13"/>
        <v>28.806149631454314</v>
      </c>
      <c r="T62" s="2">
        <f t="shared" ca="1" si="13"/>
        <v>26.624333464941042</v>
      </c>
      <c r="U62" s="2">
        <f t="shared" ca="1" si="13"/>
        <v>25.599674452065379</v>
      </c>
      <c r="V62" s="2">
        <f t="shared" ca="1" si="13"/>
        <v>28.303750996540018</v>
      </c>
      <c r="W62" s="2">
        <f t="shared" ca="1" si="13"/>
        <v>25.829309965203592</v>
      </c>
      <c r="X62" s="2">
        <f t="shared" ca="1" si="13"/>
        <v>32.389651500976328</v>
      </c>
      <c r="Y62" s="2">
        <f t="shared" ca="1" si="11"/>
        <v>33.101411986541159</v>
      </c>
      <c r="Z62" s="2">
        <f t="shared" ca="1" si="12"/>
        <v>33.800044527383939</v>
      </c>
      <c r="AA62" s="2">
        <f t="shared" ca="1" si="12"/>
        <v>28.479495302843347</v>
      </c>
      <c r="AB62" s="2">
        <f t="shared" ca="1" si="12"/>
        <v>26.649402474228818</v>
      </c>
      <c r="AC62" s="2">
        <f t="shared" ca="1" si="12"/>
        <v>29.367433105636522</v>
      </c>
      <c r="AD62" s="2">
        <f t="shared" ca="1" si="12"/>
        <v>26.305345143207678</v>
      </c>
      <c r="AE62" s="2">
        <f t="shared" ca="1" si="12"/>
        <v>25.754256130620693</v>
      </c>
      <c r="AF62" s="2">
        <f t="shared" ca="1" si="12"/>
        <v>32.745754657541553</v>
      </c>
      <c r="AG62" s="2">
        <f t="shared" ca="1" si="12"/>
        <v>28.205589928745169</v>
      </c>
      <c r="AH62" s="2">
        <f t="shared" ca="1" si="12"/>
        <v>32.791637564219243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26.037785136603166</v>
      </c>
      <c r="D63" s="2">
        <f t="shared" ca="1" si="14"/>
        <v>27.452991414475683</v>
      </c>
      <c r="E63" s="2">
        <f t="shared" ca="1" si="14"/>
        <v>27.742356221227777</v>
      </c>
      <c r="F63" s="2">
        <f t="shared" ca="1" si="14"/>
        <v>26.86844656953933</v>
      </c>
      <c r="G63" s="2">
        <f t="shared" ca="1" si="14"/>
        <v>34.680125772851213</v>
      </c>
      <c r="H63" s="2">
        <f t="shared" ca="1" si="14"/>
        <v>30.790815062686825</v>
      </c>
      <c r="I63" s="2">
        <f t="shared" ca="1" si="14"/>
        <v>31.552749331475503</v>
      </c>
      <c r="J63" s="2">
        <f t="shared" ca="1" si="14"/>
        <v>25.769554760444247</v>
      </c>
      <c r="K63" s="2">
        <f t="shared" ca="1" si="14"/>
        <v>25.617054040643058</v>
      </c>
      <c r="L63" s="2">
        <f t="shared" ca="1" si="14"/>
        <v>26.268531112328834</v>
      </c>
      <c r="M63" s="2">
        <f t="shared" ca="1" si="14"/>
        <v>29.986404410353789</v>
      </c>
      <c r="N63" s="2">
        <f t="shared" ca="1" si="14"/>
        <v>27.103502762836623</v>
      </c>
      <c r="O63" s="2">
        <f t="shared" ca="1" si="14"/>
        <v>32.033691662136128</v>
      </c>
      <c r="P63" s="2">
        <f t="shared" ca="1" si="14"/>
        <v>32.996353428592236</v>
      </c>
      <c r="Q63" s="2">
        <f t="shared" ca="1" si="14"/>
        <v>26.490109190566319</v>
      </c>
      <c r="R63" s="2">
        <f t="shared" ca="1" si="14"/>
        <v>33.628379124601636</v>
      </c>
      <c r="S63" s="2">
        <f t="shared" ca="1" si="13"/>
        <v>30.061734475923011</v>
      </c>
      <c r="T63" s="2">
        <f t="shared" ca="1" si="13"/>
        <v>32.48335393627714</v>
      </c>
      <c r="U63" s="2">
        <f t="shared" ca="1" si="13"/>
        <v>28.600383984411359</v>
      </c>
      <c r="V63" s="2">
        <f t="shared" ca="1" si="13"/>
        <v>32.6799435018414</v>
      </c>
      <c r="W63" s="2">
        <f t="shared" ca="1" si="13"/>
        <v>26.265491083376208</v>
      </c>
      <c r="X63" s="2">
        <f t="shared" ca="1" si="13"/>
        <v>27.259854580611261</v>
      </c>
      <c r="Y63" s="2">
        <f t="shared" ca="1" si="11"/>
        <v>33.757433248720332</v>
      </c>
      <c r="Z63" s="2">
        <f t="shared" ca="1" si="12"/>
        <v>30.427785415532998</v>
      </c>
      <c r="AA63" s="2">
        <f t="shared" ca="1" si="12"/>
        <v>28.940483128639851</v>
      </c>
      <c r="AB63" s="2">
        <f t="shared" ca="1" si="12"/>
        <v>29.839041302014682</v>
      </c>
      <c r="AC63" s="2">
        <f t="shared" ca="1" si="12"/>
        <v>33.822716868095107</v>
      </c>
      <c r="AD63" s="2">
        <f t="shared" ca="1" si="12"/>
        <v>31.849438529046139</v>
      </c>
      <c r="AE63" s="2">
        <f t="shared" ca="1" si="12"/>
        <v>29.905886273130715</v>
      </c>
      <c r="AF63" s="2">
        <f t="shared" ca="1" si="12"/>
        <v>29.64033684293296</v>
      </c>
      <c r="AG63" s="2">
        <f t="shared" ca="1" si="12"/>
        <v>26.665026853220986</v>
      </c>
      <c r="AH63" s="2">
        <f t="shared" ca="1" si="12"/>
        <v>30.521803869743508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31.482920535766112</v>
      </c>
      <c r="D64" s="2">
        <f t="shared" ca="1" si="14"/>
        <v>29.523187646178314</v>
      </c>
      <c r="E64" s="2">
        <f t="shared" ca="1" si="14"/>
        <v>27.154131639840706</v>
      </c>
      <c r="F64" s="2">
        <f t="shared" ca="1" si="14"/>
        <v>29.213712696399405</v>
      </c>
      <c r="G64" s="2">
        <f t="shared" ca="1" si="14"/>
        <v>25.249757444026891</v>
      </c>
      <c r="H64" s="2">
        <f t="shared" ca="1" si="14"/>
        <v>28.06155077086126</v>
      </c>
      <c r="I64" s="2">
        <f t="shared" ca="1" si="14"/>
        <v>30.827033154051094</v>
      </c>
      <c r="J64" s="2">
        <f t="shared" ca="1" si="14"/>
        <v>31.392974641552218</v>
      </c>
      <c r="K64" s="2">
        <f t="shared" ca="1" si="14"/>
        <v>30.979650544410319</v>
      </c>
      <c r="L64" s="2">
        <f t="shared" ca="1" si="14"/>
        <v>30.316227584718661</v>
      </c>
      <c r="M64" s="2">
        <f t="shared" ca="1" si="14"/>
        <v>33.606313853686871</v>
      </c>
      <c r="N64" s="2">
        <f t="shared" ca="1" si="14"/>
        <v>34.122500713124978</v>
      </c>
      <c r="O64" s="2">
        <f t="shared" ca="1" si="14"/>
        <v>30.584958754344012</v>
      </c>
      <c r="P64" s="2">
        <f t="shared" ca="1" si="14"/>
        <v>33.686881256267455</v>
      </c>
      <c r="Q64" s="2">
        <f t="shared" ca="1" si="14"/>
        <v>28.525448074511885</v>
      </c>
      <c r="R64" s="2">
        <f t="shared" ca="1" si="14"/>
        <v>27.529526806547899</v>
      </c>
      <c r="S64" s="2">
        <f t="shared" ca="1" si="13"/>
        <v>26.228965240721401</v>
      </c>
      <c r="T64" s="2">
        <f t="shared" ca="1" si="13"/>
        <v>27.143049369878092</v>
      </c>
      <c r="U64" s="2">
        <f t="shared" ca="1" si="13"/>
        <v>30.576272594003989</v>
      </c>
      <c r="V64" s="2">
        <f t="shared" ca="1" si="13"/>
        <v>30.734227287022918</v>
      </c>
      <c r="W64" s="2">
        <f t="shared" ca="1" si="13"/>
        <v>30.594372018169572</v>
      </c>
      <c r="X64" s="2">
        <f t="shared" ca="1" si="13"/>
        <v>26.715465616369777</v>
      </c>
      <c r="Y64" s="2">
        <f t="shared" ca="1" si="11"/>
        <v>28.442534633870512</v>
      </c>
      <c r="Z64" s="2">
        <f t="shared" ca="1" si="12"/>
        <v>31.268194904342135</v>
      </c>
      <c r="AA64" s="2">
        <f t="shared" ca="1" si="12"/>
        <v>31.819875296951224</v>
      </c>
      <c r="AB64" s="2">
        <f t="shared" ca="1" si="12"/>
        <v>25.389160235355991</v>
      </c>
      <c r="AC64" s="2">
        <f t="shared" ca="1" si="12"/>
        <v>26.511376025237652</v>
      </c>
      <c r="AD64" s="2">
        <f t="shared" ca="1" si="12"/>
        <v>33.929125578847618</v>
      </c>
      <c r="AE64" s="2">
        <f t="shared" ca="1" si="12"/>
        <v>31.702209014948775</v>
      </c>
      <c r="AF64" s="2">
        <f t="shared" ca="1" si="12"/>
        <v>28.420788009501685</v>
      </c>
      <c r="AG64" s="2">
        <f t="shared" ca="1" si="12"/>
        <v>32.839159557131943</v>
      </c>
      <c r="AH64" s="2">
        <f t="shared" ca="1" si="12"/>
        <v>33.523647390308888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31.951978038261455</v>
      </c>
      <c r="D65" s="2">
        <f t="shared" ca="1" si="14"/>
        <v>33.187750658760258</v>
      </c>
      <c r="E65" s="2">
        <f t="shared" ca="1" si="14"/>
        <v>25.214736462119063</v>
      </c>
      <c r="F65" s="2">
        <f t="shared" ca="1" si="14"/>
        <v>32.030703527305619</v>
      </c>
      <c r="G65" s="2">
        <f t="shared" ca="1" si="14"/>
        <v>33.637844685318647</v>
      </c>
      <c r="H65" s="2">
        <f t="shared" ca="1" si="14"/>
        <v>29.011058349569801</v>
      </c>
      <c r="I65" s="2">
        <f t="shared" ca="1" si="14"/>
        <v>27.730957410966433</v>
      </c>
      <c r="J65" s="2">
        <f t="shared" ca="1" si="14"/>
        <v>27.043872244189188</v>
      </c>
      <c r="K65" s="2">
        <f t="shared" ca="1" si="14"/>
        <v>28.355489942559188</v>
      </c>
      <c r="L65" s="2">
        <f t="shared" ca="1" si="14"/>
        <v>28.410888381629587</v>
      </c>
      <c r="M65" s="2">
        <f t="shared" ca="1" si="14"/>
        <v>30.564646545150534</v>
      </c>
      <c r="N65" s="2">
        <f t="shared" ca="1" si="14"/>
        <v>30.910203302418154</v>
      </c>
      <c r="O65" s="2">
        <f t="shared" ca="1" si="14"/>
        <v>27.637795356297389</v>
      </c>
      <c r="P65" s="2">
        <f t="shared" ca="1" si="14"/>
        <v>34.744440280058654</v>
      </c>
      <c r="Q65" s="2">
        <f t="shared" ca="1" si="14"/>
        <v>27.122671318423571</v>
      </c>
      <c r="R65" s="2">
        <f t="shared" ca="1" si="14"/>
        <v>25.46370675920468</v>
      </c>
      <c r="S65" s="2">
        <f t="shared" ca="1" si="13"/>
        <v>31.256199109034544</v>
      </c>
      <c r="T65" s="2">
        <f t="shared" ca="1" si="13"/>
        <v>30.813072493124061</v>
      </c>
      <c r="U65" s="2">
        <f t="shared" ca="1" si="13"/>
        <v>32.10150398601003</v>
      </c>
      <c r="V65" s="2">
        <f t="shared" ca="1" si="13"/>
        <v>27.255148978976148</v>
      </c>
      <c r="W65" s="2">
        <f t="shared" ca="1" si="13"/>
        <v>29.146911283437777</v>
      </c>
      <c r="X65" s="2">
        <f t="shared" ca="1" si="13"/>
        <v>27.527832164779941</v>
      </c>
      <c r="Y65" s="2">
        <f t="shared" ca="1" si="11"/>
        <v>31.582937072077144</v>
      </c>
      <c r="Z65" s="2">
        <f t="shared" ca="1" si="12"/>
        <v>26.424269160018135</v>
      </c>
      <c r="AA65" s="2">
        <f t="shared" ca="1" si="12"/>
        <v>31.870982067794476</v>
      </c>
      <c r="AB65" s="2">
        <f t="shared" ca="1" si="12"/>
        <v>30.494937341546873</v>
      </c>
      <c r="AC65" s="2">
        <f t="shared" ca="1" si="12"/>
        <v>31.526178634900582</v>
      </c>
      <c r="AD65" s="2">
        <f t="shared" ca="1" si="12"/>
        <v>33.633664912027172</v>
      </c>
      <c r="AE65" s="2">
        <f t="shared" ca="1" si="12"/>
        <v>29.174147539684117</v>
      </c>
      <c r="AF65" s="2">
        <f t="shared" ca="1" si="12"/>
        <v>25.404128846228147</v>
      </c>
      <c r="AG65" s="2">
        <f t="shared" ca="1" si="12"/>
        <v>32.528230145095861</v>
      </c>
      <c r="AH65" s="2">
        <f t="shared" ca="1" si="12"/>
        <v>29.57001593003433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32.063289203212761</v>
      </c>
      <c r="D66" s="2">
        <f t="shared" ca="1" si="14"/>
        <v>26.789643499654169</v>
      </c>
      <c r="E66" s="2">
        <f t="shared" ca="1" si="14"/>
        <v>32.643613312044636</v>
      </c>
      <c r="F66" s="2">
        <f t="shared" ca="1" si="14"/>
        <v>34.276672103631611</v>
      </c>
      <c r="G66" s="2">
        <f t="shared" ca="1" si="14"/>
        <v>33.7948224778102</v>
      </c>
      <c r="H66" s="2">
        <f t="shared" ca="1" si="14"/>
        <v>32.052162635660451</v>
      </c>
      <c r="I66" s="2">
        <f t="shared" ca="1" si="14"/>
        <v>28.263637006259607</v>
      </c>
      <c r="J66" s="2">
        <f t="shared" ca="1" si="14"/>
        <v>30.322576886370946</v>
      </c>
      <c r="K66" s="2">
        <f t="shared" ca="1" si="14"/>
        <v>27.917331207175931</v>
      </c>
      <c r="L66" s="2">
        <f t="shared" ca="1" si="14"/>
        <v>27.062079862939918</v>
      </c>
      <c r="M66" s="2">
        <f t="shared" ca="1" si="14"/>
        <v>29.75088629599453</v>
      </c>
      <c r="N66" s="2">
        <f t="shared" ca="1" si="14"/>
        <v>34.140086169577003</v>
      </c>
      <c r="O66" s="2">
        <f t="shared" ca="1" si="14"/>
        <v>32.223567117571569</v>
      </c>
      <c r="P66" s="2">
        <f t="shared" ca="1" si="14"/>
        <v>31.765772692080212</v>
      </c>
      <c r="Q66" s="2">
        <f t="shared" ca="1" si="14"/>
        <v>28.909317542116089</v>
      </c>
      <c r="R66" s="2">
        <f t="shared" ca="1" si="14"/>
        <v>28.572894272346169</v>
      </c>
      <c r="S66" s="2">
        <f t="shared" ca="1" si="13"/>
        <v>33.292885462511336</v>
      </c>
      <c r="T66" s="2">
        <f t="shared" ca="1" si="13"/>
        <v>30.500975051944046</v>
      </c>
      <c r="U66" s="2">
        <f t="shared" ca="1" si="13"/>
        <v>29.839924585753845</v>
      </c>
      <c r="V66" s="2">
        <f t="shared" ca="1" si="13"/>
        <v>25.572962601421096</v>
      </c>
      <c r="W66" s="2">
        <f t="shared" ca="1" si="13"/>
        <v>27.141892970511144</v>
      </c>
      <c r="X66" s="2">
        <f t="shared" ca="1" si="13"/>
        <v>34.317420454072206</v>
      </c>
      <c r="Y66" s="2">
        <f t="shared" ca="1" si="11"/>
        <v>26.215921322131951</v>
      </c>
      <c r="Z66" s="2">
        <f t="shared" ca="1" si="12"/>
        <v>26.158795139930771</v>
      </c>
      <c r="AA66" s="2">
        <f t="shared" ca="1" si="12"/>
        <v>33.000264622575777</v>
      </c>
      <c r="AB66" s="2">
        <f t="shared" ca="1" si="12"/>
        <v>33.618903195627666</v>
      </c>
      <c r="AC66" s="2">
        <f t="shared" ca="1" si="12"/>
        <v>27.841616273288594</v>
      </c>
      <c r="AD66" s="2">
        <f t="shared" ca="1" si="12"/>
        <v>32.50660515999612</v>
      </c>
      <c r="AE66" s="2">
        <f t="shared" ca="1" si="12"/>
        <v>28.552675391444783</v>
      </c>
      <c r="AF66" s="2">
        <f t="shared" ca="1" si="12"/>
        <v>28.175118109199815</v>
      </c>
      <c r="AG66" s="2">
        <f t="shared" ca="1" si="12"/>
        <v>26.32304389372365</v>
      </c>
      <c r="AH66" s="2">
        <f t="shared" ca="1" si="12"/>
        <v>34.256688433312405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34.944694026698741</v>
      </c>
      <c r="D67" s="2">
        <f t="shared" ca="1" si="14"/>
        <v>25.203647607274789</v>
      </c>
      <c r="E67" s="2">
        <f t="shared" ca="1" si="14"/>
        <v>31.915727812843659</v>
      </c>
      <c r="F67" s="2">
        <f t="shared" ca="1" si="14"/>
        <v>31.155065058481291</v>
      </c>
      <c r="G67" s="2">
        <f t="shared" ca="1" si="14"/>
        <v>34.656893754279594</v>
      </c>
      <c r="H67" s="2">
        <f t="shared" ca="1" si="14"/>
        <v>29.06024726401008</v>
      </c>
      <c r="I67" s="2">
        <f t="shared" ca="1" si="14"/>
        <v>30.170400818660866</v>
      </c>
      <c r="J67" s="2">
        <f t="shared" ca="1" si="14"/>
        <v>27.102778291194785</v>
      </c>
      <c r="K67" s="2">
        <f t="shared" ca="1" si="14"/>
        <v>33.490434879092973</v>
      </c>
      <c r="L67" s="2">
        <f t="shared" ca="1" si="14"/>
        <v>25.577564177254565</v>
      </c>
      <c r="M67" s="2">
        <f t="shared" ca="1" si="14"/>
        <v>30.150146104758694</v>
      </c>
      <c r="N67" s="2">
        <f t="shared" ca="1" si="14"/>
        <v>29.995918438238988</v>
      </c>
      <c r="O67" s="2">
        <f t="shared" ca="1" si="14"/>
        <v>32.977363668601939</v>
      </c>
      <c r="P67" s="2">
        <f t="shared" ca="1" si="14"/>
        <v>25.035871940219394</v>
      </c>
      <c r="Q67" s="2">
        <f t="shared" ca="1" si="14"/>
        <v>32.241002351073476</v>
      </c>
      <c r="R67" s="2">
        <f t="shared" ca="1" si="14"/>
        <v>32.514211481451468</v>
      </c>
      <c r="S67" s="2">
        <f t="shared" ca="1" si="13"/>
        <v>31.146727310069156</v>
      </c>
      <c r="T67" s="2">
        <f t="shared" ca="1" si="13"/>
        <v>34.758153848438056</v>
      </c>
      <c r="U67" s="2">
        <f t="shared" ca="1" si="13"/>
        <v>27.045784064112148</v>
      </c>
      <c r="V67" s="2">
        <f t="shared" ca="1" si="13"/>
        <v>32.689524004024484</v>
      </c>
      <c r="W67" s="2">
        <f t="shared" ca="1" si="13"/>
        <v>33.868001196576508</v>
      </c>
      <c r="X67" s="2">
        <f t="shared" ca="1" si="13"/>
        <v>33.835209934948395</v>
      </c>
      <c r="Y67" s="2">
        <f t="shared" ca="1" si="11"/>
        <v>34.189587837046403</v>
      </c>
      <c r="Z67" s="2">
        <f t="shared" ca="1" si="12"/>
        <v>29.268414592342047</v>
      </c>
      <c r="AA67" s="2">
        <f t="shared" ca="1" si="12"/>
        <v>33.094988990911247</v>
      </c>
      <c r="AB67" s="2">
        <f t="shared" ca="1" si="12"/>
        <v>26.554579992175057</v>
      </c>
      <c r="AC67" s="2">
        <f t="shared" ca="1" si="12"/>
        <v>27.19917648477978</v>
      </c>
      <c r="AD67" s="2">
        <f t="shared" ca="1" si="12"/>
        <v>31.598463998650178</v>
      </c>
      <c r="AE67" s="2">
        <f t="shared" ca="1" si="12"/>
        <v>29.835708814071037</v>
      </c>
      <c r="AF67" s="2">
        <f t="shared" ca="1" si="12"/>
        <v>31.467098630194997</v>
      </c>
      <c r="AG67" s="2">
        <f t="shared" ca="1" si="12"/>
        <v>29.01787130483498</v>
      </c>
      <c r="AH67" s="2">
        <f t="shared" ca="1" si="12"/>
        <v>26.305460822640615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33.704440651579787</v>
      </c>
      <c r="D68" s="2">
        <f t="shared" ca="1" si="14"/>
        <v>26.139769000269219</v>
      </c>
      <c r="E68" s="2">
        <f t="shared" ca="1" si="14"/>
        <v>26.768394652544583</v>
      </c>
      <c r="F68" s="2">
        <f t="shared" ca="1" si="14"/>
        <v>33.776624076117599</v>
      </c>
      <c r="G68" s="2">
        <f t="shared" ca="1" si="14"/>
        <v>32.580160944369425</v>
      </c>
      <c r="H68" s="2">
        <f t="shared" ca="1" si="14"/>
        <v>27.441002484015563</v>
      </c>
      <c r="I68" s="2">
        <f t="shared" ca="1" si="14"/>
        <v>34.946910684631042</v>
      </c>
      <c r="J68" s="2">
        <f t="shared" ca="1" si="14"/>
        <v>28.736925970494216</v>
      </c>
      <c r="K68" s="2">
        <f t="shared" ca="1" si="14"/>
        <v>31.624593531934792</v>
      </c>
      <c r="L68" s="2">
        <f t="shared" ca="1" si="14"/>
        <v>34.70025874640416</v>
      </c>
      <c r="M68" s="2">
        <f t="shared" ca="1" si="14"/>
        <v>28.895290938550197</v>
      </c>
      <c r="N68" s="2">
        <f t="shared" ca="1" si="14"/>
        <v>28.024688417470788</v>
      </c>
      <c r="O68" s="2">
        <f t="shared" ca="1" si="14"/>
        <v>32.757461962100479</v>
      </c>
      <c r="P68" s="2">
        <f t="shared" ca="1" si="14"/>
        <v>25.606526274431118</v>
      </c>
      <c r="Q68" s="2">
        <f t="shared" ca="1" si="14"/>
        <v>34.837730868362215</v>
      </c>
      <c r="R68" s="2">
        <f t="shared" ref="R68:AH68" ca="1" si="15">(RAND()*1+2.5)*10</f>
        <v>27.612106231272044</v>
      </c>
      <c r="S68" s="2">
        <f t="shared" ca="1" si="15"/>
        <v>31.583452667709313</v>
      </c>
      <c r="T68" s="2">
        <f t="shared" ca="1" si="15"/>
        <v>29.012420355756841</v>
      </c>
      <c r="U68" s="2">
        <f t="shared" ca="1" si="15"/>
        <v>26.739917056303575</v>
      </c>
      <c r="V68" s="2">
        <f t="shared" ca="1" si="15"/>
        <v>25.426622745845634</v>
      </c>
      <c r="W68" s="2">
        <f t="shared" ca="1" si="15"/>
        <v>25.432359904352062</v>
      </c>
      <c r="X68" s="2">
        <f t="shared" ca="1" si="15"/>
        <v>31.404061745541028</v>
      </c>
      <c r="Y68" s="2">
        <f t="shared" ca="1" si="15"/>
        <v>32.142635119356001</v>
      </c>
      <c r="Z68" s="2">
        <f t="shared" ca="1" si="15"/>
        <v>30.355064032009665</v>
      </c>
      <c r="AA68" s="2">
        <f t="shared" ca="1" si="15"/>
        <v>29.685746087013101</v>
      </c>
      <c r="AB68" s="2">
        <f t="shared" ca="1" si="15"/>
        <v>29.83879661643337</v>
      </c>
      <c r="AC68" s="2">
        <f t="shared" ca="1" si="15"/>
        <v>31.117871195889457</v>
      </c>
      <c r="AD68" s="2">
        <f t="shared" ca="1" si="15"/>
        <v>30.404455475558237</v>
      </c>
      <c r="AE68" s="2">
        <f t="shared" ca="1" si="15"/>
        <v>33.518782188718966</v>
      </c>
      <c r="AF68" s="2">
        <f t="shared" ca="1" si="15"/>
        <v>34.134765734137396</v>
      </c>
      <c r="AG68" s="2">
        <f t="shared" ca="1" si="15"/>
        <v>26.244650671245559</v>
      </c>
      <c r="AH68" s="2">
        <f t="shared" ca="1" si="15"/>
        <v>28.533728027645452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13"/>
  <sheetViews>
    <sheetView zoomScale="85" zoomScaleNormal="85" workbookViewId="0">
      <selection activeCell="B1" sqref="B1:AG2"/>
    </sheetView>
  </sheetViews>
  <sheetFormatPr defaultRowHeight="15.75"/>
  <cols>
    <col min="1" max="1" width="10.75" bestFit="1" customWidth="1"/>
  </cols>
  <sheetData>
    <row r="1" spans="1:33">
      <c r="B1" t="str">
        <f t="array" ref="B1:C1">TRANSPOSE(Seasons)</f>
        <v>Belg</v>
      </c>
      <c r="C1" t="str">
        <v>Kremt</v>
      </c>
      <c r="D1" t="str">
        <f>B1</f>
        <v>Belg</v>
      </c>
      <c r="E1" t="str">
        <f t="shared" ref="E1:AG1" si="0">C1</f>
        <v>Kremt</v>
      </c>
      <c r="F1" t="str">
        <f t="shared" si="0"/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3">Nodes</f>
        <v>AddisAbaba</v>
      </c>
      <c r="B3" s="2">
        <f ca="1">500+RAND()*20</f>
        <v>500.44302812107281</v>
      </c>
      <c r="C3" s="2">
        <f ca="1">400+RAND()*25</f>
        <v>404.39289196405088</v>
      </c>
      <c r="D3" s="2">
        <f ca="1">500+RAND()*20</f>
        <v>517.11348431367458</v>
      </c>
      <c r="E3" s="2">
        <f ca="1">400+RAND()*25</f>
        <v>413.28172231700933</v>
      </c>
      <c r="F3" s="2">
        <f ca="1">500+RAND()*20</f>
        <v>501.25306083617266</v>
      </c>
      <c r="G3" s="2">
        <f ca="1">400+RAND()*25</f>
        <v>424.67474182911099</v>
      </c>
      <c r="H3" s="2">
        <f ca="1">500+RAND()*20</f>
        <v>509.62780130662412</v>
      </c>
      <c r="I3" s="2">
        <f ca="1">400+RAND()*25</f>
        <v>401.60839419315232</v>
      </c>
      <c r="J3" s="2">
        <f ca="1">500+RAND()*20</f>
        <v>501.17563568998133</v>
      </c>
      <c r="K3" s="2">
        <f ca="1">400+RAND()*25</f>
        <v>413.72005139175224</v>
      </c>
      <c r="L3" s="2">
        <f ca="1">500+RAND()*20</f>
        <v>502.72311747926415</v>
      </c>
      <c r="M3" s="2">
        <f ca="1">400+RAND()*25</f>
        <v>416.21597074848995</v>
      </c>
      <c r="N3" s="2">
        <f ca="1">500+RAND()*20</f>
        <v>517.21268977408499</v>
      </c>
      <c r="O3" s="2">
        <f ca="1">400+RAND()*25</f>
        <v>407.66186733632435</v>
      </c>
      <c r="P3" s="2">
        <f ca="1">500+RAND()*20</f>
        <v>500.81270586686992</v>
      </c>
      <c r="Q3" s="2">
        <f ca="1">400+RAND()*25</f>
        <v>413.75164520866866</v>
      </c>
      <c r="R3" s="2">
        <f ca="1">500+RAND()*20</f>
        <v>515.19724491285569</v>
      </c>
      <c r="S3" s="2">
        <f ca="1">400+RAND()*25</f>
        <v>408.4260677863449</v>
      </c>
      <c r="T3" s="2">
        <f ca="1">500+RAND()*20</f>
        <v>502.67280185122121</v>
      </c>
      <c r="U3" s="2">
        <f ca="1">400+RAND()*25</f>
        <v>422.70070090179343</v>
      </c>
      <c r="V3" s="2">
        <f ca="1">500+RAND()*20</f>
        <v>505.19208033317562</v>
      </c>
      <c r="W3" s="2">
        <f ca="1">400+RAND()*25</f>
        <v>416.26972394183014</v>
      </c>
      <c r="X3" s="2">
        <f ca="1">500+RAND()*20</f>
        <v>517.67177159399796</v>
      </c>
      <c r="Y3" s="2">
        <f ca="1">400+RAND()*25</f>
        <v>411.77652772973352</v>
      </c>
      <c r="Z3" s="2">
        <f ca="1">500+RAND()*20</f>
        <v>517.7323891945191</v>
      </c>
      <c r="AA3" s="2">
        <f ca="1">400+RAND()*25</f>
        <v>422.43813228114993</v>
      </c>
      <c r="AB3" s="2">
        <f ca="1">500+RAND()*20</f>
        <v>500.4806319217036</v>
      </c>
      <c r="AC3" s="2">
        <f ca="1">400+RAND()*25</f>
        <v>422.84882164298358</v>
      </c>
      <c r="AD3" s="2">
        <f ca="1">500+RAND()*20</f>
        <v>506.44357746056693</v>
      </c>
      <c r="AE3" s="2">
        <f ca="1">400+RAND()*25</f>
        <v>412.16560669544845</v>
      </c>
      <c r="AF3" s="2">
        <f ca="1">500+RAND()*20</f>
        <v>515.89890143288096</v>
      </c>
      <c r="AG3" s="2">
        <f ca="1">400+RAND()*25</f>
        <v>423.21210320280159</v>
      </c>
    </row>
    <row r="4" spans="1:33">
      <c r="A4" t="str">
        <v>Afar</v>
      </c>
      <c r="B4" s="2">
        <f ca="1">50+RAND()*7</f>
        <v>55.354975986634784</v>
      </c>
      <c r="C4" s="2">
        <f ca="1">40+RAND()*5</f>
        <v>41.534703078859565</v>
      </c>
      <c r="D4" s="2">
        <f ca="1">50+RAND()*7</f>
        <v>53.146716397794187</v>
      </c>
      <c r="E4" s="2">
        <f ca="1">40+RAND()*5</f>
        <v>41.985163212876387</v>
      </c>
      <c r="F4" s="2">
        <f ca="1">50+RAND()*7</f>
        <v>51.462733125134086</v>
      </c>
      <c r="G4" s="2">
        <f ca="1">40+RAND()*5</f>
        <v>41.177251709202544</v>
      </c>
      <c r="H4" s="2">
        <f ca="1">50+RAND()*7</f>
        <v>53.113349345052598</v>
      </c>
      <c r="I4" s="2">
        <f ca="1">40+RAND()*5</f>
        <v>43.696049311926465</v>
      </c>
      <c r="J4" s="2">
        <f ca="1">50+RAND()*7</f>
        <v>52.789422548425861</v>
      </c>
      <c r="K4" s="2">
        <f ca="1">40+RAND()*5</f>
        <v>43.83541919116783</v>
      </c>
      <c r="L4" s="2">
        <f ca="1">50+RAND()*7</f>
        <v>53.047847056537151</v>
      </c>
      <c r="M4" s="2">
        <f ca="1">40+RAND()*5</f>
        <v>44.65521423902188</v>
      </c>
      <c r="N4" s="2">
        <f ca="1">50+RAND()*7</f>
        <v>50.06699359318101</v>
      </c>
      <c r="O4" s="2">
        <f ca="1">40+RAND()*5</f>
        <v>44.918121321243106</v>
      </c>
      <c r="P4" s="2">
        <f ca="1">50+RAND()*7</f>
        <v>56.444397340347528</v>
      </c>
      <c r="Q4" s="2">
        <f ca="1">40+RAND()*5</f>
        <v>40.947230009126763</v>
      </c>
      <c r="R4" s="2">
        <f ca="1">50+RAND()*7</f>
        <v>52.688748721671544</v>
      </c>
      <c r="S4" s="2">
        <f ca="1">40+RAND()*5</f>
        <v>43.376362678347732</v>
      </c>
      <c r="T4" s="2">
        <f ca="1">50+RAND()*7</f>
        <v>53.608121811995922</v>
      </c>
      <c r="U4" s="2">
        <f ca="1">40+RAND()*5</f>
        <v>40.208961268713857</v>
      </c>
      <c r="V4" s="2">
        <f ca="1">50+RAND()*7</f>
        <v>53.105023730603719</v>
      </c>
      <c r="W4" s="2">
        <f ca="1">40+RAND()*5</f>
        <v>42.596949192144457</v>
      </c>
      <c r="X4" s="2">
        <f ca="1">50+RAND()*7</f>
        <v>55.284013913331144</v>
      </c>
      <c r="Y4" s="2">
        <f ca="1">40+RAND()*5</f>
        <v>42.510382501842074</v>
      </c>
      <c r="Z4" s="2">
        <f ca="1">50+RAND()*7</f>
        <v>52.199369326453656</v>
      </c>
      <c r="AA4" s="2">
        <f ca="1">40+RAND()*5</f>
        <v>40.186703418843216</v>
      </c>
      <c r="AB4" s="2">
        <f ca="1">50+RAND()*7</f>
        <v>56.938639138559239</v>
      </c>
      <c r="AC4" s="2">
        <f ca="1">40+RAND()*5</f>
        <v>41.362120870167047</v>
      </c>
      <c r="AD4" s="2">
        <f ca="1">50+RAND()*7</f>
        <v>56.304632771284489</v>
      </c>
      <c r="AE4" s="2">
        <f ca="1">40+RAND()*5</f>
        <v>42.251107531485182</v>
      </c>
      <c r="AF4" s="2">
        <f ca="1">50+RAND()*7</f>
        <v>55.781957294736308</v>
      </c>
      <c r="AG4" s="2">
        <f ca="1">40+RAND()*5</f>
        <v>42.213178413824977</v>
      </c>
    </row>
    <row r="5" spans="1:33">
      <c r="A5" t="str">
        <v>Amhara</v>
      </c>
      <c r="B5" s="2">
        <f t="shared" ref="B5:B13" ca="1" si="2">50+RAND()*7</f>
        <v>50.647819345997902</v>
      </c>
      <c r="C5" s="2">
        <f t="shared" ref="C5:C13" ca="1" si="3">40+RAND()*5</f>
        <v>40.432438711462247</v>
      </c>
      <c r="D5" s="2">
        <f t="shared" ref="D5:D13" ca="1" si="4">50+RAND()*7</f>
        <v>52.279050526729343</v>
      </c>
      <c r="E5" s="2">
        <f t="shared" ref="E5:E13" ca="1" si="5">40+RAND()*5</f>
        <v>43.871499308268568</v>
      </c>
      <c r="F5" s="2">
        <f t="shared" ref="F5:F13" ca="1" si="6">50+RAND()*7</f>
        <v>54.197790378208566</v>
      </c>
      <c r="G5" s="2">
        <f t="shared" ref="G5:G13" ca="1" si="7">40+RAND()*5</f>
        <v>40.961730038735269</v>
      </c>
      <c r="H5" s="2">
        <f t="shared" ref="H5:H13" ca="1" si="8">50+RAND()*7</f>
        <v>50.102511814160778</v>
      </c>
      <c r="I5" s="2">
        <f t="shared" ref="I5:I13" ca="1" si="9">40+RAND()*5</f>
        <v>44.529507301114791</v>
      </c>
      <c r="J5" s="2">
        <f t="shared" ref="J5:J13" ca="1" si="10">50+RAND()*7</f>
        <v>52.152045825725565</v>
      </c>
      <c r="K5" s="2">
        <f t="shared" ref="K5:K13" ca="1" si="11">40+RAND()*5</f>
        <v>40.91602581242379</v>
      </c>
      <c r="L5" s="2">
        <f t="shared" ref="L5:L13" ca="1" si="12">50+RAND()*7</f>
        <v>54.6853792458448</v>
      </c>
      <c r="M5" s="2">
        <f t="shared" ref="M5:M13" ca="1" si="13">40+RAND()*5</f>
        <v>42.884314635004131</v>
      </c>
      <c r="N5" s="2">
        <f t="shared" ref="N5:N13" ca="1" si="14">50+RAND()*7</f>
        <v>52.027058655506487</v>
      </c>
      <c r="O5" s="2">
        <f t="shared" ref="O5:O13" ca="1" si="15">40+RAND()*5</f>
        <v>44.268833922699251</v>
      </c>
      <c r="P5" s="2">
        <f t="shared" ref="P5:P13" ca="1" si="16">50+RAND()*7</f>
        <v>53.267524001351433</v>
      </c>
      <c r="Q5" s="2">
        <f t="shared" ref="Q5:Q13" ca="1" si="17">40+RAND()*5</f>
        <v>42.618146673940068</v>
      </c>
      <c r="R5" s="2">
        <f t="shared" ref="R5:R13" ca="1" si="18">50+RAND()*7</f>
        <v>53.583308568805691</v>
      </c>
      <c r="S5" s="2">
        <f t="shared" ref="S5:S13" ca="1" si="19">40+RAND()*5</f>
        <v>42.880978870838831</v>
      </c>
      <c r="T5" s="2">
        <f t="shared" ref="T5:T13" ca="1" si="20">50+RAND()*7</f>
        <v>52.397919694814171</v>
      </c>
      <c r="U5" s="2">
        <f t="shared" ref="U5:U13" ca="1" si="21">40+RAND()*5</f>
        <v>44.328609142087913</v>
      </c>
      <c r="V5" s="2">
        <f t="shared" ref="V5:V13" ca="1" si="22">50+RAND()*7</f>
        <v>55.581176750944856</v>
      </c>
      <c r="W5" s="2">
        <f t="shared" ref="W5:W13" ca="1" si="23">40+RAND()*5</f>
        <v>41.587442078004131</v>
      </c>
      <c r="X5" s="2">
        <f t="shared" ref="X5:X13" ca="1" si="24">50+RAND()*7</f>
        <v>53.458633718582057</v>
      </c>
      <c r="Y5" s="2">
        <f t="shared" ref="Y5:Y13" ca="1" si="25">40+RAND()*5</f>
        <v>44.731264146978134</v>
      </c>
      <c r="Z5" s="2">
        <f t="shared" ref="Z5:Z13" ca="1" si="26">50+RAND()*7</f>
        <v>55.501040259443748</v>
      </c>
      <c r="AA5" s="2">
        <f t="shared" ref="AA5:AA13" ca="1" si="27">40+RAND()*5</f>
        <v>42.369409647107169</v>
      </c>
      <c r="AB5" s="2">
        <f t="shared" ref="AB5:AB13" ca="1" si="28">50+RAND()*7</f>
        <v>50.516497490967879</v>
      </c>
      <c r="AC5" s="2">
        <f t="shared" ref="AC5:AC13" ca="1" si="29">40+RAND()*5</f>
        <v>40.957778893271971</v>
      </c>
      <c r="AD5" s="2">
        <f t="shared" ref="AD5:AD13" ca="1" si="30">50+RAND()*7</f>
        <v>52.758112254035225</v>
      </c>
      <c r="AE5" s="2">
        <f t="shared" ref="AE5:AE13" ca="1" si="31">40+RAND()*5</f>
        <v>41.987411156176748</v>
      </c>
      <c r="AF5" s="2">
        <f t="shared" ref="AF5:AF13" ca="1" si="32">50+RAND()*7</f>
        <v>53.341844914260818</v>
      </c>
      <c r="AG5" s="2">
        <f t="shared" ref="AG5:AG13" ca="1" si="33">40+RAND()*5</f>
        <v>42.878561605270583</v>
      </c>
    </row>
    <row r="6" spans="1:33">
      <c r="A6" t="str">
        <v>Gumuz</v>
      </c>
      <c r="B6" s="2">
        <f t="shared" ca="1" si="2"/>
        <v>51.441864473797594</v>
      </c>
      <c r="C6" s="2">
        <f t="shared" ca="1" si="3"/>
        <v>40.891525122790135</v>
      </c>
      <c r="D6" s="2">
        <f t="shared" ca="1" si="4"/>
        <v>53.270180013594356</v>
      </c>
      <c r="E6" s="2">
        <f t="shared" ca="1" si="5"/>
        <v>43.805343801132082</v>
      </c>
      <c r="F6" s="2">
        <f t="shared" ca="1" si="6"/>
        <v>56.101636612932097</v>
      </c>
      <c r="G6" s="2">
        <f t="shared" ca="1" si="7"/>
        <v>41.443611089868448</v>
      </c>
      <c r="H6" s="2">
        <f t="shared" ca="1" si="8"/>
        <v>50.110876376736847</v>
      </c>
      <c r="I6" s="2">
        <f t="shared" ca="1" si="9"/>
        <v>42.54442375149312</v>
      </c>
      <c r="J6" s="2">
        <f t="shared" ca="1" si="10"/>
        <v>55.928193173206175</v>
      </c>
      <c r="K6" s="2">
        <f t="shared" ca="1" si="11"/>
        <v>43.812646678822517</v>
      </c>
      <c r="L6" s="2">
        <f t="shared" ca="1" si="12"/>
        <v>56.887326400995065</v>
      </c>
      <c r="M6" s="2">
        <f t="shared" ca="1" si="13"/>
        <v>42.490009819678626</v>
      </c>
      <c r="N6" s="2">
        <f t="shared" ca="1" si="14"/>
        <v>50.289998462068155</v>
      </c>
      <c r="O6" s="2">
        <f t="shared" ca="1" si="15"/>
        <v>43.018745020433606</v>
      </c>
      <c r="P6" s="2">
        <f t="shared" ca="1" si="16"/>
        <v>52.149164373332184</v>
      </c>
      <c r="Q6" s="2">
        <f t="shared" ca="1" si="17"/>
        <v>44.202674894447</v>
      </c>
      <c r="R6" s="2">
        <f t="shared" ca="1" si="18"/>
        <v>50.884327673637898</v>
      </c>
      <c r="S6" s="2">
        <f t="shared" ca="1" si="19"/>
        <v>43.290693521333125</v>
      </c>
      <c r="T6" s="2">
        <f t="shared" ca="1" si="20"/>
        <v>52.23887331278047</v>
      </c>
      <c r="U6" s="2">
        <f t="shared" ca="1" si="21"/>
        <v>44.668320715669466</v>
      </c>
      <c r="V6" s="2">
        <f t="shared" ca="1" si="22"/>
        <v>53.753717200071044</v>
      </c>
      <c r="W6" s="2">
        <f t="shared" ca="1" si="23"/>
        <v>42.241405564337875</v>
      </c>
      <c r="X6" s="2">
        <f t="shared" ca="1" si="24"/>
        <v>55.524264606035636</v>
      </c>
      <c r="Y6" s="2">
        <f t="shared" ca="1" si="25"/>
        <v>42.93095807670133</v>
      </c>
      <c r="Z6" s="2">
        <f t="shared" ca="1" si="26"/>
        <v>53.540970380712544</v>
      </c>
      <c r="AA6" s="2">
        <f t="shared" ca="1" si="27"/>
        <v>43.387350073520551</v>
      </c>
      <c r="AB6" s="2">
        <f t="shared" ca="1" si="28"/>
        <v>52.557135303485111</v>
      </c>
      <c r="AC6" s="2">
        <f t="shared" ca="1" si="29"/>
        <v>44.06606063780734</v>
      </c>
      <c r="AD6" s="2">
        <f t="shared" ca="1" si="30"/>
        <v>52.51184675750946</v>
      </c>
      <c r="AE6" s="2">
        <f t="shared" ca="1" si="31"/>
        <v>43.860713645860592</v>
      </c>
      <c r="AF6" s="2">
        <f t="shared" ca="1" si="32"/>
        <v>55.909283074042506</v>
      </c>
      <c r="AG6" s="2">
        <f t="shared" ca="1" si="33"/>
        <v>44.444911062819195</v>
      </c>
    </row>
    <row r="7" spans="1:33">
      <c r="A7" t="str">
        <v>DireDawa</v>
      </c>
      <c r="B7" s="2">
        <f t="shared" ca="1" si="2"/>
        <v>50.883973805308443</v>
      </c>
      <c r="C7" s="2">
        <f t="shared" ca="1" si="3"/>
        <v>40.588811910156366</v>
      </c>
      <c r="D7" s="2">
        <f t="shared" ca="1" si="4"/>
        <v>53.99467331522365</v>
      </c>
      <c r="E7" s="2">
        <f t="shared" ca="1" si="5"/>
        <v>42.998890494973139</v>
      </c>
      <c r="F7" s="2">
        <f t="shared" ca="1" si="6"/>
        <v>52.327138239251909</v>
      </c>
      <c r="G7" s="2">
        <f t="shared" ca="1" si="7"/>
        <v>44.877013809769331</v>
      </c>
      <c r="H7" s="2">
        <f t="shared" ca="1" si="8"/>
        <v>53.069353201020547</v>
      </c>
      <c r="I7" s="2">
        <f t="shared" ca="1" si="9"/>
        <v>42.629245769858379</v>
      </c>
      <c r="J7" s="2">
        <f t="shared" ca="1" si="10"/>
        <v>54.139019395101236</v>
      </c>
      <c r="K7" s="2">
        <f t="shared" ca="1" si="11"/>
        <v>43.486885639747321</v>
      </c>
      <c r="L7" s="2">
        <f t="shared" ca="1" si="12"/>
        <v>52.608136175630996</v>
      </c>
      <c r="M7" s="2">
        <f t="shared" ca="1" si="13"/>
        <v>42.240674240453181</v>
      </c>
      <c r="N7" s="2">
        <f t="shared" ca="1" si="14"/>
        <v>55.619982559294904</v>
      </c>
      <c r="O7" s="2">
        <f t="shared" ca="1" si="15"/>
        <v>40.890527204826149</v>
      </c>
      <c r="P7" s="2">
        <f t="shared" ca="1" si="16"/>
        <v>52.175596643100718</v>
      </c>
      <c r="Q7" s="2">
        <f t="shared" ca="1" si="17"/>
        <v>40.554916144161126</v>
      </c>
      <c r="R7" s="2">
        <f t="shared" ca="1" si="18"/>
        <v>54.239559731617135</v>
      </c>
      <c r="S7" s="2">
        <f t="shared" ca="1" si="19"/>
        <v>42.970902971115294</v>
      </c>
      <c r="T7" s="2">
        <f t="shared" ca="1" si="20"/>
        <v>54.406966305049366</v>
      </c>
      <c r="U7" s="2">
        <f t="shared" ca="1" si="21"/>
        <v>42.971033338177776</v>
      </c>
      <c r="V7" s="2">
        <f t="shared" ca="1" si="22"/>
        <v>53.021205088582711</v>
      </c>
      <c r="W7" s="2">
        <f t="shared" ca="1" si="23"/>
        <v>40.59790368115226</v>
      </c>
      <c r="X7" s="2">
        <f t="shared" ca="1" si="24"/>
        <v>53.699275167655856</v>
      </c>
      <c r="Y7" s="2">
        <f t="shared" ca="1" si="25"/>
        <v>41.5689862105353</v>
      </c>
      <c r="Z7" s="2">
        <f t="shared" ca="1" si="26"/>
        <v>51.940715612685267</v>
      </c>
      <c r="AA7" s="2">
        <f t="shared" ca="1" si="27"/>
        <v>41.821167622396388</v>
      </c>
      <c r="AB7" s="2">
        <f t="shared" ca="1" si="28"/>
        <v>53.338798968727225</v>
      </c>
      <c r="AC7" s="2">
        <f t="shared" ca="1" si="29"/>
        <v>44.670008885508686</v>
      </c>
      <c r="AD7" s="2">
        <f t="shared" ca="1" si="30"/>
        <v>55.454621396250118</v>
      </c>
      <c r="AE7" s="2">
        <f t="shared" ca="1" si="31"/>
        <v>42.229186998167975</v>
      </c>
      <c r="AF7" s="2">
        <f t="shared" ca="1" si="32"/>
        <v>54.324896613040799</v>
      </c>
      <c r="AG7" s="2">
        <f t="shared" ca="1" si="33"/>
        <v>44.152933638815426</v>
      </c>
    </row>
    <row r="8" spans="1:33">
      <c r="A8" t="str">
        <v>Gambela</v>
      </c>
      <c r="B8" s="2">
        <f t="shared" ca="1" si="2"/>
        <v>53.104889025068807</v>
      </c>
      <c r="C8" s="2">
        <f t="shared" ca="1" si="3"/>
        <v>44.62224852145652</v>
      </c>
      <c r="D8" s="2">
        <f t="shared" ca="1" si="4"/>
        <v>52.928819046547375</v>
      </c>
      <c r="E8" s="2">
        <f t="shared" ca="1" si="5"/>
        <v>43.10437398550809</v>
      </c>
      <c r="F8" s="2">
        <f t="shared" ca="1" si="6"/>
        <v>52.570525574560563</v>
      </c>
      <c r="G8" s="2">
        <f t="shared" ca="1" si="7"/>
        <v>42.661414494389398</v>
      </c>
      <c r="H8" s="2">
        <f t="shared" ca="1" si="8"/>
        <v>53.631323343424157</v>
      </c>
      <c r="I8" s="2">
        <f t="shared" ca="1" si="9"/>
        <v>43.577347841135129</v>
      </c>
      <c r="J8" s="2">
        <f t="shared" ca="1" si="10"/>
        <v>53.781754571037993</v>
      </c>
      <c r="K8" s="2">
        <f t="shared" ca="1" si="11"/>
        <v>43.463208455367337</v>
      </c>
      <c r="L8" s="2">
        <f t="shared" ca="1" si="12"/>
        <v>50.86817052721748</v>
      </c>
      <c r="M8" s="2">
        <f t="shared" ca="1" si="13"/>
        <v>43.480897353445762</v>
      </c>
      <c r="N8" s="2">
        <f t="shared" ca="1" si="14"/>
        <v>51.21351113340635</v>
      </c>
      <c r="O8" s="2">
        <f t="shared" ca="1" si="15"/>
        <v>42.793068457807827</v>
      </c>
      <c r="P8" s="2">
        <f t="shared" ca="1" si="16"/>
        <v>55.52131503240166</v>
      </c>
      <c r="Q8" s="2">
        <f t="shared" ca="1" si="17"/>
        <v>40.985159729853827</v>
      </c>
      <c r="R8" s="2">
        <f t="shared" ca="1" si="18"/>
        <v>50.363062063699871</v>
      </c>
      <c r="S8" s="2">
        <f t="shared" ca="1" si="19"/>
        <v>43.455185779522537</v>
      </c>
      <c r="T8" s="2">
        <f t="shared" ca="1" si="20"/>
        <v>50.548429074668846</v>
      </c>
      <c r="U8" s="2">
        <f t="shared" ca="1" si="21"/>
        <v>40.969346296110373</v>
      </c>
      <c r="V8" s="2">
        <f t="shared" ca="1" si="22"/>
        <v>55.367799904598812</v>
      </c>
      <c r="W8" s="2">
        <f t="shared" ca="1" si="23"/>
        <v>41.1482475933649</v>
      </c>
      <c r="X8" s="2">
        <f t="shared" ca="1" si="24"/>
        <v>53.390471046298444</v>
      </c>
      <c r="Y8" s="2">
        <f t="shared" ca="1" si="25"/>
        <v>44.95802625191142</v>
      </c>
      <c r="Z8" s="2">
        <f t="shared" ca="1" si="26"/>
        <v>50.552583823914809</v>
      </c>
      <c r="AA8" s="2">
        <f t="shared" ca="1" si="27"/>
        <v>40.743826397909345</v>
      </c>
      <c r="AB8" s="2">
        <f t="shared" ca="1" si="28"/>
        <v>51.509790234292062</v>
      </c>
      <c r="AC8" s="2">
        <f t="shared" ca="1" si="29"/>
        <v>44.359195989223636</v>
      </c>
      <c r="AD8" s="2">
        <f t="shared" ca="1" si="30"/>
        <v>54.136789957682836</v>
      </c>
      <c r="AE8" s="2">
        <f t="shared" ca="1" si="31"/>
        <v>44.32477799955749</v>
      </c>
      <c r="AF8" s="2">
        <f t="shared" ca="1" si="32"/>
        <v>51.386240178841739</v>
      </c>
      <c r="AG8" s="2">
        <f t="shared" ca="1" si="33"/>
        <v>42.945456427827601</v>
      </c>
    </row>
    <row r="9" spans="1:33">
      <c r="A9" t="str">
        <v>Harari</v>
      </c>
      <c r="B9" s="2">
        <f t="shared" ca="1" si="2"/>
        <v>54.569429005260666</v>
      </c>
      <c r="C9" s="2">
        <f t="shared" ca="1" si="3"/>
        <v>41.4691007556453</v>
      </c>
      <c r="D9" s="2">
        <f t="shared" ca="1" si="4"/>
        <v>52.95593286047783</v>
      </c>
      <c r="E9" s="2">
        <f t="shared" ca="1" si="5"/>
        <v>40.107190014304756</v>
      </c>
      <c r="F9" s="2">
        <f t="shared" ca="1" si="6"/>
        <v>54.709176497169125</v>
      </c>
      <c r="G9" s="2">
        <f t="shared" ca="1" si="7"/>
        <v>41.801381463185656</v>
      </c>
      <c r="H9" s="2">
        <f t="shared" ca="1" si="8"/>
        <v>55.232478824892581</v>
      </c>
      <c r="I9" s="2">
        <f t="shared" ca="1" si="9"/>
        <v>43.93679823078584</v>
      </c>
      <c r="J9" s="2">
        <f t="shared" ca="1" si="10"/>
        <v>55.719595589514704</v>
      </c>
      <c r="K9" s="2">
        <f t="shared" ca="1" si="11"/>
        <v>40.065530980616103</v>
      </c>
      <c r="L9" s="2">
        <f t="shared" ca="1" si="12"/>
        <v>55.081005646442136</v>
      </c>
      <c r="M9" s="2">
        <f t="shared" ca="1" si="13"/>
        <v>42.013154492599426</v>
      </c>
      <c r="N9" s="2">
        <f t="shared" ca="1" si="14"/>
        <v>56.623917676848563</v>
      </c>
      <c r="O9" s="2">
        <f t="shared" ca="1" si="15"/>
        <v>42.059641918342649</v>
      </c>
      <c r="P9" s="2">
        <f t="shared" ca="1" si="16"/>
        <v>53.264366394826936</v>
      </c>
      <c r="Q9" s="2">
        <f t="shared" ca="1" si="17"/>
        <v>42.663865989329018</v>
      </c>
      <c r="R9" s="2">
        <f t="shared" ca="1" si="18"/>
        <v>52.303963979508858</v>
      </c>
      <c r="S9" s="2">
        <f t="shared" ca="1" si="19"/>
        <v>42.820001984022689</v>
      </c>
      <c r="T9" s="2">
        <f t="shared" ca="1" si="20"/>
        <v>50.0022359785834</v>
      </c>
      <c r="U9" s="2">
        <f t="shared" ca="1" si="21"/>
        <v>40.050620348370146</v>
      </c>
      <c r="V9" s="2">
        <f t="shared" ca="1" si="22"/>
        <v>54.008269926743736</v>
      </c>
      <c r="W9" s="2">
        <f t="shared" ca="1" si="23"/>
        <v>44.756610844894858</v>
      </c>
      <c r="X9" s="2">
        <f t="shared" ca="1" si="24"/>
        <v>54.136863386873642</v>
      </c>
      <c r="Y9" s="2">
        <f t="shared" ca="1" si="25"/>
        <v>44.674318797479998</v>
      </c>
      <c r="Z9" s="2">
        <f t="shared" ca="1" si="26"/>
        <v>52.361477448902058</v>
      </c>
      <c r="AA9" s="2">
        <f t="shared" ca="1" si="27"/>
        <v>43.921949284211323</v>
      </c>
      <c r="AB9" s="2">
        <f t="shared" ca="1" si="28"/>
        <v>54.140111289443311</v>
      </c>
      <c r="AC9" s="2">
        <f t="shared" ca="1" si="29"/>
        <v>40.170099403382466</v>
      </c>
      <c r="AD9" s="2">
        <f t="shared" ca="1" si="30"/>
        <v>54.022637733443723</v>
      </c>
      <c r="AE9" s="2">
        <f t="shared" ca="1" si="31"/>
        <v>43.866464015460039</v>
      </c>
      <c r="AF9" s="2">
        <f t="shared" ca="1" si="32"/>
        <v>53.392787712431982</v>
      </c>
      <c r="AG9" s="2">
        <f t="shared" ca="1" si="33"/>
        <v>40.212713499613365</v>
      </c>
    </row>
    <row r="10" spans="1:33">
      <c r="A10" t="str">
        <v>Oromia</v>
      </c>
      <c r="B10" s="2">
        <f t="shared" ca="1" si="2"/>
        <v>53.43899465791884</v>
      </c>
      <c r="C10" s="2">
        <f t="shared" ca="1" si="3"/>
        <v>43.416832387772494</v>
      </c>
      <c r="D10" s="2">
        <f t="shared" ca="1" si="4"/>
        <v>50.264544630482163</v>
      </c>
      <c r="E10" s="2">
        <f t="shared" ca="1" si="5"/>
        <v>43.812274687203882</v>
      </c>
      <c r="F10" s="2">
        <f t="shared" ca="1" si="6"/>
        <v>54.537831156692548</v>
      </c>
      <c r="G10" s="2">
        <f t="shared" ca="1" si="7"/>
        <v>44.468716407876308</v>
      </c>
      <c r="H10" s="2">
        <f t="shared" ca="1" si="8"/>
        <v>51.897199617336149</v>
      </c>
      <c r="I10" s="2">
        <f t="shared" ca="1" si="9"/>
        <v>41.173075145296359</v>
      </c>
      <c r="J10" s="2">
        <f t="shared" ca="1" si="10"/>
        <v>56.5017944257471</v>
      </c>
      <c r="K10" s="2">
        <f t="shared" ca="1" si="11"/>
        <v>41.767133414450058</v>
      </c>
      <c r="L10" s="2">
        <f t="shared" ca="1" si="12"/>
        <v>54.720818345538142</v>
      </c>
      <c r="M10" s="2">
        <f t="shared" ca="1" si="13"/>
        <v>43.047350172243256</v>
      </c>
      <c r="N10" s="2">
        <f t="shared" ca="1" si="14"/>
        <v>53.52724985637628</v>
      </c>
      <c r="O10" s="2">
        <f t="shared" ca="1" si="15"/>
        <v>44.791396587565181</v>
      </c>
      <c r="P10" s="2">
        <f t="shared" ca="1" si="16"/>
        <v>56.877198056779783</v>
      </c>
      <c r="Q10" s="2">
        <f t="shared" ca="1" si="17"/>
        <v>40.60274481558244</v>
      </c>
      <c r="R10" s="2">
        <f t="shared" ca="1" si="18"/>
        <v>56.237098633635611</v>
      </c>
      <c r="S10" s="2">
        <f t="shared" ca="1" si="19"/>
        <v>40.9908729939485</v>
      </c>
      <c r="T10" s="2">
        <f t="shared" ca="1" si="20"/>
        <v>52.469294328372364</v>
      </c>
      <c r="U10" s="2">
        <f t="shared" ca="1" si="21"/>
        <v>43.092771525016175</v>
      </c>
      <c r="V10" s="2">
        <f t="shared" ca="1" si="22"/>
        <v>53.668054490426982</v>
      </c>
      <c r="W10" s="2">
        <f t="shared" ca="1" si="23"/>
        <v>41.857237089375431</v>
      </c>
      <c r="X10" s="2">
        <f t="shared" ca="1" si="24"/>
        <v>51.321179570015417</v>
      </c>
      <c r="Y10" s="2">
        <f t="shared" ca="1" si="25"/>
        <v>40.89359763637875</v>
      </c>
      <c r="Z10" s="2">
        <f t="shared" ca="1" si="26"/>
        <v>55.346422747288841</v>
      </c>
      <c r="AA10" s="2">
        <f t="shared" ca="1" si="27"/>
        <v>41.333130686443894</v>
      </c>
      <c r="AB10" s="2">
        <f t="shared" ca="1" si="28"/>
        <v>56.565887678074617</v>
      </c>
      <c r="AC10" s="2">
        <f t="shared" ca="1" si="29"/>
        <v>40.035250743314606</v>
      </c>
      <c r="AD10" s="2">
        <f t="shared" ca="1" si="30"/>
        <v>55.857990887382179</v>
      </c>
      <c r="AE10" s="2">
        <f t="shared" ca="1" si="31"/>
        <v>43.5406202164531</v>
      </c>
      <c r="AF10" s="2">
        <f t="shared" ca="1" si="32"/>
        <v>53.384244172148229</v>
      </c>
      <c r="AG10" s="2">
        <f t="shared" ca="1" si="33"/>
        <v>41.705409523813046</v>
      </c>
    </row>
    <row r="11" spans="1:33">
      <c r="A11" t="str">
        <v>Somali</v>
      </c>
      <c r="B11" s="2">
        <f t="shared" ca="1" si="2"/>
        <v>56.854119591755911</v>
      </c>
      <c r="C11" s="2">
        <f t="shared" ca="1" si="3"/>
        <v>40.325890122543072</v>
      </c>
      <c r="D11" s="2">
        <f t="shared" ca="1" si="4"/>
        <v>55.307680218547858</v>
      </c>
      <c r="E11" s="2">
        <f t="shared" ca="1" si="5"/>
        <v>42.159029028902232</v>
      </c>
      <c r="F11" s="2">
        <f t="shared" ca="1" si="6"/>
        <v>52.307326699126172</v>
      </c>
      <c r="G11" s="2">
        <f t="shared" ca="1" si="7"/>
        <v>42.337781589039963</v>
      </c>
      <c r="H11" s="2">
        <f t="shared" ca="1" si="8"/>
        <v>51.676864863991419</v>
      </c>
      <c r="I11" s="2">
        <f t="shared" ca="1" si="9"/>
        <v>44.312642441476662</v>
      </c>
      <c r="J11" s="2">
        <f t="shared" ca="1" si="10"/>
        <v>52.439889194112681</v>
      </c>
      <c r="K11" s="2">
        <f t="shared" ca="1" si="11"/>
        <v>43.401623655207317</v>
      </c>
      <c r="L11" s="2">
        <f t="shared" ca="1" si="12"/>
        <v>54.544264049879473</v>
      </c>
      <c r="M11" s="2">
        <f t="shared" ca="1" si="13"/>
        <v>41.017719517121193</v>
      </c>
      <c r="N11" s="2">
        <f t="shared" ca="1" si="14"/>
        <v>51.601678890324536</v>
      </c>
      <c r="O11" s="2">
        <f t="shared" ca="1" si="15"/>
        <v>40.153854194626248</v>
      </c>
      <c r="P11" s="2">
        <f t="shared" ca="1" si="16"/>
        <v>55.605741026545942</v>
      </c>
      <c r="Q11" s="2">
        <f t="shared" ca="1" si="17"/>
        <v>40.037717640376457</v>
      </c>
      <c r="R11" s="2">
        <f t="shared" ca="1" si="18"/>
        <v>51.210731755634555</v>
      </c>
      <c r="S11" s="2">
        <f t="shared" ca="1" si="19"/>
        <v>40.509632874873688</v>
      </c>
      <c r="T11" s="2">
        <f t="shared" ca="1" si="20"/>
        <v>56.162015529357632</v>
      </c>
      <c r="U11" s="2">
        <f t="shared" ca="1" si="21"/>
        <v>43.434585908179287</v>
      </c>
      <c r="V11" s="2">
        <f t="shared" ca="1" si="22"/>
        <v>56.544857530654276</v>
      </c>
      <c r="W11" s="2">
        <f t="shared" ca="1" si="23"/>
        <v>41.771458217850636</v>
      </c>
      <c r="X11" s="2">
        <f t="shared" ca="1" si="24"/>
        <v>54.627560999709267</v>
      </c>
      <c r="Y11" s="2">
        <f t="shared" ca="1" si="25"/>
        <v>43.293933001169236</v>
      </c>
      <c r="Z11" s="2">
        <f t="shared" ca="1" si="26"/>
        <v>56.171168269388396</v>
      </c>
      <c r="AA11" s="2">
        <f t="shared" ca="1" si="27"/>
        <v>40.234016237260086</v>
      </c>
      <c r="AB11" s="2">
        <f t="shared" ca="1" si="28"/>
        <v>54.803300150962443</v>
      </c>
      <c r="AC11" s="2">
        <f t="shared" ca="1" si="29"/>
        <v>40.799112307329423</v>
      </c>
      <c r="AD11" s="2">
        <f t="shared" ca="1" si="30"/>
        <v>50.137912147936852</v>
      </c>
      <c r="AE11" s="2">
        <f t="shared" ca="1" si="31"/>
        <v>41.757364411190828</v>
      </c>
      <c r="AF11" s="2">
        <f t="shared" ca="1" si="32"/>
        <v>52.236945707711307</v>
      </c>
      <c r="AG11" s="2">
        <f t="shared" ca="1" si="33"/>
        <v>44.983120091810321</v>
      </c>
    </row>
    <row r="12" spans="1:33">
      <c r="A12" t="str">
        <v>SNNPR</v>
      </c>
      <c r="B12" s="2">
        <f t="shared" ca="1" si="2"/>
        <v>54.248985862727565</v>
      </c>
      <c r="C12" s="2">
        <f t="shared" ca="1" si="3"/>
        <v>40.024338395322829</v>
      </c>
      <c r="D12" s="2">
        <f t="shared" ca="1" si="4"/>
        <v>55.200833264248828</v>
      </c>
      <c r="E12" s="2">
        <f t="shared" ca="1" si="5"/>
        <v>43.829131696000239</v>
      </c>
      <c r="F12" s="2">
        <f t="shared" ca="1" si="6"/>
        <v>55.059620046401712</v>
      </c>
      <c r="G12" s="2">
        <f t="shared" ca="1" si="7"/>
        <v>44.048825483406318</v>
      </c>
      <c r="H12" s="2">
        <f t="shared" ca="1" si="8"/>
        <v>51.326999376338925</v>
      </c>
      <c r="I12" s="2">
        <f t="shared" ca="1" si="9"/>
        <v>41.0760543974935</v>
      </c>
      <c r="J12" s="2">
        <f t="shared" ca="1" si="10"/>
        <v>53.947726249688976</v>
      </c>
      <c r="K12" s="2">
        <f t="shared" ca="1" si="11"/>
        <v>40.892943283147112</v>
      </c>
      <c r="L12" s="2">
        <f t="shared" ca="1" si="12"/>
        <v>53.501691093063798</v>
      </c>
      <c r="M12" s="2">
        <f t="shared" ca="1" si="13"/>
        <v>42.341176508097767</v>
      </c>
      <c r="N12" s="2">
        <f t="shared" ca="1" si="14"/>
        <v>50.283786584790633</v>
      </c>
      <c r="O12" s="2">
        <f t="shared" ca="1" si="15"/>
        <v>44.621563996837601</v>
      </c>
      <c r="P12" s="2">
        <f t="shared" ca="1" si="16"/>
        <v>52.393607194197884</v>
      </c>
      <c r="Q12" s="2">
        <f t="shared" ca="1" si="17"/>
        <v>40.001229791608807</v>
      </c>
      <c r="R12" s="2">
        <f t="shared" ca="1" si="18"/>
        <v>52.165108868489639</v>
      </c>
      <c r="S12" s="2">
        <f t="shared" ca="1" si="19"/>
        <v>40.372439040202366</v>
      </c>
      <c r="T12" s="2">
        <f t="shared" ca="1" si="20"/>
        <v>53.090355799301172</v>
      </c>
      <c r="U12" s="2">
        <f t="shared" ca="1" si="21"/>
        <v>44.823730592411451</v>
      </c>
      <c r="V12" s="2">
        <f t="shared" ca="1" si="22"/>
        <v>50.586898502409589</v>
      </c>
      <c r="W12" s="2">
        <f t="shared" ca="1" si="23"/>
        <v>42.611613293554754</v>
      </c>
      <c r="X12" s="2">
        <f t="shared" ca="1" si="24"/>
        <v>50.600551930117675</v>
      </c>
      <c r="Y12" s="2">
        <f t="shared" ca="1" si="25"/>
        <v>42.772056870500073</v>
      </c>
      <c r="Z12" s="2">
        <f t="shared" ca="1" si="26"/>
        <v>52.319507196529244</v>
      </c>
      <c r="AA12" s="2">
        <f t="shared" ca="1" si="27"/>
        <v>42.355970331338234</v>
      </c>
      <c r="AB12" s="2">
        <f t="shared" ca="1" si="28"/>
        <v>51.842210422799319</v>
      </c>
      <c r="AC12" s="2">
        <f t="shared" ca="1" si="29"/>
        <v>43.050053176940544</v>
      </c>
      <c r="AD12" s="2">
        <f t="shared" ca="1" si="30"/>
        <v>50.936117828837233</v>
      </c>
      <c r="AE12" s="2">
        <f t="shared" ca="1" si="31"/>
        <v>40.341912884560514</v>
      </c>
      <c r="AF12" s="2">
        <f t="shared" ca="1" si="32"/>
        <v>56.299641135211843</v>
      </c>
      <c r="AG12" s="2">
        <f t="shared" ca="1" si="33"/>
        <v>44.598702243397305</v>
      </c>
    </row>
    <row r="13" spans="1:33">
      <c r="A13" t="str">
        <v>Tigray</v>
      </c>
      <c r="B13" s="2">
        <f t="shared" ca="1" si="2"/>
        <v>50.46998323029041</v>
      </c>
      <c r="C13" s="2">
        <f t="shared" ca="1" si="3"/>
        <v>41.876335370271711</v>
      </c>
      <c r="D13" s="2">
        <f t="shared" ca="1" si="4"/>
        <v>55.465143852494052</v>
      </c>
      <c r="E13" s="2">
        <f t="shared" ca="1" si="5"/>
        <v>43.187601934824777</v>
      </c>
      <c r="F13" s="2">
        <f t="shared" ca="1" si="6"/>
        <v>55.311531078774891</v>
      </c>
      <c r="G13" s="2">
        <f t="shared" ca="1" si="7"/>
        <v>44.176049360761915</v>
      </c>
      <c r="H13" s="2">
        <f t="shared" ca="1" si="8"/>
        <v>51.165330605404961</v>
      </c>
      <c r="I13" s="2">
        <f t="shared" ca="1" si="9"/>
        <v>43.00172788002326</v>
      </c>
      <c r="J13" s="2">
        <f t="shared" ca="1" si="10"/>
        <v>53.74663229389423</v>
      </c>
      <c r="K13" s="2">
        <f t="shared" ca="1" si="11"/>
        <v>41.276482645165402</v>
      </c>
      <c r="L13" s="2">
        <f t="shared" ca="1" si="12"/>
        <v>56.28371135185985</v>
      </c>
      <c r="M13" s="2">
        <f t="shared" ca="1" si="13"/>
        <v>43.097885616372572</v>
      </c>
      <c r="N13" s="2">
        <f t="shared" ca="1" si="14"/>
        <v>55.080258264304675</v>
      </c>
      <c r="O13" s="2">
        <f t="shared" ca="1" si="15"/>
        <v>44.575533581179315</v>
      </c>
      <c r="P13" s="2">
        <f t="shared" ca="1" si="16"/>
        <v>51.614465734467224</v>
      </c>
      <c r="Q13" s="2">
        <f t="shared" ca="1" si="17"/>
        <v>40.529606626242689</v>
      </c>
      <c r="R13" s="2">
        <f t="shared" ca="1" si="18"/>
        <v>53.323045600873655</v>
      </c>
      <c r="S13" s="2">
        <f t="shared" ca="1" si="19"/>
        <v>42.67236793272864</v>
      </c>
      <c r="T13" s="2">
        <f t="shared" ca="1" si="20"/>
        <v>54.846604657716604</v>
      </c>
      <c r="U13" s="2">
        <f t="shared" ca="1" si="21"/>
        <v>43.472133302633367</v>
      </c>
      <c r="V13" s="2">
        <f t="shared" ca="1" si="22"/>
        <v>56.152972023100617</v>
      </c>
      <c r="W13" s="2">
        <f t="shared" ca="1" si="23"/>
        <v>44.136081725740219</v>
      </c>
      <c r="X13" s="2">
        <f t="shared" ca="1" si="24"/>
        <v>54.985967713221093</v>
      </c>
      <c r="Y13" s="2">
        <f t="shared" ca="1" si="25"/>
        <v>42.65955984079153</v>
      </c>
      <c r="Z13" s="2">
        <f t="shared" ca="1" si="26"/>
        <v>55.898920145236836</v>
      </c>
      <c r="AA13" s="2">
        <f t="shared" ca="1" si="27"/>
        <v>43.153162637102199</v>
      </c>
      <c r="AB13" s="2">
        <f t="shared" ca="1" si="28"/>
        <v>54.096926969327633</v>
      </c>
      <c r="AC13" s="2">
        <f t="shared" ca="1" si="29"/>
        <v>43.242072565270504</v>
      </c>
      <c r="AD13" s="2">
        <f t="shared" ca="1" si="30"/>
        <v>55.585700461021595</v>
      </c>
      <c r="AE13" s="2">
        <f t="shared" ca="1" si="31"/>
        <v>43.28819919276242</v>
      </c>
      <c r="AF13" s="2">
        <f t="shared" ca="1" si="32"/>
        <v>53.36992971569191</v>
      </c>
      <c r="AG13" s="2">
        <f t="shared" ca="1" si="33"/>
        <v>41.702892661394401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index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2017-07-25T16:43:10Z</dcterms:modified>
</cp:coreProperties>
</file>