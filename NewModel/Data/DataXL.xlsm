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iram\GDrive\Work\Sauleh\Code\Food\NewModel\Data\"/>
    </mc:Choice>
  </mc:AlternateContent>
  <bookViews>
    <workbookView xWindow="0" yWindow="465" windowWidth="20220" windowHeight="7065" tabRatio="664" activeTab="11"/>
  </bookViews>
  <sheets>
    <sheet name="index" sheetId="1" r:id="rId1"/>
    <sheet name="Cattle" sheetId="8" r:id="rId2"/>
    <sheet name="sets" sheetId="3" r:id="rId3"/>
    <sheet name="Roads" sheetId="5" r:id="rId4"/>
    <sheet name="ElecLine" sheetId="10" r:id="rId5"/>
    <sheet name="DiscFact" sheetId="6" r:id="rId6"/>
    <sheet name="Crop" sheetId="7" r:id="rId7"/>
    <sheet name="CYF" sheetId="4" r:id="rId8"/>
    <sheet name="aFAO" sheetId="11" r:id="rId9"/>
    <sheet name="DemInt" sheetId="14" r:id="rId10"/>
    <sheet name="DemSlope" sheetId="15" r:id="rId11"/>
    <sheet name="Elec" sheetId="9" r:id="rId12"/>
  </sheets>
  <definedNames>
    <definedName name="_xlnm._FilterDatabase" localSheetId="4" hidden="1">ElecLine!$A$21:$B$86</definedName>
    <definedName name="_xlnm._FilterDatabase" localSheetId="0" hidden="1">index!$A$1:$E$29</definedName>
    <definedName name="_xlnm._FilterDatabase" localSheetId="3" hidden="1">Roads!$A$21:$B$86</definedName>
    <definedName name="_xlnm._FilterDatabase" localSheetId="2" hidden="1">sets!$F$2:$F$13</definedName>
    <definedName name="Crops">sets!$J$3:$J$62</definedName>
    <definedName name="Food">sets!$H$3:$H$62</definedName>
    <definedName name="Nodes">sets!$F$3:$F$62</definedName>
    <definedName name="RoadList" localSheetId="4">ElecLine!$A$21</definedName>
    <definedName name="RoadList">Roads!$A$21</definedName>
    <definedName name="Seasons">sets!$D$3:$D$62</definedName>
    <definedName name="Years">sets!$B$3:$B$62</definedName>
  </definedNames>
  <calcPr calcId="171027" concurrentCalc="0"/>
</workbook>
</file>

<file path=xl/calcChain.xml><?xml version="1.0" encoding="utf-8"?>
<calcChain xmlns="http://schemas.openxmlformats.org/spreadsheetml/2006/main">
  <c r="G122" i="8" l="1"/>
  <c r="G123" i="8"/>
  <c r="G124" i="8"/>
  <c r="G125" i="8"/>
  <c r="G126" i="8"/>
  <c r="G127" i="8"/>
  <c r="G128" i="8"/>
  <c r="G129" i="8"/>
  <c r="G130" i="8"/>
  <c r="G131" i="8"/>
  <c r="G121" i="8"/>
  <c r="B122" i="8"/>
  <c r="B123" i="8"/>
  <c r="B124" i="8"/>
  <c r="B125" i="8"/>
  <c r="B126" i="8"/>
  <c r="B127" i="8"/>
  <c r="B128" i="8"/>
  <c r="B129" i="8"/>
  <c r="B130" i="8"/>
  <c r="B131" i="8"/>
  <c r="B121" i="8"/>
  <c r="B4" i="9"/>
  <c r="C4" i="9"/>
  <c r="B5" i="9"/>
  <c r="C5" i="9"/>
  <c r="B6" i="9"/>
  <c r="C6" i="9"/>
  <c r="B7" i="9"/>
  <c r="C7" i="9"/>
  <c r="B8" i="9"/>
  <c r="C8" i="9"/>
  <c r="B9" i="9"/>
  <c r="C9" i="9"/>
  <c r="B10" i="9"/>
  <c r="C10" i="9"/>
  <c r="B11" i="9"/>
  <c r="C11" i="9"/>
  <c r="B12" i="9"/>
  <c r="C12" i="9"/>
  <c r="B13" i="9"/>
  <c r="C13" i="9"/>
  <c r="C3" i="9"/>
  <c r="B3" i="9"/>
  <c r="D68" i="15"/>
  <c r="C68" i="15"/>
  <c r="D67" i="15"/>
  <c r="C67" i="15"/>
  <c r="D66" i="15"/>
  <c r="C66" i="15"/>
  <c r="D65" i="15"/>
  <c r="C65" i="15"/>
  <c r="D64" i="15"/>
  <c r="C64" i="15"/>
  <c r="D63" i="15"/>
  <c r="C63" i="15"/>
  <c r="D62" i="15"/>
  <c r="C62" i="15"/>
  <c r="D61" i="15"/>
  <c r="C61" i="15"/>
  <c r="D60" i="15"/>
  <c r="C60" i="15"/>
  <c r="D59" i="15"/>
  <c r="C59" i="15"/>
  <c r="D58" i="15"/>
  <c r="C58" i="15"/>
  <c r="D57" i="15"/>
  <c r="C57" i="15"/>
  <c r="D56" i="15"/>
  <c r="C56" i="15"/>
  <c r="D55" i="15"/>
  <c r="C55" i="15"/>
  <c r="D54" i="15"/>
  <c r="C54" i="15"/>
  <c r="D53" i="15"/>
  <c r="C53" i="15"/>
  <c r="D52" i="15"/>
  <c r="C52" i="15"/>
  <c r="D51" i="15"/>
  <c r="C51" i="15"/>
  <c r="D50" i="15"/>
  <c r="C50" i="15"/>
  <c r="D49" i="15"/>
  <c r="C49" i="15"/>
  <c r="D48" i="15"/>
  <c r="C48" i="15"/>
  <c r="D47" i="15"/>
  <c r="C47" i="15"/>
  <c r="D46" i="15"/>
  <c r="C46" i="15"/>
  <c r="D45" i="15"/>
  <c r="C45" i="15"/>
  <c r="D44" i="15"/>
  <c r="C44" i="15"/>
  <c r="D43" i="15"/>
  <c r="C43" i="15"/>
  <c r="D42" i="15"/>
  <c r="C42" i="15"/>
  <c r="D41" i="15"/>
  <c r="C41" i="15"/>
  <c r="D40" i="15"/>
  <c r="C40" i="15"/>
  <c r="D39" i="15"/>
  <c r="C39" i="15"/>
  <c r="D38" i="15"/>
  <c r="C38" i="15"/>
  <c r="D37" i="15"/>
  <c r="C37" i="15"/>
  <c r="D36" i="15"/>
  <c r="C36" i="15"/>
  <c r="D35" i="15"/>
  <c r="C35" i="15"/>
  <c r="D34" i="15"/>
  <c r="C34" i="15"/>
  <c r="D33" i="15"/>
  <c r="C33" i="15"/>
  <c r="D32" i="15"/>
  <c r="C32" i="15"/>
  <c r="D31" i="15"/>
  <c r="C31" i="15"/>
  <c r="D30" i="15"/>
  <c r="C30" i="15"/>
  <c r="D29" i="15"/>
  <c r="C29" i="15"/>
  <c r="D28" i="15"/>
  <c r="C28" i="15"/>
  <c r="D27" i="15"/>
  <c r="C27" i="15"/>
  <c r="D26" i="15"/>
  <c r="C26" i="15"/>
  <c r="D25" i="15"/>
  <c r="C25" i="15"/>
  <c r="D24" i="15"/>
  <c r="C24" i="15"/>
  <c r="D23" i="15"/>
  <c r="C23" i="15"/>
  <c r="D22" i="15"/>
  <c r="C22" i="15"/>
  <c r="D21" i="15"/>
  <c r="C21" i="15"/>
  <c r="D20" i="15"/>
  <c r="C20" i="15"/>
  <c r="D19" i="15"/>
  <c r="C19" i="15"/>
  <c r="D18" i="15"/>
  <c r="C18" i="15"/>
  <c r="D17" i="15"/>
  <c r="C17" i="15"/>
  <c r="D16" i="15"/>
  <c r="C16" i="15"/>
  <c r="D15" i="15"/>
  <c r="C15" i="15"/>
  <c r="D14" i="15"/>
  <c r="C14" i="15"/>
  <c r="D13" i="15"/>
  <c r="C13" i="15"/>
  <c r="D12" i="15"/>
  <c r="C12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4" i="15"/>
  <c r="C4" i="15"/>
  <c r="D3" i="15"/>
  <c r="C3" i="15"/>
  <c r="D68" i="14"/>
  <c r="C68" i="14"/>
  <c r="D67" i="14"/>
  <c r="C67" i="14"/>
  <c r="D66" i="14"/>
  <c r="C66" i="14"/>
  <c r="D65" i="14"/>
  <c r="C65" i="14"/>
  <c r="D64" i="14"/>
  <c r="C64" i="14"/>
  <c r="D63" i="14"/>
  <c r="C63" i="14"/>
  <c r="D62" i="14"/>
  <c r="C62" i="14"/>
  <c r="D61" i="14"/>
  <c r="C61" i="14"/>
  <c r="D60" i="14"/>
  <c r="C60" i="14"/>
  <c r="D59" i="14"/>
  <c r="C59" i="14"/>
  <c r="D58" i="14"/>
  <c r="C58" i="14"/>
  <c r="D57" i="14"/>
  <c r="C57" i="14"/>
  <c r="D56" i="14"/>
  <c r="C56" i="14"/>
  <c r="D55" i="14"/>
  <c r="C55" i="14"/>
  <c r="D54" i="14"/>
  <c r="C54" i="14"/>
  <c r="D53" i="14"/>
  <c r="C53" i="14"/>
  <c r="D52" i="14"/>
  <c r="C52" i="14"/>
  <c r="D51" i="14"/>
  <c r="C51" i="14"/>
  <c r="D50" i="14"/>
  <c r="C50" i="14"/>
  <c r="D49" i="14"/>
  <c r="C49" i="14"/>
  <c r="D48" i="14"/>
  <c r="C48" i="14"/>
  <c r="D47" i="14"/>
  <c r="C47" i="14"/>
  <c r="D46" i="14"/>
  <c r="C46" i="14"/>
  <c r="D45" i="14"/>
  <c r="C45" i="14"/>
  <c r="D44" i="14"/>
  <c r="C44" i="14"/>
  <c r="D43" i="14"/>
  <c r="C43" i="14"/>
  <c r="D42" i="14"/>
  <c r="C42" i="14"/>
  <c r="D41" i="14"/>
  <c r="C41" i="14"/>
  <c r="D40" i="14"/>
  <c r="C40" i="14"/>
  <c r="D39" i="14"/>
  <c r="C39" i="14"/>
  <c r="D38" i="14"/>
  <c r="C38" i="14"/>
  <c r="D37" i="14"/>
  <c r="C37" i="14"/>
  <c r="D36" i="14"/>
  <c r="C36" i="14"/>
  <c r="D35" i="14"/>
  <c r="C35" i="14"/>
  <c r="D34" i="14"/>
  <c r="C34" i="14"/>
  <c r="D33" i="14"/>
  <c r="C33" i="14"/>
  <c r="D32" i="14"/>
  <c r="C32" i="14"/>
  <c r="D31" i="14"/>
  <c r="C31" i="14"/>
  <c r="D30" i="14"/>
  <c r="C30" i="14"/>
  <c r="D29" i="14"/>
  <c r="C29" i="14"/>
  <c r="D28" i="14"/>
  <c r="C28" i="14"/>
  <c r="D27" i="14"/>
  <c r="C27" i="14"/>
  <c r="D26" i="14"/>
  <c r="C26" i="14"/>
  <c r="D25" i="14"/>
  <c r="C25" i="14"/>
  <c r="D24" i="14"/>
  <c r="C24" i="14"/>
  <c r="D23" i="14"/>
  <c r="C23" i="14"/>
  <c r="D22" i="14"/>
  <c r="C22" i="14"/>
  <c r="D21" i="14"/>
  <c r="C21" i="14"/>
  <c r="D20" i="14"/>
  <c r="C20" i="14"/>
  <c r="D19" i="14"/>
  <c r="C19" i="14"/>
  <c r="D18" i="14"/>
  <c r="C18" i="14"/>
  <c r="D17" i="14"/>
  <c r="C17" i="14"/>
  <c r="D16" i="14"/>
  <c r="C16" i="14"/>
  <c r="D15" i="14"/>
  <c r="C15" i="14"/>
  <c r="D14" i="14"/>
  <c r="C14" i="14"/>
  <c r="D13" i="14"/>
  <c r="C13" i="14"/>
  <c r="D12" i="14"/>
  <c r="C12" i="14"/>
  <c r="D11" i="14"/>
  <c r="C11" i="14"/>
  <c r="D10" i="14"/>
  <c r="C10" i="14"/>
  <c r="D9" i="14"/>
  <c r="C9" i="14"/>
  <c r="D8" i="14"/>
  <c r="C8" i="14"/>
  <c r="D7" i="14"/>
  <c r="C7" i="14"/>
  <c r="D6" i="14"/>
  <c r="C6" i="14"/>
  <c r="D5" i="14"/>
  <c r="C5" i="14"/>
  <c r="D4" i="14"/>
  <c r="C4" i="14"/>
  <c r="D3" i="14"/>
  <c r="C3" i="14"/>
  <c r="D68" i="11"/>
  <c r="C68" i="11"/>
  <c r="D67" i="11"/>
  <c r="C67" i="11"/>
  <c r="D66" i="11"/>
  <c r="C66" i="11"/>
  <c r="D65" i="11"/>
  <c r="C65" i="11"/>
  <c r="D64" i="11"/>
  <c r="C64" i="11"/>
  <c r="D63" i="11"/>
  <c r="C63" i="11"/>
  <c r="D62" i="11"/>
  <c r="C62" i="11"/>
  <c r="D61" i="11"/>
  <c r="C61" i="11"/>
  <c r="D60" i="11"/>
  <c r="C60" i="11"/>
  <c r="D59" i="11"/>
  <c r="C59" i="11"/>
  <c r="D58" i="11"/>
  <c r="C58" i="11"/>
  <c r="D57" i="11"/>
  <c r="C57" i="11"/>
  <c r="D56" i="11"/>
  <c r="C56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D43" i="11"/>
  <c r="C43" i="11"/>
  <c r="D42" i="11"/>
  <c r="C42" i="11"/>
  <c r="D41" i="11"/>
  <c r="C41" i="11"/>
  <c r="D40" i="11"/>
  <c r="C40" i="11"/>
  <c r="D39" i="11"/>
  <c r="C39" i="11"/>
  <c r="D38" i="11"/>
  <c r="C38" i="11"/>
  <c r="D37" i="11"/>
  <c r="C37" i="11"/>
  <c r="D36" i="11"/>
  <c r="C36" i="11"/>
  <c r="D35" i="11"/>
  <c r="C35" i="11"/>
  <c r="D34" i="11"/>
  <c r="C34" i="11"/>
  <c r="D33" i="11"/>
  <c r="C33" i="11"/>
  <c r="D32" i="11"/>
  <c r="C32" i="11"/>
  <c r="D31" i="11"/>
  <c r="C31" i="11"/>
  <c r="D30" i="11"/>
  <c r="C30" i="11"/>
  <c r="D29" i="11"/>
  <c r="C29" i="11"/>
  <c r="D28" i="11"/>
  <c r="C28" i="11"/>
  <c r="D27" i="11"/>
  <c r="C27" i="11"/>
  <c r="D26" i="11"/>
  <c r="C26" i="11"/>
  <c r="D25" i="11"/>
  <c r="C25" i="11"/>
  <c r="D24" i="11"/>
  <c r="C24" i="11"/>
  <c r="D23" i="11"/>
  <c r="C23" i="11"/>
  <c r="D22" i="11"/>
  <c r="C22" i="11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4" i="11"/>
  <c r="C4" i="11"/>
  <c r="D3" i="11"/>
  <c r="C3" i="11"/>
  <c r="D68" i="4"/>
  <c r="C68" i="4"/>
  <c r="D67" i="4"/>
  <c r="C67" i="4"/>
  <c r="D66" i="4"/>
  <c r="C66" i="4"/>
  <c r="D65" i="4"/>
  <c r="C65" i="4"/>
  <c r="D64" i="4"/>
  <c r="C64" i="4"/>
  <c r="D63" i="4"/>
  <c r="C63" i="4"/>
  <c r="D62" i="4"/>
  <c r="C62" i="4"/>
  <c r="D61" i="4"/>
  <c r="C61" i="4"/>
  <c r="D60" i="4"/>
  <c r="C60" i="4"/>
  <c r="D59" i="4"/>
  <c r="C59" i="4"/>
  <c r="D58" i="4"/>
  <c r="C58" i="4"/>
  <c r="D57" i="4"/>
  <c r="C57" i="4"/>
  <c r="D56" i="4"/>
  <c r="C56" i="4"/>
  <c r="D55" i="4"/>
  <c r="C55" i="4"/>
  <c r="D54" i="4"/>
  <c r="C54" i="4"/>
  <c r="D53" i="4"/>
  <c r="C53" i="4"/>
  <c r="D52" i="4"/>
  <c r="C52" i="4"/>
  <c r="D51" i="4"/>
  <c r="C51" i="4"/>
  <c r="D50" i="4"/>
  <c r="C50" i="4"/>
  <c r="D49" i="4"/>
  <c r="C49" i="4"/>
  <c r="D48" i="4"/>
  <c r="C48" i="4"/>
  <c r="D47" i="4"/>
  <c r="C47" i="4"/>
  <c r="D46" i="4"/>
  <c r="C46" i="4"/>
  <c r="D45" i="4"/>
  <c r="C45" i="4"/>
  <c r="D44" i="4"/>
  <c r="C44" i="4"/>
  <c r="D43" i="4"/>
  <c r="C43" i="4"/>
  <c r="D42" i="4"/>
  <c r="C42" i="4"/>
  <c r="D41" i="4"/>
  <c r="C41" i="4"/>
  <c r="D40" i="4"/>
  <c r="C40" i="4"/>
  <c r="D39" i="4"/>
  <c r="C39" i="4"/>
  <c r="D38" i="4"/>
  <c r="C38" i="4"/>
  <c r="D37" i="4"/>
  <c r="C37" i="4"/>
  <c r="D36" i="4"/>
  <c r="C36" i="4"/>
  <c r="D35" i="4"/>
  <c r="C35" i="4"/>
  <c r="D34" i="4"/>
  <c r="C34" i="4"/>
  <c r="D33" i="4"/>
  <c r="C33" i="4"/>
  <c r="D32" i="4"/>
  <c r="C32" i="4"/>
  <c r="D31" i="4"/>
  <c r="C31" i="4"/>
  <c r="D30" i="4"/>
  <c r="C30" i="4"/>
  <c r="D29" i="4"/>
  <c r="C29" i="4"/>
  <c r="D28" i="4"/>
  <c r="C28" i="4"/>
  <c r="D27" i="4"/>
  <c r="C27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9" i="4"/>
  <c r="C19" i="4"/>
  <c r="D18" i="4"/>
  <c r="C18" i="4"/>
  <c r="D17" i="4"/>
  <c r="C17" i="4"/>
  <c r="D16" i="4"/>
  <c r="C16" i="4"/>
  <c r="D15" i="4"/>
  <c r="C15" i="4"/>
  <c r="D14" i="4"/>
  <c r="C14" i="4"/>
  <c r="D13" i="4"/>
  <c r="C13" i="4"/>
  <c r="D12" i="4"/>
  <c r="C12" i="4"/>
  <c r="D11" i="4"/>
  <c r="C11" i="4"/>
  <c r="D10" i="4"/>
  <c r="C10" i="4"/>
  <c r="D9" i="4"/>
  <c r="C9" i="4"/>
  <c r="D8" i="4"/>
  <c r="C8" i="4"/>
  <c r="D7" i="4"/>
  <c r="C7" i="4"/>
  <c r="D6" i="4"/>
  <c r="C6" i="4"/>
  <c r="D5" i="4"/>
  <c r="C5" i="4"/>
  <c r="D4" i="4"/>
  <c r="C4" i="4"/>
  <c r="D3" i="4"/>
  <c r="C3" i="4"/>
  <c r="AK12" i="5"/>
  <c r="AJ12" i="5"/>
  <c r="AI12" i="5"/>
  <c r="AH12" i="5"/>
  <c r="AG12" i="5"/>
  <c r="AF12" i="5"/>
  <c r="AE12" i="5"/>
  <c r="AD12" i="5"/>
  <c r="AC12" i="5"/>
  <c r="AL11" i="5"/>
  <c r="AJ11" i="5"/>
  <c r="AI11" i="5"/>
  <c r="AH11" i="5"/>
  <c r="AG11" i="5"/>
  <c r="AF11" i="5"/>
  <c r="AE11" i="5"/>
  <c r="AD11" i="5"/>
  <c r="AC11" i="5"/>
  <c r="AL10" i="5"/>
  <c r="AK10" i="5"/>
  <c r="AI10" i="5"/>
  <c r="AH10" i="5"/>
  <c r="AG10" i="5"/>
  <c r="AF10" i="5"/>
  <c r="AE10" i="5"/>
  <c r="AD10" i="5"/>
  <c r="AC10" i="5"/>
  <c r="AL9" i="5"/>
  <c r="AK9" i="5"/>
  <c r="AJ9" i="5"/>
  <c r="AH9" i="5"/>
  <c r="AG9" i="5"/>
  <c r="AF9" i="5"/>
  <c r="AE9" i="5"/>
  <c r="AD9" i="5"/>
  <c r="AC9" i="5"/>
  <c r="AL8" i="5"/>
  <c r="AK8" i="5"/>
  <c r="AJ8" i="5"/>
  <c r="AI8" i="5"/>
  <c r="AG8" i="5"/>
  <c r="AF8" i="5"/>
  <c r="AE8" i="5"/>
  <c r="AD8" i="5"/>
  <c r="AC8" i="5"/>
  <c r="AL7" i="5"/>
  <c r="AK7" i="5"/>
  <c r="AJ7" i="5"/>
  <c r="AI7" i="5"/>
  <c r="AH7" i="5"/>
  <c r="AF7" i="5"/>
  <c r="AE7" i="5"/>
  <c r="AD7" i="5"/>
  <c r="AC7" i="5"/>
  <c r="AL6" i="5"/>
  <c r="AK6" i="5"/>
  <c r="AJ6" i="5"/>
  <c r="AI6" i="5"/>
  <c r="AH6" i="5"/>
  <c r="AG6" i="5"/>
  <c r="AE6" i="5"/>
  <c r="AD6" i="5"/>
  <c r="AC6" i="5"/>
  <c r="AL5" i="5"/>
  <c r="AK5" i="5"/>
  <c r="AJ5" i="5"/>
  <c r="AI5" i="5"/>
  <c r="AH5" i="5"/>
  <c r="AG5" i="5"/>
  <c r="AF5" i="5"/>
  <c r="AD5" i="5"/>
  <c r="AC5" i="5"/>
  <c r="AL4" i="5"/>
  <c r="AK4" i="5"/>
  <c r="AJ4" i="5"/>
  <c r="AI4" i="5"/>
  <c r="AH4" i="5"/>
  <c r="AG4" i="5"/>
  <c r="AF4" i="5"/>
  <c r="AE4" i="5"/>
  <c r="AC4" i="5"/>
  <c r="AL3" i="5"/>
  <c r="AK3" i="5"/>
  <c r="AJ3" i="5"/>
  <c r="AI3" i="5"/>
  <c r="AH3" i="5"/>
  <c r="AG3" i="5"/>
  <c r="AF3" i="5"/>
  <c r="AE3" i="5"/>
  <c r="AD3" i="5"/>
  <c r="X12" i="5"/>
  <c r="W12" i="5"/>
  <c r="V12" i="5"/>
  <c r="U12" i="5"/>
  <c r="T12" i="5"/>
  <c r="S12" i="5"/>
  <c r="R12" i="5"/>
  <c r="Q12" i="5"/>
  <c r="P12" i="5"/>
  <c r="Y11" i="5"/>
  <c r="W11" i="5"/>
  <c r="V11" i="5"/>
  <c r="U11" i="5"/>
  <c r="T11" i="5"/>
  <c r="S11" i="5"/>
  <c r="R11" i="5"/>
  <c r="Q11" i="5"/>
  <c r="P11" i="5"/>
  <c r="Y10" i="5"/>
  <c r="X10" i="5"/>
  <c r="V10" i="5"/>
  <c r="U10" i="5"/>
  <c r="T10" i="5"/>
  <c r="S10" i="5"/>
  <c r="R10" i="5"/>
  <c r="Q10" i="5"/>
  <c r="P10" i="5"/>
  <c r="Y9" i="5"/>
  <c r="X9" i="5"/>
  <c r="W9" i="5"/>
  <c r="U9" i="5"/>
  <c r="T9" i="5"/>
  <c r="S9" i="5"/>
  <c r="R9" i="5"/>
  <c r="Q9" i="5"/>
  <c r="P9" i="5"/>
  <c r="Y8" i="5"/>
  <c r="X8" i="5"/>
  <c r="W8" i="5"/>
  <c r="V8" i="5"/>
  <c r="T8" i="5"/>
  <c r="S8" i="5"/>
  <c r="R8" i="5"/>
  <c r="Q8" i="5"/>
  <c r="P8" i="5"/>
  <c r="Y7" i="5"/>
  <c r="X7" i="5"/>
  <c r="W7" i="5"/>
  <c r="V7" i="5"/>
  <c r="U7" i="5"/>
  <c r="S7" i="5"/>
  <c r="R7" i="5"/>
  <c r="Q7" i="5"/>
  <c r="P7" i="5"/>
  <c r="Y6" i="5"/>
  <c r="X6" i="5"/>
  <c r="W6" i="5"/>
  <c r="V6" i="5"/>
  <c r="U6" i="5"/>
  <c r="T6" i="5"/>
  <c r="R6" i="5"/>
  <c r="Q6" i="5"/>
  <c r="P6" i="5"/>
  <c r="Y5" i="5"/>
  <c r="X5" i="5"/>
  <c r="W5" i="5"/>
  <c r="V5" i="5"/>
  <c r="U5" i="5"/>
  <c r="T5" i="5"/>
  <c r="S5" i="5"/>
  <c r="Q5" i="5"/>
  <c r="P5" i="5"/>
  <c r="Y4" i="5"/>
  <c r="X4" i="5"/>
  <c r="W4" i="5"/>
  <c r="V4" i="5"/>
  <c r="U4" i="5"/>
  <c r="T4" i="5"/>
  <c r="S4" i="5"/>
  <c r="R4" i="5"/>
  <c r="P4" i="5"/>
  <c r="Y3" i="5"/>
  <c r="X3" i="5"/>
  <c r="W3" i="5"/>
  <c r="V3" i="5"/>
  <c r="U3" i="5"/>
  <c r="T3" i="5"/>
  <c r="S3" i="5"/>
  <c r="R3" i="5"/>
  <c r="Q3" i="5"/>
  <c r="C162" i="8"/>
  <c r="D162" i="8"/>
  <c r="E162" i="8"/>
  <c r="F162" i="8"/>
  <c r="G162" i="8"/>
  <c r="H162" i="8"/>
  <c r="I162" i="8"/>
  <c r="J162" i="8"/>
  <c r="K162" i="8"/>
  <c r="L162" i="8"/>
  <c r="M162" i="8"/>
  <c r="N162" i="8"/>
  <c r="O162" i="8"/>
  <c r="P162" i="8"/>
  <c r="Q162" i="8"/>
  <c r="C163" i="8"/>
  <c r="D163" i="8"/>
  <c r="E163" i="8"/>
  <c r="F163" i="8"/>
  <c r="G163" i="8"/>
  <c r="H163" i="8"/>
  <c r="I163" i="8"/>
  <c r="J163" i="8"/>
  <c r="K163" i="8"/>
  <c r="L163" i="8"/>
  <c r="M163" i="8"/>
  <c r="N163" i="8"/>
  <c r="O163" i="8"/>
  <c r="P163" i="8"/>
  <c r="Q163" i="8"/>
  <c r="C164" i="8"/>
  <c r="D164" i="8"/>
  <c r="E164" i="8"/>
  <c r="F164" i="8"/>
  <c r="G164" i="8"/>
  <c r="H164" i="8"/>
  <c r="I164" i="8"/>
  <c r="J164" i="8"/>
  <c r="K164" i="8"/>
  <c r="L164" i="8"/>
  <c r="M164" i="8"/>
  <c r="N164" i="8"/>
  <c r="O164" i="8"/>
  <c r="P164" i="8"/>
  <c r="Q164" i="8"/>
  <c r="C165" i="8"/>
  <c r="D165" i="8"/>
  <c r="E165" i="8"/>
  <c r="F165" i="8"/>
  <c r="G165" i="8"/>
  <c r="H165" i="8"/>
  <c r="I165" i="8"/>
  <c r="J165" i="8"/>
  <c r="K165" i="8"/>
  <c r="L165" i="8"/>
  <c r="M165" i="8"/>
  <c r="N165" i="8"/>
  <c r="O165" i="8"/>
  <c r="P165" i="8"/>
  <c r="Q165" i="8"/>
  <c r="C166" i="8"/>
  <c r="D166" i="8"/>
  <c r="E166" i="8"/>
  <c r="F166" i="8"/>
  <c r="G166" i="8"/>
  <c r="H166" i="8"/>
  <c r="I166" i="8"/>
  <c r="J166" i="8"/>
  <c r="K166" i="8"/>
  <c r="L166" i="8"/>
  <c r="M166" i="8"/>
  <c r="N166" i="8"/>
  <c r="O166" i="8"/>
  <c r="P166" i="8"/>
  <c r="Q166" i="8"/>
  <c r="C167" i="8"/>
  <c r="D167" i="8"/>
  <c r="E167" i="8"/>
  <c r="F167" i="8"/>
  <c r="G167" i="8"/>
  <c r="H167" i="8"/>
  <c r="I167" i="8"/>
  <c r="J167" i="8"/>
  <c r="K167" i="8"/>
  <c r="L167" i="8"/>
  <c r="M167" i="8"/>
  <c r="N167" i="8"/>
  <c r="O167" i="8"/>
  <c r="P167" i="8"/>
  <c r="Q167" i="8"/>
  <c r="C168" i="8"/>
  <c r="D168" i="8"/>
  <c r="E168" i="8"/>
  <c r="F168" i="8"/>
  <c r="G168" i="8"/>
  <c r="H168" i="8"/>
  <c r="I168" i="8"/>
  <c r="J168" i="8"/>
  <c r="K168" i="8"/>
  <c r="L168" i="8"/>
  <c r="M168" i="8"/>
  <c r="N168" i="8"/>
  <c r="O168" i="8"/>
  <c r="P168" i="8"/>
  <c r="Q168" i="8"/>
  <c r="C169" i="8"/>
  <c r="D169" i="8"/>
  <c r="E169" i="8"/>
  <c r="F169" i="8"/>
  <c r="G169" i="8"/>
  <c r="H169" i="8"/>
  <c r="I169" i="8"/>
  <c r="J169" i="8"/>
  <c r="K169" i="8"/>
  <c r="L169" i="8"/>
  <c r="M169" i="8"/>
  <c r="N169" i="8"/>
  <c r="O169" i="8"/>
  <c r="P169" i="8"/>
  <c r="Q169" i="8"/>
  <c r="C170" i="8"/>
  <c r="D170" i="8"/>
  <c r="E170" i="8"/>
  <c r="F170" i="8"/>
  <c r="G170" i="8"/>
  <c r="H170" i="8"/>
  <c r="I170" i="8"/>
  <c r="J170" i="8"/>
  <c r="K170" i="8"/>
  <c r="L170" i="8"/>
  <c r="M170" i="8"/>
  <c r="N170" i="8"/>
  <c r="O170" i="8"/>
  <c r="P170" i="8"/>
  <c r="Q170" i="8"/>
  <c r="C171" i="8"/>
  <c r="D171" i="8"/>
  <c r="E171" i="8"/>
  <c r="F171" i="8"/>
  <c r="G171" i="8"/>
  <c r="H171" i="8"/>
  <c r="I171" i="8"/>
  <c r="J171" i="8"/>
  <c r="K171" i="8"/>
  <c r="L171" i="8"/>
  <c r="M171" i="8"/>
  <c r="N171" i="8"/>
  <c r="O171" i="8"/>
  <c r="P171" i="8"/>
  <c r="Q171" i="8"/>
  <c r="C172" i="8"/>
  <c r="D172" i="8"/>
  <c r="E172" i="8"/>
  <c r="F172" i="8"/>
  <c r="G172" i="8"/>
  <c r="H172" i="8"/>
  <c r="I172" i="8"/>
  <c r="J172" i="8"/>
  <c r="K172" i="8"/>
  <c r="L172" i="8"/>
  <c r="M172" i="8"/>
  <c r="N172" i="8"/>
  <c r="O172" i="8"/>
  <c r="P172" i="8"/>
  <c r="Q172" i="8"/>
  <c r="B163" i="8"/>
  <c r="B164" i="8"/>
  <c r="B165" i="8"/>
  <c r="B166" i="8"/>
  <c r="B167" i="8"/>
  <c r="B168" i="8"/>
  <c r="B169" i="8"/>
  <c r="B170" i="8"/>
  <c r="B171" i="8"/>
  <c r="B172" i="8"/>
  <c r="B162" i="8"/>
  <c r="B142" i="8" a="1"/>
  <c r="B142" i="8"/>
  <c r="C142" i="8"/>
  <c r="D142" i="8"/>
  <c r="E142" i="8"/>
  <c r="F142" i="8"/>
  <c r="G142" i="8"/>
  <c r="H142" i="8"/>
  <c r="I142" i="8"/>
  <c r="J142" i="8"/>
  <c r="K142" i="8"/>
  <c r="L142" i="8"/>
  <c r="M142" i="8"/>
  <c r="N142" i="8"/>
  <c r="O142" i="8"/>
  <c r="P142" i="8"/>
  <c r="Q142" i="8"/>
  <c r="B143" i="8"/>
  <c r="C143" i="8"/>
  <c r="D143" i="8"/>
  <c r="E143" i="8"/>
  <c r="F143" i="8"/>
  <c r="G143" i="8"/>
  <c r="H143" i="8"/>
  <c r="I143" i="8"/>
  <c r="J143" i="8"/>
  <c r="K143" i="8"/>
  <c r="L143" i="8"/>
  <c r="M143" i="8"/>
  <c r="N143" i="8"/>
  <c r="O143" i="8"/>
  <c r="P143" i="8"/>
  <c r="Q143" i="8"/>
  <c r="B144" i="8"/>
  <c r="C144" i="8"/>
  <c r="D144" i="8"/>
  <c r="E144" i="8"/>
  <c r="F144" i="8"/>
  <c r="G144" i="8"/>
  <c r="H144" i="8"/>
  <c r="I144" i="8"/>
  <c r="J144" i="8"/>
  <c r="K144" i="8"/>
  <c r="L144" i="8"/>
  <c r="M144" i="8"/>
  <c r="N144" i="8"/>
  <c r="O144" i="8"/>
  <c r="P144" i="8"/>
  <c r="Q144" i="8"/>
  <c r="B145" i="8"/>
  <c r="C145" i="8"/>
  <c r="D145" i="8"/>
  <c r="E145" i="8"/>
  <c r="F145" i="8"/>
  <c r="G145" i="8"/>
  <c r="H145" i="8"/>
  <c r="I145" i="8"/>
  <c r="J145" i="8"/>
  <c r="K145" i="8"/>
  <c r="L145" i="8"/>
  <c r="M145" i="8"/>
  <c r="N145" i="8"/>
  <c r="O145" i="8"/>
  <c r="P145" i="8"/>
  <c r="Q145" i="8"/>
  <c r="B146" i="8"/>
  <c r="C146" i="8"/>
  <c r="D146" i="8"/>
  <c r="E146" i="8"/>
  <c r="F146" i="8"/>
  <c r="G146" i="8"/>
  <c r="H146" i="8"/>
  <c r="I146" i="8"/>
  <c r="J146" i="8"/>
  <c r="K146" i="8"/>
  <c r="L146" i="8"/>
  <c r="M146" i="8"/>
  <c r="N146" i="8"/>
  <c r="O146" i="8"/>
  <c r="P146" i="8"/>
  <c r="Q146" i="8"/>
  <c r="B147" i="8"/>
  <c r="C147" i="8"/>
  <c r="D147" i="8"/>
  <c r="E147" i="8"/>
  <c r="F147" i="8"/>
  <c r="G147" i="8"/>
  <c r="H147" i="8"/>
  <c r="I147" i="8"/>
  <c r="J147" i="8"/>
  <c r="K147" i="8"/>
  <c r="L147" i="8"/>
  <c r="M147" i="8"/>
  <c r="N147" i="8"/>
  <c r="O147" i="8"/>
  <c r="P147" i="8"/>
  <c r="Q147" i="8"/>
  <c r="B148" i="8"/>
  <c r="C148" i="8"/>
  <c r="D148" i="8"/>
  <c r="E148" i="8"/>
  <c r="F148" i="8"/>
  <c r="G148" i="8"/>
  <c r="H148" i="8"/>
  <c r="I148" i="8"/>
  <c r="J148" i="8"/>
  <c r="K148" i="8"/>
  <c r="L148" i="8"/>
  <c r="M148" i="8"/>
  <c r="N148" i="8"/>
  <c r="O148" i="8"/>
  <c r="P148" i="8"/>
  <c r="Q148" i="8"/>
  <c r="B149" i="8"/>
  <c r="C149" i="8"/>
  <c r="D149" i="8"/>
  <c r="E149" i="8"/>
  <c r="F149" i="8"/>
  <c r="G149" i="8"/>
  <c r="H149" i="8"/>
  <c r="I149" i="8"/>
  <c r="J149" i="8"/>
  <c r="K149" i="8"/>
  <c r="L149" i="8"/>
  <c r="M149" i="8"/>
  <c r="N149" i="8"/>
  <c r="O149" i="8"/>
  <c r="P149" i="8"/>
  <c r="Q149" i="8"/>
  <c r="B150" i="8"/>
  <c r="C150" i="8"/>
  <c r="D150" i="8"/>
  <c r="E150" i="8"/>
  <c r="F150" i="8"/>
  <c r="G150" i="8"/>
  <c r="H150" i="8"/>
  <c r="I150" i="8"/>
  <c r="J150" i="8"/>
  <c r="K150" i="8"/>
  <c r="L150" i="8"/>
  <c r="M150" i="8"/>
  <c r="N150" i="8"/>
  <c r="O150" i="8"/>
  <c r="P150" i="8"/>
  <c r="Q150" i="8"/>
  <c r="B151" i="8"/>
  <c r="C151" i="8"/>
  <c r="D151" i="8"/>
  <c r="E151" i="8"/>
  <c r="F151" i="8"/>
  <c r="G151" i="8"/>
  <c r="H151" i="8"/>
  <c r="I151" i="8"/>
  <c r="J151" i="8"/>
  <c r="K151" i="8"/>
  <c r="L151" i="8"/>
  <c r="M151" i="8"/>
  <c r="N151" i="8"/>
  <c r="O151" i="8"/>
  <c r="P151" i="8"/>
  <c r="Q151" i="8"/>
  <c r="B152" i="8"/>
  <c r="C152" i="8"/>
  <c r="D152" i="8"/>
  <c r="E152" i="8"/>
  <c r="F152" i="8"/>
  <c r="G152" i="8"/>
  <c r="H152" i="8"/>
  <c r="I152" i="8"/>
  <c r="J152" i="8"/>
  <c r="K152" i="8"/>
  <c r="L152" i="8"/>
  <c r="M152" i="8"/>
  <c r="N152" i="8"/>
  <c r="O152" i="8"/>
  <c r="P152" i="8"/>
  <c r="Q152" i="8"/>
  <c r="A162" i="8" a="1"/>
  <c r="A162" i="8"/>
  <c r="A163" i="8"/>
  <c r="A164" i="8"/>
  <c r="A165" i="8"/>
  <c r="A166" i="8"/>
  <c r="A167" i="8"/>
  <c r="A168" i="8"/>
  <c r="A169" i="8"/>
  <c r="A170" i="8"/>
  <c r="A171" i="8"/>
  <c r="A172" i="8"/>
  <c r="B161" i="8" a="1"/>
  <c r="B161" i="8"/>
  <c r="C161" i="8"/>
  <c r="D161" i="8"/>
  <c r="E161" i="8"/>
  <c r="F161" i="8"/>
  <c r="G161" i="8"/>
  <c r="H161" i="8"/>
  <c r="I161" i="8"/>
  <c r="J161" i="8"/>
  <c r="K161" i="8"/>
  <c r="L161" i="8"/>
  <c r="M161" i="8"/>
  <c r="N161" i="8"/>
  <c r="O161" i="8"/>
  <c r="P161" i="8"/>
  <c r="Q161" i="8"/>
  <c r="A142" i="8" a="1"/>
  <c r="A142" i="8"/>
  <c r="A143" i="8"/>
  <c r="A144" i="8"/>
  <c r="A145" i="8"/>
  <c r="A146" i="8"/>
  <c r="A147" i="8"/>
  <c r="A148" i="8"/>
  <c r="A149" i="8"/>
  <c r="A150" i="8"/>
  <c r="A151" i="8"/>
  <c r="A152" i="8"/>
  <c r="B141" i="8" a="1"/>
  <c r="B141" i="8"/>
  <c r="C141" i="8"/>
  <c r="D141" i="8"/>
  <c r="E141" i="8"/>
  <c r="F141" i="8"/>
  <c r="G141" i="8"/>
  <c r="H141" i="8"/>
  <c r="I141" i="8"/>
  <c r="J141" i="8"/>
  <c r="K141" i="8"/>
  <c r="L141" i="8"/>
  <c r="M141" i="8"/>
  <c r="N141" i="8"/>
  <c r="O141" i="8"/>
  <c r="P141" i="8"/>
  <c r="Q141" i="8"/>
  <c r="AG3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D3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G4" i="9"/>
  <c r="AF4" i="9"/>
  <c r="AE4" i="9"/>
  <c r="AD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B2" i="9" a="1"/>
  <c r="C2" i="9"/>
  <c r="E2" i="9"/>
  <c r="G2" i="9"/>
  <c r="I2" i="9"/>
  <c r="K2" i="9"/>
  <c r="M2" i="9"/>
  <c r="O2" i="9"/>
  <c r="Q2" i="9"/>
  <c r="S2" i="9"/>
  <c r="U2" i="9"/>
  <c r="W2" i="9"/>
  <c r="Y2" i="9"/>
  <c r="AA2" i="9"/>
  <c r="AC2" i="9"/>
  <c r="AE2" i="9"/>
  <c r="AG2" i="9"/>
  <c r="B2" i="9"/>
  <c r="D2" i="9"/>
  <c r="F2" i="9"/>
  <c r="H2" i="9"/>
  <c r="J2" i="9"/>
  <c r="L2" i="9"/>
  <c r="N2" i="9"/>
  <c r="P2" i="9"/>
  <c r="R2" i="9"/>
  <c r="T2" i="9"/>
  <c r="V2" i="9"/>
  <c r="X2" i="9"/>
  <c r="Z2" i="9"/>
  <c r="AB2" i="9"/>
  <c r="AD2" i="9"/>
  <c r="AF2" i="9"/>
  <c r="E1" i="9"/>
  <c r="G1" i="9"/>
  <c r="I1" i="9"/>
  <c r="K1" i="9"/>
  <c r="M1" i="9"/>
  <c r="O1" i="9"/>
  <c r="Q1" i="9"/>
  <c r="S1" i="9"/>
  <c r="U1" i="9"/>
  <c r="W1" i="9"/>
  <c r="Y1" i="9"/>
  <c r="AA1" i="9"/>
  <c r="AC1" i="9"/>
  <c r="AE1" i="9"/>
  <c r="AG1" i="9"/>
  <c r="D1" i="9"/>
  <c r="F1" i="9"/>
  <c r="H1" i="9"/>
  <c r="J1" i="9"/>
  <c r="L1" i="9"/>
  <c r="N1" i="9"/>
  <c r="P1" i="9"/>
  <c r="R1" i="9"/>
  <c r="T1" i="9"/>
  <c r="V1" i="9"/>
  <c r="X1" i="9"/>
  <c r="Z1" i="9"/>
  <c r="AB1" i="9"/>
  <c r="AD1" i="9"/>
  <c r="AF1" i="9"/>
  <c r="A3" i="9" a="1"/>
  <c r="A12" i="9"/>
  <c r="A11" i="9"/>
  <c r="A10" i="9"/>
  <c r="A9" i="9"/>
  <c r="A8" i="9"/>
  <c r="A7" i="9"/>
  <c r="A6" i="9"/>
  <c r="A5" i="9"/>
  <c r="A4" i="9"/>
  <c r="A3" i="9"/>
  <c r="A13" i="9"/>
  <c r="E4" i="15"/>
  <c r="F4" i="15"/>
  <c r="G4" i="15"/>
  <c r="H4" i="15"/>
  <c r="I4" i="15"/>
  <c r="J4" i="15"/>
  <c r="K4" i="15"/>
  <c r="L4" i="15"/>
  <c r="M4" i="15"/>
  <c r="N4" i="15"/>
  <c r="O4" i="15"/>
  <c r="P4" i="15"/>
  <c r="Q4" i="15"/>
  <c r="R4" i="15"/>
  <c r="S4" i="15"/>
  <c r="T4" i="15"/>
  <c r="U4" i="15"/>
  <c r="V4" i="15"/>
  <c r="W4" i="15"/>
  <c r="X4" i="15"/>
  <c r="Y4" i="15"/>
  <c r="Z4" i="15"/>
  <c r="AA4" i="15"/>
  <c r="AB4" i="15"/>
  <c r="AC4" i="15"/>
  <c r="AD4" i="15"/>
  <c r="AE4" i="15"/>
  <c r="AF4" i="15"/>
  <c r="AG4" i="15"/>
  <c r="AH4" i="15"/>
  <c r="E5" i="15"/>
  <c r="F5" i="15"/>
  <c r="G5" i="15"/>
  <c r="H5" i="15"/>
  <c r="I5" i="15"/>
  <c r="J5" i="15"/>
  <c r="K5" i="15"/>
  <c r="L5" i="15"/>
  <c r="M5" i="15"/>
  <c r="N5" i="15"/>
  <c r="O5" i="15"/>
  <c r="P5" i="15"/>
  <c r="Q5" i="15"/>
  <c r="R5" i="15"/>
  <c r="S5" i="15"/>
  <c r="T5" i="15"/>
  <c r="U5" i="15"/>
  <c r="V5" i="15"/>
  <c r="W5" i="15"/>
  <c r="X5" i="15"/>
  <c r="Y5" i="15"/>
  <c r="Z5" i="15"/>
  <c r="AA5" i="15"/>
  <c r="AB5" i="15"/>
  <c r="AC5" i="15"/>
  <c r="AD5" i="15"/>
  <c r="AE5" i="15"/>
  <c r="AF5" i="15"/>
  <c r="AG5" i="15"/>
  <c r="AH5" i="15"/>
  <c r="E6" i="15"/>
  <c r="F6" i="15"/>
  <c r="G6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Y6" i="15"/>
  <c r="Z6" i="15"/>
  <c r="AA6" i="15"/>
  <c r="AB6" i="15"/>
  <c r="AC6" i="15"/>
  <c r="AD6" i="15"/>
  <c r="AE6" i="15"/>
  <c r="AF6" i="15"/>
  <c r="AG6" i="15"/>
  <c r="AH6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Y7" i="15"/>
  <c r="Z7" i="15"/>
  <c r="AA7" i="15"/>
  <c r="AB7" i="15"/>
  <c r="AC7" i="15"/>
  <c r="AD7" i="15"/>
  <c r="AE7" i="15"/>
  <c r="AF7" i="15"/>
  <c r="AG7" i="15"/>
  <c r="AH7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Y8" i="15"/>
  <c r="Z8" i="15"/>
  <c r="AA8" i="15"/>
  <c r="AB8" i="15"/>
  <c r="AC8" i="15"/>
  <c r="AD8" i="15"/>
  <c r="AE8" i="15"/>
  <c r="AF8" i="15"/>
  <c r="AG8" i="15"/>
  <c r="AH8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Y9" i="15"/>
  <c r="Z9" i="15"/>
  <c r="AA9" i="15"/>
  <c r="AB9" i="15"/>
  <c r="AC9" i="15"/>
  <c r="AD9" i="15"/>
  <c r="AE9" i="15"/>
  <c r="AF9" i="15"/>
  <c r="AG9" i="15"/>
  <c r="AH9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Y10" i="15"/>
  <c r="Z10" i="15"/>
  <c r="AA10" i="15"/>
  <c r="AB10" i="15"/>
  <c r="AC10" i="15"/>
  <c r="AD10" i="15"/>
  <c r="AE10" i="15"/>
  <c r="AF10" i="15"/>
  <c r="AG10" i="15"/>
  <c r="AH10" i="15"/>
  <c r="E11" i="15"/>
  <c r="F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Z11" i="15"/>
  <c r="AA11" i="15"/>
  <c r="AB11" i="15"/>
  <c r="AC11" i="15"/>
  <c r="AD11" i="15"/>
  <c r="AE11" i="15"/>
  <c r="AF11" i="15"/>
  <c r="AG11" i="15"/>
  <c r="AH11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Y12" i="15"/>
  <c r="Z12" i="15"/>
  <c r="AA12" i="15"/>
  <c r="AB12" i="15"/>
  <c r="AC12" i="15"/>
  <c r="AD12" i="15"/>
  <c r="AE12" i="15"/>
  <c r="AF12" i="15"/>
  <c r="AG12" i="15"/>
  <c r="AH12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Y13" i="15"/>
  <c r="Z13" i="15"/>
  <c r="AA13" i="15"/>
  <c r="AB13" i="15"/>
  <c r="AC13" i="15"/>
  <c r="AD13" i="15"/>
  <c r="AE13" i="15"/>
  <c r="AF13" i="15"/>
  <c r="AG13" i="15"/>
  <c r="AH13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Y14" i="15"/>
  <c r="Z14" i="15"/>
  <c r="AA14" i="15"/>
  <c r="AB14" i="15"/>
  <c r="AC14" i="15"/>
  <c r="AD14" i="15"/>
  <c r="AE14" i="15"/>
  <c r="AF14" i="15"/>
  <c r="AG14" i="15"/>
  <c r="AH14" i="15"/>
  <c r="E15" i="15"/>
  <c r="F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Y15" i="15"/>
  <c r="Z15" i="15"/>
  <c r="AA15" i="15"/>
  <c r="AB15" i="15"/>
  <c r="AC15" i="15"/>
  <c r="AD15" i="15"/>
  <c r="AE15" i="15"/>
  <c r="AF15" i="15"/>
  <c r="AG15" i="15"/>
  <c r="AH15" i="15"/>
  <c r="E16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Y16" i="15"/>
  <c r="Z16" i="15"/>
  <c r="AA16" i="15"/>
  <c r="AB16" i="15"/>
  <c r="AC16" i="15"/>
  <c r="AD16" i="15"/>
  <c r="AE16" i="15"/>
  <c r="AF16" i="15"/>
  <c r="AG16" i="15"/>
  <c r="AH16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Y17" i="15"/>
  <c r="Z17" i="15"/>
  <c r="AA17" i="15"/>
  <c r="AB17" i="15"/>
  <c r="AC17" i="15"/>
  <c r="AD17" i="15"/>
  <c r="AE17" i="15"/>
  <c r="AF17" i="15"/>
  <c r="AG17" i="15"/>
  <c r="AH17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Y18" i="15"/>
  <c r="Z18" i="15"/>
  <c r="AA18" i="15"/>
  <c r="AB18" i="15"/>
  <c r="AC18" i="15"/>
  <c r="AD18" i="15"/>
  <c r="AE18" i="15"/>
  <c r="AF18" i="15"/>
  <c r="AG18" i="15"/>
  <c r="AH18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Y19" i="15"/>
  <c r="Z19" i="15"/>
  <c r="AA19" i="15"/>
  <c r="AB19" i="15"/>
  <c r="AC19" i="15"/>
  <c r="AD19" i="15"/>
  <c r="AE19" i="15"/>
  <c r="AF19" i="15"/>
  <c r="AG19" i="15"/>
  <c r="AH19" i="15"/>
  <c r="E20" i="15"/>
  <c r="F20" i="15"/>
  <c r="G20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Y20" i="15"/>
  <c r="Z20" i="15"/>
  <c r="AA20" i="15"/>
  <c r="AB20" i="15"/>
  <c r="AC20" i="15"/>
  <c r="AD20" i="15"/>
  <c r="AE20" i="15"/>
  <c r="AF20" i="15"/>
  <c r="AG20" i="15"/>
  <c r="AH20" i="15"/>
  <c r="E21" i="15"/>
  <c r="F21" i="15"/>
  <c r="G21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Y21" i="15"/>
  <c r="Z21" i="15"/>
  <c r="AA21" i="15"/>
  <c r="AB21" i="15"/>
  <c r="AC21" i="15"/>
  <c r="AD21" i="15"/>
  <c r="AE21" i="15"/>
  <c r="AF21" i="15"/>
  <c r="AG21" i="15"/>
  <c r="AH21" i="15"/>
  <c r="E22" i="15"/>
  <c r="F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Y22" i="15"/>
  <c r="Z22" i="15"/>
  <c r="AA22" i="15"/>
  <c r="AB22" i="15"/>
  <c r="AC22" i="15"/>
  <c r="AD22" i="15"/>
  <c r="AE22" i="15"/>
  <c r="AF22" i="15"/>
  <c r="AG22" i="15"/>
  <c r="AH22" i="15"/>
  <c r="E23" i="15"/>
  <c r="F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Y23" i="15"/>
  <c r="Z23" i="15"/>
  <c r="AA23" i="15"/>
  <c r="AB23" i="15"/>
  <c r="AC23" i="15"/>
  <c r="AD23" i="15"/>
  <c r="AE23" i="15"/>
  <c r="AF23" i="15"/>
  <c r="AG23" i="15"/>
  <c r="AH23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Y24" i="15"/>
  <c r="Z24" i="15"/>
  <c r="AA24" i="15"/>
  <c r="AB24" i="15"/>
  <c r="AC24" i="15"/>
  <c r="AD24" i="15"/>
  <c r="AE24" i="15"/>
  <c r="AF24" i="15"/>
  <c r="AG24" i="15"/>
  <c r="AH24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Y25" i="15"/>
  <c r="Z25" i="15"/>
  <c r="AA25" i="15"/>
  <c r="AB25" i="15"/>
  <c r="AC25" i="15"/>
  <c r="AD25" i="15"/>
  <c r="AE25" i="15"/>
  <c r="AF25" i="15"/>
  <c r="AG25" i="15"/>
  <c r="AH25" i="15"/>
  <c r="E26" i="15"/>
  <c r="F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Y26" i="15"/>
  <c r="Z26" i="15"/>
  <c r="AA26" i="15"/>
  <c r="AB26" i="15"/>
  <c r="AC26" i="15"/>
  <c r="AD26" i="15"/>
  <c r="AE26" i="15"/>
  <c r="AF26" i="15"/>
  <c r="AG26" i="15"/>
  <c r="AH26" i="15"/>
  <c r="E27" i="15"/>
  <c r="F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Y27" i="15"/>
  <c r="Z27" i="15"/>
  <c r="AA27" i="15"/>
  <c r="AB27" i="15"/>
  <c r="AC27" i="15"/>
  <c r="AD27" i="15"/>
  <c r="AE27" i="15"/>
  <c r="AF27" i="15"/>
  <c r="AG27" i="15"/>
  <c r="AH27" i="15"/>
  <c r="E28" i="15"/>
  <c r="F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Y28" i="15"/>
  <c r="Z28" i="15"/>
  <c r="AA28" i="15"/>
  <c r="AB28" i="15"/>
  <c r="AC28" i="15"/>
  <c r="AD28" i="15"/>
  <c r="AE28" i="15"/>
  <c r="AF28" i="15"/>
  <c r="AG28" i="15"/>
  <c r="AH28" i="15"/>
  <c r="E29" i="15"/>
  <c r="F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Y29" i="15"/>
  <c r="Z29" i="15"/>
  <c r="AA29" i="15"/>
  <c r="AB29" i="15"/>
  <c r="AC29" i="15"/>
  <c r="AD29" i="15"/>
  <c r="AE29" i="15"/>
  <c r="AF29" i="15"/>
  <c r="AG29" i="15"/>
  <c r="AH29" i="15"/>
  <c r="E30" i="15"/>
  <c r="F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Y30" i="15"/>
  <c r="Z30" i="15"/>
  <c r="AA30" i="15"/>
  <c r="AB30" i="15"/>
  <c r="AC30" i="15"/>
  <c r="AD30" i="15"/>
  <c r="AE30" i="15"/>
  <c r="AF30" i="15"/>
  <c r="AG30" i="15"/>
  <c r="AH30" i="15"/>
  <c r="E31" i="15"/>
  <c r="F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Y31" i="15"/>
  <c r="Z31" i="15"/>
  <c r="AA31" i="15"/>
  <c r="AB31" i="15"/>
  <c r="AC31" i="15"/>
  <c r="AD31" i="15"/>
  <c r="AE31" i="15"/>
  <c r="AF31" i="15"/>
  <c r="AG31" i="15"/>
  <c r="AH31" i="15"/>
  <c r="E32" i="15"/>
  <c r="F32" i="15"/>
  <c r="G32" i="15"/>
  <c r="H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Y32" i="15"/>
  <c r="Z32" i="15"/>
  <c r="AA32" i="15"/>
  <c r="AB32" i="15"/>
  <c r="AC32" i="15"/>
  <c r="AD32" i="15"/>
  <c r="AE32" i="15"/>
  <c r="AF32" i="15"/>
  <c r="AG32" i="15"/>
  <c r="AH32" i="15"/>
  <c r="E33" i="15"/>
  <c r="F33" i="15"/>
  <c r="G33" i="15"/>
  <c r="H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Y33" i="15"/>
  <c r="Z33" i="15"/>
  <c r="AA33" i="15"/>
  <c r="AB33" i="15"/>
  <c r="AC33" i="15"/>
  <c r="AD33" i="15"/>
  <c r="AE33" i="15"/>
  <c r="AF33" i="15"/>
  <c r="AG33" i="15"/>
  <c r="AH33" i="15"/>
  <c r="E34" i="15"/>
  <c r="F34" i="15"/>
  <c r="G34" i="15"/>
  <c r="H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Y34" i="15"/>
  <c r="Z34" i="15"/>
  <c r="AA34" i="15"/>
  <c r="AB34" i="15"/>
  <c r="AC34" i="15"/>
  <c r="AD34" i="15"/>
  <c r="AE34" i="15"/>
  <c r="AF34" i="15"/>
  <c r="AG34" i="15"/>
  <c r="AH34" i="15"/>
  <c r="E35" i="15"/>
  <c r="F35" i="15"/>
  <c r="G35" i="15"/>
  <c r="H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Y35" i="15"/>
  <c r="Z35" i="15"/>
  <c r="AA35" i="15"/>
  <c r="AB35" i="15"/>
  <c r="AC35" i="15"/>
  <c r="AD35" i="15"/>
  <c r="AE35" i="15"/>
  <c r="AF35" i="15"/>
  <c r="AG35" i="15"/>
  <c r="AH35" i="15"/>
  <c r="E36" i="15"/>
  <c r="F36" i="15"/>
  <c r="G36" i="15"/>
  <c r="H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Y36" i="15"/>
  <c r="Z36" i="15"/>
  <c r="AA36" i="15"/>
  <c r="AB36" i="15"/>
  <c r="AC36" i="15"/>
  <c r="AD36" i="15"/>
  <c r="AE36" i="15"/>
  <c r="AF36" i="15"/>
  <c r="AG36" i="15"/>
  <c r="AH36" i="15"/>
  <c r="E37" i="15"/>
  <c r="F37" i="15"/>
  <c r="G37" i="15"/>
  <c r="H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Y37" i="15"/>
  <c r="Z37" i="15"/>
  <c r="AA37" i="15"/>
  <c r="AB37" i="15"/>
  <c r="AC37" i="15"/>
  <c r="AD37" i="15"/>
  <c r="AE37" i="15"/>
  <c r="AF37" i="15"/>
  <c r="AG37" i="15"/>
  <c r="AH37" i="15"/>
  <c r="E38" i="15"/>
  <c r="F38" i="15"/>
  <c r="G38" i="15"/>
  <c r="H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Y38" i="15"/>
  <c r="Z38" i="15"/>
  <c r="AA38" i="15"/>
  <c r="AB38" i="15"/>
  <c r="AC38" i="15"/>
  <c r="AD38" i="15"/>
  <c r="AE38" i="15"/>
  <c r="AF38" i="15"/>
  <c r="AG38" i="15"/>
  <c r="AH38" i="15"/>
  <c r="E39" i="15"/>
  <c r="F39" i="15"/>
  <c r="G39" i="15"/>
  <c r="H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Y39" i="15"/>
  <c r="Z39" i="15"/>
  <c r="AA39" i="15"/>
  <c r="AB39" i="15"/>
  <c r="AC39" i="15"/>
  <c r="AD39" i="15"/>
  <c r="AE39" i="15"/>
  <c r="AF39" i="15"/>
  <c r="AG39" i="15"/>
  <c r="AH39" i="15"/>
  <c r="E40" i="15"/>
  <c r="F40" i="15"/>
  <c r="G40" i="15"/>
  <c r="H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Y40" i="15"/>
  <c r="Z40" i="15"/>
  <c r="AA40" i="15"/>
  <c r="AB40" i="15"/>
  <c r="AC40" i="15"/>
  <c r="AD40" i="15"/>
  <c r="AE40" i="15"/>
  <c r="AF40" i="15"/>
  <c r="AG40" i="15"/>
  <c r="AH40" i="15"/>
  <c r="E41" i="15"/>
  <c r="F41" i="15"/>
  <c r="G41" i="15"/>
  <c r="H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Y41" i="15"/>
  <c r="Z41" i="15"/>
  <c r="AA41" i="15"/>
  <c r="AB41" i="15"/>
  <c r="AC41" i="15"/>
  <c r="AD41" i="15"/>
  <c r="AE41" i="15"/>
  <c r="AF41" i="15"/>
  <c r="AG41" i="15"/>
  <c r="AH41" i="15"/>
  <c r="E42" i="15"/>
  <c r="F42" i="15"/>
  <c r="G42" i="15"/>
  <c r="H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Y42" i="15"/>
  <c r="Z42" i="15"/>
  <c r="AA42" i="15"/>
  <c r="AB42" i="15"/>
  <c r="AC42" i="15"/>
  <c r="AD42" i="15"/>
  <c r="AE42" i="15"/>
  <c r="AF42" i="15"/>
  <c r="AG42" i="15"/>
  <c r="AH42" i="15"/>
  <c r="E43" i="15"/>
  <c r="F43" i="15"/>
  <c r="G43" i="15"/>
  <c r="H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Y43" i="15"/>
  <c r="Z43" i="15"/>
  <c r="AA43" i="15"/>
  <c r="AB43" i="15"/>
  <c r="AC43" i="15"/>
  <c r="AD43" i="15"/>
  <c r="AE43" i="15"/>
  <c r="AF43" i="15"/>
  <c r="AG43" i="15"/>
  <c r="AH43" i="15"/>
  <c r="E44" i="15"/>
  <c r="F44" i="15"/>
  <c r="G44" i="15"/>
  <c r="H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Y44" i="15"/>
  <c r="Z44" i="15"/>
  <c r="AA44" i="15"/>
  <c r="AB44" i="15"/>
  <c r="AC44" i="15"/>
  <c r="AD44" i="15"/>
  <c r="AE44" i="15"/>
  <c r="AF44" i="15"/>
  <c r="AG44" i="15"/>
  <c r="AH44" i="15"/>
  <c r="E45" i="15"/>
  <c r="F45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Y45" i="15"/>
  <c r="Z45" i="15"/>
  <c r="AA45" i="15"/>
  <c r="AB45" i="15"/>
  <c r="AC45" i="15"/>
  <c r="AD45" i="15"/>
  <c r="AE45" i="15"/>
  <c r="AF45" i="15"/>
  <c r="AG45" i="15"/>
  <c r="AH45" i="15"/>
  <c r="E46" i="15"/>
  <c r="F46" i="15"/>
  <c r="G46" i="15"/>
  <c r="H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Y46" i="15"/>
  <c r="Z46" i="15"/>
  <c r="AA46" i="15"/>
  <c r="AB46" i="15"/>
  <c r="AC46" i="15"/>
  <c r="AD46" i="15"/>
  <c r="AE46" i="15"/>
  <c r="AF46" i="15"/>
  <c r="AG46" i="15"/>
  <c r="AH46" i="15"/>
  <c r="E47" i="15"/>
  <c r="F47" i="15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Y47" i="15"/>
  <c r="Z47" i="15"/>
  <c r="AA47" i="15"/>
  <c r="AB47" i="15"/>
  <c r="AC47" i="15"/>
  <c r="AD47" i="15"/>
  <c r="AE47" i="15"/>
  <c r="AF47" i="15"/>
  <c r="AG47" i="15"/>
  <c r="AH47" i="15"/>
  <c r="E48" i="15"/>
  <c r="F48" i="15"/>
  <c r="G48" i="15"/>
  <c r="H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Y48" i="15"/>
  <c r="Z48" i="15"/>
  <c r="AA48" i="15"/>
  <c r="AB48" i="15"/>
  <c r="AC48" i="15"/>
  <c r="AD48" i="15"/>
  <c r="AE48" i="15"/>
  <c r="AF48" i="15"/>
  <c r="AG48" i="15"/>
  <c r="AH48" i="15"/>
  <c r="E49" i="15"/>
  <c r="F49" i="15"/>
  <c r="G49" i="15"/>
  <c r="H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Y49" i="15"/>
  <c r="Z49" i="15"/>
  <c r="AA49" i="15"/>
  <c r="AB49" i="15"/>
  <c r="AC49" i="15"/>
  <c r="AD49" i="15"/>
  <c r="AE49" i="15"/>
  <c r="AF49" i="15"/>
  <c r="AG49" i="15"/>
  <c r="AH49" i="15"/>
  <c r="E50" i="15"/>
  <c r="F50" i="15"/>
  <c r="G50" i="15"/>
  <c r="H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Y50" i="15"/>
  <c r="Z50" i="15"/>
  <c r="AA50" i="15"/>
  <c r="AB50" i="15"/>
  <c r="AC50" i="15"/>
  <c r="AD50" i="15"/>
  <c r="AE50" i="15"/>
  <c r="AF50" i="15"/>
  <c r="AG50" i="15"/>
  <c r="AH50" i="15"/>
  <c r="E51" i="15"/>
  <c r="F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Y51" i="15"/>
  <c r="Z51" i="15"/>
  <c r="AA51" i="15"/>
  <c r="AB51" i="15"/>
  <c r="AC51" i="15"/>
  <c r="AD51" i="15"/>
  <c r="AE51" i="15"/>
  <c r="AF51" i="15"/>
  <c r="AG51" i="15"/>
  <c r="AH51" i="15"/>
  <c r="E52" i="15"/>
  <c r="F52" i="15"/>
  <c r="G52" i="15"/>
  <c r="H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Y52" i="15"/>
  <c r="Z52" i="15"/>
  <c r="AA52" i="15"/>
  <c r="AB52" i="15"/>
  <c r="AC52" i="15"/>
  <c r="AD52" i="15"/>
  <c r="AE52" i="15"/>
  <c r="AF52" i="15"/>
  <c r="AG52" i="15"/>
  <c r="AH52" i="15"/>
  <c r="E53" i="15"/>
  <c r="F53" i="15"/>
  <c r="G53" i="15"/>
  <c r="H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Y53" i="15"/>
  <c r="Z53" i="15"/>
  <c r="AA53" i="15"/>
  <c r="AB53" i="15"/>
  <c r="AC53" i="15"/>
  <c r="AD53" i="15"/>
  <c r="AE53" i="15"/>
  <c r="AF53" i="15"/>
  <c r="AG53" i="15"/>
  <c r="AH53" i="15"/>
  <c r="E54" i="15"/>
  <c r="F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Y54" i="15"/>
  <c r="Z54" i="15"/>
  <c r="AA54" i="15"/>
  <c r="AB54" i="15"/>
  <c r="AC54" i="15"/>
  <c r="AD54" i="15"/>
  <c r="AE54" i="15"/>
  <c r="AF54" i="15"/>
  <c r="AG54" i="15"/>
  <c r="AH54" i="15"/>
  <c r="E55" i="15"/>
  <c r="F55" i="15"/>
  <c r="G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Y55" i="15"/>
  <c r="Z55" i="15"/>
  <c r="AA55" i="15"/>
  <c r="AB55" i="15"/>
  <c r="AC55" i="15"/>
  <c r="AD55" i="15"/>
  <c r="AE55" i="15"/>
  <c r="AF55" i="15"/>
  <c r="AG55" i="15"/>
  <c r="AH55" i="15"/>
  <c r="E56" i="15"/>
  <c r="F56" i="15"/>
  <c r="G56" i="15"/>
  <c r="H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Y56" i="15"/>
  <c r="Z56" i="15"/>
  <c r="AA56" i="15"/>
  <c r="AB56" i="15"/>
  <c r="AC56" i="15"/>
  <c r="AD56" i="15"/>
  <c r="AE56" i="15"/>
  <c r="AF56" i="15"/>
  <c r="AG56" i="15"/>
  <c r="AH56" i="15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Y57" i="15"/>
  <c r="Z57" i="15"/>
  <c r="AA57" i="15"/>
  <c r="AB57" i="15"/>
  <c r="AC57" i="15"/>
  <c r="AD57" i="15"/>
  <c r="AE57" i="15"/>
  <c r="AF57" i="15"/>
  <c r="AG57" i="15"/>
  <c r="AH57" i="15"/>
  <c r="E58" i="15"/>
  <c r="F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Y58" i="15"/>
  <c r="Z58" i="15"/>
  <c r="AA58" i="15"/>
  <c r="AB58" i="15"/>
  <c r="AC58" i="15"/>
  <c r="AD58" i="15"/>
  <c r="AE58" i="15"/>
  <c r="AF58" i="15"/>
  <c r="AG58" i="15"/>
  <c r="AH58" i="15"/>
  <c r="E59" i="15"/>
  <c r="F59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Y59" i="15"/>
  <c r="Z59" i="15"/>
  <c r="AA59" i="15"/>
  <c r="AB59" i="15"/>
  <c r="AC59" i="15"/>
  <c r="AD59" i="15"/>
  <c r="AE59" i="15"/>
  <c r="AF59" i="15"/>
  <c r="AG59" i="15"/>
  <c r="AH59" i="15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Y60" i="15"/>
  <c r="Z60" i="15"/>
  <c r="AA60" i="15"/>
  <c r="AB60" i="15"/>
  <c r="AC60" i="15"/>
  <c r="AD60" i="15"/>
  <c r="AE60" i="15"/>
  <c r="AF60" i="15"/>
  <c r="AG60" i="15"/>
  <c r="AH60" i="15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Y61" i="15"/>
  <c r="Z61" i="15"/>
  <c r="AA61" i="15"/>
  <c r="AB61" i="15"/>
  <c r="AC61" i="15"/>
  <c r="AD61" i="15"/>
  <c r="AE61" i="15"/>
  <c r="AF61" i="15"/>
  <c r="AG61" i="15"/>
  <c r="AH61" i="15"/>
  <c r="E62" i="15"/>
  <c r="F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Y62" i="15"/>
  <c r="Z62" i="15"/>
  <c r="AA62" i="15"/>
  <c r="AB62" i="15"/>
  <c r="AC62" i="15"/>
  <c r="AD62" i="15"/>
  <c r="AE62" i="15"/>
  <c r="AF62" i="15"/>
  <c r="AG62" i="15"/>
  <c r="AH62" i="15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Y63" i="15"/>
  <c r="Z63" i="15"/>
  <c r="AA63" i="15"/>
  <c r="AB63" i="15"/>
  <c r="AC63" i="15"/>
  <c r="AD63" i="15"/>
  <c r="AE63" i="15"/>
  <c r="AF63" i="15"/>
  <c r="AG63" i="15"/>
  <c r="AH63" i="15"/>
  <c r="E64" i="15"/>
  <c r="F64" i="15"/>
  <c r="G64" i="15"/>
  <c r="H64" i="15"/>
  <c r="I64" i="15"/>
  <c r="J64" i="15"/>
  <c r="K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Z64" i="15"/>
  <c r="AA64" i="15"/>
  <c r="AB64" i="15"/>
  <c r="AC64" i="15"/>
  <c r="AD64" i="15"/>
  <c r="AE64" i="15"/>
  <c r="AF64" i="15"/>
  <c r="AG64" i="15"/>
  <c r="AH64" i="15"/>
  <c r="E65" i="15"/>
  <c r="F65" i="15"/>
  <c r="G65" i="15"/>
  <c r="H65" i="15"/>
  <c r="I65" i="15"/>
  <c r="J65" i="15"/>
  <c r="K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Y65" i="15"/>
  <c r="Z65" i="15"/>
  <c r="AA65" i="15"/>
  <c r="AB65" i="15"/>
  <c r="AC65" i="15"/>
  <c r="AD65" i="15"/>
  <c r="AE65" i="15"/>
  <c r="AF65" i="15"/>
  <c r="AG65" i="15"/>
  <c r="AH65" i="15"/>
  <c r="E66" i="15"/>
  <c r="F66" i="15"/>
  <c r="G66" i="15"/>
  <c r="H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Y66" i="15"/>
  <c r="Z66" i="15"/>
  <c r="AA66" i="15"/>
  <c r="AB66" i="15"/>
  <c r="AC66" i="15"/>
  <c r="AD66" i="15"/>
  <c r="AE66" i="15"/>
  <c r="AF66" i="15"/>
  <c r="AG66" i="15"/>
  <c r="AH66" i="15"/>
  <c r="E67" i="15"/>
  <c r="F67" i="15"/>
  <c r="G67" i="15"/>
  <c r="H67" i="15"/>
  <c r="I67" i="15"/>
  <c r="J67" i="15"/>
  <c r="K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Y67" i="15"/>
  <c r="Z67" i="15"/>
  <c r="AA67" i="15"/>
  <c r="AB67" i="15"/>
  <c r="AC67" i="15"/>
  <c r="AD67" i="15"/>
  <c r="AE67" i="15"/>
  <c r="AF67" i="15"/>
  <c r="AG67" i="15"/>
  <c r="AH67" i="15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Y68" i="15"/>
  <c r="Z68" i="15"/>
  <c r="AA68" i="15"/>
  <c r="AB68" i="15"/>
  <c r="AC68" i="15"/>
  <c r="AD68" i="15"/>
  <c r="AE68" i="15"/>
  <c r="AF68" i="15"/>
  <c r="AG68" i="15"/>
  <c r="AH68" i="15"/>
  <c r="E3" i="15"/>
  <c r="F3" i="15"/>
  <c r="G3" i="15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U3" i="15"/>
  <c r="V3" i="15"/>
  <c r="W3" i="15"/>
  <c r="X3" i="15"/>
  <c r="Y3" i="15"/>
  <c r="Z3" i="15"/>
  <c r="AA3" i="15"/>
  <c r="AB3" i="15"/>
  <c r="AC3" i="15"/>
  <c r="AD3" i="15"/>
  <c r="AE3" i="15"/>
  <c r="AF3" i="15"/>
  <c r="AG3" i="15"/>
  <c r="AH3" i="15"/>
  <c r="AH68" i="14"/>
  <c r="AG68" i="14"/>
  <c r="AF68" i="14"/>
  <c r="AE68" i="14"/>
  <c r="AD68" i="14"/>
  <c r="AC68" i="14"/>
  <c r="AB68" i="14"/>
  <c r="AA68" i="14"/>
  <c r="Z68" i="14"/>
  <c r="Y68" i="14"/>
  <c r="X68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K68" i="14"/>
  <c r="J68" i="14"/>
  <c r="I68" i="14"/>
  <c r="H68" i="14"/>
  <c r="G68" i="14"/>
  <c r="F68" i="14"/>
  <c r="E68" i="14"/>
  <c r="AH67" i="14"/>
  <c r="AG67" i="14"/>
  <c r="AF67" i="14"/>
  <c r="AE67" i="14"/>
  <c r="AD67" i="14"/>
  <c r="AC67" i="14"/>
  <c r="AB67" i="14"/>
  <c r="AA67" i="14"/>
  <c r="Z67" i="14"/>
  <c r="Y67" i="14"/>
  <c r="X67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K67" i="14"/>
  <c r="J67" i="14"/>
  <c r="I67" i="14"/>
  <c r="H67" i="14"/>
  <c r="G67" i="14"/>
  <c r="F67" i="14"/>
  <c r="E67" i="14"/>
  <c r="AH66" i="14"/>
  <c r="AG66" i="14"/>
  <c r="AF66" i="14"/>
  <c r="AE66" i="14"/>
  <c r="AD66" i="14"/>
  <c r="AC66" i="14"/>
  <c r="AB66" i="14"/>
  <c r="AA66" i="14"/>
  <c r="Z66" i="14"/>
  <c r="Y66" i="14"/>
  <c r="X66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K66" i="14"/>
  <c r="J66" i="14"/>
  <c r="I66" i="14"/>
  <c r="H66" i="14"/>
  <c r="G66" i="14"/>
  <c r="F66" i="14"/>
  <c r="E66" i="14"/>
  <c r="AH65" i="14"/>
  <c r="AG65" i="14"/>
  <c r="AF65" i="14"/>
  <c r="AE65" i="14"/>
  <c r="AD65" i="14"/>
  <c r="AC65" i="14"/>
  <c r="AB65" i="14"/>
  <c r="AA65" i="14"/>
  <c r="Z65" i="14"/>
  <c r="Y65" i="14"/>
  <c r="X65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K65" i="14"/>
  <c r="J65" i="14"/>
  <c r="I65" i="14"/>
  <c r="H65" i="14"/>
  <c r="G65" i="14"/>
  <c r="F65" i="14"/>
  <c r="E65" i="14"/>
  <c r="AH64" i="14"/>
  <c r="AG64" i="14"/>
  <c r="AF64" i="14"/>
  <c r="AE64" i="14"/>
  <c r="AD64" i="14"/>
  <c r="AC64" i="14"/>
  <c r="AB64" i="14"/>
  <c r="AA64" i="14"/>
  <c r="Z64" i="14"/>
  <c r="Y64" i="14"/>
  <c r="X64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K64" i="14"/>
  <c r="J64" i="14"/>
  <c r="I64" i="14"/>
  <c r="H64" i="14"/>
  <c r="G64" i="14"/>
  <c r="F64" i="14"/>
  <c r="E64" i="14"/>
  <c r="AH63" i="14"/>
  <c r="AG63" i="14"/>
  <c r="AF63" i="14"/>
  <c r="AE63" i="14"/>
  <c r="AD63" i="14"/>
  <c r="AC63" i="14"/>
  <c r="AB63" i="14"/>
  <c r="AA63" i="14"/>
  <c r="Z63" i="14"/>
  <c r="Y63" i="14"/>
  <c r="X63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K63" i="14"/>
  <c r="J63" i="14"/>
  <c r="I63" i="14"/>
  <c r="H63" i="14"/>
  <c r="G63" i="14"/>
  <c r="F63" i="14"/>
  <c r="E63" i="14"/>
  <c r="AH62" i="14"/>
  <c r="AG62" i="14"/>
  <c r="AF62" i="14"/>
  <c r="AE62" i="14"/>
  <c r="AD62" i="14"/>
  <c r="AC62" i="14"/>
  <c r="AB62" i="14"/>
  <c r="AA62" i="14"/>
  <c r="Z62" i="14"/>
  <c r="Y62" i="14"/>
  <c r="X62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K62" i="14"/>
  <c r="J62" i="14"/>
  <c r="I62" i="14"/>
  <c r="H62" i="14"/>
  <c r="G62" i="14"/>
  <c r="F62" i="14"/>
  <c r="E62" i="14"/>
  <c r="AH61" i="14"/>
  <c r="AG61" i="14"/>
  <c r="AF61" i="14"/>
  <c r="AE61" i="14"/>
  <c r="AD61" i="14"/>
  <c r="AC61" i="14"/>
  <c r="AB61" i="14"/>
  <c r="AA61" i="14"/>
  <c r="Z61" i="14"/>
  <c r="Y61" i="14"/>
  <c r="X61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K61" i="14"/>
  <c r="J61" i="14"/>
  <c r="I61" i="14"/>
  <c r="H61" i="14"/>
  <c r="G61" i="14"/>
  <c r="F61" i="14"/>
  <c r="E61" i="14"/>
  <c r="AH60" i="14"/>
  <c r="AG60" i="14"/>
  <c r="AF60" i="14"/>
  <c r="AE60" i="14"/>
  <c r="AD60" i="14"/>
  <c r="AC60" i="14"/>
  <c r="AB60" i="14"/>
  <c r="AA60" i="14"/>
  <c r="Z60" i="14"/>
  <c r="Y60" i="14"/>
  <c r="X60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K60" i="14"/>
  <c r="J60" i="14"/>
  <c r="I60" i="14"/>
  <c r="H60" i="14"/>
  <c r="G60" i="14"/>
  <c r="F60" i="14"/>
  <c r="E60" i="14"/>
  <c r="AH59" i="14"/>
  <c r="AG59" i="14"/>
  <c r="AF59" i="14"/>
  <c r="AE59" i="14"/>
  <c r="AD59" i="14"/>
  <c r="AC59" i="14"/>
  <c r="AB59" i="14"/>
  <c r="AA59" i="14"/>
  <c r="Z59" i="14"/>
  <c r="Y59" i="14"/>
  <c r="X59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K59" i="14"/>
  <c r="J59" i="14"/>
  <c r="I59" i="14"/>
  <c r="H59" i="14"/>
  <c r="G59" i="14"/>
  <c r="F59" i="14"/>
  <c r="E59" i="14"/>
  <c r="AH58" i="14"/>
  <c r="AG58" i="14"/>
  <c r="AF58" i="14"/>
  <c r="AE58" i="14"/>
  <c r="AD58" i="14"/>
  <c r="AC58" i="14"/>
  <c r="AB58" i="14"/>
  <c r="AA58" i="14"/>
  <c r="Z58" i="14"/>
  <c r="Y58" i="14"/>
  <c r="X58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K58" i="14"/>
  <c r="J58" i="14"/>
  <c r="I58" i="14"/>
  <c r="H58" i="14"/>
  <c r="G58" i="14"/>
  <c r="F58" i="14"/>
  <c r="E58" i="14"/>
  <c r="AH57" i="14"/>
  <c r="AG57" i="14"/>
  <c r="AF57" i="14"/>
  <c r="AE57" i="14"/>
  <c r="AD57" i="14"/>
  <c r="AC57" i="14"/>
  <c r="AB57" i="14"/>
  <c r="AA57" i="14"/>
  <c r="Z57" i="14"/>
  <c r="Y57" i="14"/>
  <c r="X57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K57" i="14"/>
  <c r="J57" i="14"/>
  <c r="I57" i="14"/>
  <c r="H57" i="14"/>
  <c r="G57" i="14"/>
  <c r="F57" i="14"/>
  <c r="E57" i="14"/>
  <c r="AH56" i="14"/>
  <c r="AG56" i="14"/>
  <c r="AF56" i="14"/>
  <c r="AE56" i="14"/>
  <c r="AD56" i="14"/>
  <c r="AC56" i="14"/>
  <c r="AB56" i="14"/>
  <c r="AA56" i="14"/>
  <c r="Z56" i="14"/>
  <c r="Y56" i="14"/>
  <c r="X56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K56" i="14"/>
  <c r="J56" i="14"/>
  <c r="I56" i="14"/>
  <c r="H56" i="14"/>
  <c r="G56" i="14"/>
  <c r="F56" i="14"/>
  <c r="E56" i="14"/>
  <c r="AH55" i="14"/>
  <c r="AG55" i="14"/>
  <c r="AF55" i="14"/>
  <c r="AE55" i="14"/>
  <c r="AD55" i="14"/>
  <c r="AC55" i="14"/>
  <c r="AB55" i="14"/>
  <c r="AA55" i="14"/>
  <c r="Z55" i="14"/>
  <c r="Y55" i="14"/>
  <c r="X55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K55" i="14"/>
  <c r="J55" i="14"/>
  <c r="I55" i="14"/>
  <c r="H55" i="14"/>
  <c r="G55" i="14"/>
  <c r="F55" i="14"/>
  <c r="E55" i="14"/>
  <c r="AH54" i="14"/>
  <c r="AG54" i="14"/>
  <c r="AF54" i="14"/>
  <c r="AE54" i="14"/>
  <c r="AD54" i="14"/>
  <c r="AC54" i="14"/>
  <c r="AB54" i="14"/>
  <c r="AA54" i="14"/>
  <c r="Z54" i="14"/>
  <c r="Y54" i="14"/>
  <c r="X54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AH53" i="14"/>
  <c r="AG53" i="14"/>
  <c r="AF53" i="14"/>
  <c r="AE53" i="14"/>
  <c r="AD53" i="14"/>
  <c r="AC53" i="14"/>
  <c r="AB53" i="14"/>
  <c r="AA53" i="14"/>
  <c r="Z53" i="14"/>
  <c r="Y53" i="14"/>
  <c r="X53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K53" i="14"/>
  <c r="J53" i="14"/>
  <c r="I53" i="14"/>
  <c r="H53" i="14"/>
  <c r="G53" i="14"/>
  <c r="F53" i="14"/>
  <c r="E53" i="14"/>
  <c r="AH52" i="14"/>
  <c r="AG52" i="14"/>
  <c r="AF52" i="14"/>
  <c r="AE52" i="14"/>
  <c r="AD52" i="14"/>
  <c r="AC52" i="14"/>
  <c r="AB52" i="14"/>
  <c r="AA52" i="14"/>
  <c r="Z52" i="14"/>
  <c r="Y52" i="14"/>
  <c r="X52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K52" i="14"/>
  <c r="J52" i="14"/>
  <c r="I52" i="14"/>
  <c r="H52" i="14"/>
  <c r="G52" i="14"/>
  <c r="F52" i="14"/>
  <c r="E52" i="14"/>
  <c r="AH51" i="14"/>
  <c r="AG51" i="14"/>
  <c r="AF51" i="14"/>
  <c r="AE51" i="14"/>
  <c r="AD51" i="14"/>
  <c r="AC51" i="14"/>
  <c r="AB51" i="14"/>
  <c r="AA51" i="14"/>
  <c r="Z51" i="14"/>
  <c r="Y51" i="14"/>
  <c r="X51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K51" i="14"/>
  <c r="J51" i="14"/>
  <c r="I51" i="14"/>
  <c r="H51" i="14"/>
  <c r="G51" i="14"/>
  <c r="F51" i="14"/>
  <c r="E51" i="14"/>
  <c r="AH50" i="14"/>
  <c r="AG50" i="14"/>
  <c r="AF50" i="14"/>
  <c r="AE50" i="14"/>
  <c r="AD50" i="14"/>
  <c r="AC50" i="14"/>
  <c r="AB50" i="14"/>
  <c r="AA50" i="14"/>
  <c r="Z50" i="14"/>
  <c r="Y50" i="14"/>
  <c r="X50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K50" i="14"/>
  <c r="J50" i="14"/>
  <c r="I50" i="14"/>
  <c r="H50" i="14"/>
  <c r="G50" i="14"/>
  <c r="F50" i="14"/>
  <c r="E50" i="14"/>
  <c r="AH49" i="14"/>
  <c r="AG49" i="14"/>
  <c r="AF49" i="14"/>
  <c r="AE49" i="14"/>
  <c r="AD49" i="14"/>
  <c r="AC49" i="14"/>
  <c r="AB49" i="14"/>
  <c r="AA49" i="14"/>
  <c r="Z49" i="14"/>
  <c r="Y49" i="14"/>
  <c r="X49" i="14"/>
  <c r="W49" i="14"/>
  <c r="V49" i="14"/>
  <c r="U49" i="14"/>
  <c r="T49" i="14"/>
  <c r="S49" i="14"/>
  <c r="R49" i="14"/>
  <c r="Q49" i="14"/>
  <c r="P49" i="14"/>
  <c r="O49" i="14"/>
  <c r="N49" i="14"/>
  <c r="M49" i="14"/>
  <c r="L49" i="14"/>
  <c r="K49" i="14"/>
  <c r="J49" i="14"/>
  <c r="I49" i="14"/>
  <c r="H49" i="14"/>
  <c r="G49" i="14"/>
  <c r="F49" i="14"/>
  <c r="E49" i="14"/>
  <c r="AH48" i="14"/>
  <c r="AG48" i="14"/>
  <c r="AF48" i="14"/>
  <c r="AE48" i="14"/>
  <c r="AD48" i="14"/>
  <c r="AC48" i="14"/>
  <c r="AB48" i="14"/>
  <c r="AA48" i="14"/>
  <c r="Z48" i="14"/>
  <c r="Y48" i="14"/>
  <c r="X48" i="14"/>
  <c r="W48" i="14"/>
  <c r="V48" i="14"/>
  <c r="U48" i="14"/>
  <c r="T48" i="14"/>
  <c r="S48" i="14"/>
  <c r="R48" i="14"/>
  <c r="Q48" i="14"/>
  <c r="P48" i="14"/>
  <c r="O48" i="14"/>
  <c r="N48" i="14"/>
  <c r="M48" i="14"/>
  <c r="L48" i="14"/>
  <c r="K48" i="14"/>
  <c r="J48" i="14"/>
  <c r="I48" i="14"/>
  <c r="H48" i="14"/>
  <c r="G48" i="14"/>
  <c r="F48" i="14"/>
  <c r="E48" i="14"/>
  <c r="AH47" i="14"/>
  <c r="AG47" i="14"/>
  <c r="AF47" i="14"/>
  <c r="AE47" i="14"/>
  <c r="AD47" i="14"/>
  <c r="AC47" i="14"/>
  <c r="AB47" i="14"/>
  <c r="AA47" i="14"/>
  <c r="Z47" i="14"/>
  <c r="Y47" i="14"/>
  <c r="X47" i="14"/>
  <c r="W47" i="14"/>
  <c r="V47" i="14"/>
  <c r="U47" i="14"/>
  <c r="T47" i="14"/>
  <c r="S47" i="14"/>
  <c r="R47" i="14"/>
  <c r="Q47" i="14"/>
  <c r="P47" i="14"/>
  <c r="O47" i="14"/>
  <c r="N47" i="14"/>
  <c r="M47" i="14"/>
  <c r="L47" i="14"/>
  <c r="K47" i="14"/>
  <c r="J47" i="14"/>
  <c r="I47" i="14"/>
  <c r="H47" i="14"/>
  <c r="G47" i="14"/>
  <c r="F47" i="14"/>
  <c r="E47" i="14"/>
  <c r="AH46" i="14"/>
  <c r="AG46" i="14"/>
  <c r="AF46" i="14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G46" i="14"/>
  <c r="F46" i="14"/>
  <c r="E46" i="14"/>
  <c r="AH45" i="14"/>
  <c r="AG45" i="14"/>
  <c r="AF45" i="14"/>
  <c r="AE45" i="14"/>
  <c r="AD45" i="14"/>
  <c r="AC45" i="14"/>
  <c r="AB45" i="14"/>
  <c r="AA45" i="14"/>
  <c r="Z45" i="14"/>
  <c r="Y45" i="14"/>
  <c r="X45" i="14"/>
  <c r="W45" i="14"/>
  <c r="V45" i="14"/>
  <c r="U45" i="14"/>
  <c r="T45" i="14"/>
  <c r="S45" i="14"/>
  <c r="R45" i="14"/>
  <c r="Q45" i="14"/>
  <c r="P45" i="14"/>
  <c r="O45" i="14"/>
  <c r="N45" i="14"/>
  <c r="M45" i="14"/>
  <c r="L45" i="14"/>
  <c r="K45" i="14"/>
  <c r="J45" i="14"/>
  <c r="I45" i="14"/>
  <c r="H45" i="14"/>
  <c r="G45" i="14"/>
  <c r="F45" i="14"/>
  <c r="E45" i="14"/>
  <c r="AH44" i="14"/>
  <c r="AG44" i="14"/>
  <c r="AF44" i="14"/>
  <c r="AE44" i="14"/>
  <c r="AD44" i="14"/>
  <c r="AC44" i="14"/>
  <c r="AB44" i="14"/>
  <c r="AA44" i="14"/>
  <c r="Z44" i="14"/>
  <c r="Y44" i="14"/>
  <c r="X44" i="14"/>
  <c r="W44" i="14"/>
  <c r="V44" i="14"/>
  <c r="U44" i="14"/>
  <c r="T44" i="14"/>
  <c r="S44" i="14"/>
  <c r="R44" i="14"/>
  <c r="Q44" i="14"/>
  <c r="P44" i="14"/>
  <c r="O44" i="14"/>
  <c r="N44" i="14"/>
  <c r="M44" i="14"/>
  <c r="L44" i="14"/>
  <c r="K44" i="14"/>
  <c r="J44" i="14"/>
  <c r="I44" i="14"/>
  <c r="H44" i="14"/>
  <c r="G44" i="14"/>
  <c r="F44" i="14"/>
  <c r="E44" i="14"/>
  <c r="AH43" i="14"/>
  <c r="AG43" i="14"/>
  <c r="AF43" i="14"/>
  <c r="AE43" i="14"/>
  <c r="AD43" i="14"/>
  <c r="AC43" i="14"/>
  <c r="AB43" i="14"/>
  <c r="AA43" i="14"/>
  <c r="Z43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J43" i="14"/>
  <c r="I43" i="14"/>
  <c r="H43" i="14"/>
  <c r="G43" i="14"/>
  <c r="F43" i="14"/>
  <c r="E43" i="14"/>
  <c r="AH42" i="14"/>
  <c r="AG42" i="14"/>
  <c r="AF42" i="14"/>
  <c r="AE42" i="14"/>
  <c r="AD42" i="14"/>
  <c r="AC42" i="14"/>
  <c r="AB42" i="14"/>
  <c r="AA42" i="14"/>
  <c r="Z42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AH41" i="14"/>
  <c r="AG41" i="14"/>
  <c r="AF41" i="14"/>
  <c r="AE41" i="14"/>
  <c r="AD41" i="14"/>
  <c r="AC41" i="14"/>
  <c r="AB41" i="14"/>
  <c r="AA41" i="14"/>
  <c r="Z41" i="14"/>
  <c r="Y41" i="14"/>
  <c r="X41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AH40" i="14"/>
  <c r="AG40" i="14"/>
  <c r="AF40" i="14"/>
  <c r="AE40" i="14"/>
  <c r="AD40" i="14"/>
  <c r="AC40" i="14"/>
  <c r="AB40" i="14"/>
  <c r="AA40" i="14"/>
  <c r="Z40" i="14"/>
  <c r="Y40" i="14"/>
  <c r="X40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AH39" i="14"/>
  <c r="AG39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AH38" i="14"/>
  <c r="AG38" i="14"/>
  <c r="AF38" i="14"/>
  <c r="AE38" i="14"/>
  <c r="AD38" i="14"/>
  <c r="AC38" i="14"/>
  <c r="AB38" i="14"/>
  <c r="AA38" i="14"/>
  <c r="Z38" i="14"/>
  <c r="Y38" i="14"/>
  <c r="X38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AH37" i="14"/>
  <c r="AG37" i="14"/>
  <c r="AF37" i="14"/>
  <c r="AE37" i="14"/>
  <c r="AD37" i="14"/>
  <c r="AC37" i="14"/>
  <c r="AB37" i="14"/>
  <c r="AA37" i="14"/>
  <c r="Z37" i="14"/>
  <c r="Y37" i="14"/>
  <c r="X37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K37" i="14"/>
  <c r="J37" i="14"/>
  <c r="I37" i="14"/>
  <c r="H37" i="14"/>
  <c r="G37" i="14"/>
  <c r="F37" i="14"/>
  <c r="E37" i="14"/>
  <c r="AH36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AH35" i="14"/>
  <c r="AG35" i="14"/>
  <c r="AF35" i="14"/>
  <c r="AE35" i="14"/>
  <c r="AD35" i="14"/>
  <c r="AC35" i="14"/>
  <c r="AB35" i="14"/>
  <c r="AA35" i="14"/>
  <c r="Z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AH34" i="14"/>
  <c r="AG34" i="14"/>
  <c r="AF34" i="14"/>
  <c r="AE34" i="14"/>
  <c r="AD34" i="14"/>
  <c r="AC34" i="14"/>
  <c r="AB34" i="14"/>
  <c r="AA34" i="14"/>
  <c r="Z34" i="14"/>
  <c r="Y34" i="14"/>
  <c r="X34" i="14"/>
  <c r="W34" i="14"/>
  <c r="V34" i="14"/>
  <c r="U34" i="14"/>
  <c r="T34" i="14"/>
  <c r="S34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AH33" i="14"/>
  <c r="AG33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AH32" i="14"/>
  <c r="AG32" i="14"/>
  <c r="AF32" i="14"/>
  <c r="AE32" i="14"/>
  <c r="AD32" i="14"/>
  <c r="AC32" i="14"/>
  <c r="AB32" i="14"/>
  <c r="AA32" i="14"/>
  <c r="Z32" i="14"/>
  <c r="Y32" i="14"/>
  <c r="X32" i="14"/>
  <c r="W32" i="14"/>
  <c r="V32" i="14"/>
  <c r="U32" i="14"/>
  <c r="T32" i="14"/>
  <c r="S32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AH31" i="14"/>
  <c r="AG31" i="14"/>
  <c r="AF31" i="14"/>
  <c r="AE31" i="14"/>
  <c r="AD31" i="14"/>
  <c r="AC31" i="14"/>
  <c r="AB31" i="14"/>
  <c r="AA31" i="14"/>
  <c r="Z31" i="14"/>
  <c r="Y31" i="14"/>
  <c r="X31" i="14"/>
  <c r="W31" i="14"/>
  <c r="V31" i="14"/>
  <c r="U31" i="14"/>
  <c r="T31" i="14"/>
  <c r="S31" i="14"/>
  <c r="R31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AH30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AH29" i="14"/>
  <c r="AG29" i="14"/>
  <c r="AF29" i="14"/>
  <c r="AE29" i="14"/>
  <c r="AD29" i="14"/>
  <c r="AC29" i="14"/>
  <c r="AB29" i="14"/>
  <c r="AA29" i="14"/>
  <c r="Z29" i="14"/>
  <c r="Y29" i="14"/>
  <c r="X29" i="14"/>
  <c r="W29" i="14"/>
  <c r="V29" i="14"/>
  <c r="U29" i="14"/>
  <c r="T29" i="14"/>
  <c r="S29" i="14"/>
  <c r="R29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AH28" i="14"/>
  <c r="AG28" i="14"/>
  <c r="AF28" i="14"/>
  <c r="AE28" i="14"/>
  <c r="AD28" i="14"/>
  <c r="AC28" i="14"/>
  <c r="AB28" i="14"/>
  <c r="AA28" i="14"/>
  <c r="Z28" i="14"/>
  <c r="Y28" i="14"/>
  <c r="X28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AH27" i="14"/>
  <c r="AG27" i="14"/>
  <c r="AF27" i="14"/>
  <c r="AE27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AH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AH25" i="14"/>
  <c r="AG25" i="14"/>
  <c r="AF25" i="14"/>
  <c r="AE25" i="14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AH24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AH23" i="14"/>
  <c r="AG23" i="14"/>
  <c r="AF23" i="14"/>
  <c r="AE23" i="14"/>
  <c r="AD23" i="14"/>
  <c r="AC23" i="14"/>
  <c r="AB23" i="14"/>
  <c r="AA23" i="14"/>
  <c r="Z23" i="14"/>
  <c r="Y23" i="14"/>
  <c r="X23" i="14"/>
  <c r="W23" i="14"/>
  <c r="V23" i="14"/>
  <c r="U23" i="14"/>
  <c r="T23" i="14"/>
  <c r="S23" i="14"/>
  <c r="R23" i="14"/>
  <c r="Q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AH22" i="14"/>
  <c r="AG22" i="14"/>
  <c r="AF22" i="14"/>
  <c r="AE22" i="14"/>
  <c r="AD22" i="14"/>
  <c r="AC22" i="14"/>
  <c r="AB22" i="14"/>
  <c r="AA22" i="14"/>
  <c r="Z22" i="14"/>
  <c r="Y22" i="14"/>
  <c r="X22" i="14"/>
  <c r="W22" i="14"/>
  <c r="V22" i="14"/>
  <c r="U22" i="14"/>
  <c r="T22" i="14"/>
  <c r="S22" i="14"/>
  <c r="R22" i="14"/>
  <c r="Q22" i="14"/>
  <c r="P22" i="14"/>
  <c r="O22" i="14"/>
  <c r="N22" i="14"/>
  <c r="M22" i="14"/>
  <c r="L22" i="14"/>
  <c r="K22" i="14"/>
  <c r="J22" i="14"/>
  <c r="I22" i="14"/>
  <c r="H22" i="14"/>
  <c r="G22" i="14"/>
  <c r="F22" i="14"/>
  <c r="E22" i="14"/>
  <c r="AH21" i="14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AH20" i="14"/>
  <c r="AG20" i="14"/>
  <c r="AF20" i="14"/>
  <c r="AE20" i="14"/>
  <c r="AD20" i="14"/>
  <c r="AC20" i="14"/>
  <c r="AB20" i="14"/>
  <c r="AA20" i="14"/>
  <c r="Z20" i="14"/>
  <c r="Y20" i="14"/>
  <c r="X20" i="14"/>
  <c r="W20" i="14"/>
  <c r="V20" i="14"/>
  <c r="U20" i="14"/>
  <c r="T20" i="14"/>
  <c r="S20" i="14"/>
  <c r="R20" i="14"/>
  <c r="Q20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AH19" i="14"/>
  <c r="AG19" i="14"/>
  <c r="AF19" i="14"/>
  <c r="AE19" i="14"/>
  <c r="AD19" i="14"/>
  <c r="AC19" i="14"/>
  <c r="AB19" i="14"/>
  <c r="AA19" i="14"/>
  <c r="Z19" i="14"/>
  <c r="Y19" i="14"/>
  <c r="X19" i="14"/>
  <c r="W19" i="14"/>
  <c r="V19" i="14"/>
  <c r="U19" i="14"/>
  <c r="T19" i="14"/>
  <c r="S19" i="14"/>
  <c r="R19" i="14"/>
  <c r="Q19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AH18" i="14"/>
  <c r="AG18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AH17" i="14"/>
  <c r="AG17" i="14"/>
  <c r="AF17" i="14"/>
  <c r="AE17" i="14"/>
  <c r="AD17" i="14"/>
  <c r="AC17" i="14"/>
  <c r="AB17" i="14"/>
  <c r="AA17" i="14"/>
  <c r="Z17" i="14"/>
  <c r="Y17" i="14"/>
  <c r="X17" i="14"/>
  <c r="W17" i="14"/>
  <c r="V17" i="14"/>
  <c r="U17" i="14"/>
  <c r="T17" i="14"/>
  <c r="S17" i="14"/>
  <c r="R17" i="14"/>
  <c r="Q17" i="14"/>
  <c r="P17" i="14"/>
  <c r="O17" i="14"/>
  <c r="N17" i="14"/>
  <c r="M17" i="14"/>
  <c r="L17" i="14"/>
  <c r="K17" i="14"/>
  <c r="J17" i="14"/>
  <c r="I17" i="14"/>
  <c r="H17" i="14"/>
  <c r="G17" i="14"/>
  <c r="F17" i="14"/>
  <c r="E17" i="14"/>
  <c r="AH16" i="14"/>
  <c r="AG16" i="14"/>
  <c r="AF16" i="14"/>
  <c r="AE16" i="14"/>
  <c r="AD16" i="14"/>
  <c r="AC16" i="14"/>
  <c r="AB16" i="14"/>
  <c r="AA16" i="14"/>
  <c r="Z16" i="14"/>
  <c r="Y16" i="14"/>
  <c r="X16" i="14"/>
  <c r="W16" i="14"/>
  <c r="V16" i="14"/>
  <c r="U16" i="14"/>
  <c r="T16" i="14"/>
  <c r="S16" i="14"/>
  <c r="R16" i="14"/>
  <c r="Q16" i="14"/>
  <c r="P16" i="14"/>
  <c r="O16" i="14"/>
  <c r="N16" i="14"/>
  <c r="M16" i="14"/>
  <c r="L16" i="14"/>
  <c r="K16" i="14"/>
  <c r="J16" i="14"/>
  <c r="I16" i="14"/>
  <c r="H16" i="14"/>
  <c r="G16" i="14"/>
  <c r="F16" i="14"/>
  <c r="E16" i="14"/>
  <c r="AH15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AH13" i="14"/>
  <c r="AG13" i="14"/>
  <c r="AF13" i="14"/>
  <c r="AE13" i="14"/>
  <c r="AD13" i="14"/>
  <c r="AC13" i="14"/>
  <c r="AB13" i="14"/>
  <c r="AA13" i="14"/>
  <c r="Z13" i="14"/>
  <c r="Y13" i="14"/>
  <c r="X13" i="14"/>
  <c r="W13" i="14"/>
  <c r="V13" i="14"/>
  <c r="U13" i="14"/>
  <c r="T13" i="14"/>
  <c r="S13" i="14"/>
  <c r="R13" i="14"/>
  <c r="Q13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AH12" i="14"/>
  <c r="AG12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AH11" i="14"/>
  <c r="AG11" i="14"/>
  <c r="AF11" i="14"/>
  <c r="AE11" i="14"/>
  <c r="AD11" i="14"/>
  <c r="AC11" i="14"/>
  <c r="AB11" i="14"/>
  <c r="AA11" i="14"/>
  <c r="Z11" i="14"/>
  <c r="Y11" i="14"/>
  <c r="X11" i="14"/>
  <c r="W11" i="14"/>
  <c r="V11" i="14"/>
  <c r="U11" i="14"/>
  <c r="T11" i="14"/>
  <c r="S11" i="14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E11" i="14"/>
  <c r="AH10" i="14"/>
  <c r="AG10" i="14"/>
  <c r="AF10" i="14"/>
  <c r="AE10" i="14"/>
  <c r="AD10" i="14"/>
  <c r="AC10" i="14"/>
  <c r="AB10" i="14"/>
  <c r="AA10" i="14"/>
  <c r="Z10" i="14"/>
  <c r="Y10" i="14"/>
  <c r="X10" i="14"/>
  <c r="W10" i="14"/>
  <c r="V10" i="14"/>
  <c r="U10" i="14"/>
  <c r="T10" i="14"/>
  <c r="S10" i="14"/>
  <c r="R10" i="14"/>
  <c r="Q10" i="14"/>
  <c r="P10" i="14"/>
  <c r="O10" i="14"/>
  <c r="N10" i="14"/>
  <c r="M10" i="14"/>
  <c r="L10" i="14"/>
  <c r="K10" i="14"/>
  <c r="J10" i="14"/>
  <c r="I10" i="14"/>
  <c r="H10" i="14"/>
  <c r="G10" i="14"/>
  <c r="F10" i="14"/>
  <c r="E10" i="14"/>
  <c r="AH9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AH8" i="14"/>
  <c r="AG8" i="14"/>
  <c r="AF8" i="14"/>
  <c r="AE8" i="14"/>
  <c r="AD8" i="14"/>
  <c r="AC8" i="14"/>
  <c r="AB8" i="14"/>
  <c r="AA8" i="14"/>
  <c r="Z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E8" i="14"/>
  <c r="AH7" i="14"/>
  <c r="AG7" i="14"/>
  <c r="AF7" i="14"/>
  <c r="AE7" i="14"/>
  <c r="AD7" i="14"/>
  <c r="AC7" i="14"/>
  <c r="AB7" i="14"/>
  <c r="AA7" i="14"/>
  <c r="Z7" i="14"/>
  <c r="Y7" i="14"/>
  <c r="X7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J7" i="14"/>
  <c r="I7" i="14"/>
  <c r="H7" i="14"/>
  <c r="G7" i="14"/>
  <c r="F7" i="14"/>
  <c r="E7" i="14"/>
  <c r="AH6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AH5" i="14"/>
  <c r="AG5" i="14"/>
  <c r="AF5" i="14"/>
  <c r="AE5" i="14"/>
  <c r="AD5" i="14"/>
  <c r="AC5" i="14"/>
  <c r="AB5" i="14"/>
  <c r="AA5" i="14"/>
  <c r="Z5" i="14"/>
  <c r="Y5" i="14"/>
  <c r="X5" i="14"/>
  <c r="W5" i="14"/>
  <c r="V5" i="14"/>
  <c r="U5" i="14"/>
  <c r="T5" i="14"/>
  <c r="S5" i="14"/>
  <c r="R5" i="14"/>
  <c r="Q5" i="14"/>
  <c r="P5" i="14"/>
  <c r="O5" i="14"/>
  <c r="N5" i="14"/>
  <c r="M5" i="14"/>
  <c r="L5" i="14"/>
  <c r="K5" i="14"/>
  <c r="J5" i="14"/>
  <c r="I5" i="14"/>
  <c r="H5" i="14"/>
  <c r="G5" i="14"/>
  <c r="F5" i="14"/>
  <c r="E5" i="14"/>
  <c r="AH4" i="14"/>
  <c r="AG4" i="14"/>
  <c r="AF4" i="14"/>
  <c r="AE4" i="14"/>
  <c r="AD4" i="14"/>
  <c r="AC4" i="14"/>
  <c r="AB4" i="14"/>
  <c r="AA4" i="14"/>
  <c r="Z4" i="14"/>
  <c r="Y4" i="14"/>
  <c r="X4" i="14"/>
  <c r="W4" i="14"/>
  <c r="V4" i="14"/>
  <c r="U4" i="14"/>
  <c r="T4" i="14"/>
  <c r="S4" i="14"/>
  <c r="R4" i="14"/>
  <c r="Q4" i="14"/>
  <c r="P4" i="14"/>
  <c r="O4" i="14"/>
  <c r="N4" i="14"/>
  <c r="M4" i="14"/>
  <c r="L4" i="14"/>
  <c r="K4" i="14"/>
  <c r="J4" i="14"/>
  <c r="I4" i="14"/>
  <c r="H4" i="14"/>
  <c r="G4" i="14"/>
  <c r="F4" i="14"/>
  <c r="E4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E3" i="14"/>
  <c r="B3" i="15" a="1"/>
  <c r="B13" i="15"/>
  <c r="B24" i="15"/>
  <c r="B35" i="15"/>
  <c r="B46" i="15"/>
  <c r="B57" i="15"/>
  <c r="B68" i="15"/>
  <c r="A13" i="15"/>
  <c r="A24" i="15"/>
  <c r="A35" i="15"/>
  <c r="A46" i="15"/>
  <c r="A57" i="15"/>
  <c r="A68" i="15"/>
  <c r="B12" i="15"/>
  <c r="B23" i="15"/>
  <c r="B34" i="15"/>
  <c r="B45" i="15"/>
  <c r="B56" i="15"/>
  <c r="B67" i="15"/>
  <c r="A12" i="15"/>
  <c r="A23" i="15"/>
  <c r="A34" i="15"/>
  <c r="A45" i="15"/>
  <c r="A56" i="15"/>
  <c r="A67" i="15"/>
  <c r="B11" i="15"/>
  <c r="B22" i="15"/>
  <c r="B33" i="15"/>
  <c r="B44" i="15"/>
  <c r="B55" i="15"/>
  <c r="B66" i="15"/>
  <c r="A11" i="15"/>
  <c r="A22" i="15"/>
  <c r="A33" i="15"/>
  <c r="A44" i="15"/>
  <c r="A55" i="15"/>
  <c r="A66" i="15"/>
  <c r="B10" i="15"/>
  <c r="B21" i="15"/>
  <c r="B32" i="15"/>
  <c r="B43" i="15"/>
  <c r="B54" i="15"/>
  <c r="B65" i="15"/>
  <c r="A10" i="15"/>
  <c r="A21" i="15"/>
  <c r="A32" i="15"/>
  <c r="A43" i="15"/>
  <c r="A54" i="15"/>
  <c r="A65" i="15"/>
  <c r="B9" i="15"/>
  <c r="B20" i="15"/>
  <c r="B31" i="15"/>
  <c r="B42" i="15"/>
  <c r="B53" i="15"/>
  <c r="B64" i="15"/>
  <c r="A9" i="15"/>
  <c r="A20" i="15"/>
  <c r="A31" i="15"/>
  <c r="A42" i="15"/>
  <c r="A53" i="15"/>
  <c r="A64" i="15"/>
  <c r="B8" i="15"/>
  <c r="B19" i="15"/>
  <c r="B30" i="15"/>
  <c r="B41" i="15"/>
  <c r="B52" i="15"/>
  <c r="B63" i="15"/>
  <c r="A8" i="15"/>
  <c r="A19" i="15"/>
  <c r="A30" i="15"/>
  <c r="A41" i="15"/>
  <c r="A52" i="15"/>
  <c r="A63" i="15"/>
  <c r="B7" i="15"/>
  <c r="B18" i="15"/>
  <c r="B29" i="15"/>
  <c r="B40" i="15"/>
  <c r="B51" i="15"/>
  <c r="B62" i="15"/>
  <c r="A7" i="15"/>
  <c r="A18" i="15"/>
  <c r="A29" i="15"/>
  <c r="A40" i="15"/>
  <c r="A51" i="15"/>
  <c r="A62" i="15"/>
  <c r="B6" i="15"/>
  <c r="B17" i="15"/>
  <c r="B28" i="15"/>
  <c r="B39" i="15"/>
  <c r="B50" i="15"/>
  <c r="B61" i="15"/>
  <c r="A6" i="15"/>
  <c r="A17" i="15"/>
  <c r="A28" i="15"/>
  <c r="A39" i="15"/>
  <c r="A50" i="15"/>
  <c r="A61" i="15"/>
  <c r="B5" i="15"/>
  <c r="B16" i="15"/>
  <c r="B27" i="15"/>
  <c r="B38" i="15"/>
  <c r="B49" i="15"/>
  <c r="B60" i="15"/>
  <c r="A5" i="15"/>
  <c r="A16" i="15"/>
  <c r="A27" i="15"/>
  <c r="A38" i="15"/>
  <c r="A49" i="15"/>
  <c r="A60" i="15"/>
  <c r="B4" i="15"/>
  <c r="B15" i="15"/>
  <c r="B26" i="15"/>
  <c r="B37" i="15"/>
  <c r="B48" i="15"/>
  <c r="B59" i="15"/>
  <c r="A4" i="15"/>
  <c r="A15" i="15"/>
  <c r="A26" i="15"/>
  <c r="A37" i="15"/>
  <c r="A48" i="15"/>
  <c r="A59" i="15"/>
  <c r="B3" i="15"/>
  <c r="B14" i="15"/>
  <c r="B25" i="15"/>
  <c r="B36" i="15"/>
  <c r="B47" i="15"/>
  <c r="B58" i="15"/>
  <c r="A3" i="15"/>
  <c r="A14" i="15"/>
  <c r="A25" i="15"/>
  <c r="A36" i="15"/>
  <c r="A47" i="15"/>
  <c r="A58" i="15"/>
  <c r="C2" i="15" a="1"/>
  <c r="D2" i="15"/>
  <c r="F2" i="15"/>
  <c r="H2" i="15"/>
  <c r="J2" i="15"/>
  <c r="L2" i="15"/>
  <c r="N2" i="15"/>
  <c r="P2" i="15"/>
  <c r="R2" i="15"/>
  <c r="T2" i="15"/>
  <c r="V2" i="15"/>
  <c r="X2" i="15"/>
  <c r="Z2" i="15"/>
  <c r="AB2" i="15"/>
  <c r="AD2" i="15"/>
  <c r="AF2" i="15"/>
  <c r="AH2" i="15"/>
  <c r="C2" i="15"/>
  <c r="E2" i="15"/>
  <c r="G2" i="15"/>
  <c r="I2" i="15"/>
  <c r="K2" i="15"/>
  <c r="M2" i="15"/>
  <c r="O2" i="15"/>
  <c r="Q2" i="15"/>
  <c r="S2" i="15"/>
  <c r="U2" i="15"/>
  <c r="W2" i="15"/>
  <c r="Y2" i="15"/>
  <c r="AA2" i="15"/>
  <c r="AC2" i="15"/>
  <c r="AE2" i="15"/>
  <c r="AG2" i="15"/>
  <c r="F1" i="15"/>
  <c r="H1" i="15"/>
  <c r="J1" i="15"/>
  <c r="L1" i="15"/>
  <c r="N1" i="15"/>
  <c r="P1" i="15"/>
  <c r="R1" i="15"/>
  <c r="T1" i="15"/>
  <c r="V1" i="15"/>
  <c r="X1" i="15"/>
  <c r="Z1" i="15"/>
  <c r="AB1" i="15"/>
  <c r="AD1" i="15"/>
  <c r="AF1" i="15"/>
  <c r="AH1" i="15"/>
  <c r="E1" i="15"/>
  <c r="G1" i="15"/>
  <c r="I1" i="15"/>
  <c r="K1" i="15"/>
  <c r="M1" i="15"/>
  <c r="O1" i="15"/>
  <c r="Q1" i="15"/>
  <c r="S1" i="15"/>
  <c r="U1" i="15"/>
  <c r="W1" i="15"/>
  <c r="Y1" i="15"/>
  <c r="AA1" i="15"/>
  <c r="AC1" i="15"/>
  <c r="AE1" i="15"/>
  <c r="AG1" i="15"/>
  <c r="B3" i="14" a="1"/>
  <c r="B13" i="14"/>
  <c r="B24" i="14"/>
  <c r="B35" i="14"/>
  <c r="B46" i="14"/>
  <c r="B57" i="14"/>
  <c r="B68" i="14"/>
  <c r="A13" i="14"/>
  <c r="A24" i="14"/>
  <c r="A35" i="14"/>
  <c r="A46" i="14"/>
  <c r="A57" i="14"/>
  <c r="A68" i="14"/>
  <c r="B12" i="14"/>
  <c r="B23" i="14"/>
  <c r="B34" i="14"/>
  <c r="B45" i="14"/>
  <c r="B56" i="14"/>
  <c r="B67" i="14"/>
  <c r="A12" i="14"/>
  <c r="A23" i="14"/>
  <c r="A34" i="14"/>
  <c r="A45" i="14"/>
  <c r="A56" i="14"/>
  <c r="A67" i="14"/>
  <c r="B11" i="14"/>
  <c r="B22" i="14"/>
  <c r="B33" i="14"/>
  <c r="B44" i="14"/>
  <c r="B55" i="14"/>
  <c r="B66" i="14"/>
  <c r="A11" i="14"/>
  <c r="A22" i="14"/>
  <c r="A33" i="14"/>
  <c r="A44" i="14"/>
  <c r="A55" i="14"/>
  <c r="A66" i="14"/>
  <c r="B10" i="14"/>
  <c r="B21" i="14"/>
  <c r="B32" i="14"/>
  <c r="B43" i="14"/>
  <c r="B54" i="14"/>
  <c r="B65" i="14"/>
  <c r="A10" i="14"/>
  <c r="A21" i="14"/>
  <c r="A32" i="14"/>
  <c r="A43" i="14"/>
  <c r="A54" i="14"/>
  <c r="A65" i="14"/>
  <c r="B9" i="14"/>
  <c r="B20" i="14"/>
  <c r="B31" i="14"/>
  <c r="B42" i="14"/>
  <c r="B53" i="14"/>
  <c r="B64" i="14"/>
  <c r="A9" i="14"/>
  <c r="A20" i="14"/>
  <c r="A31" i="14"/>
  <c r="A42" i="14"/>
  <c r="A53" i="14"/>
  <c r="A64" i="14"/>
  <c r="B8" i="14"/>
  <c r="B19" i="14"/>
  <c r="B30" i="14"/>
  <c r="B41" i="14"/>
  <c r="B52" i="14"/>
  <c r="B63" i="14"/>
  <c r="A8" i="14"/>
  <c r="A19" i="14"/>
  <c r="A30" i="14"/>
  <c r="A41" i="14"/>
  <c r="A52" i="14"/>
  <c r="A63" i="14"/>
  <c r="B7" i="14"/>
  <c r="B18" i="14"/>
  <c r="B29" i="14"/>
  <c r="B40" i="14"/>
  <c r="B51" i="14"/>
  <c r="B62" i="14"/>
  <c r="A7" i="14"/>
  <c r="A18" i="14"/>
  <c r="A29" i="14"/>
  <c r="A40" i="14"/>
  <c r="A51" i="14"/>
  <c r="A62" i="14"/>
  <c r="B6" i="14"/>
  <c r="B17" i="14"/>
  <c r="B28" i="14"/>
  <c r="B39" i="14"/>
  <c r="B50" i="14"/>
  <c r="B61" i="14"/>
  <c r="A6" i="14"/>
  <c r="A17" i="14"/>
  <c r="A28" i="14"/>
  <c r="A39" i="14"/>
  <c r="A50" i="14"/>
  <c r="A61" i="14"/>
  <c r="B5" i="14"/>
  <c r="B16" i="14"/>
  <c r="B27" i="14"/>
  <c r="B38" i="14"/>
  <c r="B49" i="14"/>
  <c r="B60" i="14"/>
  <c r="A5" i="14"/>
  <c r="A16" i="14"/>
  <c r="A27" i="14"/>
  <c r="A38" i="14"/>
  <c r="A49" i="14"/>
  <c r="A60" i="14"/>
  <c r="B4" i="14"/>
  <c r="B15" i="14"/>
  <c r="B26" i="14"/>
  <c r="B37" i="14"/>
  <c r="B48" i="14"/>
  <c r="B59" i="14"/>
  <c r="A4" i="14"/>
  <c r="A15" i="14"/>
  <c r="A26" i="14"/>
  <c r="A37" i="14"/>
  <c r="A48" i="14"/>
  <c r="A59" i="14"/>
  <c r="B3" i="14"/>
  <c r="B14" i="14"/>
  <c r="B25" i="14"/>
  <c r="B36" i="14"/>
  <c r="B47" i="14"/>
  <c r="B58" i="14"/>
  <c r="A3" i="14"/>
  <c r="A14" i="14"/>
  <c r="A25" i="14"/>
  <c r="A36" i="14"/>
  <c r="A47" i="14"/>
  <c r="A58" i="14"/>
  <c r="C2" i="14" a="1"/>
  <c r="D2" i="14"/>
  <c r="F2" i="14"/>
  <c r="H2" i="14"/>
  <c r="J2" i="14"/>
  <c r="L2" i="14"/>
  <c r="N2" i="14"/>
  <c r="P2" i="14"/>
  <c r="R2" i="14"/>
  <c r="T2" i="14"/>
  <c r="V2" i="14"/>
  <c r="X2" i="14"/>
  <c r="Z2" i="14"/>
  <c r="AB2" i="14"/>
  <c r="AD2" i="14"/>
  <c r="AF2" i="14"/>
  <c r="AH2" i="14"/>
  <c r="C2" i="14"/>
  <c r="E2" i="14"/>
  <c r="G2" i="14"/>
  <c r="I2" i="14"/>
  <c r="K2" i="14"/>
  <c r="M2" i="14"/>
  <c r="O2" i="14"/>
  <c r="Q2" i="14"/>
  <c r="S2" i="14"/>
  <c r="U2" i="14"/>
  <c r="W2" i="14"/>
  <c r="Y2" i="14"/>
  <c r="AA2" i="14"/>
  <c r="AC2" i="14"/>
  <c r="AE2" i="14"/>
  <c r="AG2" i="14"/>
  <c r="F1" i="14"/>
  <c r="H1" i="14"/>
  <c r="J1" i="14"/>
  <c r="L1" i="14"/>
  <c r="N1" i="14"/>
  <c r="P1" i="14"/>
  <c r="R1" i="14"/>
  <c r="T1" i="14"/>
  <c r="V1" i="14"/>
  <c r="X1" i="14"/>
  <c r="Z1" i="14"/>
  <c r="AB1" i="14"/>
  <c r="AD1" i="14"/>
  <c r="AF1" i="14"/>
  <c r="AH1" i="14"/>
  <c r="E1" i="14"/>
  <c r="G1" i="14"/>
  <c r="I1" i="14"/>
  <c r="K1" i="14"/>
  <c r="M1" i="14"/>
  <c r="O1" i="14"/>
  <c r="Q1" i="14"/>
  <c r="S1" i="14"/>
  <c r="U1" i="14"/>
  <c r="W1" i="14"/>
  <c r="Y1" i="14"/>
  <c r="AA1" i="14"/>
  <c r="AC1" i="14"/>
  <c r="AE1" i="14"/>
  <c r="AG1" i="14"/>
  <c r="D162" i="7"/>
  <c r="E162" i="7"/>
  <c r="F162" i="7"/>
  <c r="G162" i="7"/>
  <c r="D163" i="7"/>
  <c r="E163" i="7"/>
  <c r="F163" i="7"/>
  <c r="G163" i="7"/>
  <c r="D164" i="7"/>
  <c r="E164" i="7"/>
  <c r="F164" i="7"/>
  <c r="G164" i="7"/>
  <c r="D165" i="7"/>
  <c r="E165" i="7"/>
  <c r="F165" i="7"/>
  <c r="G165" i="7"/>
  <c r="D166" i="7"/>
  <c r="E166" i="7"/>
  <c r="F166" i="7"/>
  <c r="G166" i="7"/>
  <c r="D167" i="7"/>
  <c r="E167" i="7"/>
  <c r="F167" i="7"/>
  <c r="G167" i="7"/>
  <c r="D168" i="7"/>
  <c r="E168" i="7"/>
  <c r="F168" i="7"/>
  <c r="G168" i="7"/>
  <c r="D169" i="7"/>
  <c r="E169" i="7"/>
  <c r="F169" i="7"/>
  <c r="G169" i="7"/>
  <c r="D170" i="7"/>
  <c r="E170" i="7"/>
  <c r="F170" i="7"/>
  <c r="G170" i="7"/>
  <c r="D171" i="7"/>
  <c r="E171" i="7"/>
  <c r="F171" i="7"/>
  <c r="G171" i="7"/>
  <c r="D172" i="7"/>
  <c r="E172" i="7"/>
  <c r="F172" i="7"/>
  <c r="G172" i="7"/>
  <c r="C163" i="7"/>
  <c r="C164" i="7"/>
  <c r="C165" i="7"/>
  <c r="C166" i="7"/>
  <c r="C167" i="7"/>
  <c r="C168" i="7"/>
  <c r="C169" i="7"/>
  <c r="C170" i="7"/>
  <c r="C171" i="7"/>
  <c r="C172" i="7"/>
  <c r="C162" i="7"/>
  <c r="B161" i="7" a="1"/>
  <c r="B161" i="7"/>
  <c r="C161" i="7"/>
  <c r="D161" i="7"/>
  <c r="E161" i="7"/>
  <c r="F161" i="7"/>
  <c r="G161" i="7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Z4" i="11"/>
  <c r="AA4" i="11"/>
  <c r="AB4" i="11"/>
  <c r="AC4" i="11"/>
  <c r="AD4" i="11"/>
  <c r="AE4" i="11"/>
  <c r="AF4" i="11"/>
  <c r="AG4" i="11"/>
  <c r="AH4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AA5" i="11"/>
  <c r="AB5" i="11"/>
  <c r="AC5" i="11"/>
  <c r="AD5" i="11"/>
  <c r="AE5" i="11"/>
  <c r="AF5" i="11"/>
  <c r="AG5" i="11"/>
  <c r="AH5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AA6" i="11"/>
  <c r="AB6" i="11"/>
  <c r="AC6" i="11"/>
  <c r="AD6" i="11"/>
  <c r="AE6" i="11"/>
  <c r="AF6" i="11"/>
  <c r="AG6" i="11"/>
  <c r="AH6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AH8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AC9" i="11"/>
  <c r="AD9" i="11"/>
  <c r="AE9" i="11"/>
  <c r="AF9" i="11"/>
  <c r="AG9" i="11"/>
  <c r="AH9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Z11" i="11"/>
  <c r="AA11" i="11"/>
  <c r="AB11" i="11"/>
  <c r="AC11" i="11"/>
  <c r="AD11" i="11"/>
  <c r="AE11" i="11"/>
  <c r="AF11" i="11"/>
  <c r="AG11" i="11"/>
  <c r="AH11" i="11"/>
  <c r="E12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AA12" i="11"/>
  <c r="AB12" i="11"/>
  <c r="AC12" i="11"/>
  <c r="AD12" i="11"/>
  <c r="AE12" i="11"/>
  <c r="AF12" i="11"/>
  <c r="AG12" i="11"/>
  <c r="AH12" i="11"/>
  <c r="E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AA13" i="11"/>
  <c r="AB13" i="11"/>
  <c r="AC13" i="11"/>
  <c r="AD13" i="11"/>
  <c r="AE13" i="11"/>
  <c r="AF13" i="11"/>
  <c r="AG13" i="11"/>
  <c r="AH13" i="11"/>
  <c r="E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Z14" i="11"/>
  <c r="AA14" i="11"/>
  <c r="AB14" i="11"/>
  <c r="AC14" i="11"/>
  <c r="AD14" i="11"/>
  <c r="AE14" i="11"/>
  <c r="AF14" i="11"/>
  <c r="AG14" i="11"/>
  <c r="AH14" i="11"/>
  <c r="E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Z15" i="11"/>
  <c r="AA15" i="11"/>
  <c r="AB15" i="11"/>
  <c r="AC15" i="11"/>
  <c r="AD15" i="11"/>
  <c r="AE15" i="11"/>
  <c r="AF15" i="11"/>
  <c r="AG15" i="11"/>
  <c r="AH15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AA16" i="11"/>
  <c r="AB16" i="11"/>
  <c r="AC16" i="11"/>
  <c r="AD16" i="11"/>
  <c r="AE16" i="11"/>
  <c r="AF16" i="11"/>
  <c r="AG16" i="11"/>
  <c r="AH16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E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E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E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E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AA24" i="11"/>
  <c r="AB24" i="11"/>
  <c r="AC24" i="11"/>
  <c r="AD24" i="11"/>
  <c r="AE24" i="11"/>
  <c r="AF24" i="11"/>
  <c r="AG24" i="11"/>
  <c r="AH24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E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E29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AC29" i="11"/>
  <c r="AD29" i="11"/>
  <c r="AE29" i="11"/>
  <c r="AF29" i="11"/>
  <c r="AG29" i="11"/>
  <c r="AH29" i="11"/>
  <c r="E30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C30" i="11"/>
  <c r="AD30" i="11"/>
  <c r="AE30" i="11"/>
  <c r="AF30" i="11"/>
  <c r="AG30" i="11"/>
  <c r="AH30" i="11"/>
  <c r="E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AH31" i="11"/>
  <c r="E32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E33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E34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E35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E37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E38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AA38" i="11"/>
  <c r="AB38" i="11"/>
  <c r="AC38" i="11"/>
  <c r="AD38" i="11"/>
  <c r="AE38" i="11"/>
  <c r="AF38" i="11"/>
  <c r="AG38" i="11"/>
  <c r="AH38" i="11"/>
  <c r="E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E40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E41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AH41" i="11"/>
  <c r="E42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AA42" i="11"/>
  <c r="AB42" i="11"/>
  <c r="AC42" i="11"/>
  <c r="AD42" i="11"/>
  <c r="AE42" i="11"/>
  <c r="AF42" i="11"/>
  <c r="AG42" i="11"/>
  <c r="AH42" i="11"/>
  <c r="E43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AA43" i="11"/>
  <c r="AB43" i="11"/>
  <c r="AC43" i="11"/>
  <c r="AD43" i="11"/>
  <c r="AE43" i="11"/>
  <c r="AF43" i="11"/>
  <c r="AG43" i="11"/>
  <c r="AH43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Z44" i="11"/>
  <c r="AA44" i="11"/>
  <c r="AB44" i="11"/>
  <c r="AC44" i="11"/>
  <c r="AD44" i="11"/>
  <c r="AE44" i="11"/>
  <c r="AF44" i="11"/>
  <c r="AG44" i="11"/>
  <c r="AH44" i="11"/>
  <c r="E45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AA45" i="11"/>
  <c r="AB45" i="11"/>
  <c r="AC45" i="11"/>
  <c r="AD45" i="11"/>
  <c r="AE45" i="11"/>
  <c r="AF45" i="11"/>
  <c r="AG45" i="11"/>
  <c r="AH45" i="11"/>
  <c r="E46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Z46" i="11"/>
  <c r="AA46" i="11"/>
  <c r="AB46" i="11"/>
  <c r="AC46" i="11"/>
  <c r="AD46" i="11"/>
  <c r="AE46" i="11"/>
  <c r="AF46" i="11"/>
  <c r="AG46" i="11"/>
  <c r="AH46" i="11"/>
  <c r="E47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Z47" i="11"/>
  <c r="AA47" i="11"/>
  <c r="AB47" i="11"/>
  <c r="AC47" i="11"/>
  <c r="AD47" i="11"/>
  <c r="AE47" i="11"/>
  <c r="AF47" i="11"/>
  <c r="AG47" i="11"/>
  <c r="AH47" i="11"/>
  <c r="E48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Z48" i="11"/>
  <c r="AA48" i="11"/>
  <c r="AB48" i="11"/>
  <c r="AC48" i="11"/>
  <c r="AD48" i="11"/>
  <c r="AE48" i="11"/>
  <c r="AF48" i="11"/>
  <c r="AG48" i="11"/>
  <c r="AH48" i="11"/>
  <c r="E49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AA49" i="11"/>
  <c r="AB49" i="11"/>
  <c r="AC49" i="11"/>
  <c r="AD49" i="11"/>
  <c r="AE49" i="11"/>
  <c r="AF49" i="11"/>
  <c r="AG49" i="11"/>
  <c r="AH49" i="11"/>
  <c r="E50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AA50" i="11"/>
  <c r="AB50" i="11"/>
  <c r="AC50" i="11"/>
  <c r="AD50" i="11"/>
  <c r="AE50" i="11"/>
  <c r="AF50" i="11"/>
  <c r="AG50" i="11"/>
  <c r="AH50" i="11"/>
  <c r="E51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AA51" i="11"/>
  <c r="AB51" i="11"/>
  <c r="AC51" i="11"/>
  <c r="AD51" i="11"/>
  <c r="AE51" i="11"/>
  <c r="AF51" i="11"/>
  <c r="AG51" i="11"/>
  <c r="AH51" i="11"/>
  <c r="E52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AA52" i="11"/>
  <c r="AB52" i="11"/>
  <c r="AC52" i="11"/>
  <c r="AD52" i="11"/>
  <c r="AE52" i="11"/>
  <c r="AF52" i="11"/>
  <c r="AG52" i="11"/>
  <c r="AH52" i="11"/>
  <c r="E53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AA53" i="11"/>
  <c r="AB53" i="11"/>
  <c r="AC53" i="11"/>
  <c r="AD53" i="11"/>
  <c r="AE53" i="11"/>
  <c r="AF53" i="11"/>
  <c r="AG53" i="11"/>
  <c r="AH53" i="11"/>
  <c r="E54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Z54" i="11"/>
  <c r="AA54" i="11"/>
  <c r="AB54" i="11"/>
  <c r="AC54" i="11"/>
  <c r="AD54" i="11"/>
  <c r="AE54" i="11"/>
  <c r="AF54" i="11"/>
  <c r="AG54" i="11"/>
  <c r="AH54" i="11"/>
  <c r="E55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AA55" i="11"/>
  <c r="AB55" i="11"/>
  <c r="AC55" i="11"/>
  <c r="AD55" i="11"/>
  <c r="AE55" i="11"/>
  <c r="AF55" i="11"/>
  <c r="AG55" i="11"/>
  <c r="AH55" i="11"/>
  <c r="E56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AA56" i="11"/>
  <c r="AB56" i="11"/>
  <c r="AC56" i="11"/>
  <c r="AD56" i="11"/>
  <c r="AE56" i="11"/>
  <c r="AF56" i="11"/>
  <c r="AG56" i="11"/>
  <c r="AH56" i="11"/>
  <c r="E57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AA57" i="11"/>
  <c r="AB57" i="11"/>
  <c r="AC57" i="11"/>
  <c r="AD57" i="11"/>
  <c r="AE57" i="11"/>
  <c r="AF57" i="11"/>
  <c r="AG57" i="11"/>
  <c r="AH57" i="11"/>
  <c r="E58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Z58" i="11"/>
  <c r="AA58" i="11"/>
  <c r="AB58" i="11"/>
  <c r="AC58" i="11"/>
  <c r="AD58" i="11"/>
  <c r="AE58" i="11"/>
  <c r="AF58" i="11"/>
  <c r="AG58" i="11"/>
  <c r="AH58" i="11"/>
  <c r="E59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AA59" i="11"/>
  <c r="AB59" i="11"/>
  <c r="AC59" i="11"/>
  <c r="AD59" i="11"/>
  <c r="AE59" i="11"/>
  <c r="AF59" i="11"/>
  <c r="AG59" i="11"/>
  <c r="AH59" i="11"/>
  <c r="E60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AA60" i="11"/>
  <c r="AB60" i="11"/>
  <c r="AC60" i="11"/>
  <c r="AD60" i="11"/>
  <c r="AE60" i="11"/>
  <c r="AF60" i="11"/>
  <c r="AG60" i="11"/>
  <c r="AH60" i="11"/>
  <c r="E61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AA61" i="11"/>
  <c r="AB61" i="11"/>
  <c r="AC61" i="11"/>
  <c r="AD61" i="11"/>
  <c r="AE61" i="11"/>
  <c r="AF61" i="11"/>
  <c r="AG61" i="11"/>
  <c r="AH61" i="11"/>
  <c r="E62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AA62" i="11"/>
  <c r="AB62" i="11"/>
  <c r="AC62" i="11"/>
  <c r="AD62" i="11"/>
  <c r="AE62" i="11"/>
  <c r="AF62" i="11"/>
  <c r="AG62" i="11"/>
  <c r="AH62" i="11"/>
  <c r="E63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AG63" i="11"/>
  <c r="AH63" i="11"/>
  <c r="E64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AA64" i="11"/>
  <c r="AB64" i="11"/>
  <c r="AC64" i="11"/>
  <c r="AD64" i="11"/>
  <c r="AE64" i="11"/>
  <c r="AF64" i="11"/>
  <c r="AG64" i="11"/>
  <c r="AH64" i="11"/>
  <c r="E65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AA65" i="11"/>
  <c r="AB65" i="11"/>
  <c r="AC65" i="11"/>
  <c r="AD65" i="11"/>
  <c r="AE65" i="11"/>
  <c r="AF65" i="11"/>
  <c r="AG65" i="11"/>
  <c r="AH65" i="11"/>
  <c r="E66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Z66" i="11"/>
  <c r="AA66" i="11"/>
  <c r="AB66" i="11"/>
  <c r="AC66" i="11"/>
  <c r="AD66" i="11"/>
  <c r="AE66" i="11"/>
  <c r="AF66" i="11"/>
  <c r="AG66" i="11"/>
  <c r="AH66" i="11"/>
  <c r="E67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E68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AD68" i="11"/>
  <c r="AE68" i="11"/>
  <c r="AF68" i="11"/>
  <c r="AG68" i="11"/>
  <c r="AH68" i="11"/>
  <c r="E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AA3" i="11"/>
  <c r="AB3" i="11"/>
  <c r="AC3" i="11"/>
  <c r="AD3" i="11"/>
  <c r="AE3" i="11"/>
  <c r="AF3" i="11"/>
  <c r="AG3" i="11"/>
  <c r="AH3" i="11"/>
  <c r="B3" i="11" a="1"/>
  <c r="B13" i="11"/>
  <c r="B24" i="11"/>
  <c r="B35" i="11"/>
  <c r="B46" i="11"/>
  <c r="B57" i="11"/>
  <c r="B68" i="11"/>
  <c r="A13" i="11"/>
  <c r="A24" i="11"/>
  <c r="A35" i="11"/>
  <c r="A46" i="11"/>
  <c r="A57" i="11"/>
  <c r="A68" i="11"/>
  <c r="B12" i="11"/>
  <c r="B23" i="11"/>
  <c r="B34" i="11"/>
  <c r="B45" i="11"/>
  <c r="B56" i="11"/>
  <c r="B67" i="11"/>
  <c r="A12" i="11"/>
  <c r="A23" i="11"/>
  <c r="A34" i="11"/>
  <c r="A45" i="11"/>
  <c r="A56" i="11"/>
  <c r="A67" i="11"/>
  <c r="B11" i="11"/>
  <c r="B22" i="11"/>
  <c r="B33" i="11"/>
  <c r="B44" i="11"/>
  <c r="B55" i="11"/>
  <c r="B66" i="11"/>
  <c r="A11" i="11"/>
  <c r="A22" i="11"/>
  <c r="A33" i="11"/>
  <c r="A44" i="11"/>
  <c r="A55" i="11"/>
  <c r="A66" i="11"/>
  <c r="B10" i="11"/>
  <c r="B21" i="11"/>
  <c r="B32" i="11"/>
  <c r="B43" i="11"/>
  <c r="B54" i="11"/>
  <c r="B65" i="11"/>
  <c r="A10" i="11"/>
  <c r="A21" i="11"/>
  <c r="A32" i="11"/>
  <c r="A43" i="11"/>
  <c r="A54" i="11"/>
  <c r="A65" i="11"/>
  <c r="B9" i="11"/>
  <c r="B20" i="11"/>
  <c r="B31" i="11"/>
  <c r="B42" i="11"/>
  <c r="B53" i="11"/>
  <c r="B64" i="11"/>
  <c r="A9" i="11"/>
  <c r="A20" i="11"/>
  <c r="A31" i="11"/>
  <c r="A42" i="11"/>
  <c r="A53" i="11"/>
  <c r="A64" i="11"/>
  <c r="B8" i="11"/>
  <c r="B19" i="11"/>
  <c r="B30" i="11"/>
  <c r="B41" i="11"/>
  <c r="B52" i="11"/>
  <c r="B63" i="11"/>
  <c r="A8" i="11"/>
  <c r="A19" i="11"/>
  <c r="A30" i="11"/>
  <c r="A41" i="11"/>
  <c r="A52" i="11"/>
  <c r="A63" i="11"/>
  <c r="B7" i="11"/>
  <c r="B18" i="11"/>
  <c r="B29" i="11"/>
  <c r="B40" i="11"/>
  <c r="B51" i="11"/>
  <c r="B62" i="11"/>
  <c r="A7" i="11"/>
  <c r="A18" i="11"/>
  <c r="A29" i="11"/>
  <c r="A40" i="11"/>
  <c r="A51" i="11"/>
  <c r="A62" i="11"/>
  <c r="B6" i="11"/>
  <c r="B17" i="11"/>
  <c r="B28" i="11"/>
  <c r="B39" i="11"/>
  <c r="B50" i="11"/>
  <c r="B61" i="11"/>
  <c r="A6" i="11"/>
  <c r="A17" i="11"/>
  <c r="A28" i="11"/>
  <c r="A39" i="11"/>
  <c r="A50" i="11"/>
  <c r="A61" i="11"/>
  <c r="B5" i="11"/>
  <c r="B16" i="11"/>
  <c r="B27" i="11"/>
  <c r="B38" i="11"/>
  <c r="B49" i="11"/>
  <c r="B60" i="11"/>
  <c r="A5" i="11"/>
  <c r="A16" i="11"/>
  <c r="A27" i="11"/>
  <c r="A38" i="11"/>
  <c r="A49" i="11"/>
  <c r="A60" i="11"/>
  <c r="B4" i="11"/>
  <c r="B15" i="11"/>
  <c r="B26" i="11"/>
  <c r="B37" i="11"/>
  <c r="B48" i="11"/>
  <c r="B59" i="11"/>
  <c r="A4" i="11"/>
  <c r="A15" i="11"/>
  <c r="A26" i="11"/>
  <c r="A37" i="11"/>
  <c r="A48" i="11"/>
  <c r="A59" i="11"/>
  <c r="B3" i="11"/>
  <c r="B14" i="11"/>
  <c r="B25" i="11"/>
  <c r="B36" i="11"/>
  <c r="B47" i="11"/>
  <c r="B58" i="11"/>
  <c r="A3" i="11"/>
  <c r="A14" i="11"/>
  <c r="A25" i="11"/>
  <c r="A36" i="11"/>
  <c r="A47" i="11"/>
  <c r="A58" i="11"/>
  <c r="C2" i="11" a="1"/>
  <c r="D2" i="11"/>
  <c r="F2" i="11"/>
  <c r="H2" i="11"/>
  <c r="J2" i="11"/>
  <c r="L2" i="11"/>
  <c r="N2" i="11"/>
  <c r="P2" i="11"/>
  <c r="R2" i="11"/>
  <c r="T2" i="11"/>
  <c r="V2" i="11"/>
  <c r="X2" i="11"/>
  <c r="Z2" i="11"/>
  <c r="AB2" i="11"/>
  <c r="AD2" i="11"/>
  <c r="AF2" i="11"/>
  <c r="AH2" i="11"/>
  <c r="C2" i="11"/>
  <c r="E2" i="11"/>
  <c r="G2" i="11"/>
  <c r="I2" i="11"/>
  <c r="K2" i="11"/>
  <c r="M2" i="11"/>
  <c r="O2" i="11"/>
  <c r="Q2" i="11"/>
  <c r="S2" i="11"/>
  <c r="U2" i="11"/>
  <c r="W2" i="11"/>
  <c r="Y2" i="11"/>
  <c r="AA2" i="11"/>
  <c r="AC2" i="11"/>
  <c r="AE2" i="11"/>
  <c r="AG2" i="11"/>
  <c r="F1" i="11"/>
  <c r="H1" i="11"/>
  <c r="J1" i="11"/>
  <c r="L1" i="11"/>
  <c r="N1" i="11"/>
  <c r="P1" i="11"/>
  <c r="R1" i="11"/>
  <c r="T1" i="11"/>
  <c r="V1" i="11"/>
  <c r="X1" i="11"/>
  <c r="Z1" i="11"/>
  <c r="AB1" i="11"/>
  <c r="AD1" i="11"/>
  <c r="AF1" i="11"/>
  <c r="AH1" i="11"/>
  <c r="E1" i="11"/>
  <c r="G1" i="11"/>
  <c r="I1" i="11"/>
  <c r="K1" i="11"/>
  <c r="M1" i="11"/>
  <c r="O1" i="11"/>
  <c r="Q1" i="11"/>
  <c r="S1" i="11"/>
  <c r="U1" i="11"/>
  <c r="W1" i="11"/>
  <c r="Y1" i="11"/>
  <c r="AA1" i="11"/>
  <c r="AC1" i="11"/>
  <c r="AE1" i="11"/>
  <c r="AG1" i="11"/>
  <c r="AK12" i="10"/>
  <c r="AJ12" i="10"/>
  <c r="AI12" i="10"/>
  <c r="AH12" i="10"/>
  <c r="AG12" i="10"/>
  <c r="AF12" i="10"/>
  <c r="AE12" i="10"/>
  <c r="AD12" i="10"/>
  <c r="AC12" i="10"/>
  <c r="X12" i="10"/>
  <c r="W12" i="10"/>
  <c r="V12" i="10"/>
  <c r="U12" i="10"/>
  <c r="T12" i="10"/>
  <c r="S12" i="10"/>
  <c r="R12" i="10"/>
  <c r="Q12" i="10"/>
  <c r="P12" i="10"/>
  <c r="AL11" i="10"/>
  <c r="AJ11" i="10"/>
  <c r="AI11" i="10"/>
  <c r="AH11" i="10"/>
  <c r="AG11" i="10"/>
  <c r="AF11" i="10"/>
  <c r="AE11" i="10"/>
  <c r="AD11" i="10"/>
  <c r="AC11" i="10"/>
  <c r="Y11" i="10"/>
  <c r="W11" i="10"/>
  <c r="V11" i="10"/>
  <c r="U11" i="10"/>
  <c r="T11" i="10"/>
  <c r="S11" i="10"/>
  <c r="R11" i="10"/>
  <c r="Q11" i="10"/>
  <c r="P11" i="10"/>
  <c r="AL10" i="10"/>
  <c r="AK10" i="10"/>
  <c r="AI10" i="10"/>
  <c r="AH10" i="10"/>
  <c r="AG10" i="10"/>
  <c r="AF10" i="10"/>
  <c r="AE10" i="10"/>
  <c r="AD10" i="10"/>
  <c r="AC10" i="10"/>
  <c r="Y10" i="10"/>
  <c r="X10" i="10"/>
  <c r="V10" i="10"/>
  <c r="U10" i="10"/>
  <c r="T10" i="10"/>
  <c r="S10" i="10"/>
  <c r="R10" i="10"/>
  <c r="Q10" i="10"/>
  <c r="P10" i="10"/>
  <c r="AL9" i="10"/>
  <c r="AK9" i="10"/>
  <c r="AJ9" i="10"/>
  <c r="AH9" i="10"/>
  <c r="AG9" i="10"/>
  <c r="AF9" i="10"/>
  <c r="AE9" i="10"/>
  <c r="AD9" i="10"/>
  <c r="AC9" i="10"/>
  <c r="Y9" i="10"/>
  <c r="X9" i="10"/>
  <c r="W9" i="10"/>
  <c r="U9" i="10"/>
  <c r="T9" i="10"/>
  <c r="S9" i="10"/>
  <c r="R9" i="10"/>
  <c r="Q9" i="10"/>
  <c r="P9" i="10"/>
  <c r="AL8" i="10"/>
  <c r="AK8" i="10"/>
  <c r="AJ8" i="10"/>
  <c r="AI8" i="10"/>
  <c r="AG8" i="10"/>
  <c r="AF8" i="10"/>
  <c r="AE8" i="10"/>
  <c r="AD8" i="10"/>
  <c r="AC8" i="10"/>
  <c r="Y8" i="10"/>
  <c r="X8" i="10"/>
  <c r="W8" i="10"/>
  <c r="V8" i="10"/>
  <c r="T8" i="10"/>
  <c r="S8" i="10"/>
  <c r="R8" i="10"/>
  <c r="Q8" i="10"/>
  <c r="P8" i="10"/>
  <c r="AL7" i="10"/>
  <c r="AK7" i="10"/>
  <c r="AJ7" i="10"/>
  <c r="AI7" i="10"/>
  <c r="AH7" i="10"/>
  <c r="AF7" i="10"/>
  <c r="AE7" i="10"/>
  <c r="AD7" i="10"/>
  <c r="AC7" i="10"/>
  <c r="Y7" i="10"/>
  <c r="X7" i="10"/>
  <c r="W7" i="10"/>
  <c r="V7" i="10"/>
  <c r="U7" i="10"/>
  <c r="S7" i="10"/>
  <c r="R7" i="10"/>
  <c r="Q7" i="10"/>
  <c r="P7" i="10"/>
  <c r="AL6" i="10"/>
  <c r="AK6" i="10"/>
  <c r="AJ6" i="10"/>
  <c r="AI6" i="10"/>
  <c r="AH6" i="10"/>
  <c r="AG6" i="10"/>
  <c r="AE6" i="10"/>
  <c r="AD6" i="10"/>
  <c r="AC6" i="10"/>
  <c r="Y6" i="10"/>
  <c r="X6" i="10"/>
  <c r="W6" i="10"/>
  <c r="V6" i="10"/>
  <c r="U6" i="10"/>
  <c r="T6" i="10"/>
  <c r="R6" i="10"/>
  <c r="Q6" i="10"/>
  <c r="P6" i="10"/>
  <c r="AL5" i="10"/>
  <c r="AK5" i="10"/>
  <c r="AJ5" i="10"/>
  <c r="AI5" i="10"/>
  <c r="AH5" i="10"/>
  <c r="AG5" i="10"/>
  <c r="AF5" i="10"/>
  <c r="AD5" i="10"/>
  <c r="AC5" i="10"/>
  <c r="Y5" i="10"/>
  <c r="X5" i="10"/>
  <c r="W5" i="10"/>
  <c r="V5" i="10"/>
  <c r="U5" i="10"/>
  <c r="T5" i="10"/>
  <c r="S5" i="10"/>
  <c r="Q5" i="10"/>
  <c r="P5" i="10"/>
  <c r="AL4" i="10"/>
  <c r="AK4" i="10"/>
  <c r="AJ4" i="10"/>
  <c r="AI4" i="10"/>
  <c r="AH4" i="10"/>
  <c r="AG4" i="10"/>
  <c r="AF4" i="10"/>
  <c r="AE4" i="10"/>
  <c r="AC4" i="10"/>
  <c r="Y4" i="10"/>
  <c r="X4" i="10"/>
  <c r="W4" i="10"/>
  <c r="V4" i="10"/>
  <c r="U4" i="10"/>
  <c r="T4" i="10"/>
  <c r="S4" i="10"/>
  <c r="R4" i="10"/>
  <c r="P4" i="10"/>
  <c r="AL3" i="10"/>
  <c r="AK3" i="10"/>
  <c r="AJ3" i="10"/>
  <c r="AI3" i="10"/>
  <c r="AH3" i="10"/>
  <c r="AG3" i="10"/>
  <c r="AF3" i="10"/>
  <c r="AE3" i="10"/>
  <c r="AD3" i="10"/>
  <c r="Y3" i="10"/>
  <c r="X3" i="10"/>
  <c r="W3" i="10"/>
  <c r="V3" i="10"/>
  <c r="U3" i="10"/>
  <c r="T3" i="10"/>
  <c r="S3" i="10"/>
  <c r="R3" i="10"/>
  <c r="Q3" i="10"/>
  <c r="I38" i="10" a="1"/>
  <c r="I38" i="10"/>
  <c r="I37" i="10" a="1"/>
  <c r="I37" i="10"/>
  <c r="I36" i="10" a="1"/>
  <c r="I36" i="10"/>
  <c r="I35" i="10" a="1"/>
  <c r="I35" i="10"/>
  <c r="J34" i="10"/>
  <c r="P33" i="10" a="1"/>
  <c r="P33" i="10"/>
  <c r="O33" i="10" a="1"/>
  <c r="O33" i="10"/>
  <c r="N33" i="10" a="1"/>
  <c r="N33" i="10"/>
  <c r="M33" i="10" a="1"/>
  <c r="M33" i="10"/>
  <c r="L33" i="10" a="1"/>
  <c r="L33" i="10"/>
  <c r="K33" i="10" a="1"/>
  <c r="K33" i="10"/>
  <c r="J33" i="10" a="1"/>
  <c r="J33" i="10"/>
  <c r="I33" i="10" a="1"/>
  <c r="I33" i="10"/>
  <c r="H33" i="10" a="1"/>
  <c r="H33" i="10"/>
  <c r="G33" i="10" a="1"/>
  <c r="G33" i="10"/>
  <c r="F33" i="10" a="1"/>
  <c r="F33" i="10"/>
  <c r="E23" i="10"/>
  <c r="E24" i="10"/>
  <c r="E25" i="10"/>
  <c r="E26" i="10"/>
  <c r="E27" i="10"/>
  <c r="E28" i="10"/>
  <c r="E29" i="10"/>
  <c r="E30" i="10"/>
  <c r="E31" i="10"/>
  <c r="E32" i="10"/>
  <c r="P32" i="10" a="1"/>
  <c r="P32" i="10"/>
  <c r="O32" i="10" a="1"/>
  <c r="O32" i="10"/>
  <c r="N32" i="10" a="1"/>
  <c r="N32" i="10"/>
  <c r="M32" i="10" a="1"/>
  <c r="M32" i="10"/>
  <c r="L32" i="10" a="1"/>
  <c r="L32" i="10"/>
  <c r="K32" i="10" a="1"/>
  <c r="K32" i="10"/>
  <c r="J32" i="10" a="1"/>
  <c r="J32" i="10"/>
  <c r="I32" i="10" a="1"/>
  <c r="I32" i="10"/>
  <c r="H32" i="10" a="1"/>
  <c r="H32" i="10"/>
  <c r="G32" i="10" a="1"/>
  <c r="G32" i="10"/>
  <c r="F32" i="10" a="1"/>
  <c r="F32" i="10"/>
  <c r="P31" i="10" a="1"/>
  <c r="P31" i="10"/>
  <c r="O31" i="10" a="1"/>
  <c r="O31" i="10"/>
  <c r="N31" i="10" a="1"/>
  <c r="N31" i="10"/>
  <c r="M31" i="10" a="1"/>
  <c r="M31" i="10"/>
  <c r="L31" i="10" a="1"/>
  <c r="L31" i="10"/>
  <c r="K31" i="10" a="1"/>
  <c r="K31" i="10"/>
  <c r="J31" i="10" a="1"/>
  <c r="J31" i="10"/>
  <c r="I31" i="10" a="1"/>
  <c r="I31" i="10"/>
  <c r="H31" i="10" a="1"/>
  <c r="H31" i="10"/>
  <c r="G31" i="10" a="1"/>
  <c r="G31" i="10"/>
  <c r="F31" i="10" a="1"/>
  <c r="F31" i="10"/>
  <c r="P30" i="10" a="1"/>
  <c r="P30" i="10"/>
  <c r="O30" i="10" a="1"/>
  <c r="O30" i="10"/>
  <c r="N30" i="10" a="1"/>
  <c r="N30" i="10"/>
  <c r="M30" i="10" a="1"/>
  <c r="M30" i="10"/>
  <c r="L30" i="10" a="1"/>
  <c r="L30" i="10"/>
  <c r="K30" i="10" a="1"/>
  <c r="K30" i="10"/>
  <c r="J30" i="10" a="1"/>
  <c r="J30" i="10"/>
  <c r="I30" i="10" a="1"/>
  <c r="I30" i="10"/>
  <c r="H30" i="10" a="1"/>
  <c r="H30" i="10"/>
  <c r="G30" i="10" a="1"/>
  <c r="G30" i="10"/>
  <c r="F30" i="10" a="1"/>
  <c r="F30" i="10"/>
  <c r="P29" i="10" a="1"/>
  <c r="P29" i="10"/>
  <c r="O29" i="10" a="1"/>
  <c r="O29" i="10"/>
  <c r="N29" i="10" a="1"/>
  <c r="N29" i="10"/>
  <c r="M29" i="10" a="1"/>
  <c r="M29" i="10"/>
  <c r="L29" i="10" a="1"/>
  <c r="L29" i="10"/>
  <c r="K29" i="10" a="1"/>
  <c r="K29" i="10"/>
  <c r="J29" i="10" a="1"/>
  <c r="J29" i="10"/>
  <c r="I29" i="10" a="1"/>
  <c r="I29" i="10"/>
  <c r="H29" i="10" a="1"/>
  <c r="H29" i="10"/>
  <c r="G29" i="10" a="1"/>
  <c r="G29" i="10"/>
  <c r="F29" i="10" a="1"/>
  <c r="F29" i="10"/>
  <c r="P28" i="10" a="1"/>
  <c r="P28" i="10"/>
  <c r="O28" i="10" a="1"/>
  <c r="O28" i="10"/>
  <c r="N28" i="10" a="1"/>
  <c r="N28" i="10"/>
  <c r="M28" i="10" a="1"/>
  <c r="M28" i="10"/>
  <c r="L28" i="10" a="1"/>
  <c r="L28" i="10"/>
  <c r="K28" i="10" a="1"/>
  <c r="K28" i="10"/>
  <c r="J28" i="10" a="1"/>
  <c r="J28" i="10"/>
  <c r="I28" i="10" a="1"/>
  <c r="I28" i="10"/>
  <c r="H28" i="10" a="1"/>
  <c r="H28" i="10"/>
  <c r="G28" i="10" a="1"/>
  <c r="G28" i="10"/>
  <c r="F28" i="10" a="1"/>
  <c r="F28" i="10"/>
  <c r="P27" i="10" a="1"/>
  <c r="P27" i="10"/>
  <c r="O27" i="10" a="1"/>
  <c r="O27" i="10"/>
  <c r="N27" i="10" a="1"/>
  <c r="N27" i="10"/>
  <c r="M27" i="10" a="1"/>
  <c r="M27" i="10"/>
  <c r="L27" i="10" a="1"/>
  <c r="L27" i="10"/>
  <c r="K27" i="10" a="1"/>
  <c r="K27" i="10"/>
  <c r="J27" i="10" a="1"/>
  <c r="J27" i="10"/>
  <c r="I27" i="10" a="1"/>
  <c r="I27" i="10"/>
  <c r="H27" i="10" a="1"/>
  <c r="H27" i="10"/>
  <c r="G27" i="10" a="1"/>
  <c r="G27" i="10"/>
  <c r="F27" i="10" a="1"/>
  <c r="F27" i="10"/>
  <c r="P26" i="10" a="1"/>
  <c r="P26" i="10"/>
  <c r="O26" i="10" a="1"/>
  <c r="O26" i="10"/>
  <c r="N26" i="10" a="1"/>
  <c r="N26" i="10"/>
  <c r="M26" i="10" a="1"/>
  <c r="M26" i="10"/>
  <c r="L26" i="10" a="1"/>
  <c r="L26" i="10"/>
  <c r="K26" i="10" a="1"/>
  <c r="K26" i="10"/>
  <c r="J26" i="10" a="1"/>
  <c r="J26" i="10"/>
  <c r="I26" i="10" a="1"/>
  <c r="I26" i="10"/>
  <c r="H26" i="10" a="1"/>
  <c r="H26" i="10"/>
  <c r="G26" i="10" a="1"/>
  <c r="G26" i="10"/>
  <c r="F26" i="10" a="1"/>
  <c r="F26" i="10"/>
  <c r="P25" i="10" a="1"/>
  <c r="P25" i="10"/>
  <c r="O25" i="10" a="1"/>
  <c r="O25" i="10"/>
  <c r="N25" i="10" a="1"/>
  <c r="N25" i="10"/>
  <c r="M25" i="10" a="1"/>
  <c r="M25" i="10"/>
  <c r="L25" i="10" a="1"/>
  <c r="L25" i="10"/>
  <c r="K25" i="10" a="1"/>
  <c r="K25" i="10"/>
  <c r="J25" i="10" a="1"/>
  <c r="J25" i="10"/>
  <c r="I25" i="10" a="1"/>
  <c r="I25" i="10"/>
  <c r="H25" i="10" a="1"/>
  <c r="H25" i="10"/>
  <c r="G25" i="10" a="1"/>
  <c r="G25" i="10"/>
  <c r="F25" i="10" a="1"/>
  <c r="F25" i="10"/>
  <c r="P24" i="10" a="1"/>
  <c r="P24" i="10"/>
  <c r="O24" i="10" a="1"/>
  <c r="O24" i="10"/>
  <c r="N24" i="10" a="1"/>
  <c r="N24" i="10"/>
  <c r="M24" i="10" a="1"/>
  <c r="M24" i="10"/>
  <c r="L24" i="10" a="1"/>
  <c r="L24" i="10"/>
  <c r="K24" i="10" a="1"/>
  <c r="K24" i="10"/>
  <c r="J24" i="10" a="1"/>
  <c r="J24" i="10"/>
  <c r="I24" i="10" a="1"/>
  <c r="I24" i="10"/>
  <c r="H24" i="10" a="1"/>
  <c r="H24" i="10"/>
  <c r="G24" i="10" a="1"/>
  <c r="G24" i="10"/>
  <c r="F24" i="10" a="1"/>
  <c r="F24" i="10"/>
  <c r="P23" i="10" a="1"/>
  <c r="P23" i="10"/>
  <c r="O23" i="10" a="1"/>
  <c r="O23" i="10"/>
  <c r="N23" i="10" a="1"/>
  <c r="N23" i="10"/>
  <c r="M23" i="10" a="1"/>
  <c r="M23" i="10"/>
  <c r="L23" i="10" a="1"/>
  <c r="L23" i="10"/>
  <c r="K23" i="10" a="1"/>
  <c r="K23" i="10"/>
  <c r="J23" i="10" a="1"/>
  <c r="J23" i="10"/>
  <c r="I23" i="10" a="1"/>
  <c r="I23" i="10"/>
  <c r="H23" i="10" a="1"/>
  <c r="H23" i="10"/>
  <c r="G23" i="10" a="1"/>
  <c r="G23" i="10"/>
  <c r="F23" i="10" a="1"/>
  <c r="F23" i="10"/>
  <c r="P22" i="10" a="1"/>
  <c r="P22" i="10"/>
  <c r="O22" i="10" a="1"/>
  <c r="O22" i="10"/>
  <c r="N22" i="10" a="1"/>
  <c r="N22" i="10"/>
  <c r="M22" i="10" a="1"/>
  <c r="M22" i="10"/>
  <c r="L22" i="10" a="1"/>
  <c r="L22" i="10"/>
  <c r="K22" i="10" a="1"/>
  <c r="K22" i="10"/>
  <c r="J22" i="10" a="1"/>
  <c r="J22" i="10"/>
  <c r="I22" i="10" a="1"/>
  <c r="I22" i="10"/>
  <c r="H22" i="10" a="1"/>
  <c r="H22" i="10"/>
  <c r="G22" i="10" a="1"/>
  <c r="G22" i="10"/>
  <c r="F22" i="10" a="1"/>
  <c r="F22" i="10"/>
  <c r="L12" i="10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B2" i="10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A1" i="6" a="1"/>
  <c r="A1" i="6"/>
  <c r="B4" i="3"/>
  <c r="A2" i="6"/>
  <c r="B5" i="3"/>
  <c r="A3" i="6"/>
  <c r="B6" i="3"/>
  <c r="A4" i="6"/>
  <c r="B7" i="3"/>
  <c r="A5" i="6"/>
  <c r="B8" i="3"/>
  <c r="A6" i="6"/>
  <c r="B9" i="3"/>
  <c r="A7" i="6"/>
  <c r="B10" i="3"/>
  <c r="A8" i="6"/>
  <c r="B11" i="3"/>
  <c r="A9" i="6"/>
  <c r="B12" i="3"/>
  <c r="A10" i="6"/>
  <c r="B13" i="3"/>
  <c r="A11" i="6"/>
  <c r="B14" i="3"/>
  <c r="A12" i="6"/>
  <c r="B15" i="3"/>
  <c r="A13" i="6"/>
  <c r="B16" i="3"/>
  <c r="A14" i="6"/>
  <c r="B17" i="3"/>
  <c r="A15" i="6"/>
  <c r="B18" i="3"/>
  <c r="A16" i="6"/>
  <c r="F22" i="5" a="1"/>
  <c r="F22" i="5"/>
  <c r="E23" i="5"/>
  <c r="F23" i="5" a="1"/>
  <c r="F23" i="5"/>
  <c r="E24" i="5"/>
  <c r="F24" i="5" a="1"/>
  <c r="F24" i="5"/>
  <c r="E25" i="5"/>
  <c r="F25" i="5" a="1"/>
  <c r="F25" i="5"/>
  <c r="E26" i="5"/>
  <c r="F26" i="5" a="1"/>
  <c r="E27" i="5"/>
  <c r="F27" i="5" a="1"/>
  <c r="E28" i="5"/>
  <c r="F28" i="5" a="1"/>
  <c r="E29" i="5"/>
  <c r="F29" i="5" a="1"/>
  <c r="E30" i="5"/>
  <c r="F30" i="5" a="1"/>
  <c r="E31" i="5"/>
  <c r="F31" i="5" a="1"/>
  <c r="E32" i="5"/>
  <c r="F32" i="5" a="1"/>
  <c r="F33" i="5" a="1"/>
  <c r="F26" i="5"/>
  <c r="F27" i="5"/>
  <c r="F28" i="5"/>
  <c r="F29" i="5"/>
  <c r="F30" i="5"/>
  <c r="F31" i="5"/>
  <c r="F32" i="5"/>
  <c r="F33" i="5"/>
  <c r="B3" i="5"/>
  <c r="G22" i="5" a="1"/>
  <c r="G22" i="5"/>
  <c r="G23" i="5" a="1"/>
  <c r="G23" i="5"/>
  <c r="G24" i="5" a="1"/>
  <c r="G25" i="5" a="1"/>
  <c r="G26" i="5" a="1"/>
  <c r="G27" i="5" a="1"/>
  <c r="G28" i="5" a="1"/>
  <c r="G29" i="5" a="1"/>
  <c r="G30" i="5" a="1"/>
  <c r="G31" i="5" a="1"/>
  <c r="G32" i="5" a="1"/>
  <c r="G33" i="5" a="1"/>
  <c r="G24" i="5"/>
  <c r="G25" i="5"/>
  <c r="G26" i="5"/>
  <c r="G27" i="5"/>
  <c r="G28" i="5"/>
  <c r="G29" i="5"/>
  <c r="G30" i="5"/>
  <c r="G31" i="5"/>
  <c r="G32" i="5"/>
  <c r="G33" i="5"/>
  <c r="C3" i="5"/>
  <c r="H22" i="5" a="1"/>
  <c r="H22" i="5"/>
  <c r="H23" i="5" a="1"/>
  <c r="H23" i="5"/>
  <c r="H24" i="5" a="1"/>
  <c r="H25" i="5" a="1"/>
  <c r="H26" i="5" a="1"/>
  <c r="H27" i="5" a="1"/>
  <c r="H28" i="5" a="1"/>
  <c r="H29" i="5" a="1"/>
  <c r="H30" i="5" a="1"/>
  <c r="H31" i="5" a="1"/>
  <c r="H32" i="5" a="1"/>
  <c r="H33" i="5" a="1"/>
  <c r="H24" i="5"/>
  <c r="H25" i="5"/>
  <c r="H26" i="5"/>
  <c r="H27" i="5"/>
  <c r="H28" i="5"/>
  <c r="H29" i="5"/>
  <c r="H30" i="5"/>
  <c r="H31" i="5"/>
  <c r="H32" i="5"/>
  <c r="H33" i="5"/>
  <c r="D3" i="5"/>
  <c r="I22" i="5" a="1"/>
  <c r="I22" i="5"/>
  <c r="I23" i="5" a="1"/>
  <c r="I23" i="5"/>
  <c r="E3" i="5"/>
  <c r="J34" i="5"/>
  <c r="J22" i="5" a="1"/>
  <c r="J22" i="5"/>
  <c r="J23" i="5" a="1"/>
  <c r="J23" i="5"/>
  <c r="J24" i="5" a="1"/>
  <c r="J25" i="5" a="1"/>
  <c r="J26" i="5" a="1"/>
  <c r="J27" i="5" a="1"/>
  <c r="J28" i="5" a="1"/>
  <c r="J29" i="5" a="1"/>
  <c r="J30" i="5" a="1"/>
  <c r="J31" i="5" a="1"/>
  <c r="J32" i="5" a="1"/>
  <c r="J33" i="5" a="1"/>
  <c r="J24" i="5"/>
  <c r="J25" i="5"/>
  <c r="J26" i="5"/>
  <c r="J27" i="5"/>
  <c r="J28" i="5"/>
  <c r="J29" i="5"/>
  <c r="J30" i="5"/>
  <c r="J31" i="5"/>
  <c r="J32" i="5"/>
  <c r="J33" i="5"/>
  <c r="F3" i="5"/>
  <c r="K22" i="5" a="1"/>
  <c r="K22" i="5"/>
  <c r="K23" i="5" a="1"/>
  <c r="K23" i="5"/>
  <c r="K24" i="5" a="1"/>
  <c r="K25" i="5" a="1"/>
  <c r="K26" i="5" a="1"/>
  <c r="K27" i="5" a="1"/>
  <c r="K28" i="5" a="1"/>
  <c r="K29" i="5" a="1"/>
  <c r="K30" i="5" a="1"/>
  <c r="K31" i="5" a="1"/>
  <c r="K32" i="5" a="1"/>
  <c r="K33" i="5" a="1"/>
  <c r="K24" i="5"/>
  <c r="K25" i="5"/>
  <c r="K26" i="5"/>
  <c r="K27" i="5"/>
  <c r="K28" i="5"/>
  <c r="K29" i="5"/>
  <c r="K30" i="5"/>
  <c r="K31" i="5"/>
  <c r="K32" i="5"/>
  <c r="K33" i="5"/>
  <c r="G3" i="5"/>
  <c r="L22" i="5" a="1"/>
  <c r="L22" i="5"/>
  <c r="L23" i="5" a="1"/>
  <c r="L23" i="5"/>
  <c r="L24" i="5" a="1"/>
  <c r="L25" i="5" a="1"/>
  <c r="L26" i="5" a="1"/>
  <c r="L27" i="5" a="1"/>
  <c r="L28" i="5" a="1"/>
  <c r="L29" i="5" a="1"/>
  <c r="L30" i="5" a="1"/>
  <c r="L31" i="5" a="1"/>
  <c r="L32" i="5" a="1"/>
  <c r="L33" i="5" a="1"/>
  <c r="L24" i="5"/>
  <c r="L25" i="5"/>
  <c r="L26" i="5"/>
  <c r="L27" i="5"/>
  <c r="L28" i="5"/>
  <c r="L29" i="5"/>
  <c r="L30" i="5"/>
  <c r="L31" i="5"/>
  <c r="L32" i="5"/>
  <c r="L33" i="5"/>
  <c r="H3" i="5"/>
  <c r="M22" i="5" a="1"/>
  <c r="M22" i="5"/>
  <c r="M23" i="5" a="1"/>
  <c r="M23" i="5"/>
  <c r="M24" i="5" a="1"/>
  <c r="M25" i="5" a="1"/>
  <c r="M26" i="5" a="1"/>
  <c r="M27" i="5" a="1"/>
  <c r="M28" i="5" a="1"/>
  <c r="M29" i="5" a="1"/>
  <c r="M30" i="5" a="1"/>
  <c r="M31" i="5" a="1"/>
  <c r="M32" i="5" a="1"/>
  <c r="M33" i="5" a="1"/>
  <c r="M24" i="5"/>
  <c r="M25" i="5"/>
  <c r="M26" i="5"/>
  <c r="M27" i="5"/>
  <c r="M28" i="5"/>
  <c r="M29" i="5"/>
  <c r="M30" i="5"/>
  <c r="M31" i="5"/>
  <c r="M32" i="5"/>
  <c r="M33" i="5"/>
  <c r="I3" i="5"/>
  <c r="N22" i="5" a="1"/>
  <c r="N22" i="5"/>
  <c r="N23" i="5" a="1"/>
  <c r="N23" i="5"/>
  <c r="N24" i="5" a="1"/>
  <c r="N25" i="5" a="1"/>
  <c r="N26" i="5" a="1"/>
  <c r="N27" i="5" a="1"/>
  <c r="N28" i="5" a="1"/>
  <c r="N29" i="5" a="1"/>
  <c r="N30" i="5" a="1"/>
  <c r="N31" i="5" a="1"/>
  <c r="N32" i="5" a="1"/>
  <c r="N33" i="5" a="1"/>
  <c r="N24" i="5"/>
  <c r="N25" i="5"/>
  <c r="N26" i="5"/>
  <c r="N27" i="5"/>
  <c r="N28" i="5"/>
  <c r="N29" i="5"/>
  <c r="N30" i="5"/>
  <c r="N31" i="5"/>
  <c r="N32" i="5"/>
  <c r="N33" i="5"/>
  <c r="J3" i="5"/>
  <c r="O22" i="5" a="1"/>
  <c r="O22" i="5"/>
  <c r="O23" i="5" a="1"/>
  <c r="O23" i="5"/>
  <c r="O24" i="5" a="1"/>
  <c r="O25" i="5" a="1"/>
  <c r="O26" i="5" a="1"/>
  <c r="O27" i="5" a="1"/>
  <c r="O28" i="5" a="1"/>
  <c r="O29" i="5" a="1"/>
  <c r="O30" i="5" a="1"/>
  <c r="O31" i="5" a="1"/>
  <c r="O32" i="5" a="1"/>
  <c r="O33" i="5" a="1"/>
  <c r="O24" i="5"/>
  <c r="O25" i="5"/>
  <c r="O26" i="5"/>
  <c r="O27" i="5"/>
  <c r="O28" i="5"/>
  <c r="O29" i="5"/>
  <c r="O30" i="5"/>
  <c r="O31" i="5"/>
  <c r="O32" i="5"/>
  <c r="O33" i="5"/>
  <c r="K3" i="5"/>
  <c r="P22" i="5" a="1"/>
  <c r="P22" i="5"/>
  <c r="P23" i="5" a="1"/>
  <c r="P23" i="5"/>
  <c r="P24" i="5" a="1"/>
  <c r="P25" i="5" a="1"/>
  <c r="P26" i="5" a="1"/>
  <c r="P27" i="5" a="1"/>
  <c r="P28" i="5" a="1"/>
  <c r="P29" i="5" a="1"/>
  <c r="P30" i="5" a="1"/>
  <c r="P31" i="5" a="1"/>
  <c r="P32" i="5" a="1"/>
  <c r="P33" i="5" a="1"/>
  <c r="P24" i="5"/>
  <c r="P25" i="5"/>
  <c r="P26" i="5"/>
  <c r="P27" i="5"/>
  <c r="P28" i="5"/>
  <c r="P29" i="5"/>
  <c r="P30" i="5"/>
  <c r="P31" i="5"/>
  <c r="P32" i="5"/>
  <c r="P33" i="5"/>
  <c r="L3" i="5"/>
  <c r="B4" i="5"/>
  <c r="C4" i="5"/>
  <c r="D4" i="5"/>
  <c r="I24" i="5" a="1"/>
  <c r="I24" i="5"/>
  <c r="E4" i="5"/>
  <c r="F4" i="5"/>
  <c r="G4" i="5"/>
  <c r="H4" i="5"/>
  <c r="I4" i="5"/>
  <c r="J4" i="5"/>
  <c r="K4" i="5"/>
  <c r="L4" i="5"/>
  <c r="B5" i="5"/>
  <c r="C5" i="5"/>
  <c r="D5" i="5"/>
  <c r="I35" i="5" a="1"/>
  <c r="I35" i="5"/>
  <c r="I36" i="5" a="1"/>
  <c r="I36" i="5"/>
  <c r="I37" i="5" a="1"/>
  <c r="I38" i="5" a="1"/>
  <c r="I37" i="5"/>
  <c r="I38" i="5"/>
  <c r="I25" i="5" a="1"/>
  <c r="I25" i="5"/>
  <c r="I26" i="5" a="1"/>
  <c r="I27" i="5" a="1"/>
  <c r="I28" i="5" a="1"/>
  <c r="I29" i="5" a="1"/>
  <c r="I30" i="5" a="1"/>
  <c r="I31" i="5" a="1"/>
  <c r="I32" i="5" a="1"/>
  <c r="I33" i="5" a="1"/>
  <c r="I26" i="5"/>
  <c r="I27" i="5"/>
  <c r="I28" i="5"/>
  <c r="I29" i="5"/>
  <c r="I30" i="5"/>
  <c r="I31" i="5"/>
  <c r="I32" i="5"/>
  <c r="I33" i="5"/>
  <c r="E5" i="5"/>
  <c r="F5" i="5"/>
  <c r="G5" i="5"/>
  <c r="H5" i="5"/>
  <c r="I5" i="5"/>
  <c r="J5" i="5"/>
  <c r="K5" i="5"/>
  <c r="L5" i="5"/>
  <c r="B6" i="5"/>
  <c r="C6" i="5"/>
  <c r="D6" i="5"/>
  <c r="E6" i="5"/>
  <c r="F6" i="5"/>
  <c r="G6" i="5"/>
  <c r="H6" i="5"/>
  <c r="I6" i="5"/>
  <c r="J6" i="5"/>
  <c r="K6" i="5"/>
  <c r="L6" i="5"/>
  <c r="B7" i="5"/>
  <c r="C7" i="5"/>
  <c r="D7" i="5"/>
  <c r="E7" i="5"/>
  <c r="F7" i="5"/>
  <c r="G7" i="5"/>
  <c r="H7" i="5"/>
  <c r="I7" i="5"/>
  <c r="J7" i="5"/>
  <c r="K7" i="5"/>
  <c r="L7" i="5"/>
  <c r="B8" i="5"/>
  <c r="C8" i="5"/>
  <c r="D8" i="5"/>
  <c r="E8" i="5"/>
  <c r="F8" i="5"/>
  <c r="G8" i="5"/>
  <c r="H8" i="5"/>
  <c r="I8" i="5"/>
  <c r="J8" i="5"/>
  <c r="K8" i="5"/>
  <c r="L8" i="5"/>
  <c r="B9" i="5"/>
  <c r="C9" i="5"/>
  <c r="D9" i="5"/>
  <c r="E9" i="5"/>
  <c r="F9" i="5"/>
  <c r="G9" i="5"/>
  <c r="H9" i="5"/>
  <c r="I9" i="5"/>
  <c r="J9" i="5"/>
  <c r="K9" i="5"/>
  <c r="L9" i="5"/>
  <c r="B10" i="5"/>
  <c r="C10" i="5"/>
  <c r="D10" i="5"/>
  <c r="E10" i="5"/>
  <c r="F10" i="5"/>
  <c r="G10" i="5"/>
  <c r="H10" i="5"/>
  <c r="I10" i="5"/>
  <c r="J10" i="5"/>
  <c r="K10" i="5"/>
  <c r="L10" i="5"/>
  <c r="B11" i="5"/>
  <c r="C11" i="5"/>
  <c r="D11" i="5"/>
  <c r="E11" i="5"/>
  <c r="F11" i="5"/>
  <c r="G11" i="5"/>
  <c r="H11" i="5"/>
  <c r="I11" i="5"/>
  <c r="J11" i="5"/>
  <c r="K11" i="5"/>
  <c r="L11" i="5"/>
  <c r="B12" i="5"/>
  <c r="C12" i="5"/>
  <c r="D12" i="5"/>
  <c r="E12" i="5"/>
  <c r="F12" i="5"/>
  <c r="G12" i="5"/>
  <c r="H12" i="5"/>
  <c r="I12" i="5"/>
  <c r="J12" i="5"/>
  <c r="K12" i="5"/>
  <c r="L12" i="5"/>
  <c r="C2" i="5"/>
  <c r="D2" i="5"/>
  <c r="E2" i="5"/>
  <c r="F2" i="5"/>
  <c r="G2" i="5"/>
  <c r="H2" i="5"/>
  <c r="I2" i="5"/>
  <c r="J2" i="5"/>
  <c r="K2" i="5"/>
  <c r="L2" i="5"/>
  <c r="B2" i="5"/>
  <c r="K121" i="8" a="1"/>
  <c r="K121" i="8"/>
  <c r="K122" i="8"/>
  <c r="K123" i="8"/>
  <c r="K124" i="8"/>
  <c r="K125" i="8"/>
  <c r="K126" i="8"/>
  <c r="K127" i="8"/>
  <c r="K128" i="8"/>
  <c r="K129" i="8"/>
  <c r="K130" i="8"/>
  <c r="K131" i="8"/>
  <c r="F121" i="8" a="1"/>
  <c r="F121" i="8"/>
  <c r="F122" i="8"/>
  <c r="F123" i="8"/>
  <c r="F124" i="8"/>
  <c r="F125" i="8"/>
  <c r="F126" i="8"/>
  <c r="F127" i="8"/>
  <c r="F128" i="8"/>
  <c r="F129" i="8"/>
  <c r="F130" i="8"/>
  <c r="F131" i="8"/>
  <c r="A121" i="8" a="1"/>
  <c r="A121" i="8"/>
  <c r="A122" i="8"/>
  <c r="A123" i="8"/>
  <c r="A124" i="8"/>
  <c r="A125" i="8"/>
  <c r="A126" i="8"/>
  <c r="A127" i="8"/>
  <c r="A128" i="8"/>
  <c r="A129" i="8"/>
  <c r="A130" i="8"/>
  <c r="A131" i="8"/>
  <c r="A82" i="8" a="1"/>
  <c r="A82" i="8"/>
  <c r="A83" i="8"/>
  <c r="A84" i="8"/>
  <c r="A85" i="8"/>
  <c r="A86" i="8"/>
  <c r="A87" i="8"/>
  <c r="A88" i="8"/>
  <c r="A89" i="8"/>
  <c r="A90" i="8"/>
  <c r="A91" i="8"/>
  <c r="A92" i="8"/>
  <c r="B81" i="8" a="1"/>
  <c r="B81" i="8"/>
  <c r="C81" i="8"/>
  <c r="D81" i="8"/>
  <c r="E81" i="8"/>
  <c r="F81" i="8"/>
  <c r="G81" i="8"/>
  <c r="H81" i="8"/>
  <c r="I81" i="8"/>
  <c r="J81" i="8"/>
  <c r="K81" i="8"/>
  <c r="L81" i="8"/>
  <c r="M81" i="8"/>
  <c r="N81" i="8"/>
  <c r="O81" i="8"/>
  <c r="P81" i="8"/>
  <c r="Q81" i="8"/>
  <c r="A62" i="8" a="1"/>
  <c r="A62" i="8"/>
  <c r="A63" i="8"/>
  <c r="A64" i="8"/>
  <c r="A65" i="8"/>
  <c r="A66" i="8"/>
  <c r="A67" i="8"/>
  <c r="A68" i="8"/>
  <c r="A69" i="8"/>
  <c r="A70" i="8"/>
  <c r="A71" i="8"/>
  <c r="A72" i="8"/>
  <c r="B61" i="8" a="1"/>
  <c r="B61" i="8"/>
  <c r="C61" i="8"/>
  <c r="D61" i="8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A42" i="8" a="1"/>
  <c r="A42" i="8"/>
  <c r="A43" i="8"/>
  <c r="A44" i="8"/>
  <c r="A45" i="8"/>
  <c r="A46" i="8"/>
  <c r="A47" i="8"/>
  <c r="A48" i="8"/>
  <c r="A49" i="8"/>
  <c r="A50" i="8"/>
  <c r="A51" i="8"/>
  <c r="A52" i="8"/>
  <c r="B41" i="8" a="1"/>
  <c r="B41" i="8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A22" i="8" a="1"/>
  <c r="A22" i="8"/>
  <c r="A23" i="8"/>
  <c r="A24" i="8"/>
  <c r="A25" i="8"/>
  <c r="A26" i="8"/>
  <c r="A27" i="8"/>
  <c r="A28" i="8"/>
  <c r="A29" i="8"/>
  <c r="A30" i="8"/>
  <c r="A31" i="8"/>
  <c r="A32" i="8"/>
  <c r="B21" i="8" a="1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A2" i="8" a="1"/>
  <c r="A2" i="8"/>
  <c r="A3" i="8"/>
  <c r="A4" i="8"/>
  <c r="A5" i="8"/>
  <c r="A6" i="8"/>
  <c r="A7" i="8"/>
  <c r="A8" i="8"/>
  <c r="A9" i="8"/>
  <c r="A10" i="8"/>
  <c r="A11" i="8"/>
  <c r="A12" i="8"/>
  <c r="B1" i="8" a="1"/>
  <c r="B1" i="8"/>
  <c r="C1" i="8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B163" i="7"/>
  <c r="B164" i="7"/>
  <c r="B165" i="7"/>
  <c r="B166" i="7"/>
  <c r="B167" i="7"/>
  <c r="B168" i="7"/>
  <c r="B169" i="7"/>
  <c r="B170" i="7"/>
  <c r="B171" i="7"/>
  <c r="B172" i="7"/>
  <c r="B162" i="7"/>
  <c r="A162" i="7" a="1"/>
  <c r="A162" i="7"/>
  <c r="A163" i="7"/>
  <c r="A164" i="7"/>
  <c r="A165" i="7"/>
  <c r="A166" i="7"/>
  <c r="A167" i="7"/>
  <c r="A168" i="7"/>
  <c r="A169" i="7"/>
  <c r="A170" i="7"/>
  <c r="A171" i="7"/>
  <c r="A172" i="7"/>
  <c r="A141" i="7" a="1"/>
  <c r="A141" i="7"/>
  <c r="A142" i="7"/>
  <c r="A143" i="7"/>
  <c r="A144" i="7"/>
  <c r="A145" i="7"/>
  <c r="A146" i="7"/>
  <c r="A147" i="7"/>
  <c r="A148" i="7"/>
  <c r="A149" i="7"/>
  <c r="A150" i="7"/>
  <c r="A151" i="7"/>
  <c r="A122" i="7" a="1"/>
  <c r="A122" i="7"/>
  <c r="A123" i="7"/>
  <c r="A124" i="7"/>
  <c r="A125" i="7"/>
  <c r="A126" i="7"/>
  <c r="A127" i="7"/>
  <c r="A128" i="7"/>
  <c r="A129" i="7"/>
  <c r="A130" i="7"/>
  <c r="A131" i="7"/>
  <c r="A132" i="7"/>
  <c r="B121" i="7" a="1"/>
  <c r="B121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B101" i="7" a="1"/>
  <c r="B101" i="7"/>
  <c r="C101" i="7"/>
  <c r="D101" i="7"/>
  <c r="E101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A102" i="7" a="1"/>
  <c r="A102" i="7"/>
  <c r="A103" i="7"/>
  <c r="A104" i="7"/>
  <c r="A105" i="7"/>
  <c r="A106" i="7"/>
  <c r="A107" i="7"/>
  <c r="A108" i="7"/>
  <c r="A109" i="7"/>
  <c r="A110" i="7"/>
  <c r="A111" i="7"/>
  <c r="A112" i="7"/>
  <c r="C2" i="4" a="1"/>
  <c r="C2" i="4"/>
  <c r="C2" i="7"/>
  <c r="D2" i="4"/>
  <c r="D2" i="7"/>
  <c r="E2" i="4"/>
  <c r="E2" i="7"/>
  <c r="F2" i="4"/>
  <c r="F2" i="7"/>
  <c r="G2" i="4"/>
  <c r="G2" i="7"/>
  <c r="H2" i="4"/>
  <c r="H2" i="7"/>
  <c r="I2" i="4"/>
  <c r="I2" i="7"/>
  <c r="J2" i="4"/>
  <c r="J2" i="7"/>
  <c r="K2" i="4"/>
  <c r="K2" i="7"/>
  <c r="L2" i="4"/>
  <c r="L2" i="7"/>
  <c r="M2" i="4"/>
  <c r="M2" i="7"/>
  <c r="N2" i="4"/>
  <c r="N2" i="7"/>
  <c r="O2" i="4"/>
  <c r="O2" i="7"/>
  <c r="P2" i="4"/>
  <c r="P2" i="7"/>
  <c r="Q2" i="4"/>
  <c r="Q2" i="7"/>
  <c r="R2" i="4"/>
  <c r="R2" i="7"/>
  <c r="S2" i="4"/>
  <c r="S2" i="7"/>
  <c r="T2" i="4"/>
  <c r="T2" i="7"/>
  <c r="U2" i="4"/>
  <c r="U2" i="7"/>
  <c r="V2" i="4"/>
  <c r="V2" i="7"/>
  <c r="W2" i="4"/>
  <c r="W2" i="7"/>
  <c r="X2" i="4"/>
  <c r="X2" i="7"/>
  <c r="Y2" i="4"/>
  <c r="Y2" i="7"/>
  <c r="Z2" i="4"/>
  <c r="Z2" i="7"/>
  <c r="AA2" i="4"/>
  <c r="AA2" i="7"/>
  <c r="AB2" i="4"/>
  <c r="AB2" i="7"/>
  <c r="AC2" i="4"/>
  <c r="AC2" i="7"/>
  <c r="AD2" i="4"/>
  <c r="AD2" i="7"/>
  <c r="AE2" i="4"/>
  <c r="AE2" i="7"/>
  <c r="AF2" i="4"/>
  <c r="AF2" i="7"/>
  <c r="AG2" i="4"/>
  <c r="AG2" i="7"/>
  <c r="AH2" i="4"/>
  <c r="AH2" i="7"/>
  <c r="D1" i="7"/>
  <c r="E1" i="4"/>
  <c r="E1" i="7"/>
  <c r="F1" i="4"/>
  <c r="F1" i="7"/>
  <c r="G1" i="4"/>
  <c r="G1" i="7"/>
  <c r="H1" i="4"/>
  <c r="H1" i="7"/>
  <c r="I1" i="4"/>
  <c r="I1" i="7"/>
  <c r="J1" i="4"/>
  <c r="J1" i="7"/>
  <c r="K1" i="4"/>
  <c r="K1" i="7"/>
  <c r="L1" i="4"/>
  <c r="L1" i="7"/>
  <c r="M1" i="4"/>
  <c r="M1" i="7"/>
  <c r="N1" i="4"/>
  <c r="N1" i="7"/>
  <c r="O1" i="4"/>
  <c r="O1" i="7"/>
  <c r="P1" i="4"/>
  <c r="P1" i="7"/>
  <c r="Q1" i="4"/>
  <c r="Q1" i="7"/>
  <c r="R1" i="4"/>
  <c r="R1" i="7"/>
  <c r="S1" i="4"/>
  <c r="S1" i="7"/>
  <c r="T1" i="4"/>
  <c r="T1" i="7"/>
  <c r="U1" i="4"/>
  <c r="U1" i="7"/>
  <c r="V1" i="4"/>
  <c r="V1" i="7"/>
  <c r="W1" i="4"/>
  <c r="W1" i="7"/>
  <c r="X1" i="4"/>
  <c r="X1" i="7"/>
  <c r="Y1" i="4"/>
  <c r="Y1" i="7"/>
  <c r="Z1" i="4"/>
  <c r="Z1" i="7"/>
  <c r="AA1" i="4"/>
  <c r="AA1" i="7"/>
  <c r="AB1" i="4"/>
  <c r="AB1" i="7"/>
  <c r="AC1" i="4"/>
  <c r="AC1" i="7"/>
  <c r="AD1" i="4"/>
  <c r="AD1" i="7"/>
  <c r="AE1" i="4"/>
  <c r="AE1" i="7"/>
  <c r="AF1" i="4"/>
  <c r="AF1" i="7"/>
  <c r="AG1" i="4"/>
  <c r="AG1" i="7"/>
  <c r="AH1" i="4"/>
  <c r="AH1" i="7"/>
  <c r="C1" i="7"/>
  <c r="B3" i="4" a="1"/>
  <c r="B3" i="4"/>
  <c r="B3" i="7"/>
  <c r="B4" i="4"/>
  <c r="B4" i="7"/>
  <c r="B5" i="4"/>
  <c r="B5" i="7"/>
  <c r="B6" i="4"/>
  <c r="B6" i="7"/>
  <c r="B7" i="4"/>
  <c r="B7" i="7"/>
  <c r="B8" i="4"/>
  <c r="B8" i="7"/>
  <c r="B9" i="4"/>
  <c r="B9" i="7"/>
  <c r="B10" i="4"/>
  <c r="B10" i="7"/>
  <c r="B11" i="4"/>
  <c r="B11" i="7"/>
  <c r="B12" i="4"/>
  <c r="B12" i="7"/>
  <c r="B13" i="4"/>
  <c r="B13" i="7"/>
  <c r="B14" i="4"/>
  <c r="B14" i="7"/>
  <c r="B15" i="4"/>
  <c r="B15" i="7"/>
  <c r="B16" i="4"/>
  <c r="B16" i="7"/>
  <c r="B17" i="4"/>
  <c r="B17" i="7"/>
  <c r="B18" i="4"/>
  <c r="B18" i="7"/>
  <c r="B19" i="4"/>
  <c r="B19" i="7"/>
  <c r="B20" i="4"/>
  <c r="B20" i="7"/>
  <c r="B21" i="4"/>
  <c r="B21" i="7"/>
  <c r="B22" i="4"/>
  <c r="B22" i="7"/>
  <c r="B23" i="4"/>
  <c r="B23" i="7"/>
  <c r="B24" i="4"/>
  <c r="B24" i="7"/>
  <c r="B25" i="4"/>
  <c r="B25" i="7"/>
  <c r="B26" i="4"/>
  <c r="B26" i="7"/>
  <c r="B27" i="4"/>
  <c r="B27" i="7"/>
  <c r="B28" i="4"/>
  <c r="B28" i="7"/>
  <c r="B29" i="4"/>
  <c r="B29" i="7"/>
  <c r="B30" i="4"/>
  <c r="B30" i="7"/>
  <c r="B31" i="4"/>
  <c r="B31" i="7"/>
  <c r="B32" i="4"/>
  <c r="B32" i="7"/>
  <c r="B33" i="4"/>
  <c r="B33" i="7"/>
  <c r="B34" i="4"/>
  <c r="B34" i="7"/>
  <c r="B35" i="4"/>
  <c r="B35" i="7"/>
  <c r="B36" i="4"/>
  <c r="B36" i="7"/>
  <c r="B37" i="4"/>
  <c r="B37" i="7"/>
  <c r="B38" i="4"/>
  <c r="B38" i="7"/>
  <c r="B39" i="4"/>
  <c r="B39" i="7"/>
  <c r="B40" i="4"/>
  <c r="B40" i="7"/>
  <c r="B41" i="4"/>
  <c r="B41" i="7"/>
  <c r="B42" i="4"/>
  <c r="B42" i="7"/>
  <c r="B43" i="4"/>
  <c r="B43" i="7"/>
  <c r="B44" i="4"/>
  <c r="B44" i="7"/>
  <c r="B45" i="4"/>
  <c r="B45" i="7"/>
  <c r="B46" i="4"/>
  <c r="B46" i="7"/>
  <c r="B47" i="4"/>
  <c r="B47" i="7"/>
  <c r="B48" i="4"/>
  <c r="B48" i="7"/>
  <c r="B49" i="4"/>
  <c r="B49" i="7"/>
  <c r="B50" i="4"/>
  <c r="B50" i="7"/>
  <c r="B51" i="4"/>
  <c r="B51" i="7"/>
  <c r="B52" i="4"/>
  <c r="B52" i="7"/>
  <c r="B53" i="4"/>
  <c r="B53" i="7"/>
  <c r="B54" i="4"/>
  <c r="B54" i="7"/>
  <c r="B55" i="4"/>
  <c r="B55" i="7"/>
  <c r="B56" i="4"/>
  <c r="B56" i="7"/>
  <c r="B57" i="4"/>
  <c r="B57" i="7"/>
  <c r="B58" i="4"/>
  <c r="B58" i="7"/>
  <c r="B59" i="4"/>
  <c r="B59" i="7"/>
  <c r="B60" i="4"/>
  <c r="B60" i="7"/>
  <c r="B61" i="4"/>
  <c r="B61" i="7"/>
  <c r="B62" i="4"/>
  <c r="B62" i="7"/>
  <c r="B63" i="4"/>
  <c r="B63" i="7"/>
  <c r="B64" i="4"/>
  <c r="B64" i="7"/>
  <c r="B65" i="4"/>
  <c r="B65" i="7"/>
  <c r="B66" i="4"/>
  <c r="B66" i="7"/>
  <c r="B67" i="4"/>
  <c r="B67" i="7"/>
  <c r="B68" i="4"/>
  <c r="B68" i="7"/>
  <c r="A4" i="4"/>
  <c r="A4" i="7"/>
  <c r="A5" i="4"/>
  <c r="A5" i="7"/>
  <c r="A6" i="4"/>
  <c r="A6" i="7"/>
  <c r="A7" i="4"/>
  <c r="A7" i="7"/>
  <c r="A8" i="4"/>
  <c r="A8" i="7"/>
  <c r="A9" i="4"/>
  <c r="A9" i="7"/>
  <c r="A10" i="4"/>
  <c r="A10" i="7"/>
  <c r="A11" i="4"/>
  <c r="A11" i="7"/>
  <c r="A12" i="4"/>
  <c r="A12" i="7"/>
  <c r="A13" i="4"/>
  <c r="A13" i="7"/>
  <c r="A3" i="4"/>
  <c r="A14" i="4"/>
  <c r="A14" i="7"/>
  <c r="A15" i="4"/>
  <c r="A15" i="7"/>
  <c r="A16" i="4"/>
  <c r="A16" i="7"/>
  <c r="A17" i="4"/>
  <c r="A17" i="7"/>
  <c r="A18" i="4"/>
  <c r="A18" i="7"/>
  <c r="A19" i="4"/>
  <c r="A19" i="7"/>
  <c r="A20" i="4"/>
  <c r="A20" i="7"/>
  <c r="A21" i="4"/>
  <c r="A21" i="7"/>
  <c r="A22" i="4"/>
  <c r="A22" i="7"/>
  <c r="A23" i="4"/>
  <c r="A23" i="7"/>
  <c r="A24" i="4"/>
  <c r="A24" i="7"/>
  <c r="A25" i="4"/>
  <c r="A25" i="7"/>
  <c r="A26" i="4"/>
  <c r="A26" i="7"/>
  <c r="A27" i="4"/>
  <c r="A27" i="7"/>
  <c r="A28" i="4"/>
  <c r="A28" i="7"/>
  <c r="A29" i="4"/>
  <c r="A29" i="7"/>
  <c r="A30" i="4"/>
  <c r="A30" i="7"/>
  <c r="A31" i="4"/>
  <c r="A31" i="7"/>
  <c r="A32" i="4"/>
  <c r="A32" i="7"/>
  <c r="A33" i="4"/>
  <c r="A33" i="7"/>
  <c r="A34" i="4"/>
  <c r="A34" i="7"/>
  <c r="A35" i="4"/>
  <c r="A35" i="7"/>
  <c r="A36" i="4"/>
  <c r="A36" i="7"/>
  <c r="A37" i="4"/>
  <c r="A37" i="7"/>
  <c r="A38" i="4"/>
  <c r="A38" i="7"/>
  <c r="A39" i="4"/>
  <c r="A39" i="7"/>
  <c r="A40" i="4"/>
  <c r="A40" i="7"/>
  <c r="A41" i="4"/>
  <c r="A41" i="7"/>
  <c r="A42" i="4"/>
  <c r="A42" i="7"/>
  <c r="A43" i="4"/>
  <c r="A43" i="7"/>
  <c r="A44" i="4"/>
  <c r="A44" i="7"/>
  <c r="A45" i="4"/>
  <c r="A45" i="7"/>
  <c r="A46" i="4"/>
  <c r="A46" i="7"/>
  <c r="A47" i="4"/>
  <c r="A47" i="7"/>
  <c r="A48" i="4"/>
  <c r="A48" i="7"/>
  <c r="A49" i="4"/>
  <c r="A49" i="7"/>
  <c r="A50" i="4"/>
  <c r="A50" i="7"/>
  <c r="A51" i="4"/>
  <c r="A51" i="7"/>
  <c r="A52" i="4"/>
  <c r="A52" i="7"/>
  <c r="A53" i="4"/>
  <c r="A53" i="7"/>
  <c r="A54" i="4"/>
  <c r="A54" i="7"/>
  <c r="A55" i="4"/>
  <c r="A55" i="7"/>
  <c r="A56" i="4"/>
  <c r="A56" i="7"/>
  <c r="A57" i="4"/>
  <c r="A57" i="7"/>
  <c r="A58" i="4"/>
  <c r="A58" i="7"/>
  <c r="A59" i="4"/>
  <c r="A59" i="7"/>
  <c r="A60" i="4"/>
  <c r="A60" i="7"/>
  <c r="A61" i="4"/>
  <c r="A61" i="7"/>
  <c r="A62" i="4"/>
  <c r="A62" i="7"/>
  <c r="A63" i="4"/>
  <c r="A63" i="7"/>
  <c r="A64" i="4"/>
  <c r="A64" i="7"/>
  <c r="A65" i="4"/>
  <c r="A65" i="7"/>
  <c r="A66" i="4"/>
  <c r="A66" i="7"/>
  <c r="A67" i="4"/>
  <c r="A67" i="7"/>
  <c r="A68" i="4"/>
  <c r="A68" i="7"/>
  <c r="A3" i="7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AD65" i="4"/>
  <c r="AE65" i="4"/>
  <c r="AF65" i="4"/>
  <c r="AG65" i="4"/>
  <c r="AH65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AD66" i="4"/>
  <c r="AE66" i="4"/>
  <c r="AF66" i="4"/>
  <c r="AG66" i="4"/>
  <c r="AH66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AD67" i="4"/>
  <c r="AE67" i="4"/>
  <c r="AF67" i="4"/>
  <c r="AG67" i="4"/>
  <c r="AH67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AD68" i="4"/>
  <c r="AE68" i="4"/>
  <c r="AF68" i="4"/>
  <c r="AG68" i="4"/>
  <c r="AH68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</calcChain>
</file>

<file path=xl/sharedStrings.xml><?xml version="1.0" encoding="utf-8"?>
<sst xmlns="http://schemas.openxmlformats.org/spreadsheetml/2006/main" count="585" uniqueCount="96">
  <si>
    <t>Years</t>
  </si>
  <si>
    <t>Seasons</t>
  </si>
  <si>
    <t>Belg</t>
  </si>
  <si>
    <t>Kremt</t>
  </si>
  <si>
    <t>Nodes</t>
  </si>
  <si>
    <t>AddisAbaba</t>
  </si>
  <si>
    <t>Afar</t>
  </si>
  <si>
    <t>Amhara</t>
  </si>
  <si>
    <t>Gumuz</t>
  </si>
  <si>
    <t>DireDawa</t>
  </si>
  <si>
    <t>Gambela</t>
  </si>
  <si>
    <t>Harari</t>
  </si>
  <si>
    <t>Oromia</t>
  </si>
  <si>
    <t>Somali</t>
  </si>
  <si>
    <t>Tigray</t>
  </si>
  <si>
    <t>Crops</t>
  </si>
  <si>
    <t>Teff</t>
  </si>
  <si>
    <t>Maize</t>
  </si>
  <si>
    <t>Coffee</t>
  </si>
  <si>
    <t>SNNPR</t>
  </si>
  <si>
    <t>Sorghum</t>
  </si>
  <si>
    <t>Vegetables</t>
  </si>
  <si>
    <t>Beef</t>
  </si>
  <si>
    <t>Milk</t>
  </si>
  <si>
    <t>Lentils</t>
  </si>
  <si>
    <t>set</t>
  </si>
  <si>
    <t>sets!B3</t>
  </si>
  <si>
    <t>sets!d3</t>
  </si>
  <si>
    <t>sets!f3</t>
  </si>
  <si>
    <t>sets!h3</t>
  </si>
  <si>
    <t>Food</t>
  </si>
  <si>
    <t>rdim</t>
  </si>
  <si>
    <t>cdim</t>
  </si>
  <si>
    <t>par</t>
  </si>
  <si>
    <t>CYF</t>
  </si>
  <si>
    <t>CYF!A1</t>
  </si>
  <si>
    <t>Roads!A1</t>
  </si>
  <si>
    <t>DiscFact</t>
  </si>
  <si>
    <t>DiscFact!A1</t>
  </si>
  <si>
    <t>C_convert</t>
  </si>
  <si>
    <t>C_chg</t>
  </si>
  <si>
    <t>Crop!A101</t>
  </si>
  <si>
    <t>Crop!A121</t>
  </si>
  <si>
    <t>Crop!A141</t>
  </si>
  <si>
    <t>Crop!A161</t>
  </si>
  <si>
    <t>pr_Hide</t>
  </si>
  <si>
    <t>Cattle!A1</t>
  </si>
  <si>
    <t>Yld_H</t>
  </si>
  <si>
    <t>Cattle!A21</t>
  </si>
  <si>
    <t>k</t>
  </si>
  <si>
    <t>kappa</t>
  </si>
  <si>
    <t>Cattle!A41</t>
  </si>
  <si>
    <t>Cattle!A61</t>
  </si>
  <si>
    <t>C_Cow</t>
  </si>
  <si>
    <t>Cattle!A81</t>
  </si>
  <si>
    <t>CowtranYr1</t>
  </si>
  <si>
    <t>Cattle!A101</t>
  </si>
  <si>
    <t>Cattle!A121</t>
  </si>
  <si>
    <t>InitCow</t>
  </si>
  <si>
    <t>Herdsize</t>
  </si>
  <si>
    <t>CowDeath</t>
  </si>
  <si>
    <t>2. Press the button below</t>
  </si>
  <si>
    <t>1. Select the region with the 1 and no's (along with heading)</t>
  </si>
  <si>
    <t>Start</t>
  </si>
  <si>
    <t>End</t>
  </si>
  <si>
    <t>TotArea</t>
  </si>
  <si>
    <t>Area_init</t>
  </si>
  <si>
    <t>Cattle!F121</t>
  </si>
  <si>
    <t>Cattle!K121</t>
  </si>
  <si>
    <t>Eline</t>
  </si>
  <si>
    <t>ElecLine!A1</t>
  </si>
  <si>
    <t>Cap_Road</t>
  </si>
  <si>
    <t>Roads!N1</t>
  </si>
  <si>
    <t>CF_Road_data</t>
  </si>
  <si>
    <t>Roads!AA1</t>
  </si>
  <si>
    <t>Year</t>
  </si>
  <si>
    <t>Season</t>
  </si>
  <si>
    <t>Node</t>
  </si>
  <si>
    <t>FoodItem</t>
  </si>
  <si>
    <t>Crop</t>
  </si>
  <si>
    <t>sets!j3</t>
  </si>
  <si>
    <t>Road</t>
  </si>
  <si>
    <t>aFAO</t>
  </si>
  <si>
    <t>aFAO!A1</t>
  </si>
  <si>
    <t>C_prod</t>
  </si>
  <si>
    <t>Crop!A1</t>
  </si>
  <si>
    <t>DemInt</t>
  </si>
  <si>
    <t>DemSlope</t>
  </si>
  <si>
    <t>DemInt!A1</t>
  </si>
  <si>
    <t>DemSlope!A1</t>
  </si>
  <si>
    <t>Base_Elec_Dem</t>
  </si>
  <si>
    <t>Elec!A1</t>
  </si>
  <si>
    <t>MilkYield</t>
  </si>
  <si>
    <t>BeefYield</t>
  </si>
  <si>
    <t>Cattle!A141</t>
  </si>
  <si>
    <t>Cattle!A161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</si>
</sst>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2"/>
      <color theme="0" tint="-0.34998626667073579"/>
      <name val="Inherit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0">
    <xf numFmtId="0" fontId="0" fillId="0" borderId="0" xfId="0"/>
    <xf numFmtId="0" fontId="2" fillId="0" borderId="0" xfId="0" applyFont="1"/>
    <xf numFmtId="4" fontId="0" fillId="0" borderId="0" xfId="0" applyNumberFormat="1"/>
    <xf numFmtId="3" fontId="0" fillId="0" borderId="0" xfId="0" applyNumberFormat="1"/>
    <xf numFmtId="0" fontId="0" fillId="0" borderId="0" xfId="0" applyFill="1"/>
    <xf numFmtId="0" fontId="1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3" borderId="0" xfId="0" applyFill="1"/>
  </cellXfs>
  <cellStyles count="2">
    <cellStyle name="Input" xfId="1" builtinId="20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2"/>
  <sheetViews>
    <sheetView zoomScale="85" zoomScaleNormal="85" workbookViewId="0">
      <selection activeCell="B32" sqref="B32:D32"/>
    </sheetView>
  </sheetViews>
  <sheetFormatPr defaultColWidth="11" defaultRowHeight="15.75"/>
  <cols>
    <col min="2" max="2" width="14.5" bestFit="1" customWidth="1"/>
    <col min="3" max="3" width="12.375" bestFit="1" customWidth="1"/>
  </cols>
  <sheetData>
    <row r="1" spans="1:5">
      <c r="D1" t="s">
        <v>31</v>
      </c>
      <c r="E1" t="s">
        <v>32</v>
      </c>
    </row>
    <row r="2" spans="1:5">
      <c r="A2" t="s">
        <v>33</v>
      </c>
      <c r="B2" s="9" t="s">
        <v>82</v>
      </c>
      <c r="C2" t="s">
        <v>83</v>
      </c>
      <c r="D2">
        <v>2</v>
      </c>
      <c r="E2">
        <v>2</v>
      </c>
    </row>
    <row r="3" spans="1:5">
      <c r="A3" t="s">
        <v>33</v>
      </c>
      <c r="B3" t="s">
        <v>45</v>
      </c>
      <c r="C3" t="s">
        <v>46</v>
      </c>
      <c r="D3">
        <v>1</v>
      </c>
      <c r="E3">
        <v>1</v>
      </c>
    </row>
    <row r="4" spans="1:5">
      <c r="A4" t="s">
        <v>33</v>
      </c>
      <c r="B4" t="s">
        <v>47</v>
      </c>
      <c r="C4" t="s">
        <v>48</v>
      </c>
      <c r="D4">
        <v>1</v>
      </c>
      <c r="E4">
        <v>1</v>
      </c>
    </row>
    <row r="5" spans="1:5">
      <c r="A5" t="s">
        <v>33</v>
      </c>
      <c r="B5" t="s">
        <v>49</v>
      </c>
      <c r="C5" t="s">
        <v>51</v>
      </c>
      <c r="D5">
        <v>1</v>
      </c>
      <c r="E5">
        <v>1</v>
      </c>
    </row>
    <row r="6" spans="1:5">
      <c r="A6" t="s">
        <v>33</v>
      </c>
      <c r="B6" t="s">
        <v>50</v>
      </c>
      <c r="C6" t="s">
        <v>52</v>
      </c>
      <c r="D6">
        <v>1</v>
      </c>
      <c r="E6">
        <v>1</v>
      </c>
    </row>
    <row r="7" spans="1:5">
      <c r="A7" t="s">
        <v>33</v>
      </c>
      <c r="B7" t="s">
        <v>53</v>
      </c>
      <c r="C7" t="s">
        <v>54</v>
      </c>
      <c r="D7">
        <v>1</v>
      </c>
      <c r="E7">
        <v>1</v>
      </c>
    </row>
    <row r="8" spans="1:5">
      <c r="A8" t="s">
        <v>33</v>
      </c>
      <c r="B8" t="s">
        <v>55</v>
      </c>
      <c r="C8" t="s">
        <v>56</v>
      </c>
      <c r="D8">
        <v>1</v>
      </c>
      <c r="E8">
        <v>1</v>
      </c>
    </row>
    <row r="9" spans="1:5">
      <c r="A9" t="s">
        <v>33</v>
      </c>
      <c r="B9" t="s">
        <v>58</v>
      </c>
      <c r="C9" t="s">
        <v>57</v>
      </c>
      <c r="D9">
        <v>1</v>
      </c>
      <c r="E9">
        <v>0</v>
      </c>
    </row>
    <row r="10" spans="1:5">
      <c r="A10" t="s">
        <v>33</v>
      </c>
      <c r="B10" t="s">
        <v>59</v>
      </c>
      <c r="C10" t="s">
        <v>67</v>
      </c>
      <c r="D10">
        <v>1</v>
      </c>
      <c r="E10">
        <v>0</v>
      </c>
    </row>
    <row r="11" spans="1:5">
      <c r="A11" t="s">
        <v>33</v>
      </c>
      <c r="B11" t="s">
        <v>60</v>
      </c>
      <c r="C11" t="s">
        <v>68</v>
      </c>
      <c r="D11">
        <v>1</v>
      </c>
      <c r="E11">
        <v>0</v>
      </c>
    </row>
    <row r="12" spans="1:5">
      <c r="A12" t="s">
        <v>33</v>
      </c>
      <c r="B12" s="9" t="s">
        <v>93</v>
      </c>
      <c r="C12" t="s">
        <v>94</v>
      </c>
      <c r="D12">
        <v>1</v>
      </c>
      <c r="E12">
        <v>1</v>
      </c>
    </row>
    <row r="13" spans="1:5">
      <c r="A13" t="s">
        <v>33</v>
      </c>
      <c r="B13" s="9" t="s">
        <v>92</v>
      </c>
      <c r="C13" t="s">
        <v>95</v>
      </c>
      <c r="D13">
        <v>1</v>
      </c>
      <c r="E13">
        <v>1</v>
      </c>
    </row>
    <row r="14" spans="1:5">
      <c r="A14" t="s">
        <v>33</v>
      </c>
      <c r="B14" t="s">
        <v>84</v>
      </c>
      <c r="C14" t="s">
        <v>85</v>
      </c>
      <c r="D14">
        <v>2</v>
      </c>
      <c r="E14">
        <v>2</v>
      </c>
    </row>
    <row r="15" spans="1:5">
      <c r="A15" t="s">
        <v>33</v>
      </c>
      <c r="B15" t="s">
        <v>39</v>
      </c>
      <c r="C15" t="s">
        <v>41</v>
      </c>
      <c r="D15">
        <v>1</v>
      </c>
      <c r="E15">
        <v>1</v>
      </c>
    </row>
    <row r="16" spans="1:5">
      <c r="A16" t="s">
        <v>33</v>
      </c>
      <c r="B16" t="s">
        <v>40</v>
      </c>
      <c r="C16" t="s">
        <v>42</v>
      </c>
      <c r="D16">
        <v>1</v>
      </c>
      <c r="E16">
        <v>1</v>
      </c>
    </row>
    <row r="17" spans="1:5">
      <c r="A17" t="s">
        <v>33</v>
      </c>
      <c r="B17" s="9" t="s">
        <v>65</v>
      </c>
      <c r="C17" t="s">
        <v>43</v>
      </c>
      <c r="D17">
        <v>1</v>
      </c>
      <c r="E17">
        <v>0</v>
      </c>
    </row>
    <row r="18" spans="1:5">
      <c r="A18" t="s">
        <v>33</v>
      </c>
      <c r="B18" s="9" t="s">
        <v>66</v>
      </c>
      <c r="C18" t="s">
        <v>44</v>
      </c>
      <c r="D18">
        <v>1</v>
      </c>
      <c r="E18">
        <v>1</v>
      </c>
    </row>
    <row r="19" spans="1:5">
      <c r="A19" t="s">
        <v>33</v>
      </c>
      <c r="B19" s="9" t="s">
        <v>34</v>
      </c>
      <c r="C19" t="s">
        <v>35</v>
      </c>
      <c r="D19">
        <v>2</v>
      </c>
      <c r="E19">
        <v>2</v>
      </c>
    </row>
    <row r="20" spans="1:5">
      <c r="A20" t="s">
        <v>33</v>
      </c>
      <c r="B20" s="9" t="s">
        <v>37</v>
      </c>
      <c r="C20" t="s">
        <v>38</v>
      </c>
      <c r="D20">
        <v>1</v>
      </c>
      <c r="E20">
        <v>0</v>
      </c>
    </row>
    <row r="21" spans="1:5">
      <c r="A21" t="s">
        <v>25</v>
      </c>
      <c r="B21" s="9" t="s">
        <v>69</v>
      </c>
      <c r="C21" t="s">
        <v>70</v>
      </c>
      <c r="D21">
        <v>1</v>
      </c>
      <c r="E21">
        <v>1</v>
      </c>
    </row>
    <row r="22" spans="1:5">
      <c r="A22" t="s">
        <v>25</v>
      </c>
      <c r="B22" s="9" t="s">
        <v>81</v>
      </c>
      <c r="C22" t="s">
        <v>36</v>
      </c>
      <c r="D22">
        <v>1</v>
      </c>
      <c r="E22">
        <v>1</v>
      </c>
    </row>
    <row r="23" spans="1:5">
      <c r="A23" t="s">
        <v>33</v>
      </c>
      <c r="B23" t="s">
        <v>73</v>
      </c>
      <c r="C23" t="s">
        <v>74</v>
      </c>
      <c r="D23">
        <v>1</v>
      </c>
      <c r="E23">
        <v>1</v>
      </c>
    </row>
    <row r="24" spans="1:5">
      <c r="A24" t="s">
        <v>33</v>
      </c>
      <c r="B24" t="s">
        <v>71</v>
      </c>
      <c r="C24" t="s">
        <v>72</v>
      </c>
      <c r="D24">
        <v>1</v>
      </c>
      <c r="E24">
        <v>1</v>
      </c>
    </row>
    <row r="25" spans="1:5">
      <c r="A25" t="s">
        <v>25</v>
      </c>
      <c r="B25" s="9" t="s">
        <v>75</v>
      </c>
      <c r="C25" t="s">
        <v>26</v>
      </c>
      <c r="D25">
        <v>1</v>
      </c>
      <c r="E25">
        <v>0</v>
      </c>
    </row>
    <row r="26" spans="1:5">
      <c r="A26" t="s">
        <v>25</v>
      </c>
      <c r="B26" s="9" t="s">
        <v>76</v>
      </c>
      <c r="C26" t="s">
        <v>27</v>
      </c>
      <c r="D26">
        <v>1</v>
      </c>
      <c r="E26">
        <v>0</v>
      </c>
    </row>
    <row r="27" spans="1:5">
      <c r="A27" t="s">
        <v>25</v>
      </c>
      <c r="B27" s="9" t="s">
        <v>77</v>
      </c>
      <c r="C27" t="s">
        <v>28</v>
      </c>
      <c r="D27">
        <v>1</v>
      </c>
      <c r="E27">
        <v>0</v>
      </c>
    </row>
    <row r="28" spans="1:5">
      <c r="A28" t="s">
        <v>25</v>
      </c>
      <c r="B28" s="9" t="s">
        <v>78</v>
      </c>
      <c r="C28" t="s">
        <v>29</v>
      </c>
      <c r="D28">
        <v>1</v>
      </c>
      <c r="E28">
        <v>0</v>
      </c>
    </row>
    <row r="29" spans="1:5">
      <c r="A29" t="s">
        <v>25</v>
      </c>
      <c r="B29" s="9" t="s">
        <v>79</v>
      </c>
      <c r="C29" t="s">
        <v>80</v>
      </c>
      <c r="D29">
        <v>1</v>
      </c>
      <c r="E29">
        <v>0</v>
      </c>
    </row>
    <row r="30" spans="1:5">
      <c r="A30" t="s">
        <v>33</v>
      </c>
      <c r="B30" s="9" t="s">
        <v>86</v>
      </c>
      <c r="C30" t="s">
        <v>88</v>
      </c>
      <c r="D30">
        <v>2</v>
      </c>
      <c r="E30">
        <v>2</v>
      </c>
    </row>
    <row r="31" spans="1:5">
      <c r="A31" t="s">
        <v>33</v>
      </c>
      <c r="B31" s="9" t="s">
        <v>87</v>
      </c>
      <c r="C31" t="s">
        <v>89</v>
      </c>
      <c r="D31">
        <v>2</v>
      </c>
      <c r="E31">
        <v>2</v>
      </c>
    </row>
    <row r="32" spans="1:5">
      <c r="A32" t="s">
        <v>33</v>
      </c>
      <c r="B32" s="9" t="s">
        <v>90</v>
      </c>
      <c r="C32" t="s">
        <v>91</v>
      </c>
      <c r="D32">
        <v>1</v>
      </c>
      <c r="E32">
        <v>2</v>
      </c>
    </row>
  </sheetData>
  <autoFilter ref="A1:E29">
    <sortState ref="A2:E28">
      <sortCondition ref="C1:C28"/>
    </sortState>
  </autoFilter>
  <pageMargins left="0.75" right="0.75" top="1" bottom="1" header="0.3" footer="0.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72"/>
  <sheetViews>
    <sheetView topLeftCell="A137" zoomScale="85" zoomScaleNormal="85" workbookViewId="0">
      <selection activeCell="A167" sqref="A167:B167"/>
    </sheetView>
  </sheetViews>
  <sheetFormatPr defaultColWidth="8.875" defaultRowHeight="15.75"/>
  <cols>
    <col min="1" max="2" width="10.625" bestFit="1" customWidth="1"/>
    <col min="6" max="6" width="10.625" bestFit="1" customWidth="1"/>
    <col min="11" max="11" width="10.625" bestFit="1" customWidth="1"/>
  </cols>
  <sheetData>
    <row r="1" spans="1:17">
      <c r="B1">
        <f t="array" ref="B1:Q1">TRANSPOSE(Years)</f>
        <v>2015</v>
      </c>
      <c r="C1">
        <v>2016</v>
      </c>
      <c r="D1">
        <v>2017</v>
      </c>
      <c r="E1">
        <v>2018</v>
      </c>
      <c r="F1">
        <v>2019</v>
      </c>
      <c r="G1">
        <v>2020</v>
      </c>
      <c r="H1">
        <v>2021</v>
      </c>
      <c r="I1">
        <v>2022</v>
      </c>
      <c r="J1">
        <v>2023</v>
      </c>
      <c r="K1">
        <v>2024</v>
      </c>
      <c r="L1">
        <v>2025</v>
      </c>
      <c r="M1">
        <v>2026</v>
      </c>
      <c r="N1">
        <v>2027</v>
      </c>
      <c r="O1">
        <v>2028</v>
      </c>
      <c r="P1">
        <v>2029</v>
      </c>
      <c r="Q1">
        <v>2030</v>
      </c>
    </row>
    <row r="2" spans="1:17">
      <c r="A2" t="str">
        <f t="array" ref="A2:A12">Nodes</f>
        <v>AddisAbaba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</row>
    <row r="3" spans="1:17">
      <c r="A3" t="str">
        <v>Afar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</row>
    <row r="4" spans="1:17">
      <c r="A4" t="str">
        <v>Amhara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</row>
    <row r="5" spans="1:17">
      <c r="A5" t="str">
        <v>Gumuz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</row>
    <row r="6" spans="1:17">
      <c r="A6" t="str">
        <v>DireDawa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</row>
    <row r="7" spans="1:17">
      <c r="A7" t="str">
        <v>Gambela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</row>
    <row r="8" spans="1:17">
      <c r="A8" t="str">
        <v>Harari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</row>
    <row r="9" spans="1:17">
      <c r="A9" t="str">
        <v>Oromia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</row>
    <row r="10" spans="1:17">
      <c r="A10" t="str">
        <v>Somali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</row>
    <row r="11" spans="1:17">
      <c r="A11" t="str">
        <v>SNNPR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</row>
    <row r="12" spans="1:17">
      <c r="A12" t="str">
        <v>Tigray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</row>
    <row r="21" spans="1:17">
      <c r="B21">
        <f t="array" ref="B21:Q21">TRANSPOSE(Years)</f>
        <v>2015</v>
      </c>
      <c r="C21">
        <v>2016</v>
      </c>
      <c r="D21">
        <v>2017</v>
      </c>
      <c r="E21">
        <v>2018</v>
      </c>
      <c r="F21">
        <v>2019</v>
      </c>
      <c r="G21">
        <v>2020</v>
      </c>
      <c r="H21">
        <v>2021</v>
      </c>
      <c r="I21">
        <v>2022</v>
      </c>
      <c r="J21">
        <v>2023</v>
      </c>
      <c r="K21">
        <v>2024</v>
      </c>
      <c r="L21">
        <v>2025</v>
      </c>
      <c r="M21">
        <v>2026</v>
      </c>
      <c r="N21">
        <v>2027</v>
      </c>
      <c r="O21">
        <v>2028</v>
      </c>
      <c r="P21">
        <v>2029</v>
      </c>
      <c r="Q21">
        <v>2030</v>
      </c>
    </row>
    <row r="22" spans="1:17">
      <c r="A22" t="str">
        <f t="array" ref="A22:A32">Nodes</f>
        <v>AddisAbaba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</row>
    <row r="23" spans="1:17">
      <c r="A23" t="str">
        <v>Afar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</row>
    <row r="24" spans="1:17">
      <c r="A24" t="str">
        <v>Amhara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</row>
    <row r="25" spans="1:17">
      <c r="A25" t="str">
        <v>Gumuz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</row>
    <row r="26" spans="1:17">
      <c r="A26" t="str">
        <v>DireDawa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</row>
    <row r="27" spans="1:17">
      <c r="A27" t="str">
        <v>Gambela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</row>
    <row r="28" spans="1:17">
      <c r="A28" t="str">
        <v>Harari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</row>
    <row r="29" spans="1:17">
      <c r="A29" t="str">
        <v>Oromia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</row>
    <row r="30" spans="1:17">
      <c r="A30" t="str">
        <v>Somali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</row>
    <row r="31" spans="1:17">
      <c r="A31" t="str">
        <v>SNNPR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</row>
    <row r="32" spans="1:17">
      <c r="A32" t="str">
        <v>Tigray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</row>
    <row r="41" spans="1:17">
      <c r="B41">
        <f t="array" ref="B41:Q41">TRANSPOSE(Years)</f>
        <v>2015</v>
      </c>
      <c r="C41">
        <v>2016</v>
      </c>
      <c r="D41">
        <v>2017</v>
      </c>
      <c r="E41">
        <v>2018</v>
      </c>
      <c r="F41">
        <v>2019</v>
      </c>
      <c r="G41">
        <v>2020</v>
      </c>
      <c r="H41">
        <v>2021</v>
      </c>
      <c r="I41">
        <v>2022</v>
      </c>
      <c r="J41">
        <v>2023</v>
      </c>
      <c r="K41">
        <v>2024</v>
      </c>
      <c r="L41">
        <v>2025</v>
      </c>
      <c r="M41">
        <v>2026</v>
      </c>
      <c r="N41">
        <v>2027</v>
      </c>
      <c r="O41">
        <v>2028</v>
      </c>
      <c r="P41">
        <v>2029</v>
      </c>
      <c r="Q41">
        <v>2030</v>
      </c>
    </row>
    <row r="42" spans="1:17">
      <c r="A42" t="str">
        <f t="array" ref="A42:A52">Nodes</f>
        <v>AddisAbaba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</row>
    <row r="43" spans="1:17">
      <c r="A43" t="str">
        <v>Afar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</row>
    <row r="44" spans="1:17">
      <c r="A44" t="str">
        <v>Amhara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</row>
    <row r="45" spans="1:17">
      <c r="A45" t="str">
        <v>Gumuz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</row>
    <row r="46" spans="1:17">
      <c r="A46" t="str">
        <v>DireDawa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</row>
    <row r="47" spans="1:17">
      <c r="A47" t="str">
        <v>Gambela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</row>
    <row r="48" spans="1:17">
      <c r="A48" t="str">
        <v>Harari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</row>
    <row r="49" spans="1:17">
      <c r="A49" t="str">
        <v>Oromia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</row>
    <row r="50" spans="1:17">
      <c r="A50" t="str">
        <v>Somali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</row>
    <row r="51" spans="1:17">
      <c r="A51" t="str">
        <v>SNNPR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</row>
    <row r="52" spans="1:17">
      <c r="A52" t="str">
        <v>Tigray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</row>
    <row r="61" spans="1:17">
      <c r="B61">
        <f t="array" ref="B61:Q61">TRANSPOSE(Years)</f>
        <v>2015</v>
      </c>
      <c r="C61">
        <v>2016</v>
      </c>
      <c r="D61">
        <v>2017</v>
      </c>
      <c r="E61">
        <v>2018</v>
      </c>
      <c r="F61">
        <v>2019</v>
      </c>
      <c r="G61">
        <v>2020</v>
      </c>
      <c r="H61">
        <v>2021</v>
      </c>
      <c r="I61">
        <v>2022</v>
      </c>
      <c r="J61">
        <v>2023</v>
      </c>
      <c r="K61">
        <v>2024</v>
      </c>
      <c r="L61">
        <v>2025</v>
      </c>
      <c r="M61">
        <v>2026</v>
      </c>
      <c r="N61">
        <v>2027</v>
      </c>
      <c r="O61">
        <v>2028</v>
      </c>
      <c r="P61">
        <v>2029</v>
      </c>
      <c r="Q61">
        <v>2030</v>
      </c>
    </row>
    <row r="62" spans="1:17">
      <c r="A62" t="str">
        <f t="array" ref="A62:A72">Nodes</f>
        <v>AddisAbaba</v>
      </c>
      <c r="B62">
        <v>0.7</v>
      </c>
      <c r="C62">
        <v>0.7</v>
      </c>
      <c r="D62">
        <v>0.7</v>
      </c>
      <c r="E62">
        <v>0.7</v>
      </c>
      <c r="F62">
        <v>0.7</v>
      </c>
      <c r="G62">
        <v>0.7</v>
      </c>
      <c r="H62">
        <v>0.7</v>
      </c>
      <c r="I62">
        <v>0.7</v>
      </c>
      <c r="J62">
        <v>0.7</v>
      </c>
      <c r="K62">
        <v>0.7</v>
      </c>
      <c r="L62">
        <v>0.7</v>
      </c>
      <c r="M62">
        <v>0.7</v>
      </c>
      <c r="N62">
        <v>0.7</v>
      </c>
      <c r="O62">
        <v>0.7</v>
      </c>
      <c r="P62">
        <v>0.7</v>
      </c>
      <c r="Q62">
        <v>0.7</v>
      </c>
    </row>
    <row r="63" spans="1:17">
      <c r="A63" t="str">
        <v>Afar</v>
      </c>
      <c r="B63">
        <v>0.7</v>
      </c>
      <c r="C63">
        <v>0.7</v>
      </c>
      <c r="D63">
        <v>0.7</v>
      </c>
      <c r="E63">
        <v>0.7</v>
      </c>
      <c r="F63">
        <v>0.7</v>
      </c>
      <c r="G63">
        <v>0.7</v>
      </c>
      <c r="H63">
        <v>0.7</v>
      </c>
      <c r="I63">
        <v>0.7</v>
      </c>
      <c r="J63">
        <v>0.7</v>
      </c>
      <c r="K63">
        <v>0.7</v>
      </c>
      <c r="L63">
        <v>0.7</v>
      </c>
      <c r="M63">
        <v>0.7</v>
      </c>
      <c r="N63">
        <v>0.7</v>
      </c>
      <c r="O63">
        <v>0.7</v>
      </c>
      <c r="P63">
        <v>0.7</v>
      </c>
      <c r="Q63">
        <v>0.7</v>
      </c>
    </row>
    <row r="64" spans="1:17">
      <c r="A64" t="str">
        <v>Amhara</v>
      </c>
      <c r="B64">
        <v>0.7</v>
      </c>
      <c r="C64">
        <v>0.7</v>
      </c>
      <c r="D64">
        <v>0.7</v>
      </c>
      <c r="E64">
        <v>0.7</v>
      </c>
      <c r="F64">
        <v>0.7</v>
      </c>
      <c r="G64">
        <v>0.7</v>
      </c>
      <c r="H64">
        <v>0.7</v>
      </c>
      <c r="I64">
        <v>0.7</v>
      </c>
      <c r="J64">
        <v>0.7</v>
      </c>
      <c r="K64">
        <v>0.7</v>
      </c>
      <c r="L64">
        <v>0.7</v>
      </c>
      <c r="M64">
        <v>0.7</v>
      </c>
      <c r="N64">
        <v>0.7</v>
      </c>
      <c r="O64">
        <v>0.7</v>
      </c>
      <c r="P64">
        <v>0.7</v>
      </c>
      <c r="Q64">
        <v>0.7</v>
      </c>
    </row>
    <row r="65" spans="1:17">
      <c r="A65" t="str">
        <v>Gumuz</v>
      </c>
      <c r="B65">
        <v>0.7</v>
      </c>
      <c r="C65">
        <v>0.7</v>
      </c>
      <c r="D65">
        <v>0.7</v>
      </c>
      <c r="E65">
        <v>0.7</v>
      </c>
      <c r="F65">
        <v>0.7</v>
      </c>
      <c r="G65">
        <v>0.7</v>
      </c>
      <c r="H65">
        <v>0.7</v>
      </c>
      <c r="I65">
        <v>0.7</v>
      </c>
      <c r="J65">
        <v>0.7</v>
      </c>
      <c r="K65">
        <v>0.7</v>
      </c>
      <c r="L65">
        <v>0.7</v>
      </c>
      <c r="M65">
        <v>0.7</v>
      </c>
      <c r="N65">
        <v>0.7</v>
      </c>
      <c r="O65">
        <v>0.7</v>
      </c>
      <c r="P65">
        <v>0.7</v>
      </c>
      <c r="Q65">
        <v>0.7</v>
      </c>
    </row>
    <row r="66" spans="1:17">
      <c r="A66" t="str">
        <v>DireDawa</v>
      </c>
      <c r="B66">
        <v>0.7</v>
      </c>
      <c r="C66">
        <v>0.7</v>
      </c>
      <c r="D66">
        <v>0.7</v>
      </c>
      <c r="E66">
        <v>0.7</v>
      </c>
      <c r="F66">
        <v>0.7</v>
      </c>
      <c r="G66">
        <v>0.7</v>
      </c>
      <c r="H66">
        <v>0.7</v>
      </c>
      <c r="I66">
        <v>0.7</v>
      </c>
      <c r="J66">
        <v>0.7</v>
      </c>
      <c r="K66">
        <v>0.7</v>
      </c>
      <c r="L66">
        <v>0.7</v>
      </c>
      <c r="M66">
        <v>0.7</v>
      </c>
      <c r="N66">
        <v>0.7</v>
      </c>
      <c r="O66">
        <v>0.7</v>
      </c>
      <c r="P66">
        <v>0.7</v>
      </c>
      <c r="Q66">
        <v>0.7</v>
      </c>
    </row>
    <row r="67" spans="1:17">
      <c r="A67" t="str">
        <v>Gambela</v>
      </c>
      <c r="B67">
        <v>0.7</v>
      </c>
      <c r="C67">
        <v>0.7</v>
      </c>
      <c r="D67">
        <v>0.7</v>
      </c>
      <c r="E67">
        <v>0.7</v>
      </c>
      <c r="F67">
        <v>0.7</v>
      </c>
      <c r="G67">
        <v>0.7</v>
      </c>
      <c r="H67">
        <v>0.7</v>
      </c>
      <c r="I67">
        <v>0.7</v>
      </c>
      <c r="J67">
        <v>0.7</v>
      </c>
      <c r="K67">
        <v>0.7</v>
      </c>
      <c r="L67">
        <v>0.7</v>
      </c>
      <c r="M67">
        <v>0.7</v>
      </c>
      <c r="N67">
        <v>0.7</v>
      </c>
      <c r="O67">
        <v>0.7</v>
      </c>
      <c r="P67">
        <v>0.7</v>
      </c>
      <c r="Q67">
        <v>0.7</v>
      </c>
    </row>
    <row r="68" spans="1:17">
      <c r="A68" t="str">
        <v>Harari</v>
      </c>
      <c r="B68">
        <v>0.7</v>
      </c>
      <c r="C68">
        <v>0.7</v>
      </c>
      <c r="D68">
        <v>0.7</v>
      </c>
      <c r="E68">
        <v>0.7</v>
      </c>
      <c r="F68">
        <v>0.7</v>
      </c>
      <c r="G68">
        <v>0.7</v>
      </c>
      <c r="H68">
        <v>0.7</v>
      </c>
      <c r="I68">
        <v>0.7</v>
      </c>
      <c r="J68">
        <v>0.7</v>
      </c>
      <c r="K68">
        <v>0.7</v>
      </c>
      <c r="L68">
        <v>0.7</v>
      </c>
      <c r="M68">
        <v>0.7</v>
      </c>
      <c r="N68">
        <v>0.7</v>
      </c>
      <c r="O68">
        <v>0.7</v>
      </c>
      <c r="P68">
        <v>0.7</v>
      </c>
      <c r="Q68">
        <v>0.7</v>
      </c>
    </row>
    <row r="69" spans="1:17">
      <c r="A69" t="str">
        <v>Oromia</v>
      </c>
      <c r="B69">
        <v>0.7</v>
      </c>
      <c r="C69">
        <v>0.7</v>
      </c>
      <c r="D69">
        <v>0.7</v>
      </c>
      <c r="E69">
        <v>0.7</v>
      </c>
      <c r="F69">
        <v>0.7</v>
      </c>
      <c r="G69">
        <v>0.7</v>
      </c>
      <c r="H69">
        <v>0.7</v>
      </c>
      <c r="I69">
        <v>0.7</v>
      </c>
      <c r="J69">
        <v>0.7</v>
      </c>
      <c r="K69">
        <v>0.7</v>
      </c>
      <c r="L69">
        <v>0.7</v>
      </c>
      <c r="M69">
        <v>0.7</v>
      </c>
      <c r="N69">
        <v>0.7</v>
      </c>
      <c r="O69">
        <v>0.7</v>
      </c>
      <c r="P69">
        <v>0.7</v>
      </c>
      <c r="Q69">
        <v>0.7</v>
      </c>
    </row>
    <row r="70" spans="1:17">
      <c r="A70" t="str">
        <v>Somali</v>
      </c>
      <c r="B70">
        <v>0.7</v>
      </c>
      <c r="C70">
        <v>0.7</v>
      </c>
      <c r="D70">
        <v>0.7</v>
      </c>
      <c r="E70">
        <v>0.7</v>
      </c>
      <c r="F70">
        <v>0.7</v>
      </c>
      <c r="G70">
        <v>0.7</v>
      </c>
      <c r="H70">
        <v>0.7</v>
      </c>
      <c r="I70">
        <v>0.7</v>
      </c>
      <c r="J70">
        <v>0.7</v>
      </c>
      <c r="K70">
        <v>0.7</v>
      </c>
      <c r="L70">
        <v>0.7</v>
      </c>
      <c r="M70">
        <v>0.7</v>
      </c>
      <c r="N70">
        <v>0.7</v>
      </c>
      <c r="O70">
        <v>0.7</v>
      </c>
      <c r="P70">
        <v>0.7</v>
      </c>
      <c r="Q70">
        <v>0.7</v>
      </c>
    </row>
    <row r="71" spans="1:17">
      <c r="A71" t="str">
        <v>SNNPR</v>
      </c>
      <c r="B71">
        <v>0.7</v>
      </c>
      <c r="C71">
        <v>0.7</v>
      </c>
      <c r="D71">
        <v>0.7</v>
      </c>
      <c r="E71">
        <v>0.7</v>
      </c>
      <c r="F71">
        <v>0.7</v>
      </c>
      <c r="G71">
        <v>0.7</v>
      </c>
      <c r="H71">
        <v>0.7</v>
      </c>
      <c r="I71">
        <v>0.7</v>
      </c>
      <c r="J71">
        <v>0.7</v>
      </c>
      <c r="K71">
        <v>0.7</v>
      </c>
      <c r="L71">
        <v>0.7</v>
      </c>
      <c r="M71">
        <v>0.7</v>
      </c>
      <c r="N71">
        <v>0.7</v>
      </c>
      <c r="O71">
        <v>0.7</v>
      </c>
      <c r="P71">
        <v>0.7</v>
      </c>
      <c r="Q71">
        <v>0.7</v>
      </c>
    </row>
    <row r="72" spans="1:17">
      <c r="A72" t="str">
        <v>Tigray</v>
      </c>
      <c r="B72">
        <v>0.7</v>
      </c>
      <c r="C72">
        <v>0.7</v>
      </c>
      <c r="D72">
        <v>0.7</v>
      </c>
      <c r="E72">
        <v>0.7</v>
      </c>
      <c r="F72">
        <v>0.7</v>
      </c>
      <c r="G72">
        <v>0.7</v>
      </c>
      <c r="H72">
        <v>0.7</v>
      </c>
      <c r="I72">
        <v>0.7</v>
      </c>
      <c r="J72">
        <v>0.7</v>
      </c>
      <c r="K72">
        <v>0.7</v>
      </c>
      <c r="L72">
        <v>0.7</v>
      </c>
      <c r="M72">
        <v>0.7</v>
      </c>
      <c r="N72">
        <v>0.7</v>
      </c>
      <c r="O72">
        <v>0.7</v>
      </c>
      <c r="P72">
        <v>0.7</v>
      </c>
      <c r="Q72">
        <v>0.7</v>
      </c>
    </row>
    <row r="81" spans="1:17">
      <c r="B81">
        <f t="array" ref="B81:Q81">TRANSPOSE(Years)</f>
        <v>2015</v>
      </c>
      <c r="C81">
        <v>2016</v>
      </c>
      <c r="D81">
        <v>2017</v>
      </c>
      <c r="E81">
        <v>2018</v>
      </c>
      <c r="F81">
        <v>2019</v>
      </c>
      <c r="G81">
        <v>2020</v>
      </c>
      <c r="H81">
        <v>2021</v>
      </c>
      <c r="I81">
        <v>2022</v>
      </c>
      <c r="J81">
        <v>2023</v>
      </c>
      <c r="K81">
        <v>2024</v>
      </c>
      <c r="L81">
        <v>2025</v>
      </c>
      <c r="M81">
        <v>2026</v>
      </c>
      <c r="N81">
        <v>2027</v>
      </c>
      <c r="O81">
        <v>2028</v>
      </c>
      <c r="P81">
        <v>2029</v>
      </c>
      <c r="Q81">
        <v>2030</v>
      </c>
    </row>
    <row r="82" spans="1:17">
      <c r="A82" t="str">
        <f t="array" ref="A82:A92">Nodes</f>
        <v>AddisAbaba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M82">
        <v>1</v>
      </c>
      <c r="N82">
        <v>1</v>
      </c>
      <c r="O82">
        <v>1</v>
      </c>
      <c r="P82">
        <v>1</v>
      </c>
      <c r="Q82">
        <v>1</v>
      </c>
    </row>
    <row r="83" spans="1:17">
      <c r="A83" t="str">
        <v>Afar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Q83">
        <v>1</v>
      </c>
    </row>
    <row r="84" spans="1:17">
      <c r="A84" t="str">
        <v>Amhara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  <c r="Q84">
        <v>1</v>
      </c>
    </row>
    <row r="85" spans="1:17">
      <c r="A85" t="str">
        <v>Gumuz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  <c r="I85">
        <v>1</v>
      </c>
      <c r="J85">
        <v>1</v>
      </c>
      <c r="K85">
        <v>1</v>
      </c>
      <c r="L85">
        <v>1</v>
      </c>
      <c r="M85">
        <v>1</v>
      </c>
      <c r="N85">
        <v>1</v>
      </c>
      <c r="O85">
        <v>1</v>
      </c>
      <c r="P85">
        <v>1</v>
      </c>
      <c r="Q85">
        <v>1</v>
      </c>
    </row>
    <row r="86" spans="1:17">
      <c r="A86" t="str">
        <v>DireDawa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  <c r="I86">
        <v>1</v>
      </c>
      <c r="J86">
        <v>1</v>
      </c>
      <c r="K86">
        <v>1</v>
      </c>
      <c r="L86">
        <v>1</v>
      </c>
      <c r="M86">
        <v>1</v>
      </c>
      <c r="N86">
        <v>1</v>
      </c>
      <c r="O86">
        <v>1</v>
      </c>
      <c r="P86">
        <v>1</v>
      </c>
      <c r="Q86">
        <v>1</v>
      </c>
    </row>
    <row r="87" spans="1:17">
      <c r="A87" t="str">
        <v>Gambela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  <c r="I87">
        <v>1</v>
      </c>
      <c r="J87">
        <v>1</v>
      </c>
      <c r="K87">
        <v>1</v>
      </c>
      <c r="L87">
        <v>1</v>
      </c>
      <c r="M87">
        <v>1</v>
      </c>
      <c r="N87">
        <v>1</v>
      </c>
      <c r="O87">
        <v>1</v>
      </c>
      <c r="P87">
        <v>1</v>
      </c>
      <c r="Q87">
        <v>1</v>
      </c>
    </row>
    <row r="88" spans="1:17">
      <c r="A88" t="str">
        <v>Harari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  <c r="P88">
        <v>1</v>
      </c>
      <c r="Q88">
        <v>1</v>
      </c>
    </row>
    <row r="89" spans="1:17">
      <c r="A89" t="str">
        <v>Oromia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  <c r="P89">
        <v>1</v>
      </c>
      <c r="Q89">
        <v>1</v>
      </c>
    </row>
    <row r="90" spans="1:17">
      <c r="A90" t="str">
        <v>Somali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  <c r="I90">
        <v>1</v>
      </c>
      <c r="J90">
        <v>1</v>
      </c>
      <c r="K90">
        <v>1</v>
      </c>
      <c r="L90">
        <v>1</v>
      </c>
      <c r="M90">
        <v>1</v>
      </c>
      <c r="N90">
        <v>1</v>
      </c>
      <c r="O90">
        <v>1</v>
      </c>
      <c r="P90">
        <v>1</v>
      </c>
      <c r="Q90">
        <v>1</v>
      </c>
    </row>
    <row r="91" spans="1:17">
      <c r="A91" t="str">
        <v>SNNPR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  <c r="P91">
        <v>1</v>
      </c>
      <c r="Q91">
        <v>1</v>
      </c>
    </row>
    <row r="92" spans="1:17">
      <c r="A92" t="str">
        <v>Tigray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</row>
    <row r="101" spans="1:12">
      <c r="B101" t="s">
        <v>5</v>
      </c>
      <c r="C101" t="s">
        <v>6</v>
      </c>
      <c r="D101" t="s">
        <v>7</v>
      </c>
      <c r="E101" t="s">
        <v>8</v>
      </c>
      <c r="F101" t="s">
        <v>9</v>
      </c>
      <c r="G101" t="s">
        <v>10</v>
      </c>
      <c r="H101" t="s">
        <v>11</v>
      </c>
      <c r="I101" t="s">
        <v>12</v>
      </c>
      <c r="J101" t="s">
        <v>13</v>
      </c>
      <c r="K101" t="s">
        <v>19</v>
      </c>
      <c r="L101" t="s">
        <v>14</v>
      </c>
    </row>
    <row r="102" spans="1:12">
      <c r="A102" t="s">
        <v>5</v>
      </c>
      <c r="B102">
        <v>0.1</v>
      </c>
      <c r="C102">
        <v>0.1</v>
      </c>
      <c r="D102">
        <v>0.1</v>
      </c>
      <c r="E102">
        <v>0.1</v>
      </c>
      <c r="F102">
        <v>0.1</v>
      </c>
      <c r="G102">
        <v>0.1</v>
      </c>
      <c r="H102">
        <v>0.1</v>
      </c>
      <c r="I102">
        <v>0.1</v>
      </c>
      <c r="J102">
        <v>0.1</v>
      </c>
      <c r="K102">
        <v>0.1</v>
      </c>
      <c r="L102">
        <v>0.1</v>
      </c>
    </row>
    <row r="103" spans="1:12">
      <c r="A103" t="s">
        <v>6</v>
      </c>
      <c r="B103">
        <v>0.1</v>
      </c>
      <c r="C103">
        <v>0.1</v>
      </c>
      <c r="D103">
        <v>0.1</v>
      </c>
      <c r="E103">
        <v>0.1</v>
      </c>
      <c r="F103">
        <v>0.1</v>
      </c>
      <c r="G103">
        <v>0.1</v>
      </c>
      <c r="H103">
        <v>0.1</v>
      </c>
      <c r="I103">
        <v>0.1</v>
      </c>
      <c r="J103">
        <v>0.1</v>
      </c>
      <c r="K103">
        <v>0.1</v>
      </c>
      <c r="L103">
        <v>0.1</v>
      </c>
    </row>
    <row r="104" spans="1:12">
      <c r="A104" t="s">
        <v>7</v>
      </c>
      <c r="B104">
        <v>0.1</v>
      </c>
      <c r="C104">
        <v>0.1</v>
      </c>
      <c r="D104">
        <v>0.1</v>
      </c>
      <c r="E104">
        <v>0.1</v>
      </c>
      <c r="F104">
        <v>0.1</v>
      </c>
      <c r="G104">
        <v>0.1</v>
      </c>
      <c r="H104">
        <v>0.1</v>
      </c>
      <c r="I104">
        <v>0.1</v>
      </c>
      <c r="J104">
        <v>0.1</v>
      </c>
      <c r="K104">
        <v>0.1</v>
      </c>
      <c r="L104">
        <v>0.1</v>
      </c>
    </row>
    <row r="105" spans="1:12">
      <c r="A105" t="s">
        <v>8</v>
      </c>
      <c r="B105">
        <v>0.1</v>
      </c>
      <c r="C105">
        <v>0.1</v>
      </c>
      <c r="D105">
        <v>0.1</v>
      </c>
      <c r="E105">
        <v>0.1</v>
      </c>
      <c r="F105">
        <v>0.1</v>
      </c>
      <c r="G105">
        <v>0.1</v>
      </c>
      <c r="H105">
        <v>0.1</v>
      </c>
      <c r="I105">
        <v>0.1</v>
      </c>
      <c r="J105">
        <v>0.1</v>
      </c>
      <c r="K105">
        <v>0.1</v>
      </c>
      <c r="L105">
        <v>0.1</v>
      </c>
    </row>
    <row r="106" spans="1:12">
      <c r="A106" t="s">
        <v>9</v>
      </c>
      <c r="B106">
        <v>0.1</v>
      </c>
      <c r="C106">
        <v>0.1</v>
      </c>
      <c r="D106">
        <v>0.1</v>
      </c>
      <c r="E106">
        <v>0.1</v>
      </c>
      <c r="F106">
        <v>0.1</v>
      </c>
      <c r="G106">
        <v>0.1</v>
      </c>
      <c r="H106">
        <v>0.1</v>
      </c>
      <c r="I106">
        <v>0.1</v>
      </c>
      <c r="J106">
        <v>0.1</v>
      </c>
      <c r="K106">
        <v>0.1</v>
      </c>
      <c r="L106">
        <v>0.1</v>
      </c>
    </row>
    <row r="107" spans="1:12">
      <c r="A107" t="s">
        <v>10</v>
      </c>
      <c r="B107">
        <v>0.1</v>
      </c>
      <c r="C107">
        <v>0.1</v>
      </c>
      <c r="D107">
        <v>0.1</v>
      </c>
      <c r="E107">
        <v>0.1</v>
      </c>
      <c r="F107">
        <v>0.1</v>
      </c>
      <c r="G107">
        <v>0.1</v>
      </c>
      <c r="H107">
        <v>0.1</v>
      </c>
      <c r="I107">
        <v>0.1</v>
      </c>
      <c r="J107">
        <v>0.1</v>
      </c>
      <c r="K107">
        <v>0.1</v>
      </c>
      <c r="L107">
        <v>0.1</v>
      </c>
    </row>
    <row r="108" spans="1:12">
      <c r="A108" t="s">
        <v>11</v>
      </c>
      <c r="B108">
        <v>0.1</v>
      </c>
      <c r="C108">
        <v>0.1</v>
      </c>
      <c r="D108">
        <v>0.1</v>
      </c>
      <c r="E108">
        <v>0.1</v>
      </c>
      <c r="F108">
        <v>0.1</v>
      </c>
      <c r="G108">
        <v>0.1</v>
      </c>
      <c r="H108">
        <v>0.1</v>
      </c>
      <c r="I108">
        <v>0.1</v>
      </c>
      <c r="J108">
        <v>0.1</v>
      </c>
      <c r="K108">
        <v>0.1</v>
      </c>
      <c r="L108">
        <v>0.1</v>
      </c>
    </row>
    <row r="109" spans="1:12">
      <c r="A109" t="s">
        <v>12</v>
      </c>
      <c r="B109">
        <v>0.1</v>
      </c>
      <c r="C109">
        <v>0.1</v>
      </c>
      <c r="D109">
        <v>0.1</v>
      </c>
      <c r="E109">
        <v>0.1</v>
      </c>
      <c r="F109">
        <v>0.1</v>
      </c>
      <c r="G109">
        <v>0.1</v>
      </c>
      <c r="H109">
        <v>0.1</v>
      </c>
      <c r="I109">
        <v>0.1</v>
      </c>
      <c r="J109">
        <v>0.1</v>
      </c>
      <c r="K109">
        <v>0.1</v>
      </c>
      <c r="L109">
        <v>0.1</v>
      </c>
    </row>
    <row r="110" spans="1:12">
      <c r="A110" t="s">
        <v>13</v>
      </c>
      <c r="B110">
        <v>0.1</v>
      </c>
      <c r="C110">
        <v>0.1</v>
      </c>
      <c r="D110">
        <v>0.1</v>
      </c>
      <c r="E110">
        <v>0.1</v>
      </c>
      <c r="F110">
        <v>0.1</v>
      </c>
      <c r="G110">
        <v>0.1</v>
      </c>
      <c r="H110">
        <v>0.1</v>
      </c>
      <c r="I110">
        <v>0.1</v>
      </c>
      <c r="J110">
        <v>0.1</v>
      </c>
      <c r="K110">
        <v>0.1</v>
      </c>
      <c r="L110">
        <v>0.1</v>
      </c>
    </row>
    <row r="111" spans="1:12">
      <c r="A111" t="s">
        <v>19</v>
      </c>
      <c r="B111">
        <v>0.1</v>
      </c>
      <c r="C111">
        <v>0.1</v>
      </c>
      <c r="D111">
        <v>0.1</v>
      </c>
      <c r="E111">
        <v>0.1</v>
      </c>
      <c r="F111">
        <v>0.1</v>
      </c>
      <c r="G111">
        <v>0.1</v>
      </c>
      <c r="H111">
        <v>0.1</v>
      </c>
      <c r="I111">
        <v>0.1</v>
      </c>
      <c r="J111">
        <v>0.1</v>
      </c>
      <c r="K111">
        <v>0.1</v>
      </c>
      <c r="L111">
        <v>0.1</v>
      </c>
    </row>
    <row r="112" spans="1:12">
      <c r="A112" t="s">
        <v>14</v>
      </c>
      <c r="B112">
        <v>0.1</v>
      </c>
      <c r="C112">
        <v>0.1</v>
      </c>
      <c r="D112">
        <v>0.1</v>
      </c>
      <c r="E112">
        <v>0.1</v>
      </c>
      <c r="F112">
        <v>0.1</v>
      </c>
      <c r="G112">
        <v>0.1</v>
      </c>
      <c r="H112">
        <v>0.1</v>
      </c>
      <c r="I112">
        <v>0.1</v>
      </c>
      <c r="J112">
        <v>0.1</v>
      </c>
      <c r="K112">
        <v>0.1</v>
      </c>
      <c r="L112">
        <v>0.1</v>
      </c>
    </row>
    <row r="121" spans="1:12">
      <c r="A121" t="str">
        <f t="array" ref="A121:A131">Nodes</f>
        <v>AddisAbaba</v>
      </c>
      <c r="B121">
        <f>20+ROW()-100</f>
        <v>41</v>
      </c>
      <c r="F121" t="str">
        <f t="array" ref="F121:F131">Nodes</f>
        <v>AddisAbaba</v>
      </c>
      <c r="G121">
        <f>B121/3</f>
        <v>13.666666666666666</v>
      </c>
      <c r="K121" t="str">
        <f t="array" ref="K121:K131">Nodes</f>
        <v>AddisAbaba</v>
      </c>
      <c r="L121">
        <v>0.3</v>
      </c>
    </row>
    <row r="122" spans="1:12">
      <c r="A122" t="str">
        <v>Afar</v>
      </c>
      <c r="B122">
        <f t="shared" ref="B122:B131" si="0">20+ROW()-100</f>
        <v>42</v>
      </c>
      <c r="F122" t="str">
        <v>Afar</v>
      </c>
      <c r="G122">
        <f t="shared" ref="G122:G131" si="1">B122/3</f>
        <v>14</v>
      </c>
      <c r="K122" t="str">
        <v>Afar</v>
      </c>
      <c r="L122">
        <v>0.3</v>
      </c>
    </row>
    <row r="123" spans="1:12">
      <c r="A123" t="str">
        <v>Amhara</v>
      </c>
      <c r="B123">
        <f t="shared" si="0"/>
        <v>43</v>
      </c>
      <c r="F123" t="str">
        <v>Amhara</v>
      </c>
      <c r="G123">
        <f t="shared" si="1"/>
        <v>14.333333333333334</v>
      </c>
      <c r="K123" t="str">
        <v>Amhara</v>
      </c>
      <c r="L123">
        <v>0.3</v>
      </c>
    </row>
    <row r="124" spans="1:12">
      <c r="A124" t="str">
        <v>Gumuz</v>
      </c>
      <c r="B124">
        <f t="shared" si="0"/>
        <v>44</v>
      </c>
      <c r="F124" t="str">
        <v>Gumuz</v>
      </c>
      <c r="G124">
        <f t="shared" si="1"/>
        <v>14.666666666666666</v>
      </c>
      <c r="K124" t="str">
        <v>Gumuz</v>
      </c>
      <c r="L124">
        <v>0.3</v>
      </c>
    </row>
    <row r="125" spans="1:12">
      <c r="A125" t="str">
        <v>DireDawa</v>
      </c>
      <c r="B125">
        <f t="shared" si="0"/>
        <v>45</v>
      </c>
      <c r="F125" t="str">
        <v>DireDawa</v>
      </c>
      <c r="G125">
        <f t="shared" si="1"/>
        <v>15</v>
      </c>
      <c r="K125" t="str">
        <v>DireDawa</v>
      </c>
      <c r="L125">
        <v>0.3</v>
      </c>
    </row>
    <row r="126" spans="1:12">
      <c r="A126" t="str">
        <v>Gambela</v>
      </c>
      <c r="B126">
        <f t="shared" si="0"/>
        <v>46</v>
      </c>
      <c r="F126" t="str">
        <v>Gambela</v>
      </c>
      <c r="G126">
        <f t="shared" si="1"/>
        <v>15.333333333333334</v>
      </c>
      <c r="K126" t="str">
        <v>Gambela</v>
      </c>
      <c r="L126">
        <v>0.3</v>
      </c>
    </row>
    <row r="127" spans="1:12">
      <c r="A127" t="str">
        <v>Harari</v>
      </c>
      <c r="B127">
        <f t="shared" si="0"/>
        <v>47</v>
      </c>
      <c r="F127" t="str">
        <v>Harari</v>
      </c>
      <c r="G127">
        <f t="shared" si="1"/>
        <v>15.666666666666666</v>
      </c>
      <c r="K127" t="str">
        <v>Harari</v>
      </c>
      <c r="L127">
        <v>0.3</v>
      </c>
    </row>
    <row r="128" spans="1:12">
      <c r="A128" t="str">
        <v>Oromia</v>
      </c>
      <c r="B128">
        <f t="shared" si="0"/>
        <v>48</v>
      </c>
      <c r="F128" t="str">
        <v>Oromia</v>
      </c>
      <c r="G128">
        <f t="shared" si="1"/>
        <v>16</v>
      </c>
      <c r="K128" t="str">
        <v>Oromia</v>
      </c>
      <c r="L128">
        <v>0.3</v>
      </c>
    </row>
    <row r="129" spans="1:17">
      <c r="A129" t="str">
        <v>Somali</v>
      </c>
      <c r="B129">
        <f t="shared" si="0"/>
        <v>49</v>
      </c>
      <c r="F129" t="str">
        <v>Somali</v>
      </c>
      <c r="G129">
        <f t="shared" si="1"/>
        <v>16.333333333333332</v>
      </c>
      <c r="K129" t="str">
        <v>Somali</v>
      </c>
      <c r="L129">
        <v>0.3</v>
      </c>
    </row>
    <row r="130" spans="1:17">
      <c r="A130" t="str">
        <v>SNNPR</v>
      </c>
      <c r="B130">
        <f t="shared" si="0"/>
        <v>50</v>
      </c>
      <c r="F130" t="str">
        <v>SNNPR</v>
      </c>
      <c r="G130">
        <f t="shared" si="1"/>
        <v>16.666666666666668</v>
      </c>
      <c r="K130" t="str">
        <v>SNNPR</v>
      </c>
      <c r="L130">
        <v>0.3</v>
      </c>
    </row>
    <row r="131" spans="1:17">
      <c r="A131" t="str">
        <v>Tigray</v>
      </c>
      <c r="B131">
        <f t="shared" si="0"/>
        <v>51</v>
      </c>
      <c r="F131" t="str">
        <v>Tigray</v>
      </c>
      <c r="G131">
        <f t="shared" si="1"/>
        <v>17</v>
      </c>
      <c r="K131" t="str">
        <v>Tigray</v>
      </c>
      <c r="L131">
        <v>0.3</v>
      </c>
    </row>
    <row r="141" spans="1:17">
      <c r="B141">
        <f t="array" ref="B141:Q141">TRANSPOSE(Years)</f>
        <v>2015</v>
      </c>
      <c r="C141">
        <v>2016</v>
      </c>
      <c r="D141">
        <v>2017</v>
      </c>
      <c r="E141">
        <v>2018</v>
      </c>
      <c r="F141">
        <v>2019</v>
      </c>
      <c r="G141">
        <v>2020</v>
      </c>
      <c r="H141">
        <v>2021</v>
      </c>
      <c r="I141">
        <v>2022</v>
      </c>
      <c r="J141">
        <v>2023</v>
      </c>
      <c r="K141">
        <v>2024</v>
      </c>
      <c r="L141">
        <v>2025</v>
      </c>
      <c r="M141">
        <v>2026</v>
      </c>
      <c r="N141">
        <v>2027</v>
      </c>
      <c r="O141">
        <v>2028</v>
      </c>
      <c r="P141">
        <v>2029</v>
      </c>
      <c r="Q141">
        <v>2030</v>
      </c>
    </row>
    <row r="142" spans="1:17">
      <c r="A142" t="str">
        <f t="array" ref="A142:A152">Nodes</f>
        <v>AddisAbaba</v>
      </c>
      <c r="B142" s="2">
        <f t="array" ref="B142:Q152" ca="1">5+RAND()*3</f>
        <v>6.5053197708837152</v>
      </c>
      <c r="C142" s="2">
        <f ca="1"/>
        <v>7.866534060166261</v>
      </c>
      <c r="D142" s="2">
        <f ca="1"/>
        <v>7.5638693987914127</v>
      </c>
      <c r="E142" s="2">
        <f ca="1"/>
        <v>6.1225755905170178</v>
      </c>
      <c r="F142" s="2">
        <f ca="1"/>
        <v>5.3970757375407796</v>
      </c>
      <c r="G142" s="2">
        <f ca="1"/>
        <v>5.9745053904600267</v>
      </c>
      <c r="H142" s="2">
        <f ca="1"/>
        <v>5.8394818621508318</v>
      </c>
      <c r="I142" s="2">
        <f ca="1"/>
        <v>7.7055819326630912</v>
      </c>
      <c r="J142" s="2">
        <f ca="1"/>
        <v>7.9785260329860401</v>
      </c>
      <c r="K142" s="2">
        <f ca="1"/>
        <v>6.335286352632278</v>
      </c>
      <c r="L142" s="2">
        <f ca="1"/>
        <v>7.8026311070845757</v>
      </c>
      <c r="M142" s="2">
        <f ca="1"/>
        <v>7.6448597553854079</v>
      </c>
      <c r="N142" s="2">
        <f ca="1"/>
        <v>7.2423136402931956</v>
      </c>
      <c r="O142" s="2">
        <f ca="1"/>
        <v>6.9725873805853666</v>
      </c>
      <c r="P142" s="2">
        <f ca="1"/>
        <v>6.2535656473672869</v>
      </c>
      <c r="Q142" s="2">
        <f ca="1"/>
        <v>6.8744471594025676</v>
      </c>
    </row>
    <row r="143" spans="1:17">
      <c r="A143" t="str">
        <v>Afar</v>
      </c>
      <c r="B143" s="2">
        <f ca="1"/>
        <v>7.8904559985188945</v>
      </c>
      <c r="C143" s="2">
        <f ca="1"/>
        <v>6.5924829725109397</v>
      </c>
      <c r="D143" s="2">
        <f ca="1"/>
        <v>5.3123680330728247</v>
      </c>
      <c r="E143" s="2">
        <f ca="1"/>
        <v>7.4669550361341397</v>
      </c>
      <c r="F143" s="2">
        <f ca="1"/>
        <v>5.1252796676885071</v>
      </c>
      <c r="G143" s="2">
        <f ca="1"/>
        <v>7.0509742017867509</v>
      </c>
      <c r="H143" s="2">
        <f ca="1"/>
        <v>7.3751980664964112</v>
      </c>
      <c r="I143" s="2">
        <f ca="1"/>
        <v>6.3280578883256613</v>
      </c>
      <c r="J143" s="2">
        <f ca="1"/>
        <v>5.7982113586908941</v>
      </c>
      <c r="K143" s="2">
        <f ca="1"/>
        <v>5.4372061930533899</v>
      </c>
      <c r="L143" s="2">
        <f ca="1"/>
        <v>7.5624913511846508</v>
      </c>
      <c r="M143" s="2">
        <f ca="1"/>
        <v>5.4790025092139292</v>
      </c>
      <c r="N143" s="2">
        <f ca="1"/>
        <v>6.2499146968675241</v>
      </c>
      <c r="O143" s="2">
        <f ca="1"/>
        <v>7.4554168569252708</v>
      </c>
      <c r="P143" s="2">
        <f ca="1"/>
        <v>6.1146862744688644</v>
      </c>
      <c r="Q143" s="2">
        <f ca="1"/>
        <v>6.9591628051637482</v>
      </c>
    </row>
    <row r="144" spans="1:17">
      <c r="A144" t="str">
        <v>Amhara</v>
      </c>
      <c r="B144" s="2">
        <f ca="1"/>
        <v>6.0374315430206877</v>
      </c>
      <c r="C144" s="2">
        <f ca="1"/>
        <v>5.0522257639922925</v>
      </c>
      <c r="D144" s="2">
        <f ca="1"/>
        <v>6.8330734241318449</v>
      </c>
      <c r="E144" s="2">
        <f ca="1"/>
        <v>6.4900991316922561</v>
      </c>
      <c r="F144" s="2">
        <f ca="1"/>
        <v>6.4963012180628112</v>
      </c>
      <c r="G144" s="2">
        <f ca="1"/>
        <v>6.722813717650558</v>
      </c>
      <c r="H144" s="2">
        <f ca="1"/>
        <v>5.4061688120985822</v>
      </c>
      <c r="I144" s="2">
        <f ca="1"/>
        <v>6.7692488495982897</v>
      </c>
      <c r="J144" s="2">
        <f ca="1"/>
        <v>7.2913345482543992</v>
      </c>
      <c r="K144" s="2">
        <f ca="1"/>
        <v>5.5129019331616984</v>
      </c>
      <c r="L144" s="2">
        <f ca="1"/>
        <v>6.9899654354050513</v>
      </c>
      <c r="M144" s="2">
        <f ca="1"/>
        <v>7.5341332973174673</v>
      </c>
      <c r="N144" s="2">
        <f ca="1"/>
        <v>5.0575393777050017</v>
      </c>
      <c r="O144" s="2">
        <f ca="1"/>
        <v>5.8682056772773965</v>
      </c>
      <c r="P144" s="2">
        <f ca="1"/>
        <v>7.4021152205759764</v>
      </c>
      <c r="Q144" s="2">
        <f ca="1"/>
        <v>7.3009835110510668</v>
      </c>
    </row>
    <row r="145" spans="1:17">
      <c r="A145" t="str">
        <v>Gumuz</v>
      </c>
      <c r="B145" s="2">
        <f ca="1"/>
        <v>5.1076396971247968</v>
      </c>
      <c r="C145" s="2">
        <f ca="1"/>
        <v>5.1232310078652157</v>
      </c>
      <c r="D145" s="2">
        <f ca="1"/>
        <v>5.2926469456908078</v>
      </c>
      <c r="E145" s="2">
        <f ca="1"/>
        <v>6.6448427535702619</v>
      </c>
      <c r="F145" s="2">
        <f ca="1"/>
        <v>6.0376713454524333</v>
      </c>
      <c r="G145" s="2">
        <f ca="1"/>
        <v>5.9196955593331895</v>
      </c>
      <c r="H145" s="2">
        <f ca="1"/>
        <v>7.5929511434641555</v>
      </c>
      <c r="I145" s="2">
        <f ca="1"/>
        <v>6.8214801621074335</v>
      </c>
      <c r="J145" s="2">
        <f ca="1"/>
        <v>5.054762308562788</v>
      </c>
      <c r="K145" s="2">
        <f ca="1"/>
        <v>7.7307159981317808</v>
      </c>
      <c r="L145" s="2">
        <f ca="1"/>
        <v>6.4079245233294362</v>
      </c>
      <c r="M145" s="2">
        <f ca="1"/>
        <v>5.0333998117678469</v>
      </c>
      <c r="N145" s="2">
        <f ca="1"/>
        <v>6.8322400961095742</v>
      </c>
      <c r="O145" s="2">
        <f ca="1"/>
        <v>6.9093927975859071</v>
      </c>
      <c r="P145" s="2">
        <f ca="1"/>
        <v>5.5025847359650122</v>
      </c>
      <c r="Q145" s="2">
        <f ca="1"/>
        <v>5.017538434525199</v>
      </c>
    </row>
    <row r="146" spans="1:17">
      <c r="A146" t="str">
        <v>DireDawa</v>
      </c>
      <c r="B146" s="2">
        <f ca="1"/>
        <v>5.4940474703159587</v>
      </c>
      <c r="C146" s="2">
        <f ca="1"/>
        <v>5.2732617019101822</v>
      </c>
      <c r="D146" s="2">
        <f ca="1"/>
        <v>6.5535318416802095</v>
      </c>
      <c r="E146" s="2">
        <f ca="1"/>
        <v>7.0595586888349251</v>
      </c>
      <c r="F146" s="2">
        <f ca="1"/>
        <v>6.5496810678969597</v>
      </c>
      <c r="G146" s="2">
        <f ca="1"/>
        <v>6.708247332447999</v>
      </c>
      <c r="H146" s="2">
        <f ca="1"/>
        <v>5.0309126552748094</v>
      </c>
      <c r="I146" s="2">
        <f ca="1"/>
        <v>7.5820081495873932</v>
      </c>
      <c r="J146" s="2">
        <f ca="1"/>
        <v>6.9245968926653934</v>
      </c>
      <c r="K146" s="2">
        <f ca="1"/>
        <v>7.5981517054841294</v>
      </c>
      <c r="L146" s="2">
        <f ca="1"/>
        <v>7.0222435909233969</v>
      </c>
      <c r="M146" s="2">
        <f ca="1"/>
        <v>5.2137834494153799</v>
      </c>
      <c r="N146" s="2">
        <f ca="1"/>
        <v>7.6554258645872242</v>
      </c>
      <c r="O146" s="2">
        <f ca="1"/>
        <v>6.0307396113827973</v>
      </c>
      <c r="P146" s="2">
        <f ca="1"/>
        <v>5.0301494429952509</v>
      </c>
      <c r="Q146" s="2">
        <f ca="1"/>
        <v>5.3613441876383456</v>
      </c>
    </row>
    <row r="147" spans="1:17">
      <c r="A147" t="str">
        <v>Gambela</v>
      </c>
      <c r="B147" s="2">
        <f ca="1"/>
        <v>7.1580759468441322</v>
      </c>
      <c r="C147" s="2">
        <f ca="1"/>
        <v>7.2300897952596772</v>
      </c>
      <c r="D147" s="2">
        <f ca="1"/>
        <v>5.1586927383880141</v>
      </c>
      <c r="E147" s="2">
        <f ca="1"/>
        <v>6.1162957799741413</v>
      </c>
      <c r="F147" s="2">
        <f ca="1"/>
        <v>6.8449112149626359</v>
      </c>
      <c r="G147" s="2">
        <f ca="1"/>
        <v>5.8483155813903878</v>
      </c>
      <c r="H147" s="2">
        <f ca="1"/>
        <v>6.6192646889656412</v>
      </c>
      <c r="I147" s="2">
        <f ca="1"/>
        <v>6.8880250528945153</v>
      </c>
      <c r="J147" s="2">
        <f ca="1"/>
        <v>6.1048633478219809</v>
      </c>
      <c r="K147" s="2">
        <f ca="1"/>
        <v>5.3766529784188606</v>
      </c>
      <c r="L147" s="2">
        <f ca="1"/>
        <v>6.6750752516367378</v>
      </c>
      <c r="M147" s="2">
        <f ca="1"/>
        <v>7.5587746996291827</v>
      </c>
      <c r="N147" s="2">
        <f ca="1"/>
        <v>7.1201442087688882</v>
      </c>
      <c r="O147" s="2">
        <f ca="1"/>
        <v>5.8456800369749704</v>
      </c>
      <c r="P147" s="2">
        <f ca="1"/>
        <v>5.8514633963097475</v>
      </c>
      <c r="Q147" s="2">
        <f ca="1"/>
        <v>7.3117276297719762</v>
      </c>
    </row>
    <row r="148" spans="1:17">
      <c r="A148" t="str">
        <v>Harari</v>
      </c>
      <c r="B148" s="2">
        <f ca="1"/>
        <v>6.3103790441133958</v>
      </c>
      <c r="C148" s="2">
        <f ca="1"/>
        <v>7.6791303288475845</v>
      </c>
      <c r="D148" s="2">
        <f ca="1"/>
        <v>5.1104923948881043</v>
      </c>
      <c r="E148" s="2">
        <f ca="1"/>
        <v>7.0289334746938383</v>
      </c>
      <c r="F148" s="2">
        <f ca="1"/>
        <v>6.6473776122988442</v>
      </c>
      <c r="G148" s="2">
        <f ca="1"/>
        <v>7.3556614254868879</v>
      </c>
      <c r="H148" s="2">
        <f ca="1"/>
        <v>6.590859157936233</v>
      </c>
      <c r="I148" s="2">
        <f ca="1"/>
        <v>6.2417137909213416</v>
      </c>
      <c r="J148" s="2">
        <f ca="1"/>
        <v>5.3411600964453152</v>
      </c>
      <c r="K148" s="2">
        <f ca="1"/>
        <v>6.4338640664909335</v>
      </c>
      <c r="L148" s="2">
        <f ca="1"/>
        <v>5.7315487079506786</v>
      </c>
      <c r="M148" s="2">
        <f ca="1"/>
        <v>5.1418838046502637</v>
      </c>
      <c r="N148" s="2">
        <f ca="1"/>
        <v>6.8323587502380771</v>
      </c>
      <c r="O148" s="2">
        <f ca="1"/>
        <v>6.8524133257417414</v>
      </c>
      <c r="P148" s="2">
        <f ca="1"/>
        <v>5.1534497559398211</v>
      </c>
      <c r="Q148" s="2">
        <f ca="1"/>
        <v>7.7629799904662393</v>
      </c>
    </row>
    <row r="149" spans="1:17">
      <c r="A149" t="str">
        <v>Oromia</v>
      </c>
      <c r="B149" s="2">
        <f ca="1"/>
        <v>7.1373352386716729</v>
      </c>
      <c r="C149" s="2">
        <f ca="1"/>
        <v>7.0360527905983981</v>
      </c>
      <c r="D149" s="2">
        <f ca="1"/>
        <v>6.4420609077614035</v>
      </c>
      <c r="E149" s="2">
        <f ca="1"/>
        <v>7.895178553609588</v>
      </c>
      <c r="F149" s="2">
        <f ca="1"/>
        <v>6.2924523047727936</v>
      </c>
      <c r="G149" s="2">
        <f ca="1"/>
        <v>7.4297708557134685</v>
      </c>
      <c r="H149" s="2">
        <f ca="1"/>
        <v>6.0172856116214231</v>
      </c>
      <c r="I149" s="2">
        <f ca="1"/>
        <v>6.3501279206319161</v>
      </c>
      <c r="J149" s="2">
        <f ca="1"/>
        <v>6.090839549388166</v>
      </c>
      <c r="K149" s="2">
        <f ca="1"/>
        <v>7.2975184088915341</v>
      </c>
      <c r="L149" s="2">
        <f ca="1"/>
        <v>6.7291239856031746</v>
      </c>
      <c r="M149" s="2">
        <f ca="1"/>
        <v>7.6311183954282811</v>
      </c>
      <c r="N149" s="2">
        <f ca="1"/>
        <v>7.2988952004739378</v>
      </c>
      <c r="O149" s="2">
        <f ca="1"/>
        <v>5.4545012238791637</v>
      </c>
      <c r="P149" s="2">
        <f ca="1"/>
        <v>7.7036041167258604</v>
      </c>
      <c r="Q149" s="2">
        <f ca="1"/>
        <v>7.8023354830520466</v>
      </c>
    </row>
    <row r="150" spans="1:17">
      <c r="A150" t="str">
        <v>Somali</v>
      </c>
      <c r="B150" s="2">
        <f ca="1"/>
        <v>5.4027454996237116</v>
      </c>
      <c r="C150" s="2">
        <f ca="1"/>
        <v>6.0779367520760079</v>
      </c>
      <c r="D150" s="2">
        <f ca="1"/>
        <v>7.6675286271926009</v>
      </c>
      <c r="E150" s="2">
        <f ca="1"/>
        <v>6.7308039763724947</v>
      </c>
      <c r="F150" s="2">
        <f ca="1"/>
        <v>7.2140803548376073</v>
      </c>
      <c r="G150" s="2">
        <f ca="1"/>
        <v>6.7397703895716798</v>
      </c>
      <c r="H150" s="2">
        <f ca="1"/>
        <v>6.3275255290063548</v>
      </c>
      <c r="I150" s="2">
        <f ca="1"/>
        <v>7.503325161858494</v>
      </c>
      <c r="J150" s="2">
        <f ca="1"/>
        <v>6.3444535741516628</v>
      </c>
      <c r="K150" s="2">
        <f ca="1"/>
        <v>6.5910061526369024</v>
      </c>
      <c r="L150" s="2">
        <f ca="1"/>
        <v>6.6822224540032913</v>
      </c>
      <c r="M150" s="2">
        <f ca="1"/>
        <v>5.8620388297459902</v>
      </c>
      <c r="N150" s="2">
        <f ca="1"/>
        <v>6.3828982617326258</v>
      </c>
      <c r="O150" s="2">
        <f ca="1"/>
        <v>7.690037421493944</v>
      </c>
      <c r="P150" s="2">
        <f ca="1"/>
        <v>6.8093634682322479</v>
      </c>
      <c r="Q150" s="2">
        <f ca="1"/>
        <v>5.9809659521291021</v>
      </c>
    </row>
    <row r="151" spans="1:17">
      <c r="A151" t="str">
        <v>SNNPR</v>
      </c>
      <c r="B151" s="2">
        <f ca="1"/>
        <v>6.5654786544583974</v>
      </c>
      <c r="C151" s="2">
        <f ca="1"/>
        <v>5.7599528292776254</v>
      </c>
      <c r="D151" s="2">
        <f ca="1"/>
        <v>6.81424352149011</v>
      </c>
      <c r="E151" s="2">
        <f ca="1"/>
        <v>6.3229540134860187</v>
      </c>
      <c r="F151" s="2">
        <f ca="1"/>
        <v>7.83660783195708</v>
      </c>
      <c r="G151" s="2">
        <f ca="1"/>
        <v>5.9189149671543619</v>
      </c>
      <c r="H151" s="2">
        <f ca="1"/>
        <v>5.8723297009241078</v>
      </c>
      <c r="I151" s="2">
        <f ca="1"/>
        <v>7.8694931627536011</v>
      </c>
      <c r="J151" s="2">
        <f ca="1"/>
        <v>7.0533604390244218</v>
      </c>
      <c r="K151" s="2">
        <f ca="1"/>
        <v>7.1058483370226533</v>
      </c>
      <c r="L151" s="2">
        <f ca="1"/>
        <v>6.3408671655643438</v>
      </c>
      <c r="M151" s="2">
        <f ca="1"/>
        <v>5.7188973909470349</v>
      </c>
      <c r="N151" s="2">
        <f ca="1"/>
        <v>6.0027671406484568</v>
      </c>
      <c r="O151" s="2">
        <f ca="1"/>
        <v>7.7413149538555999</v>
      </c>
      <c r="P151" s="2">
        <f ca="1"/>
        <v>6.0757140877427105</v>
      </c>
      <c r="Q151" s="2">
        <f ca="1"/>
        <v>6.9862403025742452</v>
      </c>
    </row>
    <row r="152" spans="1:17">
      <c r="A152" t="str">
        <v>Tigray</v>
      </c>
      <c r="B152" s="2">
        <f ca="1"/>
        <v>5.1781736466951624</v>
      </c>
      <c r="C152" s="2">
        <f ca="1"/>
        <v>5.0276947448880156</v>
      </c>
      <c r="D152" s="2">
        <f ca="1"/>
        <v>6.2169188582236821</v>
      </c>
      <c r="E152" s="2">
        <f ca="1"/>
        <v>5.2121077869298569</v>
      </c>
      <c r="F152" s="2">
        <f ca="1"/>
        <v>5.6936358743433315</v>
      </c>
      <c r="G152" s="2">
        <f ca="1"/>
        <v>5.8382066163511066</v>
      </c>
      <c r="H152" s="2">
        <f ca="1"/>
        <v>5.6944694943251459</v>
      </c>
      <c r="I152" s="2">
        <f ca="1"/>
        <v>6.4089222134415849</v>
      </c>
      <c r="J152" s="2">
        <f ca="1"/>
        <v>7.8938515155397324</v>
      </c>
      <c r="K152" s="2">
        <f ca="1"/>
        <v>7.8184636506989884</v>
      </c>
      <c r="L152" s="2">
        <f ca="1"/>
        <v>7.935569290906737</v>
      </c>
      <c r="M152" s="2">
        <f ca="1"/>
        <v>5.2143078351261787</v>
      </c>
      <c r="N152" s="2">
        <f ca="1"/>
        <v>5.1270723769421851</v>
      </c>
      <c r="O152" s="2">
        <f ca="1"/>
        <v>7.99604615646279</v>
      </c>
      <c r="P152" s="2">
        <f ca="1"/>
        <v>7.4289661244535647</v>
      </c>
      <c r="Q152" s="2">
        <f ca="1"/>
        <v>7.0315545649697144</v>
      </c>
    </row>
    <row r="161" spans="1:17">
      <c r="B161">
        <f t="array" ref="B161:Q161">TRANSPOSE(Years)</f>
        <v>2015</v>
      </c>
      <c r="C161">
        <v>2016</v>
      </c>
      <c r="D161">
        <v>2017</v>
      </c>
      <c r="E161">
        <v>2018</v>
      </c>
      <c r="F161">
        <v>2019</v>
      </c>
      <c r="G161">
        <v>2020</v>
      </c>
      <c r="H161">
        <v>2021</v>
      </c>
      <c r="I161">
        <v>2022</v>
      </c>
      <c r="J161">
        <v>2023</v>
      </c>
      <c r="K161">
        <v>2024</v>
      </c>
      <c r="L161">
        <v>2025</v>
      </c>
      <c r="M161">
        <v>2026</v>
      </c>
      <c r="N161">
        <v>2027</v>
      </c>
      <c r="O161">
        <v>2028</v>
      </c>
      <c r="P161">
        <v>2029</v>
      </c>
      <c r="Q161">
        <v>2030</v>
      </c>
    </row>
    <row r="162" spans="1:17">
      <c r="A162" t="str">
        <f t="array" ref="A162:A172">Nodes</f>
        <v>AddisAbaba</v>
      </c>
      <c r="B162" s="2">
        <f ca="1">2+COLUMN()*2 + ROW()/4-40 +RAND()*2</f>
        <v>6.9413427126981393</v>
      </c>
      <c r="C162" s="2">
        <f t="shared" ref="C162:Q162" ca="1" si="2">2+COLUMN()*2 + ROW()/4-40 +RAND()*2</f>
        <v>10.187089147006049</v>
      </c>
      <c r="D162" s="2">
        <f t="shared" ca="1" si="2"/>
        <v>11.037832815150523</v>
      </c>
      <c r="E162" s="2">
        <f t="shared" ca="1" si="2"/>
        <v>13.227784103996619</v>
      </c>
      <c r="F162" s="2">
        <f t="shared" ca="1" si="2"/>
        <v>16.380741519223317</v>
      </c>
      <c r="G162" s="2">
        <f t="shared" ca="1" si="2"/>
        <v>16.838332564439618</v>
      </c>
      <c r="H162" s="2">
        <f t="shared" ca="1" si="2"/>
        <v>19.898618535954057</v>
      </c>
      <c r="I162" s="2">
        <f t="shared" ca="1" si="2"/>
        <v>20.545469768687738</v>
      </c>
      <c r="J162" s="2">
        <f t="shared" ca="1" si="2"/>
        <v>22.619043644104128</v>
      </c>
      <c r="K162" s="2">
        <f t="shared" ca="1" si="2"/>
        <v>26.002677990754037</v>
      </c>
      <c r="L162" s="2">
        <f t="shared" ca="1" si="2"/>
        <v>26.758624512037823</v>
      </c>
      <c r="M162" s="2">
        <f t="shared" ca="1" si="2"/>
        <v>30.499782322070342</v>
      </c>
      <c r="N162" s="2">
        <f t="shared" ca="1" si="2"/>
        <v>31.116693977528005</v>
      </c>
      <c r="O162" s="2">
        <f t="shared" ca="1" si="2"/>
        <v>33.327321157847891</v>
      </c>
      <c r="P162" s="2">
        <f t="shared" ca="1" si="2"/>
        <v>35.672785280144787</v>
      </c>
      <c r="Q162" s="2">
        <f t="shared" ca="1" si="2"/>
        <v>36.994407581721077</v>
      </c>
    </row>
    <row r="163" spans="1:17">
      <c r="A163" t="str">
        <v>Afar</v>
      </c>
      <c r="B163" s="2">
        <f t="shared" ref="B163:Q172" ca="1" si="3">2+COLUMN()*2 + ROW()/4-40 +RAND()*2</f>
        <v>8.7185681015100585</v>
      </c>
      <c r="C163" s="2">
        <f t="shared" ca="1" si="3"/>
        <v>9.2272717481248492</v>
      </c>
      <c r="D163" s="2">
        <f t="shared" ca="1" si="3"/>
        <v>10.937634009611275</v>
      </c>
      <c r="E163" s="2">
        <f t="shared" ca="1" si="3"/>
        <v>12.952488016108697</v>
      </c>
      <c r="F163" s="2">
        <f t="shared" ca="1" si="3"/>
        <v>15.955799903916471</v>
      </c>
      <c r="G163" s="2">
        <f t="shared" ca="1" si="3"/>
        <v>17.7086159649587</v>
      </c>
      <c r="H163" s="2">
        <f t="shared" ca="1" si="3"/>
        <v>20.374708180214775</v>
      </c>
      <c r="I163" s="2">
        <f t="shared" ca="1" si="3"/>
        <v>22.421427853366787</v>
      </c>
      <c r="J163" s="2">
        <f t="shared" ca="1" si="3"/>
        <v>22.89874387468932</v>
      </c>
      <c r="K163" s="2">
        <f t="shared" ca="1" si="3"/>
        <v>25.662824110629259</v>
      </c>
      <c r="L163" s="2">
        <f t="shared" ca="1" si="3"/>
        <v>27.273969326464165</v>
      </c>
      <c r="M163" s="2">
        <f t="shared" ca="1" si="3"/>
        <v>29.148744065280042</v>
      </c>
      <c r="N163" s="2">
        <f t="shared" ca="1" si="3"/>
        <v>31.436549845380775</v>
      </c>
      <c r="O163" s="2">
        <f t="shared" ca="1" si="3"/>
        <v>33.582402473193525</v>
      </c>
      <c r="P163" s="2">
        <f t="shared" ca="1" si="3"/>
        <v>36.192267061643349</v>
      </c>
      <c r="Q163" s="2">
        <f t="shared" ca="1" si="3"/>
        <v>38.691828336082928</v>
      </c>
    </row>
    <row r="164" spans="1:17">
      <c r="A164" t="str">
        <v>Amhara</v>
      </c>
      <c r="B164" s="2">
        <f t="shared" ca="1" si="3"/>
        <v>8.3602958421603457</v>
      </c>
      <c r="C164" s="2">
        <f t="shared" ca="1" si="3"/>
        <v>9.0002382315294049</v>
      </c>
      <c r="D164" s="2">
        <f t="shared" ca="1" si="3"/>
        <v>11.67288301536197</v>
      </c>
      <c r="E164" s="2">
        <f t="shared" ca="1" si="3"/>
        <v>13.895885696134332</v>
      </c>
      <c r="F164" s="2">
        <f t="shared" ca="1" si="3"/>
        <v>15.067785094734884</v>
      </c>
      <c r="G164" s="2">
        <f t="shared" ca="1" si="3"/>
        <v>17.936791200067404</v>
      </c>
      <c r="H164" s="2">
        <f t="shared" ca="1" si="3"/>
        <v>20.505856196714809</v>
      </c>
      <c r="I164" s="2">
        <f t="shared" ca="1" si="3"/>
        <v>22.763992473380846</v>
      </c>
      <c r="J164" s="2">
        <f t="shared" ca="1" si="3"/>
        <v>24.58836311709479</v>
      </c>
      <c r="K164" s="2">
        <f t="shared" ca="1" si="3"/>
        <v>25.785190307201237</v>
      </c>
      <c r="L164" s="2">
        <f t="shared" ca="1" si="3"/>
        <v>27.429627305568225</v>
      </c>
      <c r="M164" s="2">
        <f t="shared" ca="1" si="3"/>
        <v>29.103780089551506</v>
      </c>
      <c r="N164" s="2">
        <f t="shared" ca="1" si="3"/>
        <v>31.712530174879504</v>
      </c>
      <c r="O164" s="2">
        <f t="shared" ca="1" si="3"/>
        <v>34.003835519035285</v>
      </c>
      <c r="P164" s="2">
        <f t="shared" ca="1" si="3"/>
        <v>36.759575043956033</v>
      </c>
      <c r="Q164" s="2">
        <f t="shared" ca="1" si="3"/>
        <v>38.387904383950236</v>
      </c>
    </row>
    <row r="165" spans="1:17">
      <c r="A165" t="str">
        <v>Gumuz</v>
      </c>
      <c r="B165" s="2">
        <f t="shared" ca="1" si="3"/>
        <v>7.9278390159225838</v>
      </c>
      <c r="C165" s="2">
        <f t="shared" ca="1" si="3"/>
        <v>9.9975097037105751</v>
      </c>
      <c r="D165" s="2">
        <f t="shared" ca="1" si="3"/>
        <v>11.528533009395268</v>
      </c>
      <c r="E165" s="2">
        <f t="shared" ca="1" si="3"/>
        <v>14.375522865906797</v>
      </c>
      <c r="F165" s="2">
        <f t="shared" ca="1" si="3"/>
        <v>16.743655768103075</v>
      </c>
      <c r="G165" s="2">
        <f t="shared" ca="1" si="3"/>
        <v>17.298171191203767</v>
      </c>
      <c r="H165" s="2">
        <f t="shared" ca="1" si="3"/>
        <v>20.39358361226672</v>
      </c>
      <c r="I165" s="2">
        <f t="shared" ca="1" si="3"/>
        <v>22.264115122929589</v>
      </c>
      <c r="J165" s="2">
        <f t="shared" ca="1" si="3"/>
        <v>24.600979898383802</v>
      </c>
      <c r="K165" s="2">
        <f t="shared" ca="1" si="3"/>
        <v>25.871360088667188</v>
      </c>
      <c r="L165" s="2">
        <f t="shared" ca="1" si="3"/>
        <v>28.276667904192674</v>
      </c>
      <c r="M165" s="2">
        <f t="shared" ca="1" si="3"/>
        <v>31.092990643128061</v>
      </c>
      <c r="N165" s="2">
        <f t="shared" ca="1" si="3"/>
        <v>31.741093337761168</v>
      </c>
      <c r="O165" s="2">
        <f t="shared" ca="1" si="3"/>
        <v>33.460067182055347</v>
      </c>
      <c r="P165" s="2">
        <f t="shared" ca="1" si="3"/>
        <v>36.505194481813945</v>
      </c>
      <c r="Q165" s="2">
        <f t="shared" ca="1" si="3"/>
        <v>39.17644583249217</v>
      </c>
    </row>
    <row r="166" spans="1:17">
      <c r="A166" t="str">
        <v>DireDawa</v>
      </c>
      <c r="B166" s="2">
        <f t="shared" ca="1" si="3"/>
        <v>8.4180450898451689</v>
      </c>
      <c r="C166" s="2">
        <f t="shared" ca="1" si="3"/>
        <v>10.030521763465639</v>
      </c>
      <c r="D166" s="2">
        <f t="shared" ca="1" si="3"/>
        <v>12.301752418455905</v>
      </c>
      <c r="E166" s="2">
        <f t="shared" ca="1" si="3"/>
        <v>14.929995229449116</v>
      </c>
      <c r="F166" s="2">
        <f t="shared" ca="1" si="3"/>
        <v>17.081566948275903</v>
      </c>
      <c r="G166" s="2">
        <f t="shared" ca="1" si="3"/>
        <v>18.452087109563347</v>
      </c>
      <c r="H166" s="2">
        <f t="shared" ca="1" si="3"/>
        <v>20.485426968150172</v>
      </c>
      <c r="I166" s="2">
        <f t="shared" ca="1" si="3"/>
        <v>23.015480638421277</v>
      </c>
      <c r="J166" s="2">
        <f t="shared" ca="1" si="3"/>
        <v>24.73265790965721</v>
      </c>
      <c r="K166" s="2">
        <f t="shared" ca="1" si="3"/>
        <v>25.975376175063417</v>
      </c>
      <c r="L166" s="2">
        <f t="shared" ca="1" si="3"/>
        <v>28.436914805779555</v>
      </c>
      <c r="M166" s="2">
        <f t="shared" ca="1" si="3"/>
        <v>29.810399648756878</v>
      </c>
      <c r="N166" s="2">
        <f t="shared" ca="1" si="3"/>
        <v>31.822063029805165</v>
      </c>
      <c r="O166" s="2">
        <f t="shared" ca="1" si="3"/>
        <v>33.680632261223643</v>
      </c>
      <c r="P166" s="2">
        <f t="shared" ca="1" si="3"/>
        <v>36.979442440011553</v>
      </c>
      <c r="Q166" s="2">
        <f t="shared" ca="1" si="3"/>
        <v>37.859328426128904</v>
      </c>
    </row>
    <row r="167" spans="1:17">
      <c r="A167" t="str">
        <v>Gambela</v>
      </c>
      <c r="B167" s="2">
        <f t="shared" ca="1" si="3"/>
        <v>8.06934199014432</v>
      </c>
      <c r="C167" s="2">
        <f t="shared" ca="1" si="3"/>
        <v>11.654253079130319</v>
      </c>
      <c r="D167" s="2">
        <f t="shared" ca="1" si="3"/>
        <v>11.958308968689412</v>
      </c>
      <c r="E167" s="2">
        <f t="shared" ca="1" si="3"/>
        <v>13.821466601038562</v>
      </c>
      <c r="F167" s="2">
        <f t="shared" ca="1" si="3"/>
        <v>17.56572326114529</v>
      </c>
      <c r="G167" s="2">
        <f t="shared" ca="1" si="3"/>
        <v>19.211535847439411</v>
      </c>
      <c r="H167" s="2">
        <f t="shared" ca="1" si="3"/>
        <v>20.748903228458897</v>
      </c>
      <c r="I167" s="2">
        <f t="shared" ca="1" si="3"/>
        <v>22.28117444784894</v>
      </c>
      <c r="J167" s="2">
        <f t="shared" ca="1" si="3"/>
        <v>25.700163403608045</v>
      </c>
      <c r="K167" s="2">
        <f t="shared" ca="1" si="3"/>
        <v>26.315338261395926</v>
      </c>
      <c r="L167" s="2">
        <f t="shared" ca="1" si="3"/>
        <v>28.393907603488575</v>
      </c>
      <c r="M167" s="2">
        <f t="shared" ca="1" si="3"/>
        <v>30.7715860502637</v>
      </c>
      <c r="N167" s="2">
        <f t="shared" ca="1" si="3"/>
        <v>33.688155531340193</v>
      </c>
      <c r="O167" s="2">
        <f t="shared" ca="1" si="3"/>
        <v>34.180839284249082</v>
      </c>
      <c r="P167" s="2">
        <f t="shared" ca="1" si="3"/>
        <v>37.083342720485781</v>
      </c>
      <c r="Q167" s="2">
        <f t="shared" ca="1" si="3"/>
        <v>38.942157558424348</v>
      </c>
    </row>
    <row r="168" spans="1:17">
      <c r="A168" t="str">
        <v>Harari</v>
      </c>
      <c r="B168" s="2">
        <f t="shared" ca="1" si="3"/>
        <v>8.6262558381469301</v>
      </c>
      <c r="C168" s="2">
        <f t="shared" ca="1" si="3"/>
        <v>10.730780384979012</v>
      </c>
      <c r="D168" s="2">
        <f t="shared" ca="1" si="3"/>
        <v>13.073454094972975</v>
      </c>
      <c r="E168" s="2">
        <f t="shared" ca="1" si="3"/>
        <v>15.576197824968729</v>
      </c>
      <c r="F168" s="2">
        <f t="shared" ca="1" si="3"/>
        <v>16.112686502383777</v>
      </c>
      <c r="G168" s="2">
        <f t="shared" ca="1" si="3"/>
        <v>19.732655857496095</v>
      </c>
      <c r="H168" s="2">
        <f t="shared" ca="1" si="3"/>
        <v>20.145689554653146</v>
      </c>
      <c r="I168" s="2">
        <f t="shared" ca="1" si="3"/>
        <v>23.095607883154802</v>
      </c>
      <c r="J168" s="2">
        <f t="shared" ca="1" si="3"/>
        <v>25.563559280979327</v>
      </c>
      <c r="K168" s="2">
        <f t="shared" ca="1" si="3"/>
        <v>26.237561812004476</v>
      </c>
      <c r="L168" s="2">
        <f t="shared" ca="1" si="3"/>
        <v>28.106195190112583</v>
      </c>
      <c r="M168" s="2">
        <f t="shared" ca="1" si="3"/>
        <v>31.553117832935929</v>
      </c>
      <c r="N168" s="2">
        <f t="shared" ca="1" si="3"/>
        <v>32.19504156783232</v>
      </c>
      <c r="O168" s="2">
        <f t="shared" ca="1" si="3"/>
        <v>35.102329050607921</v>
      </c>
      <c r="P168" s="2">
        <f t="shared" ca="1" si="3"/>
        <v>36.336144928309174</v>
      </c>
      <c r="Q168" s="2">
        <f t="shared" ca="1" si="3"/>
        <v>38.129739612663506</v>
      </c>
    </row>
    <row r="169" spans="1:17">
      <c r="A169" t="str">
        <v>Oromia</v>
      </c>
      <c r="B169" s="2">
        <f t="shared" ca="1" si="3"/>
        <v>9.2123334882061627</v>
      </c>
      <c r="C169" s="2">
        <f t="shared" ca="1" si="3"/>
        <v>11.483164244456265</v>
      </c>
      <c r="D169" s="2">
        <f t="shared" ca="1" si="3"/>
        <v>13.962360198164131</v>
      </c>
      <c r="E169" s="2">
        <f t="shared" ca="1" si="3"/>
        <v>14.853016529290393</v>
      </c>
      <c r="F169" s="2">
        <f t="shared" ca="1" si="3"/>
        <v>17.707503552246173</v>
      </c>
      <c r="G169" s="2">
        <f t="shared" ca="1" si="3"/>
        <v>18.919329860058689</v>
      </c>
      <c r="H169" s="2">
        <f t="shared" ca="1" si="3"/>
        <v>20.709914335915634</v>
      </c>
      <c r="I169" s="2">
        <f t="shared" ca="1" si="3"/>
        <v>22.535003069206493</v>
      </c>
      <c r="J169" s="2">
        <f t="shared" ca="1" si="3"/>
        <v>24.632679806086241</v>
      </c>
      <c r="K169" s="2">
        <f t="shared" ca="1" si="3"/>
        <v>26.568300347658649</v>
      </c>
      <c r="L169" s="2">
        <f t="shared" ca="1" si="3"/>
        <v>29.730059266611299</v>
      </c>
      <c r="M169" s="2">
        <f t="shared" ca="1" si="3"/>
        <v>32.030458322701605</v>
      </c>
      <c r="N169" s="2">
        <f t="shared" ca="1" si="3"/>
        <v>32.280993775257627</v>
      </c>
      <c r="O169" s="2">
        <f t="shared" ca="1" si="3"/>
        <v>35.06585611763947</v>
      </c>
      <c r="P169" s="2">
        <f t="shared" ca="1" si="3"/>
        <v>37.753716256810286</v>
      </c>
      <c r="Q169" s="2">
        <f t="shared" ca="1" si="3"/>
        <v>40.124815226181781</v>
      </c>
    </row>
    <row r="170" spans="1:17">
      <c r="A170" t="str">
        <v>Somali</v>
      </c>
      <c r="B170" s="2">
        <f t="shared" ca="1" si="3"/>
        <v>9.0170000812510303</v>
      </c>
      <c r="C170" s="2">
        <f t="shared" ca="1" si="3"/>
        <v>11.642476630662557</v>
      </c>
      <c r="D170" s="2">
        <f t="shared" ca="1" si="3"/>
        <v>13.063422630174001</v>
      </c>
      <c r="E170" s="2">
        <f t="shared" ca="1" si="3"/>
        <v>15.885434311874116</v>
      </c>
      <c r="F170" s="2">
        <f t="shared" ca="1" si="3"/>
        <v>16.991573859757985</v>
      </c>
      <c r="G170" s="2">
        <f t="shared" ca="1" si="3"/>
        <v>19.932856852599695</v>
      </c>
      <c r="H170" s="2">
        <f t="shared" ca="1" si="3"/>
        <v>20.547721845884944</v>
      </c>
      <c r="I170" s="2">
        <f t="shared" ca="1" si="3"/>
        <v>23.246082502532023</v>
      </c>
      <c r="J170" s="2">
        <f t="shared" ca="1" si="3"/>
        <v>25.759770100278384</v>
      </c>
      <c r="K170" s="2">
        <f t="shared" ca="1" si="3"/>
        <v>27.69433056631599</v>
      </c>
      <c r="L170" s="2">
        <f t="shared" ca="1" si="3"/>
        <v>29.182539687611019</v>
      </c>
      <c r="M170" s="2">
        <f t="shared" ca="1" si="3"/>
        <v>31.722293041482253</v>
      </c>
      <c r="N170" s="2">
        <f t="shared" ca="1" si="3"/>
        <v>33.719178588560887</v>
      </c>
      <c r="O170" s="2">
        <f t="shared" ca="1" si="3"/>
        <v>35.423563916620218</v>
      </c>
      <c r="P170" s="2">
        <f t="shared" ca="1" si="3"/>
        <v>37.285547819706217</v>
      </c>
      <c r="Q170" s="2">
        <f t="shared" ca="1" si="3"/>
        <v>39.160570360675081</v>
      </c>
    </row>
    <row r="171" spans="1:17">
      <c r="A171" t="str">
        <v>SNNPR</v>
      </c>
      <c r="B171" s="2">
        <f t="shared" ca="1" si="3"/>
        <v>8.9496919361104528</v>
      </c>
      <c r="C171" s="2">
        <f t="shared" ca="1" si="3"/>
        <v>12.228573949217521</v>
      </c>
      <c r="D171" s="2">
        <f t="shared" ca="1" si="3"/>
        <v>14.227511279983817</v>
      </c>
      <c r="E171" s="2">
        <f t="shared" ca="1" si="3"/>
        <v>15.041059159892612</v>
      </c>
      <c r="F171" s="2">
        <f t="shared" ca="1" si="3"/>
        <v>16.774743538054398</v>
      </c>
      <c r="G171" s="2">
        <f t="shared" ca="1" si="3"/>
        <v>19.893914535240299</v>
      </c>
      <c r="H171" s="2">
        <f t="shared" ca="1" si="3"/>
        <v>22.240257026941304</v>
      </c>
      <c r="I171" s="2">
        <f t="shared" ca="1" si="3"/>
        <v>23.722222111530492</v>
      </c>
      <c r="J171" s="2">
        <f t="shared" ca="1" si="3"/>
        <v>25.645452775489019</v>
      </c>
      <c r="K171" s="2">
        <f t="shared" ca="1" si="3"/>
        <v>28.226373576437275</v>
      </c>
      <c r="L171" s="2">
        <f t="shared" ca="1" si="3"/>
        <v>30.276360479433908</v>
      </c>
      <c r="M171" s="2">
        <f t="shared" ca="1" si="3"/>
        <v>32.391590429099033</v>
      </c>
      <c r="N171" s="2">
        <f t="shared" ca="1" si="3"/>
        <v>34.152535112634226</v>
      </c>
      <c r="O171" s="2">
        <f t="shared" ca="1" si="3"/>
        <v>35.834405327813954</v>
      </c>
      <c r="P171" s="2">
        <f t="shared" ca="1" si="3"/>
        <v>38.530115542383555</v>
      </c>
      <c r="Q171" s="2">
        <f t="shared" ca="1" si="3"/>
        <v>40.02322969957514</v>
      </c>
    </row>
    <row r="172" spans="1:17">
      <c r="A172" t="str">
        <v>Tigray</v>
      </c>
      <c r="B172" s="2">
        <f t="shared" ca="1" si="3"/>
        <v>10.150543727471524</v>
      </c>
      <c r="C172" s="2">
        <f t="shared" ca="1" si="3"/>
        <v>12.741486251596324</v>
      </c>
      <c r="D172" s="2">
        <f t="shared" ca="1" si="3"/>
        <v>13.921289839549955</v>
      </c>
      <c r="E172" s="2">
        <f t="shared" ca="1" si="3"/>
        <v>16.559355098902927</v>
      </c>
      <c r="F172" s="2">
        <f t="shared" ca="1" si="3"/>
        <v>17.15651678521191</v>
      </c>
      <c r="G172" s="2">
        <f t="shared" ca="1" si="3"/>
        <v>19.33852686690609</v>
      </c>
      <c r="H172" s="2">
        <f t="shared" ca="1" si="3"/>
        <v>22.310753223760923</v>
      </c>
      <c r="I172" s="2">
        <f t="shared" ca="1" si="3"/>
        <v>23.908973620222049</v>
      </c>
      <c r="J172" s="2">
        <f t="shared" ca="1" si="3"/>
        <v>25.727714203526855</v>
      </c>
      <c r="K172" s="2">
        <f t="shared" ca="1" si="3"/>
        <v>27.979799957288616</v>
      </c>
      <c r="L172" s="2">
        <f t="shared" ca="1" si="3"/>
        <v>29.459693717926495</v>
      </c>
      <c r="M172" s="2">
        <f t="shared" ca="1" si="3"/>
        <v>31.076040812476798</v>
      </c>
      <c r="N172" s="2">
        <f t="shared" ca="1" si="3"/>
        <v>33.206553911461683</v>
      </c>
      <c r="O172" s="2">
        <f t="shared" ca="1" si="3"/>
        <v>36.224813838946567</v>
      </c>
      <c r="P172" s="2">
        <f t="shared" ca="1" si="3"/>
        <v>37.916880927339349</v>
      </c>
      <c r="Q172" s="2">
        <f t="shared" ca="1" si="3"/>
        <v>39.560952146028157</v>
      </c>
    </row>
  </sheetData>
  <pageMargins left="0.75" right="0.75" top="1" bottom="1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18"/>
  <sheetViews>
    <sheetView zoomScale="85" zoomScaleNormal="85" workbookViewId="0">
      <selection activeCell="D4" sqref="D4"/>
    </sheetView>
  </sheetViews>
  <sheetFormatPr defaultColWidth="11" defaultRowHeight="15.75"/>
  <sheetData>
    <row r="2" spans="2:10" s="1" customFormat="1">
      <c r="B2" s="1" t="s">
        <v>0</v>
      </c>
      <c r="D2" s="1" t="s">
        <v>1</v>
      </c>
      <c r="F2" s="1" t="s">
        <v>4</v>
      </c>
      <c r="H2" s="1" t="s">
        <v>30</v>
      </c>
      <c r="J2" s="1" t="s">
        <v>15</v>
      </c>
    </row>
    <row r="3" spans="2:10">
      <c r="B3">
        <v>2015</v>
      </c>
      <c r="D3" t="s">
        <v>2</v>
      </c>
      <c r="F3" t="s">
        <v>5</v>
      </c>
      <c r="H3" t="s">
        <v>16</v>
      </c>
      <c r="J3" t="s">
        <v>16</v>
      </c>
    </row>
    <row r="4" spans="2:10">
      <c r="B4">
        <f>B3+1</f>
        <v>2016</v>
      </c>
      <c r="D4" t="s">
        <v>3</v>
      </c>
      <c r="F4" t="s">
        <v>6</v>
      </c>
      <c r="H4" t="s">
        <v>20</v>
      </c>
      <c r="J4" t="s">
        <v>20</v>
      </c>
    </row>
    <row r="5" spans="2:10">
      <c r="B5">
        <f t="shared" ref="B5:B18" si="0">B4+1</f>
        <v>2017</v>
      </c>
      <c r="F5" t="s">
        <v>7</v>
      </c>
      <c r="H5" t="s">
        <v>17</v>
      </c>
      <c r="J5" t="s">
        <v>17</v>
      </c>
    </row>
    <row r="6" spans="2:10">
      <c r="B6">
        <f t="shared" si="0"/>
        <v>2018</v>
      </c>
      <c r="F6" t="s">
        <v>8</v>
      </c>
      <c r="H6" t="s">
        <v>24</v>
      </c>
      <c r="J6" t="s">
        <v>24</v>
      </c>
    </row>
    <row r="7" spans="2:10">
      <c r="B7">
        <f t="shared" si="0"/>
        <v>2019</v>
      </c>
      <c r="F7" t="s">
        <v>9</v>
      </c>
      <c r="H7" t="s">
        <v>21</v>
      </c>
      <c r="J7" t="s">
        <v>21</v>
      </c>
    </row>
    <row r="8" spans="2:10">
      <c r="B8">
        <f t="shared" si="0"/>
        <v>2020</v>
      </c>
      <c r="F8" t="s">
        <v>10</v>
      </c>
      <c r="H8" t="s">
        <v>18</v>
      </c>
      <c r="J8" t="s">
        <v>18</v>
      </c>
    </row>
    <row r="9" spans="2:10">
      <c r="B9">
        <f t="shared" si="0"/>
        <v>2021</v>
      </c>
      <c r="F9" t="s">
        <v>11</v>
      </c>
      <c r="H9" t="s">
        <v>22</v>
      </c>
    </row>
    <row r="10" spans="2:10">
      <c r="B10">
        <f t="shared" si="0"/>
        <v>2022</v>
      </c>
      <c r="F10" t="s">
        <v>12</v>
      </c>
      <c r="H10" t="s">
        <v>23</v>
      </c>
    </row>
    <row r="11" spans="2:10">
      <c r="B11">
        <f t="shared" si="0"/>
        <v>2023</v>
      </c>
      <c r="F11" t="s">
        <v>13</v>
      </c>
    </row>
    <row r="12" spans="2:10">
      <c r="B12">
        <f t="shared" si="0"/>
        <v>2024</v>
      </c>
      <c r="F12" t="s">
        <v>19</v>
      </c>
    </row>
    <row r="13" spans="2:10">
      <c r="B13">
        <f t="shared" si="0"/>
        <v>2025</v>
      </c>
      <c r="F13" t="s">
        <v>14</v>
      </c>
    </row>
    <row r="14" spans="2:10">
      <c r="B14">
        <f t="shared" si="0"/>
        <v>2026</v>
      </c>
    </row>
    <row r="15" spans="2:10">
      <c r="B15">
        <f t="shared" si="0"/>
        <v>2027</v>
      </c>
    </row>
    <row r="16" spans="2:10">
      <c r="B16">
        <f t="shared" si="0"/>
        <v>2028</v>
      </c>
    </row>
    <row r="17" spans="2:2">
      <c r="B17">
        <f t="shared" si="0"/>
        <v>2029</v>
      </c>
    </row>
    <row r="18" spans="2:2">
      <c r="B18">
        <f t="shared" si="0"/>
        <v>2030</v>
      </c>
    </row>
  </sheetData>
  <pageMargins left="0.75" right="0.75" top="1" bottom="1" header="0.3" footer="0.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214"/>
  <sheetViews>
    <sheetView zoomScale="85" zoomScaleNormal="85" workbookViewId="0">
      <selection activeCell="A18" sqref="A18:A19"/>
    </sheetView>
  </sheetViews>
  <sheetFormatPr defaultColWidth="8.875" defaultRowHeight="15.75"/>
  <cols>
    <col min="1" max="2" width="11.5" bestFit="1" customWidth="1"/>
  </cols>
  <sheetData>
    <row r="1" spans="1:38" s="1" customFormat="1"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19</v>
      </c>
      <c r="L1" s="1" t="s">
        <v>14</v>
      </c>
      <c r="O1" s="1" t="s">
        <v>5</v>
      </c>
      <c r="P1" s="1" t="s">
        <v>6</v>
      </c>
      <c r="Q1" s="1" t="s">
        <v>7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19</v>
      </c>
      <c r="Y1" s="1" t="s">
        <v>14</v>
      </c>
      <c r="AB1" s="1" t="s">
        <v>5</v>
      </c>
      <c r="AC1" s="1" t="s">
        <v>6</v>
      </c>
      <c r="AD1" s="1" t="s">
        <v>7</v>
      </c>
      <c r="AE1" s="1" t="s">
        <v>8</v>
      </c>
      <c r="AF1" s="1" t="s">
        <v>9</v>
      </c>
      <c r="AG1" s="1" t="s">
        <v>10</v>
      </c>
      <c r="AH1" s="1" t="s">
        <v>11</v>
      </c>
      <c r="AI1" s="1" t="s">
        <v>12</v>
      </c>
      <c r="AJ1" s="1" t="s">
        <v>13</v>
      </c>
      <c r="AK1" s="1" t="s">
        <v>19</v>
      </c>
      <c r="AL1" s="1" t="s">
        <v>14</v>
      </c>
    </row>
    <row r="2" spans="1:38">
      <c r="A2" s="1" t="s">
        <v>5</v>
      </c>
      <c r="B2" s="4" t="str">
        <f>IF(ISERROR(MATCH($A2,F$22:F$330,0)),"No","Yes")</f>
        <v>No</v>
      </c>
      <c r="C2" s="4" t="str">
        <f t="shared" ref="C2:L2" si="0">IF(ISERROR(MATCH($A2,G$22:G$330,0)),"No","Yes")</f>
        <v>Yes</v>
      </c>
      <c r="D2" s="4" t="str">
        <f t="shared" si="0"/>
        <v>Yes</v>
      </c>
      <c r="E2" s="4" t="str">
        <f t="shared" si="0"/>
        <v>Yes</v>
      </c>
      <c r="F2" s="4" t="str">
        <f t="shared" si="0"/>
        <v>Yes</v>
      </c>
      <c r="G2" s="4" t="str">
        <f t="shared" si="0"/>
        <v>Yes</v>
      </c>
      <c r="H2" s="4" t="str">
        <f t="shared" si="0"/>
        <v>Yes</v>
      </c>
      <c r="I2" s="4" t="str">
        <f t="shared" si="0"/>
        <v>Yes</v>
      </c>
      <c r="J2" s="4" t="str">
        <f t="shared" si="0"/>
        <v>Yes</v>
      </c>
      <c r="K2" s="4" t="str">
        <f t="shared" si="0"/>
        <v>Yes</v>
      </c>
      <c r="L2" s="4" t="str">
        <f t="shared" si="0"/>
        <v>Yes</v>
      </c>
      <c r="N2" s="1" t="s">
        <v>5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AA2" s="1" t="s">
        <v>5</v>
      </c>
      <c r="AC2">
        <v>500</v>
      </c>
      <c r="AD2">
        <v>500</v>
      </c>
      <c r="AE2">
        <v>500</v>
      </c>
      <c r="AF2">
        <v>500</v>
      </c>
      <c r="AG2">
        <v>500</v>
      </c>
      <c r="AH2">
        <v>500</v>
      </c>
      <c r="AI2">
        <v>500</v>
      </c>
      <c r="AJ2">
        <v>500</v>
      </c>
      <c r="AK2">
        <v>500</v>
      </c>
      <c r="AL2">
        <v>500</v>
      </c>
    </row>
    <row r="3" spans="1:38">
      <c r="A3" s="1" t="s">
        <v>6</v>
      </c>
      <c r="B3" s="4" t="str">
        <f t="shared" ref="B3:B12" si="1">IF(ISERROR(MATCH($A3,F$22:F$330,0)),"No","Yes")</f>
        <v>Yes</v>
      </c>
      <c r="C3" s="4" t="str">
        <f t="shared" ref="C3:C12" si="2">IF(ISERROR(MATCH($A3,G$22:G$330,0)),"No","Yes")</f>
        <v>No</v>
      </c>
      <c r="D3" s="4" t="str">
        <f t="shared" ref="D3:D12" si="3">IF(ISERROR(MATCH($A3,H$22:H$330,0)),"No","Yes")</f>
        <v>No</v>
      </c>
      <c r="E3" s="4" t="str">
        <f t="shared" ref="E3:E12" si="4">IF(ISERROR(MATCH($A3,I$22:I$330,0)),"No","Yes")</f>
        <v>Yes</v>
      </c>
      <c r="F3" s="4" t="str">
        <f t="shared" ref="F3:F12" si="5">IF(ISERROR(MATCH($A3,J$22:J$330,0)),"No","Yes")</f>
        <v>No</v>
      </c>
      <c r="G3" s="4" t="str">
        <f t="shared" ref="G3:G12" si="6">IF(ISERROR(MATCH($A3,K$22:K$330,0)),"No","Yes")</f>
        <v>Yes</v>
      </c>
      <c r="H3" s="4" t="str">
        <f t="shared" ref="H3:H12" si="7">IF(ISERROR(MATCH($A3,L$22:L$330,0)),"No","Yes")</f>
        <v>Yes</v>
      </c>
      <c r="I3" s="4" t="str">
        <f t="shared" ref="I3:I12" si="8">IF(ISERROR(MATCH($A3,M$22:M$330,0)),"No","Yes")</f>
        <v>Yes</v>
      </c>
      <c r="J3" s="4" t="str">
        <f t="shared" ref="J3:J12" si="9">IF(ISERROR(MATCH($A3,N$22:N$330,0)),"No","Yes")</f>
        <v>No</v>
      </c>
      <c r="K3" s="4" t="str">
        <f t="shared" ref="K3:K12" si="10">IF(ISERROR(MATCH($A3,O$22:O$330,0)),"No","Yes")</f>
        <v>Yes</v>
      </c>
      <c r="L3" s="4" t="str">
        <f t="shared" ref="L3:L12" si="11">IF(ISERROR(MATCH($A3,P$22:P$330,0)),"No","Yes")</f>
        <v>No</v>
      </c>
      <c r="N3" s="1" t="s">
        <v>6</v>
      </c>
      <c r="O3">
        <v>10</v>
      </c>
      <c r="Q3">
        <f t="shared" ref="P3:Y12" ca="1" si="12">10+5*RAND()</f>
        <v>10.175928109847362</v>
      </c>
      <c r="R3">
        <f t="shared" ca="1" si="12"/>
        <v>11.480797112343431</v>
      </c>
      <c r="S3">
        <f t="shared" ca="1" si="12"/>
        <v>13.624344822328894</v>
      </c>
      <c r="T3">
        <f t="shared" ca="1" si="12"/>
        <v>14.904258730321615</v>
      </c>
      <c r="U3">
        <f t="shared" ca="1" si="12"/>
        <v>11.707816961038297</v>
      </c>
      <c r="V3">
        <f t="shared" ca="1" si="12"/>
        <v>12.230508812816076</v>
      </c>
      <c r="W3">
        <f t="shared" ca="1" si="12"/>
        <v>12.960259776858893</v>
      </c>
      <c r="X3">
        <f t="shared" ca="1" si="12"/>
        <v>14.943389709147777</v>
      </c>
      <c r="Y3">
        <f t="shared" ca="1" si="12"/>
        <v>11.684857751568082</v>
      </c>
      <c r="AA3" s="1" t="s">
        <v>6</v>
      </c>
      <c r="AB3">
        <v>500</v>
      </c>
      <c r="AD3">
        <f t="shared" ref="AC3:AL12" ca="1" si="13">300-50*RAND()</f>
        <v>296.11258613417664</v>
      </c>
      <c r="AE3">
        <f t="shared" ca="1" si="13"/>
        <v>297.7592226954319</v>
      </c>
      <c r="AF3">
        <f t="shared" ca="1" si="13"/>
        <v>279.67577894749377</v>
      </c>
      <c r="AG3">
        <f t="shared" ca="1" si="13"/>
        <v>288.78980014638216</v>
      </c>
      <c r="AH3">
        <f t="shared" ca="1" si="13"/>
        <v>284.3538106472094</v>
      </c>
      <c r="AI3">
        <f t="shared" ca="1" si="13"/>
        <v>252.55452133576165</v>
      </c>
      <c r="AJ3">
        <f t="shared" ca="1" si="13"/>
        <v>284.07434634860005</v>
      </c>
      <c r="AK3">
        <f t="shared" ca="1" si="13"/>
        <v>289.21211202695901</v>
      </c>
      <c r="AL3">
        <f t="shared" ca="1" si="13"/>
        <v>274.66199321628301</v>
      </c>
    </row>
    <row r="4" spans="1:38">
      <c r="A4" s="1" t="s">
        <v>7</v>
      </c>
      <c r="B4" s="4" t="str">
        <f t="shared" si="1"/>
        <v>Yes</v>
      </c>
      <c r="C4" s="4" t="str">
        <f t="shared" si="2"/>
        <v>No</v>
      </c>
      <c r="D4" s="4" t="str">
        <f t="shared" si="3"/>
        <v>No</v>
      </c>
      <c r="E4" s="4" t="str">
        <f t="shared" si="4"/>
        <v>Yes</v>
      </c>
      <c r="F4" s="4" t="str">
        <f t="shared" si="5"/>
        <v>No</v>
      </c>
      <c r="G4" s="4" t="str">
        <f t="shared" si="6"/>
        <v>No</v>
      </c>
      <c r="H4" s="4" t="str">
        <f t="shared" si="7"/>
        <v>Yes</v>
      </c>
      <c r="I4" s="4" t="str">
        <f t="shared" si="8"/>
        <v>No</v>
      </c>
      <c r="J4" s="4" t="str">
        <f t="shared" si="9"/>
        <v>Yes</v>
      </c>
      <c r="K4" s="4" t="str">
        <f t="shared" si="10"/>
        <v>Yes</v>
      </c>
      <c r="L4" s="4" t="str">
        <f t="shared" si="11"/>
        <v>Yes</v>
      </c>
      <c r="N4" s="1" t="s">
        <v>7</v>
      </c>
      <c r="O4">
        <v>10</v>
      </c>
      <c r="P4">
        <f t="shared" ca="1" si="12"/>
        <v>11.79687158943265</v>
      </c>
      <c r="R4">
        <f t="shared" ca="1" si="12"/>
        <v>10.77043314353681</v>
      </c>
      <c r="S4">
        <f t="shared" ca="1" si="12"/>
        <v>10.5059952996946</v>
      </c>
      <c r="T4">
        <f t="shared" ca="1" si="12"/>
        <v>11.620537293716822</v>
      </c>
      <c r="U4">
        <f t="shared" ca="1" si="12"/>
        <v>12.509792176892475</v>
      </c>
      <c r="V4">
        <f t="shared" ca="1" si="12"/>
        <v>12.495935771936956</v>
      </c>
      <c r="W4">
        <f t="shared" ca="1" si="12"/>
        <v>13.209097139558168</v>
      </c>
      <c r="X4">
        <f t="shared" ca="1" si="12"/>
        <v>11.578299853361635</v>
      </c>
      <c r="Y4">
        <f t="shared" ca="1" si="12"/>
        <v>10.281388665224938</v>
      </c>
      <c r="AA4" s="1" t="s">
        <v>7</v>
      </c>
      <c r="AB4">
        <v>500</v>
      </c>
      <c r="AC4">
        <f t="shared" ca="1" si="13"/>
        <v>261.3717502455313</v>
      </c>
      <c r="AE4">
        <f t="shared" ca="1" si="13"/>
        <v>287.19844507535254</v>
      </c>
      <c r="AF4">
        <f t="shared" ca="1" si="13"/>
        <v>270.51811877365276</v>
      </c>
      <c r="AG4">
        <f t="shared" ca="1" si="13"/>
        <v>273.78907376323502</v>
      </c>
      <c r="AH4">
        <f t="shared" ca="1" si="13"/>
        <v>293.29181189715894</v>
      </c>
      <c r="AI4">
        <f t="shared" ca="1" si="13"/>
        <v>294.06025293589983</v>
      </c>
      <c r="AJ4">
        <f t="shared" ca="1" si="13"/>
        <v>268.68011123964038</v>
      </c>
      <c r="AK4">
        <f t="shared" ca="1" si="13"/>
        <v>289.41587584998382</v>
      </c>
      <c r="AL4">
        <f t="shared" ca="1" si="13"/>
        <v>262.87104086503012</v>
      </c>
    </row>
    <row r="5" spans="1:38">
      <c r="A5" s="1" t="s">
        <v>8</v>
      </c>
      <c r="B5" s="4" t="str">
        <f t="shared" si="1"/>
        <v>Yes</v>
      </c>
      <c r="C5" s="4" t="str">
        <f t="shared" si="2"/>
        <v>Yes</v>
      </c>
      <c r="D5" s="4" t="str">
        <f t="shared" si="3"/>
        <v>Yes</v>
      </c>
      <c r="E5" s="4" t="str">
        <f t="shared" si="4"/>
        <v>No</v>
      </c>
      <c r="F5" s="4" t="str">
        <f t="shared" si="5"/>
        <v>Yes</v>
      </c>
      <c r="G5" s="4" t="str">
        <f t="shared" si="6"/>
        <v>No</v>
      </c>
      <c r="H5" s="4" t="str">
        <f t="shared" si="7"/>
        <v>No</v>
      </c>
      <c r="I5" s="4" t="str">
        <f t="shared" si="8"/>
        <v>Yes</v>
      </c>
      <c r="J5" s="4" t="str">
        <f t="shared" si="9"/>
        <v>No</v>
      </c>
      <c r="K5" s="4" t="str">
        <f t="shared" si="10"/>
        <v>No</v>
      </c>
      <c r="L5" s="4" t="str">
        <f t="shared" si="11"/>
        <v>Yes</v>
      </c>
      <c r="N5" s="1" t="s">
        <v>8</v>
      </c>
      <c r="O5">
        <v>10</v>
      </c>
      <c r="P5">
        <f t="shared" ca="1" si="12"/>
        <v>11.309144135830852</v>
      </c>
      <c r="Q5">
        <f t="shared" ca="1" si="12"/>
        <v>12.97472830726667</v>
      </c>
      <c r="S5">
        <f t="shared" ca="1" si="12"/>
        <v>11.749379193749101</v>
      </c>
      <c r="T5">
        <f t="shared" ca="1" si="12"/>
        <v>14.78957950648876</v>
      </c>
      <c r="U5">
        <f t="shared" ca="1" si="12"/>
        <v>13.572061489743714</v>
      </c>
      <c r="V5">
        <f t="shared" ca="1" si="12"/>
        <v>12.414072869235193</v>
      </c>
      <c r="W5">
        <f t="shared" ca="1" si="12"/>
        <v>13.70660104980165</v>
      </c>
      <c r="X5">
        <f t="shared" ca="1" si="12"/>
        <v>10.145253831041872</v>
      </c>
      <c r="Y5">
        <f t="shared" ca="1" si="12"/>
        <v>12.647317758333056</v>
      </c>
      <c r="AA5" s="1" t="s">
        <v>8</v>
      </c>
      <c r="AB5">
        <v>500</v>
      </c>
      <c r="AC5">
        <f t="shared" ca="1" si="13"/>
        <v>271.09404524155985</v>
      </c>
      <c r="AD5">
        <f t="shared" ca="1" si="13"/>
        <v>270.10980192165454</v>
      </c>
      <c r="AF5">
        <f t="shared" ca="1" si="13"/>
        <v>260.89628864822527</v>
      </c>
      <c r="AG5">
        <f t="shared" ca="1" si="13"/>
        <v>268.00563811681815</v>
      </c>
      <c r="AH5">
        <f t="shared" ca="1" si="13"/>
        <v>273.44998720284428</v>
      </c>
      <c r="AI5">
        <f t="shared" ca="1" si="13"/>
        <v>257.27276315161293</v>
      </c>
      <c r="AJ5">
        <f t="shared" ca="1" si="13"/>
        <v>295.53940038622295</v>
      </c>
      <c r="AK5">
        <f t="shared" ca="1" si="13"/>
        <v>289.90519598378285</v>
      </c>
      <c r="AL5">
        <f t="shared" ca="1" si="13"/>
        <v>275.11445411522914</v>
      </c>
    </row>
    <row r="6" spans="1:38">
      <c r="A6" s="1" t="s">
        <v>9</v>
      </c>
      <c r="B6" s="4" t="str">
        <f t="shared" si="1"/>
        <v>Yes</v>
      </c>
      <c r="C6" s="4" t="str">
        <f t="shared" si="2"/>
        <v>No</v>
      </c>
      <c r="D6" s="4" t="str">
        <f t="shared" si="3"/>
        <v>No</v>
      </c>
      <c r="E6" s="4" t="str">
        <f t="shared" si="4"/>
        <v>Yes</v>
      </c>
      <c r="F6" s="4" t="str">
        <f t="shared" si="5"/>
        <v>No</v>
      </c>
      <c r="G6" s="4" t="str">
        <f t="shared" si="6"/>
        <v>Yes</v>
      </c>
      <c r="H6" s="4" t="str">
        <f t="shared" si="7"/>
        <v>Yes</v>
      </c>
      <c r="I6" s="4" t="str">
        <f t="shared" si="8"/>
        <v>Yes</v>
      </c>
      <c r="J6" s="4" t="str">
        <f t="shared" si="9"/>
        <v>No</v>
      </c>
      <c r="K6" s="4" t="str">
        <f t="shared" si="10"/>
        <v>No</v>
      </c>
      <c r="L6" s="4" t="str">
        <f t="shared" si="11"/>
        <v>Yes</v>
      </c>
      <c r="N6" s="1" t="s">
        <v>9</v>
      </c>
      <c r="O6">
        <v>10</v>
      </c>
      <c r="P6">
        <f t="shared" ca="1" si="12"/>
        <v>10.695004056422368</v>
      </c>
      <c r="Q6">
        <f t="shared" ca="1" si="12"/>
        <v>14.833413290052071</v>
      </c>
      <c r="R6">
        <f t="shared" ca="1" si="12"/>
        <v>10.928093168552467</v>
      </c>
      <c r="T6">
        <f t="shared" ca="1" si="12"/>
        <v>10.752514818676849</v>
      </c>
      <c r="U6">
        <f t="shared" ca="1" si="12"/>
        <v>11.992615951005067</v>
      </c>
      <c r="V6">
        <f t="shared" ca="1" si="12"/>
        <v>11.985370370991465</v>
      </c>
      <c r="W6">
        <f t="shared" ca="1" si="12"/>
        <v>14.398573686075432</v>
      </c>
      <c r="X6">
        <f t="shared" ca="1" si="12"/>
        <v>10.857066201655252</v>
      </c>
      <c r="Y6">
        <f t="shared" ca="1" si="12"/>
        <v>12.163080080362924</v>
      </c>
      <c r="AA6" s="1" t="s">
        <v>9</v>
      </c>
      <c r="AB6">
        <v>500</v>
      </c>
      <c r="AC6">
        <f t="shared" ca="1" si="13"/>
        <v>293.28955119450245</v>
      </c>
      <c r="AD6">
        <f t="shared" ca="1" si="13"/>
        <v>289.50192493732351</v>
      </c>
      <c r="AE6">
        <f t="shared" ca="1" si="13"/>
        <v>267.00035302763206</v>
      </c>
      <c r="AG6">
        <f t="shared" ca="1" si="13"/>
        <v>262.6784365650314</v>
      </c>
      <c r="AH6">
        <f t="shared" ca="1" si="13"/>
        <v>256.19030413794519</v>
      </c>
      <c r="AI6">
        <f t="shared" ca="1" si="13"/>
        <v>275.53459070673568</v>
      </c>
      <c r="AJ6">
        <f t="shared" ca="1" si="13"/>
        <v>256.90855463980677</v>
      </c>
      <c r="AK6">
        <f t="shared" ca="1" si="13"/>
        <v>280.76389694942344</v>
      </c>
      <c r="AL6">
        <f t="shared" ca="1" si="13"/>
        <v>279.8470985657936</v>
      </c>
    </row>
    <row r="7" spans="1:38">
      <c r="A7" s="1" t="s">
        <v>10</v>
      </c>
      <c r="B7" s="4" t="str">
        <f t="shared" si="1"/>
        <v>Yes</v>
      </c>
      <c r="C7" s="4" t="str">
        <f t="shared" si="2"/>
        <v>Yes</v>
      </c>
      <c r="D7" s="4" t="str">
        <f t="shared" si="3"/>
        <v>No</v>
      </c>
      <c r="E7" s="4" t="str">
        <f t="shared" si="4"/>
        <v>No</v>
      </c>
      <c r="F7" s="4" t="str">
        <f t="shared" si="5"/>
        <v>Yes</v>
      </c>
      <c r="G7" s="4" t="str">
        <f t="shared" si="6"/>
        <v>No</v>
      </c>
      <c r="H7" s="4" t="str">
        <f t="shared" si="7"/>
        <v>No</v>
      </c>
      <c r="I7" s="4" t="str">
        <f t="shared" si="8"/>
        <v>Yes</v>
      </c>
      <c r="J7" s="4" t="str">
        <f t="shared" si="9"/>
        <v>Yes</v>
      </c>
      <c r="K7" s="4" t="str">
        <f t="shared" si="10"/>
        <v>Yes</v>
      </c>
      <c r="L7" s="4" t="str">
        <f t="shared" si="11"/>
        <v>Yes</v>
      </c>
      <c r="N7" s="1" t="s">
        <v>10</v>
      </c>
      <c r="O7">
        <v>10</v>
      </c>
      <c r="P7">
        <f t="shared" ca="1" si="12"/>
        <v>13.164984407081255</v>
      </c>
      <c r="Q7">
        <f t="shared" ca="1" si="12"/>
        <v>11.160626874580251</v>
      </c>
      <c r="R7">
        <f t="shared" ca="1" si="12"/>
        <v>13.728067866096097</v>
      </c>
      <c r="S7">
        <f t="shared" ca="1" si="12"/>
        <v>14.290235004670571</v>
      </c>
      <c r="U7">
        <f t="shared" ca="1" si="12"/>
        <v>13.593447542357397</v>
      </c>
      <c r="V7">
        <f t="shared" ca="1" si="12"/>
        <v>10.644168383901359</v>
      </c>
      <c r="W7">
        <f t="shared" ca="1" si="12"/>
        <v>10.700413899558676</v>
      </c>
      <c r="X7">
        <f t="shared" ca="1" si="12"/>
        <v>13.138798492247968</v>
      </c>
      <c r="Y7">
        <f t="shared" ca="1" si="12"/>
        <v>10.158940642479976</v>
      </c>
      <c r="AA7" s="1" t="s">
        <v>10</v>
      </c>
      <c r="AB7">
        <v>500</v>
      </c>
      <c r="AC7">
        <f t="shared" ca="1" si="13"/>
        <v>291.09999800557648</v>
      </c>
      <c r="AD7">
        <f t="shared" ca="1" si="13"/>
        <v>286.25989338805243</v>
      </c>
      <c r="AE7">
        <f t="shared" ca="1" si="13"/>
        <v>258.34866899224949</v>
      </c>
      <c r="AF7">
        <f t="shared" ca="1" si="13"/>
        <v>251.49656853526182</v>
      </c>
      <c r="AH7">
        <f t="shared" ca="1" si="13"/>
        <v>281.19246334237516</v>
      </c>
      <c r="AI7">
        <f t="shared" ca="1" si="13"/>
        <v>283.3391018498956</v>
      </c>
      <c r="AJ7">
        <f t="shared" ca="1" si="13"/>
        <v>276.41350758792947</v>
      </c>
      <c r="AK7">
        <f t="shared" ca="1" si="13"/>
        <v>286.21833260274263</v>
      </c>
      <c r="AL7">
        <f t="shared" ca="1" si="13"/>
        <v>290.3484103283223</v>
      </c>
    </row>
    <row r="8" spans="1:38">
      <c r="A8" s="1" t="s">
        <v>11</v>
      </c>
      <c r="B8" s="4" t="str">
        <f t="shared" si="1"/>
        <v>Yes</v>
      </c>
      <c r="C8" s="4" t="str">
        <f t="shared" si="2"/>
        <v>Yes</v>
      </c>
      <c r="D8" s="4" t="str">
        <f t="shared" si="3"/>
        <v>Yes</v>
      </c>
      <c r="E8" s="4" t="str">
        <f t="shared" si="4"/>
        <v>No</v>
      </c>
      <c r="F8" s="4" t="str">
        <f t="shared" si="5"/>
        <v>Yes</v>
      </c>
      <c r="G8" s="4" t="str">
        <f t="shared" si="6"/>
        <v>No</v>
      </c>
      <c r="H8" s="4" t="str">
        <f t="shared" si="7"/>
        <v>No</v>
      </c>
      <c r="I8" s="4" t="str">
        <f t="shared" si="8"/>
        <v>No</v>
      </c>
      <c r="J8" s="4" t="str">
        <f t="shared" si="9"/>
        <v>Yes</v>
      </c>
      <c r="K8" s="4" t="str">
        <f t="shared" si="10"/>
        <v>Yes</v>
      </c>
      <c r="L8" s="4" t="str">
        <f t="shared" si="11"/>
        <v>Yes</v>
      </c>
      <c r="N8" s="1" t="s">
        <v>11</v>
      </c>
      <c r="O8">
        <v>10</v>
      </c>
      <c r="P8">
        <f t="shared" ca="1" si="12"/>
        <v>13.185808780313852</v>
      </c>
      <c r="Q8">
        <f t="shared" ca="1" si="12"/>
        <v>10.288120570734858</v>
      </c>
      <c r="R8">
        <f t="shared" ca="1" si="12"/>
        <v>11.680725596524727</v>
      </c>
      <c r="S8">
        <f t="shared" ca="1" si="12"/>
        <v>11.189903168528609</v>
      </c>
      <c r="T8">
        <f t="shared" ca="1" si="12"/>
        <v>12.487727088126803</v>
      </c>
      <c r="V8">
        <f t="shared" ca="1" si="12"/>
        <v>14.345892506487221</v>
      </c>
      <c r="W8">
        <f t="shared" ca="1" si="12"/>
        <v>10.948391309369093</v>
      </c>
      <c r="X8">
        <f t="shared" ca="1" si="12"/>
        <v>10.713447478906343</v>
      </c>
      <c r="Y8">
        <f t="shared" ca="1" si="12"/>
        <v>12.713162095262431</v>
      </c>
      <c r="AA8" s="1" t="s">
        <v>11</v>
      </c>
      <c r="AB8">
        <v>500</v>
      </c>
      <c r="AC8">
        <f t="shared" ca="1" si="13"/>
        <v>255.1566194270539</v>
      </c>
      <c r="AD8">
        <f t="shared" ca="1" si="13"/>
        <v>286.34350250331022</v>
      </c>
      <c r="AE8">
        <f t="shared" ca="1" si="13"/>
        <v>253.21541714895159</v>
      </c>
      <c r="AF8">
        <f t="shared" ca="1" si="13"/>
        <v>256.78249553705757</v>
      </c>
      <c r="AG8">
        <f t="shared" ca="1" si="13"/>
        <v>282.99247530963578</v>
      </c>
      <c r="AI8">
        <f t="shared" ca="1" si="13"/>
        <v>267.08097364338539</v>
      </c>
      <c r="AJ8">
        <f t="shared" ca="1" si="13"/>
        <v>291.83235081218578</v>
      </c>
      <c r="AK8">
        <f t="shared" ca="1" si="13"/>
        <v>293.72698670138499</v>
      </c>
      <c r="AL8">
        <f t="shared" ca="1" si="13"/>
        <v>284.85649238948571</v>
      </c>
    </row>
    <row r="9" spans="1:38">
      <c r="A9" s="1" t="s">
        <v>12</v>
      </c>
      <c r="B9" s="4" t="str">
        <f t="shared" si="1"/>
        <v>Yes</v>
      </c>
      <c r="C9" s="4" t="str">
        <f t="shared" si="2"/>
        <v>Yes</v>
      </c>
      <c r="D9" s="4" t="str">
        <f t="shared" si="3"/>
        <v>No</v>
      </c>
      <c r="E9" s="4" t="str">
        <f t="shared" si="4"/>
        <v>Yes</v>
      </c>
      <c r="F9" s="4" t="str">
        <f t="shared" si="5"/>
        <v>Yes</v>
      </c>
      <c r="G9" s="4" t="str">
        <f t="shared" si="6"/>
        <v>Yes</v>
      </c>
      <c r="H9" s="4" t="str">
        <f t="shared" si="7"/>
        <v>No</v>
      </c>
      <c r="I9" s="4" t="str">
        <f t="shared" si="8"/>
        <v>No</v>
      </c>
      <c r="J9" s="4" t="str">
        <f t="shared" si="9"/>
        <v>Yes</v>
      </c>
      <c r="K9" s="4" t="str">
        <f t="shared" si="10"/>
        <v>No</v>
      </c>
      <c r="L9" s="4" t="str">
        <f t="shared" si="11"/>
        <v>No</v>
      </c>
      <c r="N9" s="1" t="s">
        <v>12</v>
      </c>
      <c r="O9">
        <v>10</v>
      </c>
      <c r="P9">
        <f t="shared" ca="1" si="12"/>
        <v>12.004311771323904</v>
      </c>
      <c r="Q9">
        <f t="shared" ca="1" si="12"/>
        <v>11.627173603467298</v>
      </c>
      <c r="R9">
        <f t="shared" ca="1" si="12"/>
        <v>14.031680086988533</v>
      </c>
      <c r="S9">
        <f t="shared" ca="1" si="12"/>
        <v>11.326414800239357</v>
      </c>
      <c r="T9">
        <f t="shared" ca="1" si="12"/>
        <v>11.010202170930228</v>
      </c>
      <c r="U9">
        <f t="shared" ca="1" si="12"/>
        <v>10.342161931040087</v>
      </c>
      <c r="W9">
        <f t="shared" ca="1" si="12"/>
        <v>14.477798540101613</v>
      </c>
      <c r="X9">
        <f t="shared" ca="1" si="12"/>
        <v>14.91747691957487</v>
      </c>
      <c r="Y9">
        <f t="shared" ca="1" si="12"/>
        <v>10.401003977749845</v>
      </c>
      <c r="AA9" s="1" t="s">
        <v>12</v>
      </c>
      <c r="AB9">
        <v>500</v>
      </c>
      <c r="AC9">
        <f t="shared" ca="1" si="13"/>
        <v>296.17266882592111</v>
      </c>
      <c r="AD9">
        <f t="shared" ca="1" si="13"/>
        <v>292.85247943501611</v>
      </c>
      <c r="AE9">
        <f t="shared" ca="1" si="13"/>
        <v>274.9172850232959</v>
      </c>
      <c r="AF9">
        <f t="shared" ca="1" si="13"/>
        <v>296.89048268768704</v>
      </c>
      <c r="AG9">
        <f t="shared" ca="1" si="13"/>
        <v>296.9727858814415</v>
      </c>
      <c r="AH9">
        <f t="shared" ca="1" si="13"/>
        <v>257.23986703067055</v>
      </c>
      <c r="AJ9">
        <f t="shared" ca="1" si="13"/>
        <v>267.40751089612581</v>
      </c>
      <c r="AK9">
        <f t="shared" ca="1" si="13"/>
        <v>287.53324353399671</v>
      </c>
      <c r="AL9">
        <f t="shared" ca="1" si="13"/>
        <v>281.5136313572574</v>
      </c>
    </row>
    <row r="10" spans="1:38">
      <c r="A10" s="1" t="s">
        <v>13</v>
      </c>
      <c r="B10" s="4" t="str">
        <f t="shared" si="1"/>
        <v>Yes</v>
      </c>
      <c r="C10" s="4" t="str">
        <f t="shared" si="2"/>
        <v>No</v>
      </c>
      <c r="D10" s="4" t="str">
        <f t="shared" si="3"/>
        <v>Yes</v>
      </c>
      <c r="E10" s="4" t="str">
        <f t="shared" si="4"/>
        <v>No</v>
      </c>
      <c r="F10" s="4" t="str">
        <f t="shared" si="5"/>
        <v>No</v>
      </c>
      <c r="G10" s="4" t="str">
        <f t="shared" si="6"/>
        <v>Yes</v>
      </c>
      <c r="H10" s="4" t="str">
        <f t="shared" si="7"/>
        <v>Yes</v>
      </c>
      <c r="I10" s="4" t="str">
        <f t="shared" si="8"/>
        <v>Yes</v>
      </c>
      <c r="J10" s="4" t="str">
        <f t="shared" si="9"/>
        <v>No</v>
      </c>
      <c r="K10" s="4" t="str">
        <f t="shared" si="10"/>
        <v>Yes</v>
      </c>
      <c r="L10" s="4" t="str">
        <f t="shared" si="11"/>
        <v>No</v>
      </c>
      <c r="N10" s="1" t="s">
        <v>13</v>
      </c>
      <c r="O10">
        <v>10</v>
      </c>
      <c r="P10">
        <f t="shared" ca="1" si="12"/>
        <v>12.998800900129083</v>
      </c>
      <c r="Q10">
        <f t="shared" ca="1" si="12"/>
        <v>11.224774364569294</v>
      </c>
      <c r="R10">
        <f t="shared" ca="1" si="12"/>
        <v>12.710460320565318</v>
      </c>
      <c r="S10">
        <f t="shared" ca="1" si="12"/>
        <v>10.87829285236255</v>
      </c>
      <c r="T10">
        <f t="shared" ca="1" si="12"/>
        <v>10.640157531634895</v>
      </c>
      <c r="U10">
        <f t="shared" ca="1" si="12"/>
        <v>13.17391738339324</v>
      </c>
      <c r="V10">
        <f t="shared" ca="1" si="12"/>
        <v>14.984225005681557</v>
      </c>
      <c r="X10">
        <f t="shared" ca="1" si="12"/>
        <v>11.108882814278939</v>
      </c>
      <c r="Y10">
        <f t="shared" ca="1" si="12"/>
        <v>12.898002074071139</v>
      </c>
      <c r="AA10" s="1" t="s">
        <v>13</v>
      </c>
      <c r="AB10">
        <v>500</v>
      </c>
      <c r="AC10">
        <f t="shared" ca="1" si="13"/>
        <v>257.67716888166973</v>
      </c>
      <c r="AD10">
        <f t="shared" ca="1" si="13"/>
        <v>250.26393788915578</v>
      </c>
      <c r="AE10">
        <f t="shared" ca="1" si="13"/>
        <v>268.21651912374818</v>
      </c>
      <c r="AF10">
        <f t="shared" ca="1" si="13"/>
        <v>285.06051578244427</v>
      </c>
      <c r="AG10">
        <f t="shared" ca="1" si="13"/>
        <v>266.83698468222127</v>
      </c>
      <c r="AH10">
        <f t="shared" ca="1" si="13"/>
        <v>271.5029633995668</v>
      </c>
      <c r="AI10">
        <f t="shared" ca="1" si="13"/>
        <v>287.62782647881602</v>
      </c>
      <c r="AK10">
        <f t="shared" ca="1" si="13"/>
        <v>287.27960422039638</v>
      </c>
      <c r="AL10">
        <f t="shared" ca="1" si="13"/>
        <v>264.00421920448707</v>
      </c>
    </row>
    <row r="11" spans="1:38">
      <c r="A11" s="1" t="s">
        <v>19</v>
      </c>
      <c r="B11" s="4" t="str">
        <f t="shared" si="1"/>
        <v>Yes</v>
      </c>
      <c r="C11" s="4" t="str">
        <f t="shared" si="2"/>
        <v>Yes</v>
      </c>
      <c r="D11" s="4" t="str">
        <f t="shared" si="3"/>
        <v>Yes</v>
      </c>
      <c r="E11" s="4" t="str">
        <f t="shared" si="4"/>
        <v>No</v>
      </c>
      <c r="F11" s="4" t="str">
        <f t="shared" si="5"/>
        <v>No</v>
      </c>
      <c r="G11" s="4" t="str">
        <f t="shared" si="6"/>
        <v>Yes</v>
      </c>
      <c r="H11" s="4" t="str">
        <f t="shared" si="7"/>
        <v>Yes</v>
      </c>
      <c r="I11" s="4" t="str">
        <f t="shared" si="8"/>
        <v>No</v>
      </c>
      <c r="J11" s="4" t="str">
        <f t="shared" si="9"/>
        <v>Yes</v>
      </c>
      <c r="K11" s="4" t="str">
        <f t="shared" si="10"/>
        <v>No</v>
      </c>
      <c r="L11" s="4" t="str">
        <f t="shared" si="11"/>
        <v>Yes</v>
      </c>
      <c r="N11" s="1" t="s">
        <v>19</v>
      </c>
      <c r="O11">
        <v>10</v>
      </c>
      <c r="P11">
        <f t="shared" ca="1" si="12"/>
        <v>14.066642118283417</v>
      </c>
      <c r="Q11">
        <f t="shared" ca="1" si="12"/>
        <v>10.32030392795223</v>
      </c>
      <c r="R11">
        <f t="shared" ca="1" si="12"/>
        <v>10.585763026112531</v>
      </c>
      <c r="S11">
        <f t="shared" ca="1" si="12"/>
        <v>10.162825801497613</v>
      </c>
      <c r="T11">
        <f t="shared" ca="1" si="12"/>
        <v>14.800643640378652</v>
      </c>
      <c r="U11">
        <f t="shared" ca="1" si="12"/>
        <v>10.771473150289296</v>
      </c>
      <c r="V11">
        <f t="shared" ca="1" si="12"/>
        <v>12.427943744428447</v>
      </c>
      <c r="W11">
        <f t="shared" ca="1" si="12"/>
        <v>10.118923630254843</v>
      </c>
      <c r="Y11">
        <f t="shared" ca="1" si="12"/>
        <v>10.584264406894617</v>
      </c>
      <c r="AA11" s="1" t="s">
        <v>19</v>
      </c>
      <c r="AB11">
        <v>500</v>
      </c>
      <c r="AC11">
        <f t="shared" ca="1" si="13"/>
        <v>289.11100758512907</v>
      </c>
      <c r="AD11">
        <f t="shared" ca="1" si="13"/>
        <v>257.09743378754462</v>
      </c>
      <c r="AE11">
        <f t="shared" ca="1" si="13"/>
        <v>299.21898699637825</v>
      </c>
      <c r="AF11">
        <f t="shared" ca="1" si="13"/>
        <v>289.73125587296727</v>
      </c>
      <c r="AG11">
        <f t="shared" ca="1" si="13"/>
        <v>275.94158178189014</v>
      </c>
      <c r="AH11">
        <f t="shared" ca="1" si="13"/>
        <v>293.8648029137766</v>
      </c>
      <c r="AI11">
        <f t="shared" ca="1" si="13"/>
        <v>252.1012755768468</v>
      </c>
      <c r="AJ11">
        <f t="shared" ca="1" si="13"/>
        <v>279.64397185783974</v>
      </c>
      <c r="AL11">
        <f t="shared" ca="1" si="13"/>
        <v>287.05529909890305</v>
      </c>
    </row>
    <row r="12" spans="1:38">
      <c r="A12" s="1" t="s">
        <v>14</v>
      </c>
      <c r="B12" s="4" t="str">
        <f t="shared" si="1"/>
        <v>Yes</v>
      </c>
      <c r="C12" s="4" t="str">
        <f t="shared" si="2"/>
        <v>No</v>
      </c>
      <c r="D12" s="4" t="str">
        <f t="shared" si="3"/>
        <v>Yes</v>
      </c>
      <c r="E12" s="4" t="str">
        <f t="shared" si="4"/>
        <v>Yes</v>
      </c>
      <c r="F12" s="4" t="str">
        <f t="shared" si="5"/>
        <v>Yes</v>
      </c>
      <c r="G12" s="4" t="str">
        <f t="shared" si="6"/>
        <v>Yes</v>
      </c>
      <c r="H12" s="4" t="str">
        <f t="shared" si="7"/>
        <v>No</v>
      </c>
      <c r="I12" s="4" t="str">
        <f t="shared" si="8"/>
        <v>No</v>
      </c>
      <c r="J12" s="4" t="str">
        <f t="shared" si="9"/>
        <v>No</v>
      </c>
      <c r="K12" s="4" t="str">
        <f t="shared" si="10"/>
        <v>Yes</v>
      </c>
      <c r="L12" s="4" t="str">
        <f t="shared" si="11"/>
        <v>No</v>
      </c>
      <c r="N12" s="1" t="s">
        <v>14</v>
      </c>
      <c r="O12">
        <v>10</v>
      </c>
      <c r="P12">
        <f t="shared" ca="1" si="12"/>
        <v>12.028597118970795</v>
      </c>
      <c r="Q12">
        <f t="shared" ca="1" si="12"/>
        <v>14.152539370591064</v>
      </c>
      <c r="R12">
        <f t="shared" ca="1" si="12"/>
        <v>10.632010554079262</v>
      </c>
      <c r="S12">
        <f t="shared" ca="1" si="12"/>
        <v>12.525581291663112</v>
      </c>
      <c r="T12">
        <f t="shared" ca="1" si="12"/>
        <v>12.191625033024966</v>
      </c>
      <c r="U12">
        <f t="shared" ca="1" si="12"/>
        <v>12.016934861787512</v>
      </c>
      <c r="V12">
        <f t="shared" ca="1" si="12"/>
        <v>10.517107518972942</v>
      </c>
      <c r="W12">
        <f t="shared" ca="1" si="12"/>
        <v>12.57028166586807</v>
      </c>
      <c r="X12">
        <f t="shared" ca="1" si="12"/>
        <v>10.821765185411659</v>
      </c>
      <c r="AA12" s="1" t="s">
        <v>14</v>
      </c>
      <c r="AB12">
        <v>500</v>
      </c>
      <c r="AC12">
        <f t="shared" ca="1" si="13"/>
        <v>254.55078822688301</v>
      </c>
      <c r="AD12">
        <f t="shared" ca="1" si="13"/>
        <v>261.26719621521448</v>
      </c>
      <c r="AE12">
        <f t="shared" ca="1" si="13"/>
        <v>293.68269604979457</v>
      </c>
      <c r="AF12">
        <f t="shared" ca="1" si="13"/>
        <v>280.84996659692621</v>
      </c>
      <c r="AG12">
        <f t="shared" ca="1" si="13"/>
        <v>275.3334473066235</v>
      </c>
      <c r="AH12">
        <f t="shared" ca="1" si="13"/>
        <v>282.00868475305316</v>
      </c>
      <c r="AI12">
        <f t="shared" ca="1" si="13"/>
        <v>259.09494038500884</v>
      </c>
      <c r="AJ12">
        <f t="shared" ca="1" si="13"/>
        <v>278.59832173011119</v>
      </c>
      <c r="AK12">
        <f t="shared" ca="1" si="13"/>
        <v>290.3757612345824</v>
      </c>
    </row>
    <row r="19" spans="1:21"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63</v>
      </c>
      <c r="B21" s="1" t="s">
        <v>64</v>
      </c>
      <c r="E21" s="6"/>
      <c r="F21" s="7" t="s">
        <v>5</v>
      </c>
      <c r="G21" s="7" t="s">
        <v>6</v>
      </c>
      <c r="H21" s="7" t="s">
        <v>7</v>
      </c>
      <c r="I21" s="7" t="s">
        <v>8</v>
      </c>
      <c r="J21" s="7" t="s">
        <v>9</v>
      </c>
      <c r="K21" s="7" t="s">
        <v>10</v>
      </c>
      <c r="L21" s="7" t="s">
        <v>11</v>
      </c>
      <c r="M21" s="7" t="s">
        <v>12</v>
      </c>
      <c r="N21" s="7" t="s">
        <v>13</v>
      </c>
      <c r="O21" s="7" t="s">
        <v>19</v>
      </c>
      <c r="P21" s="7" t="s">
        <v>14</v>
      </c>
    </row>
    <row r="22" spans="1:21">
      <c r="A22" s="5" t="s">
        <v>5</v>
      </c>
      <c r="B22" s="5" t="s">
        <v>6</v>
      </c>
      <c r="E22" s="6">
        <v>1</v>
      </c>
      <c r="F22" s="6" t="str">
        <f t="array" ref="F22">IFERROR(INDEX($B$22:$B$610,SMALL(IF($A$22:$A$610=F$21,ROW(Roads!$A$22:$A$610)),Roads!$E22)-ROW(RoadList)),"")</f>
        <v>Afar</v>
      </c>
      <c r="G22" s="6" t="str">
        <f t="array" ref="G22">IFERROR(INDEX($B$22:$B$610,SMALL(IF($A$22:$A$610=G$21,ROW(Roads!$A$22:$A$610)),Roads!$E22)-ROW(RoadList)),"")</f>
        <v>AddisAbaba</v>
      </c>
      <c r="H22" s="6" t="str">
        <f t="array" ref="H22">IFERROR(INDEX($B$22:$B$610,SMALL(IF($A$22:$A$610=H$21,ROW(Roads!$A$22:$A$610)),Roads!$E22)-ROW(RoadList)),"")</f>
        <v>AddisAbaba</v>
      </c>
      <c r="I22" s="6" t="str">
        <f t="array" ref="I22">IFERROR(INDEX($B$22:$B$610,SMALL(IF($A$22:$A$610=I$21,ROW(Roads!$A$22:$A$610)),Roads!$E22)-ROW(RoadList)),"")</f>
        <v>AddisAbaba</v>
      </c>
      <c r="J22" s="6" t="str">
        <f t="array" ref="J22">IFERROR(INDEX($B$22:$B$610,SMALL(IF($A$22:$A$610=J$21,ROW(Roads!$A$22:$A$610)),Roads!$E22)-ROW(RoadList)),"")</f>
        <v>AddisAbaba</v>
      </c>
      <c r="K22" s="6" t="str">
        <f t="array" ref="K22">IFERROR(INDEX($B$22:$B$610,SMALL(IF($A$22:$A$610=K$21,ROW(Roads!$A$22:$A$610)),Roads!$E22)-ROW(RoadList)),"")</f>
        <v>AddisAbaba</v>
      </c>
      <c r="L22" s="6" t="str">
        <f t="array" ref="L22">IFERROR(INDEX($B$22:$B$610,SMALL(IF($A$22:$A$610=L$21,ROW(Roads!$A$22:$A$610)),Roads!$E22)-ROW(RoadList)),"")</f>
        <v>AddisAbaba</v>
      </c>
      <c r="M22" s="6" t="str">
        <f t="array" ref="M22">IFERROR(INDEX($B$22:$B$610,SMALL(IF($A$22:$A$610=M$21,ROW(Roads!$A$22:$A$610)),Roads!$E22)-ROW(RoadList)),"")</f>
        <v>AddisAbaba</v>
      </c>
      <c r="N22" s="6" t="str">
        <f t="array" ref="N22">IFERROR(INDEX($B$22:$B$610,SMALL(IF($A$22:$A$610=N$21,ROW(Roads!$A$22:$A$610)),Roads!$E22)-ROW(RoadList)),"")</f>
        <v>AddisAbaba</v>
      </c>
      <c r="O22" s="6" t="str">
        <f t="array" ref="O22">IFERROR(INDEX($B$22:$B$610,SMALL(IF($A$22:$A$610=O$21,ROW(Roads!$A$22:$A$610)),Roads!$E22)-ROW(RoadList)),"")</f>
        <v>AddisAbaba</v>
      </c>
      <c r="P22" s="6" t="str">
        <f t="array" ref="P22">IFERROR(INDEX($B$22:$B$610,SMALL(IF($A$22:$A$610=P$21,ROW(Roads!$A$22:$A$610)),Roads!$E22)-ROW(RoadList)),"")</f>
        <v>AddisAbaba</v>
      </c>
    </row>
    <row r="23" spans="1:21">
      <c r="A23" s="5" t="s">
        <v>5</v>
      </c>
      <c r="B23" s="5" t="s">
        <v>7</v>
      </c>
      <c r="E23" s="6">
        <f>E22+1</f>
        <v>2</v>
      </c>
      <c r="F23" s="6" t="str">
        <f t="array" ref="F23">IFERROR(INDEX($B$22:$B$610,SMALL(IF($A$22:$A$610=F$21,ROW(Roads!$A$22:$A$610)),Roads!$E23)-ROW(RoadList)),"")</f>
        <v>Amhara</v>
      </c>
      <c r="G23" s="6" t="str">
        <f t="array" ref="G23">IFERROR(INDEX($B$22:$B$610,SMALL(IF($A$22:$A$610=G$21,ROW(Roads!$A$22:$A$610)),Roads!$E23)-ROW(RoadList)),"")</f>
        <v>Gambela</v>
      </c>
      <c r="H23" s="6" t="str">
        <f t="array" ref="H23">IFERROR(INDEX($B$22:$B$610,SMALL(IF($A$22:$A$610=H$21,ROW(Roads!$A$22:$A$610)),Roads!$E23)-ROW(RoadList)),"")</f>
        <v>Gumuz</v>
      </c>
      <c r="I23" s="6" t="str">
        <f t="array" ref="I23">IFERROR(INDEX($B$22:$B$610,SMALL(IF($A$22:$A$610=I$21,ROW(Roads!$A$22:$A$610)),Roads!$E23)-ROW(RoadList)),"")</f>
        <v>Afar</v>
      </c>
      <c r="J23" s="6" t="str">
        <f t="array" ref="J23">IFERROR(INDEX($B$22:$B$610,SMALL(IF($A$22:$A$610=J$21,ROW(Roads!$A$22:$A$610)),Roads!$E23)-ROW(RoadList)),"")</f>
        <v>Gambela</v>
      </c>
      <c r="K23" s="6" t="str">
        <f t="array" ref="K23">IFERROR(INDEX($B$22:$B$610,SMALL(IF($A$22:$A$610=K$21,ROW(Roads!$A$22:$A$610)),Roads!$E23)-ROW(RoadList)),"")</f>
        <v>Afar</v>
      </c>
      <c r="L23" s="6" t="str">
        <f t="array" ref="L23">IFERROR(INDEX($B$22:$B$610,SMALL(IF($A$22:$A$610=L$21,ROW(Roads!$A$22:$A$610)),Roads!$E23)-ROW(RoadList)),"")</f>
        <v>Afar</v>
      </c>
      <c r="M23" s="6" t="str">
        <f t="array" ref="M23">IFERROR(INDEX($B$22:$B$610,SMALL(IF($A$22:$A$610=M$21,ROW(Roads!$A$22:$A$610)),Roads!$E23)-ROW(RoadList)),"")</f>
        <v>Afar</v>
      </c>
      <c r="N23" s="6" t="str">
        <f t="array" ref="N23">IFERROR(INDEX($B$22:$B$610,SMALL(IF($A$22:$A$610=N$21,ROW(Roads!$A$22:$A$610)),Roads!$E23)-ROW(RoadList)),"")</f>
        <v>Amhara</v>
      </c>
      <c r="O23" s="6" t="str">
        <f t="array" ref="O23">IFERROR(INDEX($B$22:$B$610,SMALL(IF($A$22:$A$610=O$21,ROW(Roads!$A$22:$A$610)),Roads!$E23)-ROW(RoadList)),"")</f>
        <v>Afar</v>
      </c>
      <c r="P23" s="6" t="str">
        <f t="array" ref="P23">IFERROR(INDEX($B$22:$B$610,SMALL(IF($A$22:$A$610=P$21,ROW(Roads!$A$22:$A$610)),Roads!$E23)-ROW(RoadList)),"")</f>
        <v>Amhara</v>
      </c>
    </row>
    <row r="24" spans="1:21">
      <c r="A24" s="5" t="s">
        <v>5</v>
      </c>
      <c r="B24" s="5" t="s">
        <v>9</v>
      </c>
      <c r="E24" s="6">
        <f t="shared" ref="E24:E32" si="14">E23+1</f>
        <v>3</v>
      </c>
      <c r="F24" s="6" t="str">
        <f t="array" ref="F24">IFERROR(INDEX($B$22:$B$610,SMALL(IF($A$22:$A$610=F$21,ROW(Roads!$A$22:$A$610)),Roads!$E24)-ROW(RoadList)),"")</f>
        <v>DireDawa</v>
      </c>
      <c r="G24" s="6" t="str">
        <f t="array" ref="G24">IFERROR(INDEX($B$22:$B$610,SMALL(IF($A$22:$A$610=G$21,ROW(Roads!$A$22:$A$610)),Roads!$E24)-ROW(RoadList)),"")</f>
        <v>Gumuz</v>
      </c>
      <c r="H24" s="6" t="str">
        <f t="array" ref="H24">IFERROR(INDEX($B$22:$B$610,SMALL(IF($A$22:$A$610=H$21,ROW(Roads!$A$22:$A$610)),Roads!$E24)-ROW(RoadList)),"")</f>
        <v>Harari</v>
      </c>
      <c r="I24" s="6" t="str">
        <f t="array" ref="I24">IFERROR(INDEX($B$22:$B$610,SMALL(IF($A$22:$A$610=I$21,ROW(Roads!$A$22:$A$610)),Roads!$E24)-ROW(RoadList)),"")</f>
        <v>Amhara</v>
      </c>
      <c r="J24" s="6" t="str">
        <f t="array" ref="J24">IFERROR(INDEX($B$22:$B$610,SMALL(IF($A$22:$A$610=J$21,ROW(Roads!$A$22:$A$610)),Roads!$E24)-ROW(RoadList)),"")</f>
        <v>Gumuz</v>
      </c>
      <c r="K24" s="6" t="str">
        <f t="array" ref="K24">IFERROR(INDEX($B$22:$B$610,SMALL(IF($A$22:$A$610=K$21,ROW(Roads!$A$22:$A$610)),Roads!$E24)-ROW(RoadList)),"")</f>
        <v>DireDawa</v>
      </c>
      <c r="L24" s="6" t="str">
        <f t="array" ref="L24">IFERROR(INDEX($B$22:$B$610,SMALL(IF($A$22:$A$610=L$21,ROW(Roads!$A$22:$A$610)),Roads!$E24)-ROW(RoadList)),"")</f>
        <v>Amhara</v>
      </c>
      <c r="M24" s="6" t="str">
        <f t="array" ref="M24">IFERROR(INDEX($B$22:$B$610,SMALL(IF($A$22:$A$610=M$21,ROW(Roads!$A$22:$A$610)),Roads!$E24)-ROW(RoadList)),"")</f>
        <v>DireDawa</v>
      </c>
      <c r="N24" s="6" t="str">
        <f t="array" ref="N24">IFERROR(INDEX($B$22:$B$610,SMALL(IF($A$22:$A$610=N$21,ROW(Roads!$A$22:$A$610)),Roads!$E24)-ROW(RoadList)),"")</f>
        <v>Gambela</v>
      </c>
      <c r="O24" s="6" t="str">
        <f t="array" ref="O24">IFERROR(INDEX($B$22:$B$610,SMALL(IF($A$22:$A$610=O$21,ROW(Roads!$A$22:$A$610)),Roads!$E24)-ROW(RoadList)),"")</f>
        <v>Amhara</v>
      </c>
      <c r="P24" s="6" t="str">
        <f t="array" ref="P24">IFERROR(INDEX($B$22:$B$610,SMALL(IF($A$22:$A$610=P$21,ROW(Roads!$A$22:$A$610)),Roads!$E24)-ROW(RoadList)),"")</f>
        <v>DireDawa</v>
      </c>
    </row>
    <row r="25" spans="1:21">
      <c r="A25" s="5" t="s">
        <v>5</v>
      </c>
      <c r="B25" s="5" t="s">
        <v>10</v>
      </c>
      <c r="E25" s="6">
        <f t="shared" si="14"/>
        <v>4</v>
      </c>
      <c r="F25" s="6" t="str">
        <f t="array" ref="F25">IFERROR(INDEX($B$22:$B$610,SMALL(IF($A$22:$A$610=F$21,ROW(Roads!$A$22:$A$610)),Roads!$E25)-ROW(RoadList)),"")</f>
        <v>Gambela</v>
      </c>
      <c r="G25" s="6" t="str">
        <f t="array" ref="G25">IFERROR(INDEX($B$22:$B$610,SMALL(IF($A$22:$A$610=G$21,ROW(Roads!$A$22:$A$610)),Roads!$E25)-ROW(RoadList)),"")</f>
        <v>Harari</v>
      </c>
      <c r="H25" s="6" t="str">
        <f t="array" ref="H25">IFERROR(INDEX($B$22:$B$610,SMALL(IF($A$22:$A$610=H$21,ROW(Roads!$A$22:$A$610)),Roads!$E25)-ROW(RoadList)),"")</f>
        <v>SNNPR</v>
      </c>
      <c r="I25" s="6" t="str">
        <f t="array" ref="I25">IFERROR(INDEX($B$22:$B$610,SMALL(IF($A$22:$A$610=I$21,ROW(Roads!$A$22:$A$610)),Roads!$E25)-ROW(RoadList)),"")</f>
        <v>DireDawa</v>
      </c>
      <c r="J25" s="6" t="str">
        <f t="array" ref="J25">IFERROR(INDEX($B$22:$B$610,SMALL(IF($A$22:$A$610=J$21,ROW(Roads!$A$22:$A$610)),Roads!$E25)-ROW(RoadList)),"")</f>
        <v>Harari</v>
      </c>
      <c r="K25" s="6" t="str">
        <f t="array" ref="K25">IFERROR(INDEX($B$22:$B$610,SMALL(IF($A$22:$A$610=K$21,ROW(Roads!$A$22:$A$610)),Roads!$E25)-ROW(RoadList)),"")</f>
        <v>Oromia</v>
      </c>
      <c r="L25" s="6" t="str">
        <f t="array" ref="L25">IFERROR(INDEX($B$22:$B$610,SMALL(IF($A$22:$A$610=L$21,ROW(Roads!$A$22:$A$610)),Roads!$E25)-ROW(RoadList)),"")</f>
        <v>DireDawa</v>
      </c>
      <c r="M25" s="6" t="str">
        <f t="array" ref="M25">IFERROR(INDEX($B$22:$B$610,SMALL(IF($A$22:$A$610=M$21,ROW(Roads!$A$22:$A$610)),Roads!$E25)-ROW(RoadList)),"")</f>
        <v>Gambela</v>
      </c>
      <c r="N25" s="6" t="str">
        <f t="array" ref="N25">IFERROR(INDEX($B$22:$B$610,SMALL(IF($A$22:$A$610=N$21,ROW(Roads!$A$22:$A$610)),Roads!$E25)-ROW(RoadList)),"")</f>
        <v>Harari</v>
      </c>
      <c r="O25" s="6" t="str">
        <f t="array" ref="O25">IFERROR(INDEX($B$22:$B$610,SMALL(IF($A$22:$A$610=O$21,ROW(Roads!$A$22:$A$610)),Roads!$E25)-ROW(RoadList)),"")</f>
        <v>Gambela</v>
      </c>
      <c r="P25" s="6" t="str">
        <f t="array" ref="P25">IFERROR(INDEX($B$22:$B$610,SMALL(IF($A$22:$A$610=P$21,ROW(Roads!$A$22:$A$610)),Roads!$E25)-ROW(RoadList)),"")</f>
        <v>Gambela</v>
      </c>
    </row>
    <row r="26" spans="1:21">
      <c r="A26" s="5" t="s">
        <v>5</v>
      </c>
      <c r="B26" s="5" t="s">
        <v>8</v>
      </c>
      <c r="E26" s="6">
        <f t="shared" si="14"/>
        <v>5</v>
      </c>
      <c r="F26" s="6" t="str">
        <f t="array" ref="F26">IFERROR(INDEX($B$22:$B$610,SMALL(IF($A$22:$A$610=F$21,ROW(Roads!$A$22:$A$610)),Roads!$E26)-ROW(RoadList)),"")</f>
        <v>Gumuz</v>
      </c>
      <c r="G26" s="6" t="str">
        <f t="array" ref="G26">IFERROR(INDEX($B$22:$B$610,SMALL(IF($A$22:$A$610=G$21,ROW(Roads!$A$22:$A$610)),Roads!$E26)-ROW(RoadList)),"")</f>
        <v>Oromia</v>
      </c>
      <c r="H26" s="6" t="str">
        <f t="array" ref="H26">IFERROR(INDEX($B$22:$B$610,SMALL(IF($A$22:$A$610=H$21,ROW(Roads!$A$22:$A$610)),Roads!$E26)-ROW(RoadList)),"")</f>
        <v>Somali</v>
      </c>
      <c r="I26" s="6" t="str">
        <f t="array" ref="I26">IFERROR(INDEX($B$22:$B$610,SMALL(IF($A$22:$A$610=I$21,ROW(Roads!$A$22:$A$610)),Roads!$E26)-ROW(RoadList)),"")</f>
        <v>Oromia</v>
      </c>
      <c r="J26" s="6" t="str">
        <f t="array" ref="J26">IFERROR(INDEX($B$22:$B$610,SMALL(IF($A$22:$A$610=J$21,ROW(Roads!$A$22:$A$610)),Roads!$E26)-ROW(RoadList)),"")</f>
        <v>Oromia</v>
      </c>
      <c r="K26" s="6" t="str">
        <f t="array" ref="K26">IFERROR(INDEX($B$22:$B$610,SMALL(IF($A$22:$A$610=K$21,ROW(Roads!$A$22:$A$610)),Roads!$E26)-ROW(RoadList)),"")</f>
        <v>SNNPR</v>
      </c>
      <c r="L26" s="6" t="str">
        <f t="array" ref="L26">IFERROR(INDEX($B$22:$B$610,SMALL(IF($A$22:$A$610=L$21,ROW(Roads!$A$22:$A$610)),Roads!$E26)-ROW(RoadList)),"")</f>
        <v>SNNPR</v>
      </c>
      <c r="M26" s="6" t="str">
        <f t="array" ref="M26">IFERROR(INDEX($B$22:$B$610,SMALL(IF($A$22:$A$610=M$21,ROW(Roads!$A$22:$A$610)),Roads!$E26)-ROW(RoadList)),"")</f>
        <v>Gumuz</v>
      </c>
      <c r="N26" s="6" t="str">
        <f t="array" ref="N26">IFERROR(INDEX($B$22:$B$610,SMALL(IF($A$22:$A$610=N$21,ROW(Roads!$A$22:$A$610)),Roads!$E26)-ROW(RoadList)),"")</f>
        <v>Oromia</v>
      </c>
      <c r="O26" s="6" t="str">
        <f t="array" ref="O26">IFERROR(INDEX($B$22:$B$610,SMALL(IF($A$22:$A$610=O$21,ROW(Roads!$A$22:$A$610)),Roads!$E26)-ROW(RoadList)),"")</f>
        <v>Harari</v>
      </c>
      <c r="P26" s="6" t="str">
        <f t="array" ref="P26">IFERROR(INDEX($B$22:$B$610,SMALL(IF($A$22:$A$610=P$21,ROW(Roads!$A$22:$A$610)),Roads!$E26)-ROW(RoadList)),"")</f>
        <v>Gumuz</v>
      </c>
    </row>
    <row r="27" spans="1:21">
      <c r="A27" s="5" t="s">
        <v>5</v>
      </c>
      <c r="B27" s="5" t="s">
        <v>11</v>
      </c>
      <c r="E27" s="6">
        <f t="shared" si="14"/>
        <v>6</v>
      </c>
      <c r="F27" s="6" t="str">
        <f t="array" ref="F27">IFERROR(INDEX($B$22:$B$610,SMALL(IF($A$22:$A$610=F$21,ROW(Roads!$A$22:$A$610)),Roads!$E27)-ROW(RoadList)),"")</f>
        <v>Harari</v>
      </c>
      <c r="G27" s="6" t="str">
        <f t="array" ref="G27">IFERROR(INDEX($B$22:$B$610,SMALL(IF($A$22:$A$610=G$21,ROW(Roads!$A$22:$A$610)),Roads!$E27)-ROW(RoadList)),"")</f>
        <v>SNNPR</v>
      </c>
      <c r="H27" s="6" t="str">
        <f t="array" ref="H27">IFERROR(INDEX($B$22:$B$610,SMALL(IF($A$22:$A$610=H$21,ROW(Roads!$A$22:$A$610)),Roads!$E27)-ROW(RoadList)),"")</f>
        <v>Tigray</v>
      </c>
      <c r="I27" s="6" t="str">
        <f t="array" ref="I27">IFERROR(INDEX($B$22:$B$610,SMALL(IF($A$22:$A$610=I$21,ROW(Roads!$A$22:$A$610)),Roads!$E27)-ROW(RoadList)),"")</f>
        <v>Tigray</v>
      </c>
      <c r="J27" s="6" t="str">
        <f t="array" ref="J27">IFERROR(INDEX($B$22:$B$610,SMALL(IF($A$22:$A$610=J$21,ROW(Roads!$A$22:$A$610)),Roads!$E27)-ROW(RoadList)),"")</f>
        <v>Tigray</v>
      </c>
      <c r="K27" s="6" t="str">
        <f t="array" ref="K27">IFERROR(INDEX($B$22:$B$610,SMALL(IF($A$22:$A$610=K$21,ROW(Roads!$A$22:$A$610)),Roads!$E27)-ROW(RoadList)),"")</f>
        <v>Somali</v>
      </c>
      <c r="L27" s="6" t="str">
        <f t="array" ref="L27">IFERROR(INDEX($B$22:$B$610,SMALL(IF($A$22:$A$610=L$21,ROW(Roads!$A$22:$A$610)),Roads!$E27)-ROW(RoadList)),"")</f>
        <v>Somali</v>
      </c>
      <c r="M27" s="6" t="str">
        <f t="array" ref="M27">IFERROR(INDEX($B$22:$B$610,SMALL(IF($A$22:$A$610=M$21,ROW(Roads!$A$22:$A$610)),Roads!$E27)-ROW(RoadList)),"")</f>
        <v>Somali</v>
      </c>
      <c r="N27" s="6" t="str">
        <f t="array" ref="N27">IFERROR(INDEX($B$22:$B$610,SMALL(IF($A$22:$A$610=N$21,ROW(Roads!$A$22:$A$610)),Roads!$E27)-ROW(RoadList)),"")</f>
        <v>SNNPR</v>
      </c>
      <c r="O27" s="6" t="str">
        <f t="array" ref="O27">IFERROR(INDEX($B$22:$B$610,SMALL(IF($A$22:$A$610=O$21,ROW(Roads!$A$22:$A$610)),Roads!$E27)-ROW(RoadList)),"")</f>
        <v>Somali</v>
      </c>
      <c r="P27" s="6" t="str">
        <f t="array" ref="P27">IFERROR(INDEX($B$22:$B$610,SMALL(IF($A$22:$A$610=P$21,ROW(Roads!$A$22:$A$610)),Roads!$E27)-ROW(RoadList)),"")</f>
        <v>Harari</v>
      </c>
    </row>
    <row r="28" spans="1:21">
      <c r="A28" s="5" t="s">
        <v>5</v>
      </c>
      <c r="B28" s="5" t="s">
        <v>12</v>
      </c>
      <c r="E28" s="6">
        <f t="shared" si="14"/>
        <v>7</v>
      </c>
      <c r="F28" s="6" t="str">
        <f t="array" ref="F28">IFERROR(INDEX($B$22:$B$610,SMALL(IF($A$22:$A$610=F$21,ROW(Roads!$A$22:$A$610)),Roads!$E28)-ROW(RoadList)),"")</f>
        <v>Oromia</v>
      </c>
      <c r="G28" s="6" t="str">
        <f t="array" ref="G28">IFERROR(INDEX($B$22:$B$610,SMALL(IF($A$22:$A$610=G$21,ROW(Roads!$A$22:$A$610)),Roads!$E28)-ROW(RoadList)),"")</f>
        <v/>
      </c>
      <c r="H28" s="6" t="str">
        <f t="array" ref="H28">IFERROR(INDEX($B$22:$B$610,SMALL(IF($A$22:$A$610=H$21,ROW(Roads!$A$22:$A$610)),Roads!$E28)-ROW(RoadList)),"")</f>
        <v/>
      </c>
      <c r="I28" s="6" t="str">
        <f t="array" ref="I28">IFERROR(INDEX($B$22:$B$610,SMALL(IF($A$22:$A$610=I$21,ROW(Roads!$A$22:$A$610)),Roads!$E28)-ROW(RoadList)),"")</f>
        <v/>
      </c>
      <c r="J28" s="6" t="str">
        <f t="array" ref="J28">IFERROR(INDEX($B$22:$B$610,SMALL(IF($A$22:$A$610=J$21,ROW(Roads!$A$22:$A$610)),Roads!$E28)-ROW(RoadList)),"")</f>
        <v/>
      </c>
      <c r="K28" s="6" t="str">
        <f t="array" ref="K28">IFERROR(INDEX($B$22:$B$610,SMALL(IF($A$22:$A$610=K$21,ROW(Roads!$A$22:$A$610)),Roads!$E28)-ROW(RoadList)),"")</f>
        <v>Tigray</v>
      </c>
      <c r="L28" s="6" t="str">
        <f t="array" ref="L28">IFERROR(INDEX($B$22:$B$610,SMALL(IF($A$22:$A$610=L$21,ROW(Roads!$A$22:$A$610)),Roads!$E28)-ROW(RoadList)),"")</f>
        <v/>
      </c>
      <c r="M28" s="6" t="str">
        <f t="array" ref="M28">IFERROR(INDEX($B$22:$B$610,SMALL(IF($A$22:$A$610=M$21,ROW(Roads!$A$22:$A$610)),Roads!$E28)-ROW(RoadList)),"")</f>
        <v/>
      </c>
      <c r="N28" s="6" t="str">
        <f t="array" ref="N28">IFERROR(INDEX($B$22:$B$610,SMALL(IF($A$22:$A$610=N$21,ROW(Roads!$A$22:$A$610)),Roads!$E28)-ROW(RoadList)),"")</f>
        <v/>
      </c>
      <c r="O28" s="6" t="str">
        <f t="array" ref="O28">IFERROR(INDEX($B$22:$B$610,SMALL(IF($A$22:$A$610=O$21,ROW(Roads!$A$22:$A$610)),Roads!$E28)-ROW(RoadList)),"")</f>
        <v>Tigray</v>
      </c>
      <c r="P28" s="6" t="str">
        <f t="array" ref="P28">IFERROR(INDEX($B$22:$B$610,SMALL(IF($A$22:$A$610=P$21,ROW(Roads!$A$22:$A$610)),Roads!$E28)-ROW(RoadList)),"")</f>
        <v>SNNPR</v>
      </c>
    </row>
    <row r="29" spans="1:21">
      <c r="A29" s="5" t="s">
        <v>5</v>
      </c>
      <c r="B29" s="5" t="s">
        <v>19</v>
      </c>
      <c r="E29" s="6">
        <f t="shared" si="14"/>
        <v>8</v>
      </c>
      <c r="F29" s="6" t="str">
        <f t="array" ref="F29">IFERROR(INDEX($B$22:$B$610,SMALL(IF($A$22:$A$610=F$21,ROW(Roads!$A$22:$A$610)),Roads!$E29)-ROW(RoadList)),"")</f>
        <v>SNNPR</v>
      </c>
      <c r="G29" s="6" t="str">
        <f t="array" ref="G29">IFERROR(INDEX($B$22:$B$610,SMALL(IF($A$22:$A$610=G$21,ROW(Roads!$A$22:$A$610)),Roads!$E29)-ROW(RoadList)),"")</f>
        <v/>
      </c>
      <c r="H29" s="6" t="str">
        <f t="array" ref="H29">IFERROR(INDEX($B$22:$B$610,SMALL(IF($A$22:$A$610=H$21,ROW(Roads!$A$22:$A$610)),Roads!$E29)-ROW(RoadList)),"")</f>
        <v/>
      </c>
      <c r="I29" s="6" t="str">
        <f t="array" ref="I29">IFERROR(INDEX($B$22:$B$610,SMALL(IF($A$22:$A$610=I$21,ROW(Roads!$A$22:$A$610)),Roads!$E29)-ROW(RoadList)),"")</f>
        <v/>
      </c>
      <c r="J29" s="6" t="str">
        <f t="array" ref="J29">IFERROR(INDEX($B$22:$B$610,SMALL(IF($A$22:$A$610=J$21,ROW(Roads!$A$22:$A$610)),Roads!$E29)-ROW(RoadList)),"")</f>
        <v/>
      </c>
      <c r="K29" s="6" t="str">
        <f t="array" ref="K29">IFERROR(INDEX($B$22:$B$610,SMALL(IF($A$22:$A$610=K$21,ROW(Roads!$A$22:$A$610)),Roads!$E29)-ROW(RoadList)),"")</f>
        <v/>
      </c>
      <c r="L29" s="6" t="str">
        <f t="array" ref="L29">IFERROR(INDEX($B$22:$B$610,SMALL(IF($A$22:$A$610=L$21,ROW(Roads!$A$22:$A$610)),Roads!$E29)-ROW(RoadList)),"")</f>
        <v/>
      </c>
      <c r="M29" s="6" t="str">
        <f t="array" ref="M29">IFERROR(INDEX($B$22:$B$610,SMALL(IF($A$22:$A$610=M$21,ROW(Roads!$A$22:$A$610)),Roads!$E29)-ROW(RoadList)),"")</f>
        <v/>
      </c>
      <c r="N29" s="6" t="str">
        <f t="array" ref="N29">IFERROR(INDEX($B$22:$B$610,SMALL(IF($A$22:$A$610=N$21,ROW(Roads!$A$22:$A$610)),Roads!$E29)-ROW(RoadList)),"")</f>
        <v/>
      </c>
      <c r="O29" s="6" t="str">
        <f t="array" ref="O29">IFERROR(INDEX($B$22:$B$610,SMALL(IF($A$22:$A$610=O$21,ROW(Roads!$A$22:$A$610)),Roads!$E29)-ROW(RoadList)),"")</f>
        <v/>
      </c>
      <c r="P29" s="6" t="str">
        <f t="array" ref="P29">IFERROR(INDEX($B$22:$B$610,SMALL(IF($A$22:$A$610=P$21,ROW(Roads!$A$22:$A$610)),Roads!$E29)-ROW(RoadList)),"")</f>
        <v/>
      </c>
    </row>
    <row r="30" spans="1:21">
      <c r="A30" s="5" t="s">
        <v>5</v>
      </c>
      <c r="B30" s="5" t="s">
        <v>13</v>
      </c>
      <c r="E30" s="6">
        <f t="shared" si="14"/>
        <v>9</v>
      </c>
      <c r="F30" s="6" t="str">
        <f t="array" ref="F30">IFERROR(INDEX($B$22:$B$610,SMALL(IF($A$22:$A$610=F$21,ROW(Roads!$A$22:$A$610)),Roads!$E30)-ROW(RoadList)),"")</f>
        <v>Somali</v>
      </c>
      <c r="G30" s="6" t="str">
        <f t="array" ref="G30">IFERROR(INDEX($B$22:$B$610,SMALL(IF($A$22:$A$610=G$21,ROW(Roads!$A$22:$A$610)),Roads!$E30)-ROW(RoadList)),"")</f>
        <v/>
      </c>
      <c r="H30" s="6" t="str">
        <f t="array" ref="H30">IFERROR(INDEX($B$22:$B$610,SMALL(IF($A$22:$A$610=H$21,ROW(Roads!$A$22:$A$610)),Roads!$E30)-ROW(RoadList)),"")</f>
        <v/>
      </c>
      <c r="I30" s="6" t="str">
        <f t="array" ref="I30">IFERROR(INDEX($B$22:$B$610,SMALL(IF($A$22:$A$610=I$21,ROW(Roads!$A$22:$A$610)),Roads!$E30)-ROW(RoadList)),"")</f>
        <v/>
      </c>
      <c r="J30" s="6" t="str">
        <f t="array" ref="J30">IFERROR(INDEX($B$22:$B$610,SMALL(IF($A$22:$A$610=J$21,ROW(Roads!$A$22:$A$610)),Roads!$E30)-ROW(RoadList)),"")</f>
        <v/>
      </c>
      <c r="K30" s="6" t="str">
        <f t="array" ref="K30">IFERROR(INDEX($B$22:$B$610,SMALL(IF($A$22:$A$610=K$21,ROW(Roads!$A$22:$A$610)),Roads!$E30)-ROW(RoadList)),"")</f>
        <v/>
      </c>
      <c r="L30" s="6" t="str">
        <f t="array" ref="L30">IFERROR(INDEX($B$22:$B$610,SMALL(IF($A$22:$A$610=L$21,ROW(Roads!$A$22:$A$610)),Roads!$E30)-ROW(RoadList)),"")</f>
        <v/>
      </c>
      <c r="M30" s="6" t="str">
        <f t="array" ref="M30">IFERROR(INDEX($B$22:$B$610,SMALL(IF($A$22:$A$610=M$21,ROW(Roads!$A$22:$A$610)),Roads!$E30)-ROW(RoadList)),"")</f>
        <v/>
      </c>
      <c r="N30" s="6" t="str">
        <f t="array" ref="N30">IFERROR(INDEX($B$22:$B$610,SMALL(IF($A$22:$A$610=N$21,ROW(Roads!$A$22:$A$610)),Roads!$E30)-ROW(RoadList)),"")</f>
        <v/>
      </c>
      <c r="O30" s="6" t="str">
        <f t="array" ref="O30">IFERROR(INDEX($B$22:$B$610,SMALL(IF($A$22:$A$610=O$21,ROW(Roads!$A$22:$A$610)),Roads!$E30)-ROW(RoadList)),"")</f>
        <v/>
      </c>
      <c r="P30" s="6" t="str">
        <f t="array" ref="P30">IFERROR(INDEX($B$22:$B$610,SMALL(IF($A$22:$A$610=P$21,ROW(Roads!$A$22:$A$610)),Roads!$E30)-ROW(RoadList)),"")</f>
        <v/>
      </c>
    </row>
    <row r="31" spans="1:21">
      <c r="A31" s="5" t="s">
        <v>5</v>
      </c>
      <c r="B31" s="5" t="s">
        <v>14</v>
      </c>
      <c r="E31" s="6">
        <f t="shared" si="14"/>
        <v>10</v>
      </c>
      <c r="F31" s="6" t="str">
        <f t="array" ref="F31">IFERROR(INDEX($B$22:$B$610,SMALL(IF($A$22:$A$610=F$21,ROW(Roads!$A$22:$A$610)),Roads!$E31)-ROW(RoadList)),"")</f>
        <v>Tigray</v>
      </c>
      <c r="G31" s="6" t="str">
        <f t="array" ref="G31">IFERROR(INDEX($B$22:$B$610,SMALL(IF($A$22:$A$610=G$21,ROW(Roads!$A$22:$A$610)),Roads!$E31)-ROW(RoadList)),"")</f>
        <v/>
      </c>
      <c r="H31" s="6" t="str">
        <f t="array" ref="H31">IFERROR(INDEX($B$22:$B$610,SMALL(IF($A$22:$A$610=H$21,ROW(Roads!$A$22:$A$610)),Roads!$E31)-ROW(RoadList)),"")</f>
        <v/>
      </c>
      <c r="I31" s="6" t="str">
        <f t="array" ref="I31">IFERROR(INDEX($B$22:$B$610,SMALL(IF($A$22:$A$610=I$21,ROW(Roads!$A$22:$A$610)),Roads!$E31)-ROW(RoadList)),"")</f>
        <v/>
      </c>
      <c r="J31" s="6" t="str">
        <f t="array" ref="J31">IFERROR(INDEX($B$22:$B$610,SMALL(IF($A$22:$A$610=J$21,ROW(Roads!$A$22:$A$610)),Roads!$E31)-ROW(RoadList)),"")</f>
        <v/>
      </c>
      <c r="K31" s="6" t="str">
        <f t="array" ref="K31">IFERROR(INDEX($B$22:$B$610,SMALL(IF($A$22:$A$610=K$21,ROW(Roads!$A$22:$A$610)),Roads!$E31)-ROW(RoadList)),"")</f>
        <v/>
      </c>
      <c r="L31" s="6" t="str">
        <f t="array" ref="L31">IFERROR(INDEX($B$22:$B$610,SMALL(IF($A$22:$A$610=L$21,ROW(Roads!$A$22:$A$610)),Roads!$E31)-ROW(RoadList)),"")</f>
        <v/>
      </c>
      <c r="M31" s="6" t="str">
        <f t="array" ref="M31">IFERROR(INDEX($B$22:$B$610,SMALL(IF($A$22:$A$610=M$21,ROW(Roads!$A$22:$A$610)),Roads!$E31)-ROW(RoadList)),"")</f>
        <v/>
      </c>
      <c r="N31" s="6" t="str">
        <f t="array" ref="N31">IFERROR(INDEX($B$22:$B$610,SMALL(IF($A$22:$A$610=N$21,ROW(Roads!$A$22:$A$610)),Roads!$E31)-ROW(RoadList)),"")</f>
        <v/>
      </c>
      <c r="O31" s="6" t="str">
        <f t="array" ref="O31">IFERROR(INDEX($B$22:$B$610,SMALL(IF($A$22:$A$610=O$21,ROW(Roads!$A$22:$A$610)),Roads!$E31)-ROW(RoadList)),"")</f>
        <v/>
      </c>
      <c r="P31" s="6" t="str">
        <f t="array" ref="P31">IFERROR(INDEX($B$22:$B$610,SMALL(IF($A$22:$A$610=P$21,ROW(Roads!$A$22:$A$610)),Roads!$E31)-ROW(RoadList)),"")</f>
        <v/>
      </c>
    </row>
    <row r="32" spans="1:21">
      <c r="A32" s="5" t="s">
        <v>6</v>
      </c>
      <c r="B32" s="5" t="s">
        <v>5</v>
      </c>
      <c r="E32" s="6">
        <f t="shared" si="14"/>
        <v>11</v>
      </c>
      <c r="F32" s="6" t="str">
        <f t="array" ref="F32">IFERROR(INDEX($B$22:$B$610,SMALL(IF($A$22:$A$610=F$21,ROW(Roads!$A$22:$A$610)),Roads!$E32)-ROW(RoadList)),"")</f>
        <v/>
      </c>
      <c r="G32" s="6" t="str">
        <f t="array" ref="G32">IFERROR(INDEX($B$22:$B$610,SMALL(IF($A$22:$A$610=G$21,ROW(Roads!$A$22:$A$610)),Roads!$E32)-ROW(RoadList)),"")</f>
        <v/>
      </c>
      <c r="H32" s="6" t="str">
        <f t="array" ref="H32">IFERROR(INDEX($B$22:$B$610,SMALL(IF($A$22:$A$610=H$21,ROW(Roads!$A$22:$A$610)),Roads!$E32)-ROW(RoadList)),"")</f>
        <v/>
      </c>
      <c r="I32" s="6" t="str">
        <f t="array" ref="I32">IFERROR(INDEX($B$22:$B$610,SMALL(IF($A$22:$A$610=I$21,ROW(Roads!$A$22:$A$610)),Roads!$E32)-ROW(RoadList)),"")</f>
        <v/>
      </c>
      <c r="J32" s="6" t="str">
        <f t="array" ref="J32">IFERROR(INDEX($B$22:$B$610,SMALL(IF($A$22:$A$610=J$21,ROW(Roads!$A$22:$A$610)),Roads!$E32)-ROW(RoadList)),"")</f>
        <v/>
      </c>
      <c r="K32" s="6" t="str">
        <f t="array" ref="K32">IFERROR(INDEX($B$22:$B$610,SMALL(IF($A$22:$A$610=K$21,ROW(Roads!$A$22:$A$610)),Roads!$E32)-ROW(RoadList)),"")</f>
        <v/>
      </c>
      <c r="L32" s="6" t="str">
        <f t="array" ref="L32">IFERROR(INDEX($B$22:$B$610,SMALL(IF($A$22:$A$610=L$21,ROW(Roads!$A$22:$A$610)),Roads!$E32)-ROW(RoadList)),"")</f>
        <v/>
      </c>
      <c r="M32" s="6" t="str">
        <f t="array" ref="M32">IFERROR(INDEX($B$22:$B$610,SMALL(IF($A$22:$A$610=M$21,ROW(Roads!$A$22:$A$610)),Roads!$E32)-ROW(RoadList)),"")</f>
        <v/>
      </c>
      <c r="N32" s="6" t="str">
        <f t="array" ref="N32">IFERROR(INDEX($B$22:$B$610,SMALL(IF($A$22:$A$610=N$21,ROW(Roads!$A$22:$A$610)),Roads!$E32)-ROW(RoadList)),"")</f>
        <v/>
      </c>
      <c r="O32" s="6" t="str">
        <f t="array" ref="O32">IFERROR(INDEX($B$22:$B$610,SMALL(IF($A$22:$A$610=O$21,ROW(Roads!$A$22:$A$610)),Roads!$E32)-ROW(RoadList)),"")</f>
        <v/>
      </c>
      <c r="P32" s="6" t="str">
        <f t="array" ref="P32">IFERROR(INDEX($B$22:$B$610,SMALL(IF($A$22:$A$610=P$21,ROW(Roads!$A$22:$A$610)),Roads!$E32)-ROW(RoadList)),"")</f>
        <v/>
      </c>
    </row>
    <row r="33" spans="1:16">
      <c r="A33" s="5" t="s">
        <v>6</v>
      </c>
      <c r="B33" s="5" t="s">
        <v>10</v>
      </c>
      <c r="E33" s="6"/>
      <c r="F33" s="6" t="str">
        <f t="array" ref="F33">IFERROR(INDEX($B$22:$B$610,SMALL(IF($A$22:$A$610=F$21,ROW(Roads!$A$22:$A$610)),Roads!$E33)-ROW(RoadList)),"")</f>
        <v/>
      </c>
      <c r="G33" s="6" t="str">
        <f t="array" ref="G33">IFERROR(INDEX($B$22:$B$610,SMALL(IF($A$22:$A$610=G$21,ROW(Roads!$A$22:$A$610)),Roads!$E33)-ROW(RoadList)),"")</f>
        <v/>
      </c>
      <c r="H33" s="6" t="str">
        <f t="array" ref="H33">IFERROR(INDEX($B$22:$B$610,SMALL(IF($A$22:$A$610=H$21,ROW(Roads!$A$22:$A$610)),Roads!$E33)-ROW(RoadList)),"")</f>
        <v/>
      </c>
      <c r="I33" s="6" t="str">
        <f t="array" ref="I33">IFERROR(INDEX($B$22:$B$610,SMALL(IF($A$22:$A$610=I$21,ROW(Roads!$A$22:$A$610)),Roads!$E33)-ROW(RoadList)),"")</f>
        <v/>
      </c>
      <c r="J33" s="6" t="str">
        <f t="array" ref="J33">IFERROR(INDEX($B$22:$B$610,SMALL(IF($A$22:$A$610=J$21,ROW(Roads!$A$22:$A$610)),Roads!$E33)-ROW(RoadList)),"")</f>
        <v/>
      </c>
      <c r="K33" s="6" t="str">
        <f t="array" ref="K33">IFERROR(INDEX($B$22:$B$610,SMALL(IF($A$22:$A$610=K$21,ROW(Roads!$A$22:$A$610)),Roads!$E33)-ROW(RoadList)),"")</f>
        <v/>
      </c>
      <c r="L33" s="6" t="str">
        <f t="array" ref="L33">IFERROR(INDEX($B$22:$B$610,SMALL(IF($A$22:$A$610=L$21,ROW(Roads!$A$22:$A$610)),Roads!$E33)-ROW(RoadList)),"")</f>
        <v/>
      </c>
      <c r="M33" s="6" t="str">
        <f t="array" ref="M33">IFERROR(INDEX($B$22:$B$610,SMALL(IF($A$22:$A$610=M$21,ROW(Roads!$A$22:$A$610)),Roads!$E33)-ROW(RoadList)),"")</f>
        <v/>
      </c>
      <c r="N33" s="6" t="str">
        <f t="array" ref="N33">IFERROR(INDEX($B$22:$B$610,SMALL(IF($A$22:$A$610=N$21,ROW(Roads!$A$22:$A$610)),Roads!$E33)-ROW(RoadList)),"")</f>
        <v/>
      </c>
      <c r="O33" s="6" t="str">
        <f t="array" ref="O33">IFERROR(INDEX($B$22:$B$610,SMALL(IF($A$22:$A$610=O$21,ROW(Roads!$A$22:$A$610)),Roads!$E33)-ROW(RoadList)),"")</f>
        <v/>
      </c>
      <c r="P33" s="6" t="str">
        <f t="array" ref="P33">IFERROR(INDEX($B$22:$B$610,SMALL(IF($A$22:$A$610=P$21,ROW(Roads!$A$22:$A$610)),Roads!$E33)-ROW(RoadList)),"")</f>
        <v/>
      </c>
    </row>
    <row r="34" spans="1:16">
      <c r="A34" s="5" t="s">
        <v>6</v>
      </c>
      <c r="B34" s="5" t="s">
        <v>8</v>
      </c>
      <c r="E34" s="6"/>
      <c r="F34" s="6"/>
      <c r="G34" s="6"/>
      <c r="H34" s="6"/>
      <c r="I34" s="8"/>
      <c r="J34" s="8" t="str">
        <f>IF(ISERROR(INDEX($A$1:$B$8,SMALL(IF($A$1:$A$8=$E$1,ROW($A$1:$A$8)),ROW(1:1)),2)),"",INDEX($A$1:$B$8,SMALL(IF($A$1:$A$8=$E$1,ROW($A$1:$A$8)),ROW(1:1)),2))</f>
        <v/>
      </c>
      <c r="K34" s="6"/>
      <c r="L34" s="6"/>
      <c r="M34" s="6"/>
      <c r="N34" s="6"/>
      <c r="O34" s="6"/>
      <c r="P34" s="6"/>
    </row>
    <row r="35" spans="1:16">
      <c r="A35" s="5" t="s">
        <v>6</v>
      </c>
      <c r="B35" s="5" t="s">
        <v>11</v>
      </c>
      <c r="E35" s="6"/>
      <c r="F35" s="6"/>
      <c r="G35" s="6"/>
      <c r="H35" s="6"/>
      <c r="I35" s="8" t="str">
        <f t="array" ref="I35">IF(ISERROR(INDEX($A$1:$B$8,SMALL(IF($A$1:$A$8=$E$1,ROW($A$1:$A$8)),ROW(2:2)),2)),"",INDEX($A$1:$B$8,SMALL(IF($A$1:$A$8=$E$1,ROW($A$1:$A$8)),ROW(2:2)),2))</f>
        <v/>
      </c>
      <c r="J35" s="6"/>
      <c r="K35" s="6"/>
      <c r="L35" s="6"/>
      <c r="M35" s="6"/>
      <c r="N35" s="6"/>
      <c r="O35" s="6"/>
      <c r="P35" s="6"/>
    </row>
    <row r="36" spans="1:16">
      <c r="A36" s="5" t="s">
        <v>6</v>
      </c>
      <c r="B36" s="5" t="s">
        <v>12</v>
      </c>
      <c r="E36" s="6"/>
      <c r="F36" s="6"/>
      <c r="G36" s="6"/>
      <c r="H36" s="6"/>
      <c r="I36" s="8" t="str">
        <f t="array" ref="I36">IF(ISERROR(INDEX($A$1:$B$8,SMALL(IF($A$1:$A$8=$E$1,ROW($A$1:$A$8)),ROW(3:3)),2)),"",INDEX($A$1:$B$8,SMALL(IF($A$1:$A$8=$E$1,ROW($A$1:$A$8)),ROW(3:3)),2))</f>
        <v/>
      </c>
      <c r="J36" s="6"/>
      <c r="K36" s="6"/>
      <c r="L36" s="6"/>
      <c r="M36" s="6"/>
      <c r="N36" s="6"/>
      <c r="O36" s="6"/>
      <c r="P36" s="6"/>
    </row>
    <row r="37" spans="1:16">
      <c r="A37" s="5" t="s">
        <v>6</v>
      </c>
      <c r="B37" s="5" t="s">
        <v>19</v>
      </c>
      <c r="E37" s="6"/>
      <c r="F37" s="6"/>
      <c r="G37" s="6"/>
      <c r="H37" s="6"/>
      <c r="I37" s="8" t="str">
        <f t="array" ref="I37">IF(ISERROR(INDEX($A$1:$B$8,SMALL(IF($A$1:$A$8=$E$1,ROW($A$1:$A$8)),ROW(4:4)),2)),"",INDEX($A$1:$B$8,SMALL(IF($A$1:$A$8=$E$1,ROW($A$1:$A$8)),ROW(4:4)),2))</f>
        <v/>
      </c>
      <c r="J37" s="6"/>
      <c r="K37" s="6"/>
      <c r="L37" s="6"/>
      <c r="M37" s="6"/>
      <c r="N37" s="6"/>
      <c r="O37" s="6"/>
      <c r="P37" s="6"/>
    </row>
    <row r="38" spans="1:16">
      <c r="A38" s="5" t="s">
        <v>7</v>
      </c>
      <c r="B38" s="5" t="s">
        <v>5</v>
      </c>
      <c r="E38" s="6"/>
      <c r="F38" s="6"/>
      <c r="G38" s="6"/>
      <c r="H38" s="6"/>
      <c r="I38" s="8" t="str">
        <f t="array" ref="I38">IF(ISERROR(INDEX($A$1:$B$8,SMALL(IF($A$1:$A$8=$E$1,ROW($A$1:$A$8)),ROW(5:5)),2)),"",INDEX($A$1:$B$8,SMALL(IF($A$1:$A$8=$E$1,ROW($A$1:$A$8)),ROW(5:5)),2))</f>
        <v/>
      </c>
      <c r="J38" s="6"/>
      <c r="K38" s="6"/>
      <c r="L38" s="6"/>
      <c r="M38" s="6"/>
      <c r="N38" s="6"/>
      <c r="O38" s="6"/>
      <c r="P38" s="6"/>
    </row>
    <row r="39" spans="1:16">
      <c r="A39" s="5" t="s">
        <v>7</v>
      </c>
      <c r="B39" s="5" t="s">
        <v>8</v>
      </c>
    </row>
    <row r="40" spans="1:16">
      <c r="A40" s="5" t="s">
        <v>7</v>
      </c>
      <c r="B40" s="5" t="s">
        <v>11</v>
      </c>
    </row>
    <row r="41" spans="1:16">
      <c r="A41" s="5" t="s">
        <v>7</v>
      </c>
      <c r="B41" s="5" t="s">
        <v>19</v>
      </c>
    </row>
    <row r="42" spans="1:16">
      <c r="A42" s="5" t="s">
        <v>7</v>
      </c>
      <c r="B42" s="5" t="s">
        <v>13</v>
      </c>
    </row>
    <row r="43" spans="1:16">
      <c r="A43" s="5" t="s">
        <v>7</v>
      </c>
      <c r="B43" s="5" t="s">
        <v>14</v>
      </c>
    </row>
    <row r="44" spans="1:16">
      <c r="A44" s="5" t="s">
        <v>9</v>
      </c>
      <c r="B44" s="5" t="s">
        <v>5</v>
      </c>
    </row>
    <row r="45" spans="1:16">
      <c r="A45" s="5" t="s">
        <v>9</v>
      </c>
      <c r="B45" s="5" t="s">
        <v>10</v>
      </c>
    </row>
    <row r="46" spans="1:16">
      <c r="A46" s="5" t="s">
        <v>9</v>
      </c>
      <c r="B46" s="5" t="s">
        <v>8</v>
      </c>
    </row>
    <row r="47" spans="1:16">
      <c r="A47" s="5" t="s">
        <v>9</v>
      </c>
      <c r="B47" s="5" t="s">
        <v>11</v>
      </c>
    </row>
    <row r="48" spans="1:16">
      <c r="A48" s="5" t="s">
        <v>9</v>
      </c>
      <c r="B48" s="5" t="s">
        <v>12</v>
      </c>
    </row>
    <row r="49" spans="1:2">
      <c r="A49" s="5" t="s">
        <v>9</v>
      </c>
      <c r="B49" s="5" t="s">
        <v>14</v>
      </c>
    </row>
    <row r="50" spans="1:2">
      <c r="A50" s="5" t="s">
        <v>10</v>
      </c>
      <c r="B50" s="5" t="s">
        <v>5</v>
      </c>
    </row>
    <row r="51" spans="1:2">
      <c r="A51" s="5" t="s">
        <v>10</v>
      </c>
      <c r="B51" s="5" t="s">
        <v>6</v>
      </c>
    </row>
    <row r="52" spans="1:2">
      <c r="A52" s="5" t="s">
        <v>10</v>
      </c>
      <c r="B52" s="5" t="s">
        <v>9</v>
      </c>
    </row>
    <row r="53" spans="1:2">
      <c r="A53" s="5" t="s">
        <v>10</v>
      </c>
      <c r="B53" s="5" t="s">
        <v>12</v>
      </c>
    </row>
    <row r="54" spans="1:2">
      <c r="A54" s="5" t="s">
        <v>10</v>
      </c>
      <c r="B54" s="5" t="s">
        <v>19</v>
      </c>
    </row>
    <row r="55" spans="1:2">
      <c r="A55" s="5" t="s">
        <v>10</v>
      </c>
      <c r="B55" s="5" t="s">
        <v>13</v>
      </c>
    </row>
    <row r="56" spans="1:2">
      <c r="A56" s="5" t="s">
        <v>10</v>
      </c>
      <c r="B56" s="5" t="s">
        <v>14</v>
      </c>
    </row>
    <row r="57" spans="1:2">
      <c r="A57" s="5" t="s">
        <v>8</v>
      </c>
      <c r="B57" s="5" t="s">
        <v>5</v>
      </c>
    </row>
    <row r="58" spans="1:2">
      <c r="A58" s="5" t="s">
        <v>8</v>
      </c>
      <c r="B58" s="5" t="s">
        <v>6</v>
      </c>
    </row>
    <row r="59" spans="1:2">
      <c r="A59" s="5" t="s">
        <v>8</v>
      </c>
      <c r="B59" s="5" t="s">
        <v>7</v>
      </c>
    </row>
    <row r="60" spans="1:2">
      <c r="A60" s="5" t="s">
        <v>8</v>
      </c>
      <c r="B60" s="5" t="s">
        <v>9</v>
      </c>
    </row>
    <row r="61" spans="1:2">
      <c r="A61" s="5" t="s">
        <v>8</v>
      </c>
      <c r="B61" s="5" t="s">
        <v>12</v>
      </c>
    </row>
    <row r="62" spans="1:2">
      <c r="A62" s="5" t="s">
        <v>8</v>
      </c>
      <c r="B62" s="5" t="s">
        <v>14</v>
      </c>
    </row>
    <row r="63" spans="1:2">
      <c r="A63" s="5" t="s">
        <v>11</v>
      </c>
      <c r="B63" s="5" t="s">
        <v>5</v>
      </c>
    </row>
    <row r="64" spans="1:2">
      <c r="A64" s="5" t="s">
        <v>11</v>
      </c>
      <c r="B64" s="5" t="s">
        <v>6</v>
      </c>
    </row>
    <row r="65" spans="1:2">
      <c r="A65" s="5" t="s">
        <v>11</v>
      </c>
      <c r="B65" s="5" t="s">
        <v>7</v>
      </c>
    </row>
    <row r="66" spans="1:2">
      <c r="A66" s="5" t="s">
        <v>11</v>
      </c>
      <c r="B66" s="5" t="s">
        <v>9</v>
      </c>
    </row>
    <row r="67" spans="1:2">
      <c r="A67" s="5" t="s">
        <v>11</v>
      </c>
      <c r="B67" s="5" t="s">
        <v>19</v>
      </c>
    </row>
    <row r="68" spans="1:2">
      <c r="A68" s="5" t="s">
        <v>11</v>
      </c>
      <c r="B68" s="5" t="s">
        <v>13</v>
      </c>
    </row>
    <row r="69" spans="1:2">
      <c r="A69" s="5" t="s">
        <v>12</v>
      </c>
      <c r="B69" s="5" t="s">
        <v>5</v>
      </c>
    </row>
    <row r="70" spans="1:2">
      <c r="A70" s="5" t="s">
        <v>12</v>
      </c>
      <c r="B70" s="5" t="s">
        <v>6</v>
      </c>
    </row>
    <row r="71" spans="1:2">
      <c r="A71" s="5" t="s">
        <v>12</v>
      </c>
      <c r="B71" s="5" t="s">
        <v>9</v>
      </c>
    </row>
    <row r="72" spans="1:2">
      <c r="A72" s="5" t="s">
        <v>12</v>
      </c>
      <c r="B72" s="5" t="s">
        <v>10</v>
      </c>
    </row>
    <row r="73" spans="1:2">
      <c r="A73" s="5" t="s">
        <v>12</v>
      </c>
      <c r="B73" s="5" t="s">
        <v>8</v>
      </c>
    </row>
    <row r="74" spans="1:2">
      <c r="A74" s="5" t="s">
        <v>12</v>
      </c>
      <c r="B74" s="5" t="s">
        <v>13</v>
      </c>
    </row>
    <row r="75" spans="1:2">
      <c r="A75" s="5" t="s">
        <v>19</v>
      </c>
      <c r="B75" s="5" t="s">
        <v>5</v>
      </c>
    </row>
    <row r="76" spans="1:2">
      <c r="A76" s="5" t="s">
        <v>19</v>
      </c>
      <c r="B76" s="5" t="s">
        <v>6</v>
      </c>
    </row>
    <row r="77" spans="1:2">
      <c r="A77" s="5" t="s">
        <v>19</v>
      </c>
      <c r="B77" s="5" t="s">
        <v>7</v>
      </c>
    </row>
    <row r="78" spans="1:2">
      <c r="A78" s="5" t="s">
        <v>19</v>
      </c>
      <c r="B78" s="5" t="s">
        <v>10</v>
      </c>
    </row>
    <row r="79" spans="1:2">
      <c r="A79" s="5" t="s">
        <v>19</v>
      </c>
      <c r="B79" s="5" t="s">
        <v>11</v>
      </c>
    </row>
    <row r="80" spans="1:2">
      <c r="A80" s="5" t="s">
        <v>19</v>
      </c>
      <c r="B80" s="5" t="s">
        <v>13</v>
      </c>
    </row>
    <row r="81" spans="1:2">
      <c r="A81" s="5" t="s">
        <v>19</v>
      </c>
      <c r="B81" s="5" t="s">
        <v>14</v>
      </c>
    </row>
    <row r="82" spans="1:2">
      <c r="A82" s="5" t="s">
        <v>13</v>
      </c>
      <c r="B82" s="5" t="s">
        <v>5</v>
      </c>
    </row>
    <row r="83" spans="1:2">
      <c r="A83" s="5" t="s">
        <v>13</v>
      </c>
      <c r="B83" s="5" t="s">
        <v>7</v>
      </c>
    </row>
    <row r="84" spans="1:2">
      <c r="A84" s="5" t="s">
        <v>13</v>
      </c>
      <c r="B84" s="5" t="s">
        <v>10</v>
      </c>
    </row>
    <row r="85" spans="1:2">
      <c r="A85" s="5" t="s">
        <v>13</v>
      </c>
      <c r="B85" s="5" t="s">
        <v>11</v>
      </c>
    </row>
    <row r="86" spans="1:2">
      <c r="A86" s="5" t="s">
        <v>13</v>
      </c>
      <c r="B86" s="5" t="s">
        <v>12</v>
      </c>
    </row>
    <row r="87" spans="1:2">
      <c r="A87" s="5" t="s">
        <v>13</v>
      </c>
      <c r="B87" s="5" t="s">
        <v>19</v>
      </c>
    </row>
    <row r="88" spans="1:2">
      <c r="A88" s="5" t="s">
        <v>14</v>
      </c>
      <c r="B88" s="5" t="s">
        <v>5</v>
      </c>
    </row>
    <row r="89" spans="1:2">
      <c r="A89" s="5" t="s">
        <v>14</v>
      </c>
      <c r="B89" s="5" t="s">
        <v>7</v>
      </c>
    </row>
    <row r="90" spans="1:2">
      <c r="A90" s="5" t="s">
        <v>14</v>
      </c>
      <c r="B90" s="5" t="s">
        <v>9</v>
      </c>
    </row>
    <row r="91" spans="1:2">
      <c r="A91" s="5" t="s">
        <v>14</v>
      </c>
      <c r="B91" s="5" t="s">
        <v>10</v>
      </c>
    </row>
    <row r="92" spans="1:2">
      <c r="A92" s="5" t="s">
        <v>14</v>
      </c>
      <c r="B92" s="5" t="s">
        <v>8</v>
      </c>
    </row>
    <row r="93" spans="1:2">
      <c r="A93" s="5" t="s">
        <v>14</v>
      </c>
      <c r="B93" s="5" t="s">
        <v>11</v>
      </c>
    </row>
    <row r="94" spans="1:2">
      <c r="A94" s="5" t="s">
        <v>14</v>
      </c>
      <c r="B94" s="5" t="s">
        <v>19</v>
      </c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L12">
    <cfRule type="containsText" dxfId="1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214"/>
  <sheetViews>
    <sheetView zoomScale="85" zoomScaleNormal="85" workbookViewId="0">
      <selection activeCell="Q10" sqref="Q10"/>
    </sheetView>
  </sheetViews>
  <sheetFormatPr defaultColWidth="8.875" defaultRowHeight="15.75"/>
  <cols>
    <col min="1" max="2" width="11.5" bestFit="1" customWidth="1"/>
  </cols>
  <sheetData>
    <row r="1" spans="1:38"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19</v>
      </c>
      <c r="L1" s="1" t="s">
        <v>14</v>
      </c>
      <c r="N1" s="1"/>
      <c r="O1" s="1" t="s">
        <v>5</v>
      </c>
      <c r="P1" s="1" t="s">
        <v>6</v>
      </c>
      <c r="Q1" s="1" t="s">
        <v>7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19</v>
      </c>
      <c r="Y1" s="1" t="s">
        <v>14</v>
      </c>
      <c r="Z1" s="1"/>
      <c r="AA1" s="1"/>
      <c r="AB1" s="1" t="s">
        <v>5</v>
      </c>
      <c r="AC1" s="1" t="s">
        <v>6</v>
      </c>
      <c r="AD1" s="1" t="s">
        <v>7</v>
      </c>
      <c r="AE1" s="1" t="s">
        <v>8</v>
      </c>
      <c r="AF1" s="1" t="s">
        <v>9</v>
      </c>
      <c r="AG1" s="1" t="s">
        <v>10</v>
      </c>
      <c r="AH1" s="1" t="s">
        <v>11</v>
      </c>
      <c r="AI1" s="1" t="s">
        <v>12</v>
      </c>
      <c r="AJ1" s="1" t="s">
        <v>13</v>
      </c>
      <c r="AK1" s="1" t="s">
        <v>19</v>
      </c>
      <c r="AL1" s="1" t="s">
        <v>14</v>
      </c>
    </row>
    <row r="2" spans="1:38">
      <c r="A2" s="1" t="s">
        <v>5</v>
      </c>
      <c r="B2" s="4" t="str">
        <f>IF(ISERROR(MATCH($A2,F$22:F$330,0)),"No","Yes")</f>
        <v>No</v>
      </c>
      <c r="C2" s="4" t="str">
        <f t="shared" ref="C2:L12" si="0">IF(ISERROR(MATCH($A2,G$22:G$330,0)),"No","Yes")</f>
        <v>Yes</v>
      </c>
      <c r="D2" s="4" t="str">
        <f t="shared" si="0"/>
        <v>Yes</v>
      </c>
      <c r="E2" s="4" t="str">
        <f t="shared" si="0"/>
        <v>Yes</v>
      </c>
      <c r="F2" s="4" t="str">
        <f t="shared" si="0"/>
        <v>Yes</v>
      </c>
      <c r="G2" s="4" t="str">
        <f t="shared" si="0"/>
        <v>Yes</v>
      </c>
      <c r="H2" s="4" t="str">
        <f t="shared" si="0"/>
        <v>Yes</v>
      </c>
      <c r="I2" s="4" t="str">
        <f t="shared" si="0"/>
        <v>Yes</v>
      </c>
      <c r="J2" s="4" t="str">
        <f t="shared" si="0"/>
        <v>Yes</v>
      </c>
      <c r="K2" s="4" t="str">
        <f t="shared" si="0"/>
        <v>Yes</v>
      </c>
      <c r="L2" s="4" t="str">
        <f t="shared" si="0"/>
        <v>Yes</v>
      </c>
      <c r="N2" s="1" t="s">
        <v>5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AA2" s="1" t="s">
        <v>5</v>
      </c>
      <c r="AC2">
        <v>500</v>
      </c>
      <c r="AD2">
        <v>500</v>
      </c>
      <c r="AE2">
        <v>500</v>
      </c>
      <c r="AF2">
        <v>500</v>
      </c>
      <c r="AG2">
        <v>500</v>
      </c>
      <c r="AH2">
        <v>500</v>
      </c>
      <c r="AI2">
        <v>500</v>
      </c>
      <c r="AJ2">
        <v>500</v>
      </c>
      <c r="AK2">
        <v>500</v>
      </c>
      <c r="AL2">
        <v>500</v>
      </c>
    </row>
    <row r="3" spans="1:38">
      <c r="A3" s="1" t="s">
        <v>6</v>
      </c>
      <c r="B3" s="4" t="str">
        <f t="shared" ref="B3:B12" si="1">IF(ISERROR(MATCH($A3,F$22:F$330,0)),"No","Yes")</f>
        <v>Yes</v>
      </c>
      <c r="C3" s="4" t="str">
        <f t="shared" si="0"/>
        <v>No</v>
      </c>
      <c r="D3" s="4" t="str">
        <f t="shared" si="0"/>
        <v>No</v>
      </c>
      <c r="E3" s="4" t="str">
        <f t="shared" si="0"/>
        <v>Yes</v>
      </c>
      <c r="F3" s="4" t="str">
        <f t="shared" si="0"/>
        <v>No</v>
      </c>
      <c r="G3" s="4" t="str">
        <f t="shared" si="0"/>
        <v>Yes</v>
      </c>
      <c r="H3" s="4" t="str">
        <f t="shared" si="0"/>
        <v>Yes</v>
      </c>
      <c r="I3" s="4" t="str">
        <f t="shared" si="0"/>
        <v>Yes</v>
      </c>
      <c r="J3" s="4" t="str">
        <f t="shared" si="0"/>
        <v>No</v>
      </c>
      <c r="K3" s="4" t="str">
        <f t="shared" si="0"/>
        <v>Yes</v>
      </c>
      <c r="L3" s="4" t="str">
        <f t="shared" si="0"/>
        <v>No</v>
      </c>
      <c r="N3" s="1" t="s">
        <v>6</v>
      </c>
      <c r="O3">
        <v>10</v>
      </c>
      <c r="Q3">
        <f t="shared" ref="P3:Y12" ca="1" si="2">10+5*RAND()</f>
        <v>13.840204116876642</v>
      </c>
      <c r="R3">
        <f t="shared" ca="1" si="2"/>
        <v>14.311939803279873</v>
      </c>
      <c r="S3">
        <f t="shared" ca="1" si="2"/>
        <v>12.633242801663554</v>
      </c>
      <c r="T3">
        <f t="shared" ca="1" si="2"/>
        <v>12.459318982316148</v>
      </c>
      <c r="U3">
        <f t="shared" ca="1" si="2"/>
        <v>14.432724938437804</v>
      </c>
      <c r="V3">
        <f t="shared" ca="1" si="2"/>
        <v>10.226079988807607</v>
      </c>
      <c r="W3">
        <f t="shared" ca="1" si="2"/>
        <v>10.670365861844767</v>
      </c>
      <c r="X3">
        <f t="shared" ca="1" si="2"/>
        <v>10.69297107180633</v>
      </c>
      <c r="Y3">
        <f t="shared" ca="1" si="2"/>
        <v>12.169388131168297</v>
      </c>
      <c r="AA3" s="1" t="s">
        <v>6</v>
      </c>
      <c r="AB3">
        <v>500</v>
      </c>
      <c r="AD3">
        <f t="shared" ref="AC3:AL12" ca="1" si="3">300-50*RAND()</f>
        <v>253.92667319433423</v>
      </c>
      <c r="AE3">
        <f t="shared" ca="1" si="3"/>
        <v>290.06136676487489</v>
      </c>
      <c r="AF3">
        <f t="shared" ca="1" si="3"/>
        <v>288.63445887964463</v>
      </c>
      <c r="AG3">
        <f t="shared" ca="1" si="3"/>
        <v>255.4715646636997</v>
      </c>
      <c r="AH3">
        <f t="shared" ca="1" si="3"/>
        <v>253.42680333177037</v>
      </c>
      <c r="AI3">
        <f t="shared" ca="1" si="3"/>
        <v>289.28588135298133</v>
      </c>
      <c r="AJ3">
        <f t="shared" ca="1" si="3"/>
        <v>270.01972275844145</v>
      </c>
      <c r="AK3">
        <f t="shared" ca="1" si="3"/>
        <v>285.34412077385747</v>
      </c>
      <c r="AL3">
        <f t="shared" ca="1" si="3"/>
        <v>276.49523394282409</v>
      </c>
    </row>
    <row r="4" spans="1:38">
      <c r="A4" s="1" t="s">
        <v>7</v>
      </c>
      <c r="B4" s="4" t="str">
        <f t="shared" si="1"/>
        <v>Yes</v>
      </c>
      <c r="C4" s="4" t="str">
        <f t="shared" si="0"/>
        <v>No</v>
      </c>
      <c r="D4" s="4" t="str">
        <f t="shared" si="0"/>
        <v>No</v>
      </c>
      <c r="E4" s="4" t="str">
        <f t="shared" si="0"/>
        <v>Yes</v>
      </c>
      <c r="F4" s="4" t="str">
        <f t="shared" si="0"/>
        <v>No</v>
      </c>
      <c r="G4" s="4" t="str">
        <f t="shared" si="0"/>
        <v>No</v>
      </c>
      <c r="H4" s="4" t="str">
        <f t="shared" si="0"/>
        <v>Yes</v>
      </c>
      <c r="I4" s="4" t="str">
        <f t="shared" si="0"/>
        <v>No</v>
      </c>
      <c r="J4" s="4" t="str">
        <f t="shared" si="0"/>
        <v>Yes</v>
      </c>
      <c r="K4" s="4" t="str">
        <f t="shared" si="0"/>
        <v>Yes</v>
      </c>
      <c r="L4" s="4" t="str">
        <f t="shared" si="0"/>
        <v>No</v>
      </c>
      <c r="N4" s="1" t="s">
        <v>7</v>
      </c>
      <c r="O4">
        <v>10</v>
      </c>
      <c r="P4">
        <f t="shared" ca="1" si="2"/>
        <v>11.967919065092818</v>
      </c>
      <c r="R4">
        <f t="shared" ca="1" si="2"/>
        <v>14.663430047055538</v>
      </c>
      <c r="S4">
        <f t="shared" ca="1" si="2"/>
        <v>13.652685716627406</v>
      </c>
      <c r="T4">
        <f t="shared" ca="1" si="2"/>
        <v>14.322360851029202</v>
      </c>
      <c r="U4">
        <f t="shared" ca="1" si="2"/>
        <v>11.649683930867338</v>
      </c>
      <c r="V4">
        <f t="shared" ca="1" si="2"/>
        <v>11.562901464236539</v>
      </c>
      <c r="W4">
        <f t="shared" ca="1" si="2"/>
        <v>13.533660093484649</v>
      </c>
      <c r="X4">
        <f t="shared" ca="1" si="2"/>
        <v>10.366473963122548</v>
      </c>
      <c r="Y4">
        <f t="shared" ca="1" si="2"/>
        <v>13.637807178583362</v>
      </c>
      <c r="AA4" s="1" t="s">
        <v>7</v>
      </c>
      <c r="AB4">
        <v>500</v>
      </c>
      <c r="AC4">
        <f t="shared" ca="1" si="3"/>
        <v>252.58576741990757</v>
      </c>
      <c r="AE4">
        <f t="shared" ca="1" si="3"/>
        <v>276.92623390476263</v>
      </c>
      <c r="AF4">
        <f t="shared" ca="1" si="3"/>
        <v>262.36290182808807</v>
      </c>
      <c r="AG4">
        <f t="shared" ca="1" si="3"/>
        <v>289.01304477329296</v>
      </c>
      <c r="AH4">
        <f t="shared" ca="1" si="3"/>
        <v>293.39094139539759</v>
      </c>
      <c r="AI4">
        <f t="shared" ca="1" si="3"/>
        <v>254.67773723659752</v>
      </c>
      <c r="AJ4">
        <f t="shared" ca="1" si="3"/>
        <v>297.02545245632365</v>
      </c>
      <c r="AK4">
        <f t="shared" ca="1" si="3"/>
        <v>291.20535711886328</v>
      </c>
      <c r="AL4">
        <f t="shared" ca="1" si="3"/>
        <v>274.37057115230664</v>
      </c>
    </row>
    <row r="5" spans="1:38">
      <c r="A5" s="1" t="s">
        <v>8</v>
      </c>
      <c r="B5" s="4" t="str">
        <f t="shared" si="1"/>
        <v>Yes</v>
      </c>
      <c r="C5" s="4" t="str">
        <f t="shared" si="0"/>
        <v>Yes</v>
      </c>
      <c r="D5" s="4" t="str">
        <f t="shared" si="0"/>
        <v>No</v>
      </c>
      <c r="E5" s="4" t="str">
        <f t="shared" si="0"/>
        <v>No</v>
      </c>
      <c r="F5" s="4" t="str">
        <f t="shared" si="0"/>
        <v>Yes</v>
      </c>
      <c r="G5" s="4" t="str">
        <f t="shared" si="0"/>
        <v>No</v>
      </c>
      <c r="H5" s="4" t="str">
        <f t="shared" si="0"/>
        <v>No</v>
      </c>
      <c r="I5" s="4" t="str">
        <f t="shared" si="0"/>
        <v>Yes</v>
      </c>
      <c r="J5" s="4" t="str">
        <f t="shared" si="0"/>
        <v>No</v>
      </c>
      <c r="K5" s="4" t="str">
        <f t="shared" si="0"/>
        <v>No</v>
      </c>
      <c r="L5" s="4" t="str">
        <f t="shared" si="0"/>
        <v>Yes</v>
      </c>
      <c r="N5" s="1" t="s">
        <v>8</v>
      </c>
      <c r="O5">
        <v>10</v>
      </c>
      <c r="P5">
        <f t="shared" ca="1" si="2"/>
        <v>11.001124052155193</v>
      </c>
      <c r="Q5">
        <f t="shared" ca="1" si="2"/>
        <v>11.041648708762915</v>
      </c>
      <c r="S5">
        <f t="shared" ca="1" si="2"/>
        <v>14.020616981623947</v>
      </c>
      <c r="T5">
        <f t="shared" ca="1" si="2"/>
        <v>12.787093957211386</v>
      </c>
      <c r="U5">
        <f t="shared" ca="1" si="2"/>
        <v>13.245664664522366</v>
      </c>
      <c r="V5">
        <f t="shared" ca="1" si="2"/>
        <v>12.363850899899816</v>
      </c>
      <c r="W5">
        <f t="shared" ca="1" si="2"/>
        <v>14.652170361378925</v>
      </c>
      <c r="X5">
        <f t="shared" ca="1" si="2"/>
        <v>14.690880702440886</v>
      </c>
      <c r="Y5">
        <f t="shared" ca="1" si="2"/>
        <v>14.657482807742934</v>
      </c>
      <c r="AA5" s="1" t="s">
        <v>8</v>
      </c>
      <c r="AB5">
        <v>500</v>
      </c>
      <c r="AC5">
        <f t="shared" ca="1" si="3"/>
        <v>251.25022701126434</v>
      </c>
      <c r="AD5">
        <f t="shared" ca="1" si="3"/>
        <v>297.34179185145587</v>
      </c>
      <c r="AF5">
        <f t="shared" ca="1" si="3"/>
        <v>285.20145894599676</v>
      </c>
      <c r="AG5">
        <f t="shared" ca="1" si="3"/>
        <v>287.35680145059627</v>
      </c>
      <c r="AH5">
        <f t="shared" ca="1" si="3"/>
        <v>253.29977719642818</v>
      </c>
      <c r="AI5">
        <f t="shared" ca="1" si="3"/>
        <v>284.02774136409641</v>
      </c>
      <c r="AJ5">
        <f t="shared" ca="1" si="3"/>
        <v>270.4177087311304</v>
      </c>
      <c r="AK5">
        <f t="shared" ca="1" si="3"/>
        <v>252.20872259003096</v>
      </c>
      <c r="AL5">
        <f t="shared" ca="1" si="3"/>
        <v>272.71323149062334</v>
      </c>
    </row>
    <row r="6" spans="1:38">
      <c r="A6" s="1" t="s">
        <v>9</v>
      </c>
      <c r="B6" s="4" t="str">
        <f t="shared" si="1"/>
        <v>Yes</v>
      </c>
      <c r="C6" s="4" t="str">
        <f t="shared" si="0"/>
        <v>No</v>
      </c>
      <c r="D6" s="4" t="str">
        <f t="shared" si="0"/>
        <v>No</v>
      </c>
      <c r="E6" s="4" t="str">
        <f t="shared" si="0"/>
        <v>Yes</v>
      </c>
      <c r="F6" s="4" t="str">
        <f t="shared" si="0"/>
        <v>No</v>
      </c>
      <c r="G6" s="4" t="str">
        <f t="shared" si="0"/>
        <v>Yes</v>
      </c>
      <c r="H6" s="4" t="str">
        <f t="shared" si="0"/>
        <v>Yes</v>
      </c>
      <c r="I6" s="4" t="str">
        <f t="shared" si="0"/>
        <v>Yes</v>
      </c>
      <c r="J6" s="4" t="str">
        <f t="shared" si="0"/>
        <v>No</v>
      </c>
      <c r="K6" s="4" t="str">
        <f t="shared" si="0"/>
        <v>No</v>
      </c>
      <c r="L6" s="4" t="str">
        <f t="shared" si="0"/>
        <v>Yes</v>
      </c>
      <c r="N6" s="1" t="s">
        <v>9</v>
      </c>
      <c r="O6">
        <v>10</v>
      </c>
      <c r="P6">
        <f t="shared" ca="1" si="2"/>
        <v>12.643087058624634</v>
      </c>
      <c r="Q6">
        <f t="shared" ca="1" si="2"/>
        <v>14.862548258546738</v>
      </c>
      <c r="R6">
        <f t="shared" ca="1" si="2"/>
        <v>10.604891107316439</v>
      </c>
      <c r="T6">
        <f t="shared" ca="1" si="2"/>
        <v>12.415235216445419</v>
      </c>
      <c r="U6">
        <f t="shared" ca="1" si="2"/>
        <v>10.632519127944583</v>
      </c>
      <c r="V6">
        <f t="shared" ca="1" si="2"/>
        <v>13.380948099211404</v>
      </c>
      <c r="W6">
        <f t="shared" ca="1" si="2"/>
        <v>11.047335696100417</v>
      </c>
      <c r="X6">
        <f t="shared" ca="1" si="2"/>
        <v>10.106697115917816</v>
      </c>
      <c r="Y6">
        <f t="shared" ca="1" si="2"/>
        <v>10.497095709208368</v>
      </c>
      <c r="AA6" s="1" t="s">
        <v>9</v>
      </c>
      <c r="AB6">
        <v>500</v>
      </c>
      <c r="AC6">
        <f t="shared" ca="1" si="3"/>
        <v>274.765571580396</v>
      </c>
      <c r="AD6">
        <f t="shared" ca="1" si="3"/>
        <v>290.10779021191757</v>
      </c>
      <c r="AE6">
        <f t="shared" ca="1" si="3"/>
        <v>292.96148269837659</v>
      </c>
      <c r="AG6">
        <f t="shared" ca="1" si="3"/>
        <v>253.52270640343437</v>
      </c>
      <c r="AH6">
        <f t="shared" ca="1" si="3"/>
        <v>253.9089339730811</v>
      </c>
      <c r="AI6">
        <f t="shared" ca="1" si="3"/>
        <v>277.29817400194753</v>
      </c>
      <c r="AJ6">
        <f t="shared" ca="1" si="3"/>
        <v>255.06665263654713</v>
      </c>
      <c r="AK6">
        <f t="shared" ca="1" si="3"/>
        <v>269.40168021539779</v>
      </c>
      <c r="AL6">
        <f t="shared" ca="1" si="3"/>
        <v>261.36193871078729</v>
      </c>
    </row>
    <row r="7" spans="1:38">
      <c r="A7" s="1" t="s">
        <v>10</v>
      </c>
      <c r="B7" s="4" t="str">
        <f t="shared" si="1"/>
        <v>Yes</v>
      </c>
      <c r="C7" s="4" t="str">
        <f t="shared" si="0"/>
        <v>No</v>
      </c>
      <c r="D7" s="4" t="str">
        <f t="shared" si="0"/>
        <v>No</v>
      </c>
      <c r="E7" s="4" t="str">
        <f t="shared" si="0"/>
        <v>No</v>
      </c>
      <c r="F7" s="4" t="str">
        <f t="shared" si="0"/>
        <v>Yes</v>
      </c>
      <c r="G7" s="4" t="str">
        <f t="shared" si="0"/>
        <v>No</v>
      </c>
      <c r="H7" s="4" t="str">
        <f t="shared" si="0"/>
        <v>No</v>
      </c>
      <c r="I7" s="4" t="str">
        <f t="shared" si="0"/>
        <v>Yes</v>
      </c>
      <c r="J7" s="4" t="str">
        <f t="shared" si="0"/>
        <v>Yes</v>
      </c>
      <c r="K7" s="4" t="str">
        <f t="shared" si="0"/>
        <v>Yes</v>
      </c>
      <c r="L7" s="4" t="str">
        <f t="shared" si="0"/>
        <v>Yes</v>
      </c>
      <c r="N7" s="1" t="s">
        <v>10</v>
      </c>
      <c r="O7">
        <v>10</v>
      </c>
      <c r="P7">
        <f t="shared" ca="1" si="2"/>
        <v>11.678215481566772</v>
      </c>
      <c r="Q7">
        <f t="shared" ca="1" si="2"/>
        <v>13.463267632700413</v>
      </c>
      <c r="R7">
        <f t="shared" ca="1" si="2"/>
        <v>14.291379638113224</v>
      </c>
      <c r="S7">
        <f t="shared" ca="1" si="2"/>
        <v>14.280292721699094</v>
      </c>
      <c r="U7">
        <f t="shared" ca="1" si="2"/>
        <v>12.931801873535861</v>
      </c>
      <c r="V7">
        <f t="shared" ca="1" si="2"/>
        <v>14.019407737750623</v>
      </c>
      <c r="W7">
        <f t="shared" ca="1" si="2"/>
        <v>11.500850119392602</v>
      </c>
      <c r="X7">
        <f t="shared" ca="1" si="2"/>
        <v>12.415650105705364</v>
      </c>
      <c r="Y7">
        <f t="shared" ca="1" si="2"/>
        <v>13.211291751490199</v>
      </c>
      <c r="AA7" s="1" t="s">
        <v>10</v>
      </c>
      <c r="AB7">
        <v>500</v>
      </c>
      <c r="AC7">
        <f t="shared" ca="1" si="3"/>
        <v>257.53470751616243</v>
      </c>
      <c r="AD7">
        <f t="shared" ca="1" si="3"/>
        <v>273.18402060877582</v>
      </c>
      <c r="AE7">
        <f t="shared" ca="1" si="3"/>
        <v>271.67112080633063</v>
      </c>
      <c r="AF7">
        <f t="shared" ca="1" si="3"/>
        <v>267.49146436146771</v>
      </c>
      <c r="AH7">
        <f t="shared" ca="1" si="3"/>
        <v>263.12182369872221</v>
      </c>
      <c r="AI7">
        <f t="shared" ca="1" si="3"/>
        <v>261.9007962433493</v>
      </c>
      <c r="AJ7">
        <f t="shared" ca="1" si="3"/>
        <v>265.164838105961</v>
      </c>
      <c r="AK7">
        <f t="shared" ca="1" si="3"/>
        <v>288.07334495741947</v>
      </c>
      <c r="AL7">
        <f t="shared" ca="1" si="3"/>
        <v>257.77829483038602</v>
      </c>
    </row>
    <row r="8" spans="1:38">
      <c r="A8" s="1" t="s">
        <v>11</v>
      </c>
      <c r="B8" s="4" t="str">
        <f t="shared" si="1"/>
        <v>Yes</v>
      </c>
      <c r="C8" s="4" t="str">
        <f t="shared" si="0"/>
        <v>Yes</v>
      </c>
      <c r="D8" s="4" t="str">
        <f t="shared" si="0"/>
        <v>Yes</v>
      </c>
      <c r="E8" s="4" t="str">
        <f t="shared" si="0"/>
        <v>No</v>
      </c>
      <c r="F8" s="4" t="str">
        <f t="shared" si="0"/>
        <v>No</v>
      </c>
      <c r="G8" s="4" t="str">
        <f t="shared" si="0"/>
        <v>No</v>
      </c>
      <c r="H8" s="4" t="str">
        <f t="shared" si="0"/>
        <v>No</v>
      </c>
      <c r="I8" s="4" t="str">
        <f t="shared" si="0"/>
        <v>No</v>
      </c>
      <c r="J8" s="4" t="str">
        <f t="shared" si="0"/>
        <v>Yes</v>
      </c>
      <c r="K8" s="4" t="str">
        <f t="shared" si="0"/>
        <v>Yes</v>
      </c>
      <c r="L8" s="4" t="str">
        <f t="shared" si="0"/>
        <v>Yes</v>
      </c>
      <c r="N8" s="1" t="s">
        <v>11</v>
      </c>
      <c r="O8">
        <v>10</v>
      </c>
      <c r="P8">
        <f t="shared" ca="1" si="2"/>
        <v>11.653717135526579</v>
      </c>
      <c r="Q8">
        <f t="shared" ca="1" si="2"/>
        <v>11.515318373486497</v>
      </c>
      <c r="R8">
        <f t="shared" ca="1" si="2"/>
        <v>12.920204603706377</v>
      </c>
      <c r="S8">
        <f t="shared" ca="1" si="2"/>
        <v>14.658943476236461</v>
      </c>
      <c r="T8">
        <f t="shared" ca="1" si="2"/>
        <v>11.988278265207509</v>
      </c>
      <c r="V8">
        <f t="shared" ca="1" si="2"/>
        <v>13.487033935767435</v>
      </c>
      <c r="W8">
        <f t="shared" ca="1" si="2"/>
        <v>14.605561500402352</v>
      </c>
      <c r="X8">
        <f t="shared" ca="1" si="2"/>
        <v>10.930751232167825</v>
      </c>
      <c r="Y8">
        <f t="shared" ca="1" si="2"/>
        <v>13.334497184029701</v>
      </c>
      <c r="AA8" s="1" t="s">
        <v>11</v>
      </c>
      <c r="AB8">
        <v>500</v>
      </c>
      <c r="AC8">
        <f t="shared" ca="1" si="3"/>
        <v>255.0674765172339</v>
      </c>
      <c r="AD8">
        <f t="shared" ca="1" si="3"/>
        <v>295.11335798392071</v>
      </c>
      <c r="AE8">
        <f t="shared" ca="1" si="3"/>
        <v>253.83135101474249</v>
      </c>
      <c r="AF8">
        <f t="shared" ca="1" si="3"/>
        <v>256.8259757748387</v>
      </c>
      <c r="AG8">
        <f t="shared" ca="1" si="3"/>
        <v>282.31643678574727</v>
      </c>
      <c r="AI8">
        <f t="shared" ca="1" si="3"/>
        <v>251.70176604155412</v>
      </c>
      <c r="AJ8">
        <f t="shared" ca="1" si="3"/>
        <v>272.04597563756539</v>
      </c>
      <c r="AK8">
        <f t="shared" ca="1" si="3"/>
        <v>274.21031314162326</v>
      </c>
      <c r="AL8">
        <f t="shared" ca="1" si="3"/>
        <v>265.79778541917517</v>
      </c>
    </row>
    <row r="9" spans="1:38">
      <c r="A9" s="1" t="s">
        <v>12</v>
      </c>
      <c r="B9" s="4" t="str">
        <f t="shared" si="1"/>
        <v>Yes</v>
      </c>
      <c r="C9" s="4" t="str">
        <f t="shared" si="0"/>
        <v>Yes</v>
      </c>
      <c r="D9" s="4" t="str">
        <f t="shared" si="0"/>
        <v>No</v>
      </c>
      <c r="E9" s="4" t="str">
        <f t="shared" si="0"/>
        <v>Yes</v>
      </c>
      <c r="F9" s="4" t="str">
        <f t="shared" si="0"/>
        <v>Yes</v>
      </c>
      <c r="G9" s="4" t="str">
        <f t="shared" si="0"/>
        <v>No</v>
      </c>
      <c r="H9" s="4" t="str">
        <f t="shared" si="0"/>
        <v>No</v>
      </c>
      <c r="I9" s="4" t="str">
        <f t="shared" si="0"/>
        <v>No</v>
      </c>
      <c r="J9" s="4" t="str">
        <f t="shared" si="0"/>
        <v>Yes</v>
      </c>
      <c r="K9" s="4" t="str">
        <f t="shared" si="0"/>
        <v>No</v>
      </c>
      <c r="L9" s="4" t="str">
        <f t="shared" si="0"/>
        <v>No</v>
      </c>
      <c r="N9" s="1" t="s">
        <v>12</v>
      </c>
      <c r="O9">
        <v>10</v>
      </c>
      <c r="P9">
        <f t="shared" ca="1" si="2"/>
        <v>12.243191474734038</v>
      </c>
      <c r="Q9">
        <f t="shared" ca="1" si="2"/>
        <v>11.391488808645237</v>
      </c>
      <c r="R9">
        <f t="shared" ca="1" si="2"/>
        <v>11.986630880551951</v>
      </c>
      <c r="S9">
        <f t="shared" ca="1" si="2"/>
        <v>14.825459401241165</v>
      </c>
      <c r="T9">
        <f t="shared" ca="1" si="2"/>
        <v>11.518684215321496</v>
      </c>
      <c r="U9">
        <f t="shared" ca="1" si="2"/>
        <v>12.313424474689455</v>
      </c>
      <c r="W9">
        <f t="shared" ca="1" si="2"/>
        <v>13.128252544700688</v>
      </c>
      <c r="X9">
        <f t="shared" ca="1" si="2"/>
        <v>13.541956421090882</v>
      </c>
      <c r="Y9">
        <f t="shared" ca="1" si="2"/>
        <v>11.336664776905646</v>
      </c>
      <c r="AA9" s="1" t="s">
        <v>12</v>
      </c>
      <c r="AB9">
        <v>500</v>
      </c>
      <c r="AC9">
        <f t="shared" ca="1" si="3"/>
        <v>290.20460933302604</v>
      </c>
      <c r="AD9">
        <f t="shared" ca="1" si="3"/>
        <v>291.83136687565695</v>
      </c>
      <c r="AE9">
        <f t="shared" ca="1" si="3"/>
        <v>273.56714582897689</v>
      </c>
      <c r="AF9">
        <f t="shared" ca="1" si="3"/>
        <v>278.48636476488508</v>
      </c>
      <c r="AG9">
        <f t="shared" ca="1" si="3"/>
        <v>287.19063128247188</v>
      </c>
      <c r="AH9">
        <f t="shared" ca="1" si="3"/>
        <v>298.11885002812181</v>
      </c>
      <c r="AJ9">
        <f t="shared" ca="1" si="3"/>
        <v>283.97348486747552</v>
      </c>
      <c r="AK9">
        <f t="shared" ca="1" si="3"/>
        <v>297.87862409350686</v>
      </c>
      <c r="AL9">
        <f t="shared" ca="1" si="3"/>
        <v>255.86601175421529</v>
      </c>
    </row>
    <row r="10" spans="1:38">
      <c r="A10" s="1" t="s">
        <v>13</v>
      </c>
      <c r="B10" s="4" t="str">
        <f t="shared" si="1"/>
        <v>Yes</v>
      </c>
      <c r="C10" s="4" t="str">
        <f t="shared" si="0"/>
        <v>No</v>
      </c>
      <c r="D10" s="4" t="str">
        <f t="shared" si="0"/>
        <v>Yes</v>
      </c>
      <c r="E10" s="4" t="str">
        <f t="shared" si="0"/>
        <v>No</v>
      </c>
      <c r="F10" s="4" t="str">
        <f t="shared" si="0"/>
        <v>No</v>
      </c>
      <c r="G10" s="4" t="str">
        <f t="shared" si="0"/>
        <v>Yes</v>
      </c>
      <c r="H10" s="4" t="str">
        <f t="shared" si="0"/>
        <v>Yes</v>
      </c>
      <c r="I10" s="4" t="str">
        <f t="shared" si="0"/>
        <v>Yes</v>
      </c>
      <c r="J10" s="4" t="str">
        <f t="shared" si="0"/>
        <v>No</v>
      </c>
      <c r="K10" s="4" t="str">
        <f t="shared" si="0"/>
        <v>No</v>
      </c>
      <c r="L10" s="4" t="str">
        <f t="shared" si="0"/>
        <v>No</v>
      </c>
      <c r="N10" s="1" t="s">
        <v>13</v>
      </c>
      <c r="O10">
        <v>10</v>
      </c>
      <c r="P10">
        <f t="shared" ca="1" si="2"/>
        <v>12.922288251737797</v>
      </c>
      <c r="Q10">
        <f t="shared" ca="1" si="2"/>
        <v>13.051003848815814</v>
      </c>
      <c r="R10">
        <f t="shared" ca="1" si="2"/>
        <v>14.981172497588638</v>
      </c>
      <c r="S10">
        <f t="shared" ca="1" si="2"/>
        <v>11.252745371070688</v>
      </c>
      <c r="T10">
        <f t="shared" ca="1" si="2"/>
        <v>13.507993292001398</v>
      </c>
      <c r="U10">
        <f t="shared" ca="1" si="2"/>
        <v>12.073017914473212</v>
      </c>
      <c r="V10">
        <f t="shared" ca="1" si="2"/>
        <v>12.755989877765014</v>
      </c>
      <c r="X10">
        <f t="shared" ca="1" si="2"/>
        <v>10.42377990182664</v>
      </c>
      <c r="Y10">
        <f t="shared" ca="1" si="2"/>
        <v>12.634824695380107</v>
      </c>
      <c r="AA10" s="1" t="s">
        <v>13</v>
      </c>
      <c r="AB10">
        <v>500</v>
      </c>
      <c r="AC10">
        <f t="shared" ca="1" si="3"/>
        <v>271.17984641228873</v>
      </c>
      <c r="AD10">
        <f t="shared" ca="1" si="3"/>
        <v>295.05396858353026</v>
      </c>
      <c r="AE10">
        <f t="shared" ca="1" si="3"/>
        <v>295.74100538048776</v>
      </c>
      <c r="AF10">
        <f t="shared" ca="1" si="3"/>
        <v>286.97488967695807</v>
      </c>
      <c r="AG10">
        <f t="shared" ca="1" si="3"/>
        <v>263.11455791278144</v>
      </c>
      <c r="AH10">
        <f t="shared" ca="1" si="3"/>
        <v>277.15282603553607</v>
      </c>
      <c r="AI10">
        <f t="shared" ca="1" si="3"/>
        <v>274.83164575695196</v>
      </c>
      <c r="AK10">
        <f t="shared" ca="1" si="3"/>
        <v>273.73206709828736</v>
      </c>
      <c r="AL10">
        <f t="shared" ca="1" si="3"/>
        <v>292.35163279620122</v>
      </c>
    </row>
    <row r="11" spans="1:38">
      <c r="A11" s="1" t="s">
        <v>19</v>
      </c>
      <c r="B11" s="4" t="str">
        <f t="shared" si="1"/>
        <v>Yes</v>
      </c>
      <c r="C11" s="4" t="str">
        <f t="shared" si="0"/>
        <v>Yes</v>
      </c>
      <c r="D11" s="4" t="str">
        <f t="shared" si="0"/>
        <v>Yes</v>
      </c>
      <c r="E11" s="4" t="str">
        <f t="shared" si="0"/>
        <v>No</v>
      </c>
      <c r="F11" s="4" t="str">
        <f t="shared" si="0"/>
        <v>No</v>
      </c>
      <c r="G11" s="4" t="str">
        <f t="shared" si="0"/>
        <v>Yes</v>
      </c>
      <c r="H11" s="4" t="str">
        <f t="shared" si="0"/>
        <v>No</v>
      </c>
      <c r="I11" s="4" t="str">
        <f t="shared" si="0"/>
        <v>No</v>
      </c>
      <c r="J11" s="4" t="str">
        <f t="shared" si="0"/>
        <v>Yes</v>
      </c>
      <c r="K11" s="4" t="str">
        <f t="shared" si="0"/>
        <v>No</v>
      </c>
      <c r="L11" s="4" t="str">
        <f t="shared" si="0"/>
        <v>Yes</v>
      </c>
      <c r="N11" s="1" t="s">
        <v>19</v>
      </c>
      <c r="O11">
        <v>10</v>
      </c>
      <c r="P11">
        <f t="shared" ca="1" si="2"/>
        <v>13.481226744239247</v>
      </c>
      <c r="Q11">
        <f t="shared" ca="1" si="2"/>
        <v>10.091060250739533</v>
      </c>
      <c r="R11">
        <f t="shared" ca="1" si="2"/>
        <v>10.987296012265261</v>
      </c>
      <c r="S11">
        <f t="shared" ca="1" si="2"/>
        <v>14.62869642738994</v>
      </c>
      <c r="T11">
        <f t="shared" ca="1" si="2"/>
        <v>10.850997004383485</v>
      </c>
      <c r="U11">
        <f t="shared" ca="1" si="2"/>
        <v>12.242757733676934</v>
      </c>
      <c r="V11">
        <f t="shared" ca="1" si="2"/>
        <v>11.1282273175427</v>
      </c>
      <c r="W11">
        <f t="shared" ca="1" si="2"/>
        <v>10.046806005021812</v>
      </c>
      <c r="Y11">
        <f t="shared" ca="1" si="2"/>
        <v>12.17302318492805</v>
      </c>
      <c r="AA11" s="1" t="s">
        <v>19</v>
      </c>
      <c r="AB11">
        <v>500</v>
      </c>
      <c r="AC11">
        <f t="shared" ca="1" si="3"/>
        <v>281.4937803517397</v>
      </c>
      <c r="AD11">
        <f t="shared" ca="1" si="3"/>
        <v>295.57058175706305</v>
      </c>
      <c r="AE11">
        <f t="shared" ca="1" si="3"/>
        <v>281.92664041671691</v>
      </c>
      <c r="AF11">
        <f t="shared" ca="1" si="3"/>
        <v>255.62243793458725</v>
      </c>
      <c r="AG11">
        <f t="shared" ca="1" si="3"/>
        <v>290.03878972733008</v>
      </c>
      <c r="AH11">
        <f t="shared" ca="1" si="3"/>
        <v>295.93182951547152</v>
      </c>
      <c r="AI11">
        <f t="shared" ca="1" si="3"/>
        <v>261.30885757784523</v>
      </c>
      <c r="AJ11">
        <f t="shared" ca="1" si="3"/>
        <v>258.31319327373728</v>
      </c>
      <c r="AL11">
        <f t="shared" ca="1" si="3"/>
        <v>270.35771278071701</v>
      </c>
    </row>
    <row r="12" spans="1:38">
      <c r="A12" s="1" t="s">
        <v>14</v>
      </c>
      <c r="B12" s="4" t="str">
        <f t="shared" si="1"/>
        <v>Yes</v>
      </c>
      <c r="C12" s="4" t="str">
        <f t="shared" si="0"/>
        <v>No</v>
      </c>
      <c r="D12" s="4" t="str">
        <f t="shared" si="0"/>
        <v>Yes</v>
      </c>
      <c r="E12" s="4" t="str">
        <f t="shared" si="0"/>
        <v>No</v>
      </c>
      <c r="F12" s="4" t="str">
        <f t="shared" si="0"/>
        <v>Yes</v>
      </c>
      <c r="G12" s="4" t="str">
        <f t="shared" si="0"/>
        <v>Yes</v>
      </c>
      <c r="H12" s="4" t="str">
        <f t="shared" si="0"/>
        <v>No</v>
      </c>
      <c r="I12" s="4" t="str">
        <f t="shared" si="0"/>
        <v>No</v>
      </c>
      <c r="J12" s="4" t="str">
        <f t="shared" si="0"/>
        <v>No</v>
      </c>
      <c r="K12" s="4" t="str">
        <f t="shared" si="0"/>
        <v>Yes</v>
      </c>
      <c r="L12" s="4" t="str">
        <f t="shared" si="0"/>
        <v>No</v>
      </c>
      <c r="N12" s="1" t="s">
        <v>14</v>
      </c>
      <c r="O12">
        <v>10</v>
      </c>
      <c r="P12">
        <f t="shared" ca="1" si="2"/>
        <v>12.481407145174209</v>
      </c>
      <c r="Q12">
        <f t="shared" ca="1" si="2"/>
        <v>10.734171545434402</v>
      </c>
      <c r="R12">
        <f t="shared" ca="1" si="2"/>
        <v>11.830706229860715</v>
      </c>
      <c r="S12">
        <f t="shared" ca="1" si="2"/>
        <v>14.689404293380164</v>
      </c>
      <c r="T12">
        <f t="shared" ca="1" si="2"/>
        <v>13.68398593433157</v>
      </c>
      <c r="U12">
        <f t="shared" ca="1" si="2"/>
        <v>14.920262021553652</v>
      </c>
      <c r="V12">
        <f t="shared" ca="1" si="2"/>
        <v>12.025597761470326</v>
      </c>
      <c r="W12">
        <f t="shared" ca="1" si="2"/>
        <v>14.293258134636918</v>
      </c>
      <c r="X12">
        <f t="shared" ca="1" si="2"/>
        <v>13.930897982126927</v>
      </c>
      <c r="AA12" s="1" t="s">
        <v>14</v>
      </c>
      <c r="AB12">
        <v>500</v>
      </c>
      <c r="AC12">
        <f t="shared" ca="1" si="3"/>
        <v>259.59548422950735</v>
      </c>
      <c r="AD12">
        <f t="shared" ca="1" si="3"/>
        <v>285.00902447859056</v>
      </c>
      <c r="AE12">
        <f t="shared" ca="1" si="3"/>
        <v>296.77459974500266</v>
      </c>
      <c r="AF12">
        <f t="shared" ca="1" si="3"/>
        <v>261.06644356130272</v>
      </c>
      <c r="AG12">
        <f t="shared" ca="1" si="3"/>
        <v>279.11926040265115</v>
      </c>
      <c r="AH12">
        <f t="shared" ca="1" si="3"/>
        <v>258.96663790924242</v>
      </c>
      <c r="AI12">
        <f t="shared" ca="1" si="3"/>
        <v>295.33278471378077</v>
      </c>
      <c r="AJ12">
        <f t="shared" ca="1" si="3"/>
        <v>292.17794484823025</v>
      </c>
      <c r="AK12">
        <f t="shared" ca="1" si="3"/>
        <v>267.44545552593638</v>
      </c>
    </row>
    <row r="18" spans="1:21">
      <c r="A18" t="s">
        <v>62</v>
      </c>
    </row>
    <row r="19" spans="1:21">
      <c r="A19" t="s">
        <v>61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63</v>
      </c>
      <c r="B21" s="1" t="s">
        <v>64</v>
      </c>
      <c r="E21" s="6"/>
      <c r="F21" s="7" t="s">
        <v>5</v>
      </c>
      <c r="G21" s="7" t="s">
        <v>6</v>
      </c>
      <c r="H21" s="7" t="s">
        <v>7</v>
      </c>
      <c r="I21" s="7" t="s">
        <v>8</v>
      </c>
      <c r="J21" s="7" t="s">
        <v>9</v>
      </c>
      <c r="K21" s="7" t="s">
        <v>10</v>
      </c>
      <c r="L21" s="7" t="s">
        <v>11</v>
      </c>
      <c r="M21" s="7" t="s">
        <v>12</v>
      </c>
      <c r="N21" s="7" t="s">
        <v>13</v>
      </c>
      <c r="O21" s="7" t="s">
        <v>19</v>
      </c>
      <c r="P21" s="7" t="s">
        <v>14</v>
      </c>
    </row>
    <row r="22" spans="1:21">
      <c r="A22" s="5" t="s">
        <v>5</v>
      </c>
      <c r="B22" s="5" t="s">
        <v>6</v>
      </c>
      <c r="E22" s="6">
        <v>1</v>
      </c>
      <c r="F22" s="6" t="str">
        <f t="array" ref="F22">IFERROR(INDEX($B$22:$B$610,SMALL(IF($A$22:$A$610=F$21,ROW(ElecLine!$A$22:$A$610)),ElecLine!$E22)-ROW(RoadList)),"")</f>
        <v>Afar</v>
      </c>
      <c r="G22" s="6" t="str">
        <f t="array" ref="G22">IFERROR(INDEX($B$22:$B$610,SMALL(IF($A$22:$A$610=G$21,ROW(ElecLine!$A$22:$A$610)),ElecLine!$E22)-ROW(RoadList)),"")</f>
        <v>AddisAbaba</v>
      </c>
      <c r="H22" s="6" t="str">
        <f t="array" ref="H22">IFERROR(INDEX($B$22:$B$610,SMALL(IF($A$22:$A$610=H$21,ROW(ElecLine!$A$22:$A$610)),ElecLine!$E22)-ROW(RoadList)),"")</f>
        <v>AddisAbaba</v>
      </c>
      <c r="I22" s="6" t="str">
        <f t="array" ref="I22">IFERROR(INDEX($B$22:$B$610,SMALL(IF($A$22:$A$610=I$21,ROW(ElecLine!$A$22:$A$610)),ElecLine!$E22)-ROW(RoadList)),"")</f>
        <v>AddisAbaba</v>
      </c>
      <c r="J22" s="6" t="str">
        <f t="array" ref="J22">IFERROR(INDEX($B$22:$B$610,SMALL(IF($A$22:$A$610=J$21,ROW(ElecLine!$A$22:$A$610)),ElecLine!$E22)-ROW(RoadList)),"")</f>
        <v>AddisAbaba</v>
      </c>
      <c r="K22" s="6" t="str">
        <f t="array" ref="K22">IFERROR(INDEX($B$22:$B$610,SMALL(IF($A$22:$A$610=K$21,ROW(ElecLine!$A$22:$A$610)),ElecLine!$E22)-ROW(RoadList)),"")</f>
        <v>AddisAbaba</v>
      </c>
      <c r="L22" s="6" t="str">
        <f t="array" ref="L22">IFERROR(INDEX($B$22:$B$610,SMALL(IF($A$22:$A$610=L$21,ROW(ElecLine!$A$22:$A$610)),ElecLine!$E22)-ROW(RoadList)),"")</f>
        <v>AddisAbaba</v>
      </c>
      <c r="M22" s="6" t="str">
        <f t="array" ref="M22">IFERROR(INDEX($B$22:$B$610,SMALL(IF($A$22:$A$610=M$21,ROW(ElecLine!$A$22:$A$610)),ElecLine!$E22)-ROW(RoadList)),"")</f>
        <v>AddisAbaba</v>
      </c>
      <c r="N22" s="6" t="str">
        <f t="array" ref="N22">IFERROR(INDEX($B$22:$B$610,SMALL(IF($A$22:$A$610=N$21,ROW(ElecLine!$A$22:$A$610)),ElecLine!$E22)-ROW(RoadList)),"")</f>
        <v>AddisAbaba</v>
      </c>
      <c r="O22" s="6" t="str">
        <f t="array" ref="O22">IFERROR(INDEX($B$22:$B$610,SMALL(IF($A$22:$A$610=O$21,ROW(ElecLine!$A$22:$A$610)),ElecLine!$E22)-ROW(RoadList)),"")</f>
        <v>AddisAbaba</v>
      </c>
      <c r="P22" s="6" t="str">
        <f t="array" ref="P22">IFERROR(INDEX($B$22:$B$610,SMALL(IF($A$22:$A$610=P$21,ROW(ElecLine!$A$22:$A$610)),ElecLine!$E22)-ROW(RoadList)),"")</f>
        <v>AddisAbaba</v>
      </c>
    </row>
    <row r="23" spans="1:21">
      <c r="A23" s="5" t="s">
        <v>5</v>
      </c>
      <c r="B23" s="5" t="s">
        <v>7</v>
      </c>
      <c r="E23" s="6">
        <f>E22+1</f>
        <v>2</v>
      </c>
      <c r="F23" s="6" t="str">
        <f t="array" ref="F23">IFERROR(INDEX($B$22:$B$610,SMALL(IF($A$22:$A$610=F$21,ROW(ElecLine!$A$22:$A$610)),ElecLine!$E23)-ROW(RoadList)),"")</f>
        <v>Amhara</v>
      </c>
      <c r="G23" s="6" t="str">
        <f t="array" ref="G23">IFERROR(INDEX($B$22:$B$610,SMALL(IF($A$22:$A$610=G$21,ROW(ElecLine!$A$22:$A$610)),ElecLine!$E23)-ROW(RoadList)),"")</f>
        <v>Gumuz</v>
      </c>
      <c r="H23" s="6" t="str">
        <f t="array" ref="H23">IFERROR(INDEX($B$22:$B$610,SMALL(IF($A$22:$A$610=H$21,ROW(ElecLine!$A$22:$A$610)),ElecLine!$E23)-ROW(RoadList)),"")</f>
        <v>Harari</v>
      </c>
      <c r="I23" s="6" t="str">
        <f t="array" ref="I23">IFERROR(INDEX($B$22:$B$610,SMALL(IF($A$22:$A$610=I$21,ROW(ElecLine!$A$22:$A$610)),ElecLine!$E23)-ROW(RoadList)),"")</f>
        <v>Afar</v>
      </c>
      <c r="J23" s="6" t="str">
        <f t="array" ref="J23">IFERROR(INDEX($B$22:$B$610,SMALL(IF($A$22:$A$610=J$21,ROW(ElecLine!$A$22:$A$610)),ElecLine!$E23)-ROW(RoadList)),"")</f>
        <v>Gambela</v>
      </c>
      <c r="K23" s="6" t="str">
        <f t="array" ref="K23">IFERROR(INDEX($B$22:$B$610,SMALL(IF($A$22:$A$610=K$21,ROW(ElecLine!$A$22:$A$610)),ElecLine!$E23)-ROW(RoadList)),"")</f>
        <v>Afar</v>
      </c>
      <c r="L23" s="6" t="str">
        <f t="array" ref="L23">IFERROR(INDEX($B$22:$B$610,SMALL(IF($A$22:$A$610=L$21,ROW(ElecLine!$A$22:$A$610)),ElecLine!$E23)-ROW(RoadList)),"")</f>
        <v>Afar</v>
      </c>
      <c r="M23" s="6" t="str">
        <f t="array" ref="M23">IFERROR(INDEX($B$22:$B$610,SMALL(IF($A$22:$A$610=M$21,ROW(ElecLine!$A$22:$A$610)),ElecLine!$E23)-ROW(RoadList)),"")</f>
        <v>Afar</v>
      </c>
      <c r="N23" s="6" t="str">
        <f t="array" ref="N23">IFERROR(INDEX($B$22:$B$610,SMALL(IF($A$22:$A$610=N$21,ROW(ElecLine!$A$22:$A$610)),ElecLine!$E23)-ROW(RoadList)),"")</f>
        <v>Amhara</v>
      </c>
      <c r="O23" s="6" t="str">
        <f t="array" ref="O23">IFERROR(INDEX($B$22:$B$610,SMALL(IF($A$22:$A$610=O$21,ROW(ElecLine!$A$22:$A$610)),ElecLine!$E23)-ROW(RoadList)),"")</f>
        <v>Afar</v>
      </c>
      <c r="P23" s="6" t="str">
        <f t="array" ref="P23">IFERROR(INDEX($B$22:$B$610,SMALL(IF($A$22:$A$610=P$21,ROW(ElecLine!$A$22:$A$610)),ElecLine!$E23)-ROW(RoadList)),"")</f>
        <v>DireDawa</v>
      </c>
    </row>
    <row r="24" spans="1:21">
      <c r="A24" s="5" t="s">
        <v>5</v>
      </c>
      <c r="B24" s="5" t="s">
        <v>9</v>
      </c>
      <c r="E24" s="6">
        <f t="shared" ref="E24:E32" si="4">E23+1</f>
        <v>3</v>
      </c>
      <c r="F24" s="6" t="str">
        <f t="array" ref="F24">IFERROR(INDEX($B$22:$B$610,SMALL(IF($A$22:$A$610=F$21,ROW(ElecLine!$A$22:$A$610)),ElecLine!$E24)-ROW(RoadList)),"")</f>
        <v>DireDawa</v>
      </c>
      <c r="G24" s="6" t="str">
        <f t="array" ref="G24">IFERROR(INDEX($B$22:$B$610,SMALL(IF($A$22:$A$610=G$21,ROW(ElecLine!$A$22:$A$610)),ElecLine!$E24)-ROW(RoadList)),"")</f>
        <v>Harari</v>
      </c>
      <c r="H24" s="6" t="str">
        <f t="array" ref="H24">IFERROR(INDEX($B$22:$B$610,SMALL(IF($A$22:$A$610=H$21,ROW(ElecLine!$A$22:$A$610)),ElecLine!$E24)-ROW(RoadList)),"")</f>
        <v>SNNPR</v>
      </c>
      <c r="I24" s="6" t="str">
        <f t="array" ref="I24">IFERROR(INDEX($B$22:$B$610,SMALL(IF($A$22:$A$610=I$21,ROW(ElecLine!$A$22:$A$610)),ElecLine!$E24)-ROW(RoadList)),"")</f>
        <v>Amhara</v>
      </c>
      <c r="J24" s="6" t="str">
        <f t="array" ref="J24">IFERROR(INDEX($B$22:$B$610,SMALL(IF($A$22:$A$610=J$21,ROW(ElecLine!$A$22:$A$610)),ElecLine!$E24)-ROW(RoadList)),"")</f>
        <v>Gumuz</v>
      </c>
      <c r="K24" s="6" t="str">
        <f t="array" ref="K24">IFERROR(INDEX($B$22:$B$610,SMALL(IF($A$22:$A$610=K$21,ROW(ElecLine!$A$22:$A$610)),ElecLine!$E24)-ROW(RoadList)),"")</f>
        <v>DireDawa</v>
      </c>
      <c r="L24" s="6" t="str">
        <f t="array" ref="L24">IFERROR(INDEX($B$22:$B$610,SMALL(IF($A$22:$A$610=L$21,ROW(ElecLine!$A$22:$A$610)),ElecLine!$E24)-ROW(RoadList)),"")</f>
        <v>Amhara</v>
      </c>
      <c r="M24" s="6" t="str">
        <f t="array" ref="M24">IFERROR(INDEX($B$22:$B$610,SMALL(IF($A$22:$A$610=M$21,ROW(ElecLine!$A$22:$A$610)),ElecLine!$E24)-ROW(RoadList)),"")</f>
        <v>DireDawa</v>
      </c>
      <c r="N24" s="6" t="str">
        <f t="array" ref="N24">IFERROR(INDEX($B$22:$B$610,SMALL(IF($A$22:$A$610=N$21,ROW(ElecLine!$A$22:$A$610)),ElecLine!$E24)-ROW(RoadList)),"")</f>
        <v>Gambela</v>
      </c>
      <c r="O24" s="6" t="str">
        <f t="array" ref="O24">IFERROR(INDEX($B$22:$B$610,SMALL(IF($A$22:$A$610=O$21,ROW(ElecLine!$A$22:$A$610)),ElecLine!$E24)-ROW(RoadList)),"")</f>
        <v>Amhara</v>
      </c>
      <c r="P24" s="6" t="str">
        <f t="array" ref="P24">IFERROR(INDEX($B$22:$B$610,SMALL(IF($A$22:$A$610=P$21,ROW(ElecLine!$A$22:$A$610)),ElecLine!$E24)-ROW(RoadList)),"")</f>
        <v>Gambela</v>
      </c>
    </row>
    <row r="25" spans="1:21">
      <c r="A25" s="5" t="s">
        <v>5</v>
      </c>
      <c r="B25" s="5" t="s">
        <v>10</v>
      </c>
      <c r="E25" s="6">
        <f t="shared" si="4"/>
        <v>4</v>
      </c>
      <c r="F25" s="6" t="str">
        <f t="array" ref="F25">IFERROR(INDEX($B$22:$B$610,SMALL(IF($A$22:$A$610=F$21,ROW(ElecLine!$A$22:$A$610)),ElecLine!$E25)-ROW(RoadList)),"")</f>
        <v>Gambela</v>
      </c>
      <c r="G25" s="6" t="str">
        <f t="array" ref="G25">IFERROR(INDEX($B$22:$B$610,SMALL(IF($A$22:$A$610=G$21,ROW(ElecLine!$A$22:$A$610)),ElecLine!$E25)-ROW(RoadList)),"")</f>
        <v>Oromia</v>
      </c>
      <c r="H25" s="6" t="str">
        <f t="array" ref="H25">IFERROR(INDEX($B$22:$B$610,SMALL(IF($A$22:$A$610=H$21,ROW(ElecLine!$A$22:$A$610)),ElecLine!$E25)-ROW(RoadList)),"")</f>
        <v>Somali</v>
      </c>
      <c r="I25" s="6" t="str">
        <f t="array" ref="I25">IFERROR(INDEX($B$22:$B$610,SMALL(IF($A$22:$A$610=I$21,ROW(ElecLine!$A$22:$A$610)),ElecLine!$E25)-ROW(RoadList)),"")</f>
        <v>DireDawa</v>
      </c>
      <c r="J25" s="6" t="str">
        <f t="array" ref="J25">IFERROR(INDEX($B$22:$B$610,SMALL(IF($A$22:$A$610=J$21,ROW(ElecLine!$A$22:$A$610)),ElecLine!$E25)-ROW(RoadList)),"")</f>
        <v>Oromia</v>
      </c>
      <c r="K25" s="6" t="str">
        <f t="array" ref="K25">IFERROR(INDEX($B$22:$B$610,SMALL(IF($A$22:$A$610=K$21,ROW(ElecLine!$A$22:$A$610)),ElecLine!$E25)-ROW(RoadList)),"")</f>
        <v>SNNPR</v>
      </c>
      <c r="L25" s="6" t="str">
        <f t="array" ref="L25">IFERROR(INDEX($B$22:$B$610,SMALL(IF($A$22:$A$610=L$21,ROW(ElecLine!$A$22:$A$610)),ElecLine!$E25)-ROW(RoadList)),"")</f>
        <v>DireDawa</v>
      </c>
      <c r="M25" s="6" t="str">
        <f t="array" ref="M25">IFERROR(INDEX($B$22:$B$610,SMALL(IF($A$22:$A$610=M$21,ROW(ElecLine!$A$22:$A$610)),ElecLine!$E25)-ROW(RoadList)),"")</f>
        <v>Gambela</v>
      </c>
      <c r="N25" s="6" t="str">
        <f t="array" ref="N25">IFERROR(INDEX($B$22:$B$610,SMALL(IF($A$22:$A$610=N$21,ROW(ElecLine!$A$22:$A$610)),ElecLine!$E25)-ROW(RoadList)),"")</f>
        <v>Harari</v>
      </c>
      <c r="O25" s="6" t="str">
        <f t="array" ref="O25">IFERROR(INDEX($B$22:$B$610,SMALL(IF($A$22:$A$610=O$21,ROW(ElecLine!$A$22:$A$610)),ElecLine!$E25)-ROW(RoadList)),"")</f>
        <v>Gambela</v>
      </c>
      <c r="P25" s="6" t="str">
        <f t="array" ref="P25">IFERROR(INDEX($B$22:$B$610,SMALL(IF($A$22:$A$610=P$21,ROW(ElecLine!$A$22:$A$610)),ElecLine!$E25)-ROW(RoadList)),"")</f>
        <v>Gumuz</v>
      </c>
    </row>
    <row r="26" spans="1:21">
      <c r="A26" s="5" t="s">
        <v>5</v>
      </c>
      <c r="B26" s="5" t="s">
        <v>8</v>
      </c>
      <c r="E26" s="6">
        <f t="shared" si="4"/>
        <v>5</v>
      </c>
      <c r="F26" s="6" t="str">
        <f t="array" ref="F26">IFERROR(INDEX($B$22:$B$610,SMALL(IF($A$22:$A$610=F$21,ROW(ElecLine!$A$22:$A$610)),ElecLine!$E26)-ROW(RoadList)),"")</f>
        <v>Gumuz</v>
      </c>
      <c r="G26" s="6" t="str">
        <f t="array" ref="G26">IFERROR(INDEX($B$22:$B$610,SMALL(IF($A$22:$A$610=G$21,ROW(ElecLine!$A$22:$A$610)),ElecLine!$E26)-ROW(RoadList)),"")</f>
        <v>SNNPR</v>
      </c>
      <c r="H26" s="6" t="str">
        <f t="array" ref="H26">IFERROR(INDEX($B$22:$B$610,SMALL(IF($A$22:$A$610=H$21,ROW(ElecLine!$A$22:$A$610)),ElecLine!$E26)-ROW(RoadList)),"")</f>
        <v>Tigray</v>
      </c>
      <c r="I26" s="6" t="str">
        <f t="array" ref="I26">IFERROR(INDEX($B$22:$B$610,SMALL(IF($A$22:$A$610=I$21,ROW(ElecLine!$A$22:$A$610)),ElecLine!$E26)-ROW(RoadList)),"")</f>
        <v>Oromia</v>
      </c>
      <c r="J26" s="6" t="str">
        <f t="array" ref="J26">IFERROR(INDEX($B$22:$B$610,SMALL(IF($A$22:$A$610=J$21,ROW(ElecLine!$A$22:$A$610)),ElecLine!$E26)-ROW(RoadList)),"")</f>
        <v>Tigray</v>
      </c>
      <c r="K26" s="6" t="str">
        <f t="array" ref="K26">IFERROR(INDEX($B$22:$B$610,SMALL(IF($A$22:$A$610=K$21,ROW(ElecLine!$A$22:$A$610)),ElecLine!$E26)-ROW(RoadList)),"")</f>
        <v>Somali</v>
      </c>
      <c r="L26" s="6" t="str">
        <f t="array" ref="L26">IFERROR(INDEX($B$22:$B$610,SMALL(IF($A$22:$A$610=L$21,ROW(ElecLine!$A$22:$A$610)),ElecLine!$E26)-ROW(RoadList)),"")</f>
        <v>Somali</v>
      </c>
      <c r="M26" s="6" t="str">
        <f t="array" ref="M26">IFERROR(INDEX($B$22:$B$610,SMALL(IF($A$22:$A$610=M$21,ROW(ElecLine!$A$22:$A$610)),ElecLine!$E26)-ROW(RoadList)),"")</f>
        <v>Gumuz</v>
      </c>
      <c r="N26" s="6" t="str">
        <f t="array" ref="N26">IFERROR(INDEX($B$22:$B$610,SMALL(IF($A$22:$A$610=N$21,ROW(ElecLine!$A$22:$A$610)),ElecLine!$E26)-ROW(RoadList)),"")</f>
        <v>Oromia</v>
      </c>
      <c r="O26" s="6" t="str">
        <f t="array" ref="O26">IFERROR(INDEX($B$22:$B$610,SMALL(IF($A$22:$A$610=O$21,ROW(ElecLine!$A$22:$A$610)),ElecLine!$E26)-ROW(RoadList)),"")</f>
        <v>Harari</v>
      </c>
      <c r="P26" s="6" t="str">
        <f t="array" ref="P26">IFERROR(INDEX($B$22:$B$610,SMALL(IF($A$22:$A$610=P$21,ROW(ElecLine!$A$22:$A$610)),ElecLine!$E26)-ROW(RoadList)),"")</f>
        <v>Harari</v>
      </c>
    </row>
    <row r="27" spans="1:21">
      <c r="A27" s="5" t="s">
        <v>5</v>
      </c>
      <c r="B27" s="5" t="s">
        <v>11</v>
      </c>
      <c r="E27" s="6">
        <f t="shared" si="4"/>
        <v>6</v>
      </c>
      <c r="F27" s="6" t="str">
        <f t="array" ref="F27">IFERROR(INDEX($B$22:$B$610,SMALL(IF($A$22:$A$610=F$21,ROW(ElecLine!$A$22:$A$610)),ElecLine!$E27)-ROW(RoadList)),"")</f>
        <v>Harari</v>
      </c>
      <c r="G27" s="6" t="str">
        <f t="array" ref="G27">IFERROR(INDEX($B$22:$B$610,SMALL(IF($A$22:$A$610=G$21,ROW(ElecLine!$A$22:$A$610)),ElecLine!$E27)-ROW(RoadList)),"")</f>
        <v/>
      </c>
      <c r="H27" s="6" t="str">
        <f t="array" ref="H27">IFERROR(INDEX($B$22:$B$610,SMALL(IF($A$22:$A$610=H$21,ROW(ElecLine!$A$22:$A$610)),ElecLine!$E27)-ROW(RoadList)),"")</f>
        <v/>
      </c>
      <c r="I27" s="6" t="str">
        <f t="array" ref="I27">IFERROR(INDEX($B$22:$B$610,SMALL(IF($A$22:$A$610=I$21,ROW(ElecLine!$A$22:$A$610)),ElecLine!$E27)-ROW(RoadList)),"")</f>
        <v/>
      </c>
      <c r="J27" s="6" t="str">
        <f t="array" ref="J27">IFERROR(INDEX($B$22:$B$610,SMALL(IF($A$22:$A$610=J$21,ROW(ElecLine!$A$22:$A$610)),ElecLine!$E27)-ROW(RoadList)),"")</f>
        <v/>
      </c>
      <c r="K27" s="6" t="str">
        <f t="array" ref="K27">IFERROR(INDEX($B$22:$B$610,SMALL(IF($A$22:$A$610=K$21,ROW(ElecLine!$A$22:$A$610)),ElecLine!$E27)-ROW(RoadList)),"")</f>
        <v>Tigray</v>
      </c>
      <c r="L27" s="6" t="str">
        <f t="array" ref="L27">IFERROR(INDEX($B$22:$B$610,SMALL(IF($A$22:$A$610=L$21,ROW(ElecLine!$A$22:$A$610)),ElecLine!$E27)-ROW(RoadList)),"")</f>
        <v/>
      </c>
      <c r="M27" s="6" t="str">
        <f t="array" ref="M27">IFERROR(INDEX($B$22:$B$610,SMALL(IF($A$22:$A$610=M$21,ROW(ElecLine!$A$22:$A$610)),ElecLine!$E27)-ROW(RoadList)),"")</f>
        <v>Somali</v>
      </c>
      <c r="N27" s="6" t="str">
        <f t="array" ref="N27">IFERROR(INDEX($B$22:$B$610,SMALL(IF($A$22:$A$610=N$21,ROW(ElecLine!$A$22:$A$610)),ElecLine!$E27)-ROW(RoadList)),"")</f>
        <v>SNNPR</v>
      </c>
      <c r="O27" s="6" t="str">
        <f t="array" ref="O27">IFERROR(INDEX($B$22:$B$610,SMALL(IF($A$22:$A$610=O$21,ROW(ElecLine!$A$22:$A$610)),ElecLine!$E27)-ROW(RoadList)),"")</f>
        <v>Tigray</v>
      </c>
      <c r="P27" s="6" t="str">
        <f t="array" ref="P27">IFERROR(INDEX($B$22:$B$610,SMALL(IF($A$22:$A$610=P$21,ROW(ElecLine!$A$22:$A$610)),ElecLine!$E27)-ROW(RoadList)),"")</f>
        <v>SNNPR</v>
      </c>
    </row>
    <row r="28" spans="1:21">
      <c r="A28" s="5" t="s">
        <v>5</v>
      </c>
      <c r="B28" s="5" t="s">
        <v>12</v>
      </c>
      <c r="E28" s="6">
        <f t="shared" si="4"/>
        <v>7</v>
      </c>
      <c r="F28" s="6" t="str">
        <f t="array" ref="F28">IFERROR(INDEX($B$22:$B$610,SMALL(IF($A$22:$A$610=F$21,ROW(ElecLine!$A$22:$A$610)),ElecLine!$E28)-ROW(RoadList)),"")</f>
        <v>Oromia</v>
      </c>
      <c r="G28" s="6" t="str">
        <f t="array" ref="G28">IFERROR(INDEX($B$22:$B$610,SMALL(IF($A$22:$A$610=G$21,ROW(ElecLine!$A$22:$A$610)),ElecLine!$E28)-ROW(RoadList)),"")</f>
        <v/>
      </c>
      <c r="H28" s="6" t="str">
        <f t="array" ref="H28">IFERROR(INDEX($B$22:$B$610,SMALL(IF($A$22:$A$610=H$21,ROW(ElecLine!$A$22:$A$610)),ElecLine!$E28)-ROW(RoadList)),"")</f>
        <v/>
      </c>
      <c r="I28" s="6" t="str">
        <f t="array" ref="I28">IFERROR(INDEX($B$22:$B$610,SMALL(IF($A$22:$A$610=I$21,ROW(ElecLine!$A$22:$A$610)),ElecLine!$E28)-ROW(RoadList)),"")</f>
        <v/>
      </c>
      <c r="J28" s="6" t="str">
        <f t="array" ref="J28">IFERROR(INDEX($B$22:$B$610,SMALL(IF($A$22:$A$610=J$21,ROW(ElecLine!$A$22:$A$610)),ElecLine!$E28)-ROW(RoadList)),"")</f>
        <v/>
      </c>
      <c r="K28" s="6" t="str">
        <f t="array" ref="K28">IFERROR(INDEX($B$22:$B$610,SMALL(IF($A$22:$A$610=K$21,ROW(ElecLine!$A$22:$A$610)),ElecLine!$E28)-ROW(RoadList)),"")</f>
        <v/>
      </c>
      <c r="L28" s="6" t="str">
        <f t="array" ref="L28">IFERROR(INDEX($B$22:$B$610,SMALL(IF($A$22:$A$610=L$21,ROW(ElecLine!$A$22:$A$610)),ElecLine!$E28)-ROW(RoadList)),"")</f>
        <v/>
      </c>
      <c r="M28" s="6" t="str">
        <f t="array" ref="M28">IFERROR(INDEX($B$22:$B$610,SMALL(IF($A$22:$A$610=M$21,ROW(ElecLine!$A$22:$A$610)),ElecLine!$E28)-ROW(RoadList)),"")</f>
        <v/>
      </c>
      <c r="N28" s="6" t="str">
        <f t="array" ref="N28">IFERROR(INDEX($B$22:$B$610,SMALL(IF($A$22:$A$610=N$21,ROW(ElecLine!$A$22:$A$610)),ElecLine!$E28)-ROW(RoadList)),"")</f>
        <v/>
      </c>
      <c r="O28" s="6" t="str">
        <f t="array" ref="O28">IFERROR(INDEX($B$22:$B$610,SMALL(IF($A$22:$A$610=O$21,ROW(ElecLine!$A$22:$A$610)),ElecLine!$E28)-ROW(RoadList)),"")</f>
        <v/>
      </c>
      <c r="P28" s="6" t="str">
        <f t="array" ref="P28">IFERROR(INDEX($B$22:$B$610,SMALL(IF($A$22:$A$610=P$21,ROW(ElecLine!$A$22:$A$610)),ElecLine!$E28)-ROW(RoadList)),"")</f>
        <v/>
      </c>
    </row>
    <row r="29" spans="1:21">
      <c r="A29" s="5" t="s">
        <v>5</v>
      </c>
      <c r="B29" s="5" t="s">
        <v>19</v>
      </c>
      <c r="E29" s="6">
        <f t="shared" si="4"/>
        <v>8</v>
      </c>
      <c r="F29" s="6" t="str">
        <f t="array" ref="F29">IFERROR(INDEX($B$22:$B$610,SMALL(IF($A$22:$A$610=F$21,ROW(ElecLine!$A$22:$A$610)),ElecLine!$E29)-ROW(RoadList)),"")</f>
        <v>SNNPR</v>
      </c>
      <c r="G29" s="6" t="str">
        <f t="array" ref="G29">IFERROR(INDEX($B$22:$B$610,SMALL(IF($A$22:$A$610=G$21,ROW(ElecLine!$A$22:$A$610)),ElecLine!$E29)-ROW(RoadList)),"")</f>
        <v/>
      </c>
      <c r="H29" s="6" t="str">
        <f t="array" ref="H29">IFERROR(INDEX($B$22:$B$610,SMALL(IF($A$22:$A$610=H$21,ROW(ElecLine!$A$22:$A$610)),ElecLine!$E29)-ROW(RoadList)),"")</f>
        <v/>
      </c>
      <c r="I29" s="6" t="str">
        <f t="array" ref="I29">IFERROR(INDEX($B$22:$B$610,SMALL(IF($A$22:$A$610=I$21,ROW(ElecLine!$A$22:$A$610)),ElecLine!$E29)-ROW(RoadList)),"")</f>
        <v/>
      </c>
      <c r="J29" s="6" t="str">
        <f t="array" ref="J29">IFERROR(INDEX($B$22:$B$610,SMALL(IF($A$22:$A$610=J$21,ROW(ElecLine!$A$22:$A$610)),ElecLine!$E29)-ROW(RoadList)),"")</f>
        <v/>
      </c>
      <c r="K29" s="6" t="str">
        <f t="array" ref="K29">IFERROR(INDEX($B$22:$B$610,SMALL(IF($A$22:$A$610=K$21,ROW(ElecLine!$A$22:$A$610)),ElecLine!$E29)-ROW(RoadList)),"")</f>
        <v/>
      </c>
      <c r="L29" s="6" t="str">
        <f t="array" ref="L29">IFERROR(INDEX($B$22:$B$610,SMALL(IF($A$22:$A$610=L$21,ROW(ElecLine!$A$22:$A$610)),ElecLine!$E29)-ROW(RoadList)),"")</f>
        <v/>
      </c>
      <c r="M29" s="6" t="str">
        <f t="array" ref="M29">IFERROR(INDEX($B$22:$B$610,SMALL(IF($A$22:$A$610=M$21,ROW(ElecLine!$A$22:$A$610)),ElecLine!$E29)-ROW(RoadList)),"")</f>
        <v/>
      </c>
      <c r="N29" s="6" t="str">
        <f t="array" ref="N29">IFERROR(INDEX($B$22:$B$610,SMALL(IF($A$22:$A$610=N$21,ROW(ElecLine!$A$22:$A$610)),ElecLine!$E29)-ROW(RoadList)),"")</f>
        <v/>
      </c>
      <c r="O29" s="6" t="str">
        <f t="array" ref="O29">IFERROR(INDEX($B$22:$B$610,SMALL(IF($A$22:$A$610=O$21,ROW(ElecLine!$A$22:$A$610)),ElecLine!$E29)-ROW(RoadList)),"")</f>
        <v/>
      </c>
      <c r="P29" s="6" t="str">
        <f t="array" ref="P29">IFERROR(INDEX($B$22:$B$610,SMALL(IF($A$22:$A$610=P$21,ROW(ElecLine!$A$22:$A$610)),ElecLine!$E29)-ROW(RoadList)),"")</f>
        <v/>
      </c>
    </row>
    <row r="30" spans="1:21">
      <c r="A30" s="5" t="s">
        <v>5</v>
      </c>
      <c r="B30" s="5" t="s">
        <v>13</v>
      </c>
      <c r="E30" s="6">
        <f t="shared" si="4"/>
        <v>9</v>
      </c>
      <c r="F30" s="6" t="str">
        <f t="array" ref="F30">IFERROR(INDEX($B$22:$B$610,SMALL(IF($A$22:$A$610=F$21,ROW(ElecLine!$A$22:$A$610)),ElecLine!$E30)-ROW(RoadList)),"")</f>
        <v>Somali</v>
      </c>
      <c r="G30" s="6" t="str">
        <f t="array" ref="G30">IFERROR(INDEX($B$22:$B$610,SMALL(IF($A$22:$A$610=G$21,ROW(ElecLine!$A$22:$A$610)),ElecLine!$E30)-ROW(RoadList)),"")</f>
        <v/>
      </c>
      <c r="H30" s="6" t="str">
        <f t="array" ref="H30">IFERROR(INDEX($B$22:$B$610,SMALL(IF($A$22:$A$610=H$21,ROW(ElecLine!$A$22:$A$610)),ElecLine!$E30)-ROW(RoadList)),"")</f>
        <v/>
      </c>
      <c r="I30" s="6" t="str">
        <f t="array" ref="I30">IFERROR(INDEX($B$22:$B$610,SMALL(IF($A$22:$A$610=I$21,ROW(ElecLine!$A$22:$A$610)),ElecLine!$E30)-ROW(RoadList)),"")</f>
        <v/>
      </c>
      <c r="J30" s="6" t="str">
        <f t="array" ref="J30">IFERROR(INDEX($B$22:$B$610,SMALL(IF($A$22:$A$610=J$21,ROW(ElecLine!$A$22:$A$610)),ElecLine!$E30)-ROW(RoadList)),"")</f>
        <v/>
      </c>
      <c r="K30" s="6" t="str">
        <f t="array" ref="K30">IFERROR(INDEX($B$22:$B$610,SMALL(IF($A$22:$A$610=K$21,ROW(ElecLine!$A$22:$A$610)),ElecLine!$E30)-ROW(RoadList)),"")</f>
        <v/>
      </c>
      <c r="L30" s="6" t="str">
        <f t="array" ref="L30">IFERROR(INDEX($B$22:$B$610,SMALL(IF($A$22:$A$610=L$21,ROW(ElecLine!$A$22:$A$610)),ElecLine!$E30)-ROW(RoadList)),"")</f>
        <v/>
      </c>
      <c r="M30" s="6" t="str">
        <f t="array" ref="M30">IFERROR(INDEX($B$22:$B$610,SMALL(IF($A$22:$A$610=M$21,ROW(ElecLine!$A$22:$A$610)),ElecLine!$E30)-ROW(RoadList)),"")</f>
        <v/>
      </c>
      <c r="N30" s="6" t="str">
        <f t="array" ref="N30">IFERROR(INDEX($B$22:$B$610,SMALL(IF($A$22:$A$610=N$21,ROW(ElecLine!$A$22:$A$610)),ElecLine!$E30)-ROW(RoadList)),"")</f>
        <v/>
      </c>
      <c r="O30" s="6" t="str">
        <f t="array" ref="O30">IFERROR(INDEX($B$22:$B$610,SMALL(IF($A$22:$A$610=O$21,ROW(ElecLine!$A$22:$A$610)),ElecLine!$E30)-ROW(RoadList)),"")</f>
        <v/>
      </c>
      <c r="P30" s="6" t="str">
        <f t="array" ref="P30">IFERROR(INDEX($B$22:$B$610,SMALL(IF($A$22:$A$610=P$21,ROW(ElecLine!$A$22:$A$610)),ElecLine!$E30)-ROW(RoadList)),"")</f>
        <v/>
      </c>
    </row>
    <row r="31" spans="1:21">
      <c r="A31" s="5" t="s">
        <v>5</v>
      </c>
      <c r="B31" s="5" t="s">
        <v>14</v>
      </c>
      <c r="E31" s="6">
        <f t="shared" si="4"/>
        <v>10</v>
      </c>
      <c r="F31" s="6" t="str">
        <f t="array" ref="F31">IFERROR(INDEX($B$22:$B$610,SMALL(IF($A$22:$A$610=F$21,ROW(ElecLine!$A$22:$A$610)),ElecLine!$E31)-ROW(RoadList)),"")</f>
        <v>Tigray</v>
      </c>
      <c r="G31" s="6" t="str">
        <f t="array" ref="G31">IFERROR(INDEX($B$22:$B$610,SMALL(IF($A$22:$A$610=G$21,ROW(ElecLine!$A$22:$A$610)),ElecLine!$E31)-ROW(RoadList)),"")</f>
        <v/>
      </c>
      <c r="H31" s="6" t="str">
        <f t="array" ref="H31">IFERROR(INDEX($B$22:$B$610,SMALL(IF($A$22:$A$610=H$21,ROW(ElecLine!$A$22:$A$610)),ElecLine!$E31)-ROW(RoadList)),"")</f>
        <v/>
      </c>
      <c r="I31" s="6" t="str">
        <f t="array" ref="I31">IFERROR(INDEX($B$22:$B$610,SMALL(IF($A$22:$A$610=I$21,ROW(ElecLine!$A$22:$A$610)),ElecLine!$E31)-ROW(RoadList)),"")</f>
        <v/>
      </c>
      <c r="J31" s="6" t="str">
        <f t="array" ref="J31">IFERROR(INDEX($B$22:$B$610,SMALL(IF($A$22:$A$610=J$21,ROW(ElecLine!$A$22:$A$610)),ElecLine!$E31)-ROW(RoadList)),"")</f>
        <v/>
      </c>
      <c r="K31" s="6" t="str">
        <f t="array" ref="K31">IFERROR(INDEX($B$22:$B$610,SMALL(IF($A$22:$A$610=K$21,ROW(ElecLine!$A$22:$A$610)),ElecLine!$E31)-ROW(RoadList)),"")</f>
        <v/>
      </c>
      <c r="L31" s="6" t="str">
        <f t="array" ref="L31">IFERROR(INDEX($B$22:$B$610,SMALL(IF($A$22:$A$610=L$21,ROW(ElecLine!$A$22:$A$610)),ElecLine!$E31)-ROW(RoadList)),"")</f>
        <v/>
      </c>
      <c r="M31" s="6" t="str">
        <f t="array" ref="M31">IFERROR(INDEX($B$22:$B$610,SMALL(IF($A$22:$A$610=M$21,ROW(ElecLine!$A$22:$A$610)),ElecLine!$E31)-ROW(RoadList)),"")</f>
        <v/>
      </c>
      <c r="N31" s="6" t="str">
        <f t="array" ref="N31">IFERROR(INDEX($B$22:$B$610,SMALL(IF($A$22:$A$610=N$21,ROW(ElecLine!$A$22:$A$610)),ElecLine!$E31)-ROW(RoadList)),"")</f>
        <v/>
      </c>
      <c r="O31" s="6" t="str">
        <f t="array" ref="O31">IFERROR(INDEX($B$22:$B$610,SMALL(IF($A$22:$A$610=O$21,ROW(ElecLine!$A$22:$A$610)),ElecLine!$E31)-ROW(RoadList)),"")</f>
        <v/>
      </c>
      <c r="P31" s="6" t="str">
        <f t="array" ref="P31">IFERROR(INDEX($B$22:$B$610,SMALL(IF($A$22:$A$610=P$21,ROW(ElecLine!$A$22:$A$610)),ElecLine!$E31)-ROW(RoadList)),"")</f>
        <v/>
      </c>
    </row>
    <row r="32" spans="1:21">
      <c r="A32" s="5" t="s">
        <v>6</v>
      </c>
      <c r="B32" s="5" t="s">
        <v>5</v>
      </c>
      <c r="E32" s="6">
        <f t="shared" si="4"/>
        <v>11</v>
      </c>
      <c r="F32" s="6" t="str">
        <f t="array" ref="F32">IFERROR(INDEX($B$22:$B$610,SMALL(IF($A$22:$A$610=F$21,ROW(ElecLine!$A$22:$A$610)),ElecLine!$E32)-ROW(RoadList)),"")</f>
        <v/>
      </c>
      <c r="G32" s="6" t="str">
        <f t="array" ref="G32">IFERROR(INDEX($B$22:$B$610,SMALL(IF($A$22:$A$610=G$21,ROW(ElecLine!$A$22:$A$610)),ElecLine!$E32)-ROW(RoadList)),"")</f>
        <v/>
      </c>
      <c r="H32" s="6" t="str">
        <f t="array" ref="H32">IFERROR(INDEX($B$22:$B$610,SMALL(IF($A$22:$A$610=H$21,ROW(ElecLine!$A$22:$A$610)),ElecLine!$E32)-ROW(RoadList)),"")</f>
        <v/>
      </c>
      <c r="I32" s="6" t="str">
        <f t="array" ref="I32">IFERROR(INDEX($B$22:$B$610,SMALL(IF($A$22:$A$610=I$21,ROW(ElecLine!$A$22:$A$610)),ElecLine!$E32)-ROW(RoadList)),"")</f>
        <v/>
      </c>
      <c r="J32" s="6" t="str">
        <f t="array" ref="J32">IFERROR(INDEX($B$22:$B$610,SMALL(IF($A$22:$A$610=J$21,ROW(ElecLine!$A$22:$A$610)),ElecLine!$E32)-ROW(RoadList)),"")</f>
        <v/>
      </c>
      <c r="K32" s="6" t="str">
        <f t="array" ref="K32">IFERROR(INDEX($B$22:$B$610,SMALL(IF($A$22:$A$610=K$21,ROW(ElecLine!$A$22:$A$610)),ElecLine!$E32)-ROW(RoadList)),"")</f>
        <v/>
      </c>
      <c r="L32" s="6" t="str">
        <f t="array" ref="L32">IFERROR(INDEX($B$22:$B$610,SMALL(IF($A$22:$A$610=L$21,ROW(ElecLine!$A$22:$A$610)),ElecLine!$E32)-ROW(RoadList)),"")</f>
        <v/>
      </c>
      <c r="M32" s="6" t="str">
        <f t="array" ref="M32">IFERROR(INDEX($B$22:$B$610,SMALL(IF($A$22:$A$610=M$21,ROW(ElecLine!$A$22:$A$610)),ElecLine!$E32)-ROW(RoadList)),"")</f>
        <v/>
      </c>
      <c r="N32" s="6" t="str">
        <f t="array" ref="N32">IFERROR(INDEX($B$22:$B$610,SMALL(IF($A$22:$A$610=N$21,ROW(ElecLine!$A$22:$A$610)),ElecLine!$E32)-ROW(RoadList)),"")</f>
        <v/>
      </c>
      <c r="O32" s="6" t="str">
        <f t="array" ref="O32">IFERROR(INDEX($B$22:$B$610,SMALL(IF($A$22:$A$610=O$21,ROW(ElecLine!$A$22:$A$610)),ElecLine!$E32)-ROW(RoadList)),"")</f>
        <v/>
      </c>
      <c r="P32" s="6" t="str">
        <f t="array" ref="P32">IFERROR(INDEX($B$22:$B$610,SMALL(IF($A$22:$A$610=P$21,ROW(ElecLine!$A$22:$A$610)),ElecLine!$E32)-ROW(RoadList)),"")</f>
        <v/>
      </c>
    </row>
    <row r="33" spans="1:16">
      <c r="A33" s="5"/>
      <c r="B33" s="5"/>
      <c r="E33" s="6"/>
      <c r="F33" s="6" t="str">
        <f t="array" ref="F33">IFERROR(INDEX($B$22:$B$610,SMALL(IF($A$22:$A$610=F$21,ROW(ElecLine!$A$22:$A$610)),ElecLine!$E33)-ROW(RoadList)),"")</f>
        <v/>
      </c>
      <c r="G33" s="6" t="str">
        <f t="array" ref="G33">IFERROR(INDEX($B$22:$B$610,SMALL(IF($A$22:$A$610=G$21,ROW(ElecLine!$A$22:$A$610)),ElecLine!$E33)-ROW(RoadList)),"")</f>
        <v/>
      </c>
      <c r="H33" s="6" t="str">
        <f t="array" ref="H33">IFERROR(INDEX($B$22:$B$610,SMALL(IF($A$22:$A$610=H$21,ROW(ElecLine!$A$22:$A$610)),ElecLine!$E33)-ROW(RoadList)),"")</f>
        <v/>
      </c>
      <c r="I33" s="6" t="str">
        <f t="array" ref="I33">IFERROR(INDEX($B$22:$B$610,SMALL(IF($A$22:$A$610=I$21,ROW(ElecLine!$A$22:$A$610)),ElecLine!$E33)-ROW(RoadList)),"")</f>
        <v/>
      </c>
      <c r="J33" s="6" t="str">
        <f t="array" ref="J33">IFERROR(INDEX($B$22:$B$610,SMALL(IF($A$22:$A$610=J$21,ROW(ElecLine!$A$22:$A$610)),ElecLine!$E33)-ROW(RoadList)),"")</f>
        <v/>
      </c>
      <c r="K33" s="6" t="str">
        <f t="array" ref="K33">IFERROR(INDEX($B$22:$B$610,SMALL(IF($A$22:$A$610=K$21,ROW(ElecLine!$A$22:$A$610)),ElecLine!$E33)-ROW(RoadList)),"")</f>
        <v/>
      </c>
      <c r="L33" s="6" t="str">
        <f t="array" ref="L33">IFERROR(INDEX($B$22:$B$610,SMALL(IF($A$22:$A$610=L$21,ROW(ElecLine!$A$22:$A$610)),ElecLine!$E33)-ROW(RoadList)),"")</f>
        <v/>
      </c>
      <c r="M33" s="6" t="str">
        <f t="array" ref="M33">IFERROR(INDEX($B$22:$B$610,SMALL(IF($A$22:$A$610=M$21,ROW(ElecLine!$A$22:$A$610)),ElecLine!$E33)-ROW(RoadList)),"")</f>
        <v/>
      </c>
      <c r="N33" s="6" t="str">
        <f t="array" ref="N33">IFERROR(INDEX($B$22:$B$610,SMALL(IF($A$22:$A$610=N$21,ROW(ElecLine!$A$22:$A$610)),ElecLine!$E33)-ROW(RoadList)),"")</f>
        <v/>
      </c>
      <c r="O33" s="6" t="str">
        <f t="array" ref="O33">IFERROR(INDEX($B$22:$B$610,SMALL(IF($A$22:$A$610=O$21,ROW(ElecLine!$A$22:$A$610)),ElecLine!$E33)-ROW(RoadList)),"")</f>
        <v/>
      </c>
      <c r="P33" s="6" t="str">
        <f t="array" ref="P33">IFERROR(INDEX($B$22:$B$610,SMALL(IF($A$22:$A$610=P$21,ROW(ElecLine!$A$22:$A$610)),ElecLine!$E33)-ROW(RoadList)),"")</f>
        <v/>
      </c>
    </row>
    <row r="34" spans="1:16">
      <c r="A34" s="5" t="s">
        <v>6</v>
      </c>
      <c r="B34" s="5" t="s">
        <v>8</v>
      </c>
      <c r="E34" s="6"/>
      <c r="F34" s="6"/>
      <c r="G34" s="6"/>
      <c r="H34" s="6"/>
      <c r="I34" s="8"/>
      <c r="J34" s="8" t="str">
        <f>IF(ISERROR(INDEX($A$1:$B$8,SMALL(IF($A$1:$A$8=$E$1,ROW($A$1:$A$8)),ROW(1:1)),2)),"",INDEX($A$1:$B$8,SMALL(IF($A$1:$A$8=$E$1,ROW($A$1:$A$8)),ROW(1:1)),2))</f>
        <v/>
      </c>
      <c r="K34" s="6"/>
      <c r="L34" s="6"/>
      <c r="M34" s="6"/>
      <c r="N34" s="6"/>
      <c r="O34" s="6"/>
      <c r="P34" s="6"/>
    </row>
    <row r="35" spans="1:16">
      <c r="A35" s="5" t="s">
        <v>6</v>
      </c>
      <c r="B35" s="5" t="s">
        <v>11</v>
      </c>
      <c r="E35" s="6"/>
      <c r="F35" s="6"/>
      <c r="G35" s="6"/>
      <c r="H35" s="6"/>
      <c r="I35" s="8" t="str">
        <f t="array" ref="I35">IF(ISERROR(INDEX($A$1:$B$8,SMALL(IF($A$1:$A$8=$E$1,ROW($A$1:$A$8)),ROW(2:2)),2)),"",INDEX($A$1:$B$8,SMALL(IF($A$1:$A$8=$E$1,ROW($A$1:$A$8)),ROW(2:2)),2))</f>
        <v/>
      </c>
      <c r="J35" s="6"/>
      <c r="K35" s="6"/>
      <c r="L35" s="6"/>
      <c r="M35" s="6"/>
      <c r="N35" s="6"/>
      <c r="O35" s="6"/>
      <c r="P35" s="6"/>
    </row>
    <row r="36" spans="1:16">
      <c r="A36" s="5" t="s">
        <v>6</v>
      </c>
      <c r="B36" s="5" t="s">
        <v>12</v>
      </c>
      <c r="E36" s="6"/>
      <c r="F36" s="6"/>
      <c r="G36" s="6"/>
      <c r="H36" s="6"/>
      <c r="I36" s="8" t="str">
        <f t="array" ref="I36">IF(ISERROR(INDEX($A$1:$B$8,SMALL(IF($A$1:$A$8=$E$1,ROW($A$1:$A$8)),ROW(3:3)),2)),"",INDEX($A$1:$B$8,SMALL(IF($A$1:$A$8=$E$1,ROW($A$1:$A$8)),ROW(3:3)),2))</f>
        <v/>
      </c>
      <c r="J36" s="6"/>
      <c r="K36" s="6"/>
      <c r="L36" s="6"/>
      <c r="M36" s="6"/>
      <c r="N36" s="6"/>
      <c r="O36" s="6"/>
      <c r="P36" s="6"/>
    </row>
    <row r="37" spans="1:16">
      <c r="A37" s="5" t="s">
        <v>6</v>
      </c>
      <c r="B37" s="5" t="s">
        <v>19</v>
      </c>
      <c r="E37" s="6"/>
      <c r="F37" s="6"/>
      <c r="G37" s="6"/>
      <c r="H37" s="6"/>
      <c r="I37" s="8" t="str">
        <f t="array" ref="I37">IF(ISERROR(INDEX($A$1:$B$8,SMALL(IF($A$1:$A$8=$E$1,ROW($A$1:$A$8)),ROW(4:4)),2)),"",INDEX($A$1:$B$8,SMALL(IF($A$1:$A$8=$E$1,ROW($A$1:$A$8)),ROW(4:4)),2))</f>
        <v/>
      </c>
      <c r="J37" s="6"/>
      <c r="K37" s="6"/>
      <c r="L37" s="6"/>
      <c r="M37" s="6"/>
      <c r="N37" s="6"/>
      <c r="O37" s="6"/>
      <c r="P37" s="6"/>
    </row>
    <row r="38" spans="1:16">
      <c r="A38" s="5" t="s">
        <v>7</v>
      </c>
      <c r="B38" s="5" t="s">
        <v>5</v>
      </c>
      <c r="E38" s="6"/>
      <c r="F38" s="6"/>
      <c r="G38" s="6"/>
      <c r="H38" s="6"/>
      <c r="I38" s="8" t="str">
        <f t="array" ref="I38">IF(ISERROR(INDEX($A$1:$B$8,SMALL(IF($A$1:$A$8=$E$1,ROW($A$1:$A$8)),ROW(5:5)),2)),"",INDEX($A$1:$B$8,SMALL(IF($A$1:$A$8=$E$1,ROW($A$1:$A$8)),ROW(5:5)),2))</f>
        <v/>
      </c>
      <c r="J38" s="6"/>
      <c r="K38" s="6"/>
      <c r="L38" s="6"/>
      <c r="M38" s="6"/>
      <c r="N38" s="6"/>
      <c r="O38" s="6"/>
      <c r="P38" s="6"/>
    </row>
    <row r="39" spans="1:16">
      <c r="A39" s="5"/>
      <c r="B39" s="5"/>
    </row>
    <row r="40" spans="1:16">
      <c r="A40" s="5" t="s">
        <v>7</v>
      </c>
      <c r="B40" s="5" t="s">
        <v>11</v>
      </c>
    </row>
    <row r="41" spans="1:16">
      <c r="A41" s="5" t="s">
        <v>7</v>
      </c>
      <c r="B41" s="5" t="s">
        <v>19</v>
      </c>
    </row>
    <row r="42" spans="1:16">
      <c r="A42" s="5" t="s">
        <v>7</v>
      </c>
      <c r="B42" s="5" t="s">
        <v>13</v>
      </c>
    </row>
    <row r="43" spans="1:16">
      <c r="A43" s="5" t="s">
        <v>7</v>
      </c>
      <c r="B43" s="5" t="s">
        <v>14</v>
      </c>
    </row>
    <row r="44" spans="1:16">
      <c r="A44" s="5" t="s">
        <v>9</v>
      </c>
      <c r="B44" s="5" t="s">
        <v>5</v>
      </c>
    </row>
    <row r="45" spans="1:16">
      <c r="A45" s="5" t="s">
        <v>9</v>
      </c>
      <c r="B45" s="5" t="s">
        <v>10</v>
      </c>
    </row>
    <row r="46" spans="1:16">
      <c r="A46" s="5" t="s">
        <v>9</v>
      </c>
      <c r="B46" s="5" t="s">
        <v>8</v>
      </c>
    </row>
    <row r="47" spans="1:16">
      <c r="A47" s="5"/>
      <c r="B47" s="5"/>
    </row>
    <row r="48" spans="1:16">
      <c r="A48" s="5" t="s">
        <v>9</v>
      </c>
      <c r="B48" s="5" t="s">
        <v>12</v>
      </c>
    </row>
    <row r="49" spans="1:2">
      <c r="A49" s="5" t="s">
        <v>9</v>
      </c>
      <c r="B49" s="5" t="s">
        <v>14</v>
      </c>
    </row>
    <row r="50" spans="1:2">
      <c r="A50" s="5" t="s">
        <v>10</v>
      </c>
      <c r="B50" s="5" t="s">
        <v>5</v>
      </c>
    </row>
    <row r="51" spans="1:2">
      <c r="A51" s="5" t="s">
        <v>10</v>
      </c>
      <c r="B51" s="5" t="s">
        <v>6</v>
      </c>
    </row>
    <row r="52" spans="1:2">
      <c r="A52" s="5" t="s">
        <v>10</v>
      </c>
      <c r="B52" s="5" t="s">
        <v>9</v>
      </c>
    </row>
    <row r="53" spans="1:2">
      <c r="A53" s="5"/>
      <c r="B53" s="5"/>
    </row>
    <row r="54" spans="1:2">
      <c r="A54" s="5" t="s">
        <v>10</v>
      </c>
      <c r="B54" s="5" t="s">
        <v>19</v>
      </c>
    </row>
    <row r="55" spans="1:2">
      <c r="A55" s="5" t="s">
        <v>10</v>
      </c>
      <c r="B55" s="5" t="s">
        <v>13</v>
      </c>
    </row>
    <row r="56" spans="1:2">
      <c r="A56" s="5" t="s">
        <v>10</v>
      </c>
      <c r="B56" s="5" t="s">
        <v>14</v>
      </c>
    </row>
    <row r="57" spans="1:2">
      <c r="A57" s="5" t="s">
        <v>8</v>
      </c>
      <c r="B57" s="5" t="s">
        <v>5</v>
      </c>
    </row>
    <row r="58" spans="1:2">
      <c r="A58" s="5" t="s">
        <v>8</v>
      </c>
      <c r="B58" s="5" t="s">
        <v>6</v>
      </c>
    </row>
    <row r="59" spans="1:2">
      <c r="A59" s="5" t="s">
        <v>8</v>
      </c>
      <c r="B59" s="5" t="s">
        <v>7</v>
      </c>
    </row>
    <row r="60" spans="1:2">
      <c r="A60" s="5" t="s">
        <v>8</v>
      </c>
      <c r="B60" s="5" t="s">
        <v>9</v>
      </c>
    </row>
    <row r="61" spans="1:2">
      <c r="A61" s="5" t="s">
        <v>8</v>
      </c>
      <c r="B61" s="5" t="s">
        <v>12</v>
      </c>
    </row>
    <row r="62" spans="1:2">
      <c r="A62" s="5"/>
      <c r="B62" s="5"/>
    </row>
    <row r="63" spans="1:2">
      <c r="A63" s="5" t="s">
        <v>11</v>
      </c>
      <c r="B63" s="5" t="s">
        <v>5</v>
      </c>
    </row>
    <row r="64" spans="1:2">
      <c r="A64" s="5" t="s">
        <v>11</v>
      </c>
      <c r="B64" s="5" t="s">
        <v>6</v>
      </c>
    </row>
    <row r="65" spans="1:2">
      <c r="A65" s="5" t="s">
        <v>11</v>
      </c>
      <c r="B65" s="5" t="s">
        <v>7</v>
      </c>
    </row>
    <row r="66" spans="1:2">
      <c r="A66" s="5" t="s">
        <v>11</v>
      </c>
      <c r="B66" s="5" t="s">
        <v>9</v>
      </c>
    </row>
    <row r="67" spans="1:2">
      <c r="A67" s="5"/>
      <c r="B67" s="5"/>
    </row>
    <row r="68" spans="1:2">
      <c r="A68" s="5" t="s">
        <v>11</v>
      </c>
      <c r="B68" s="5" t="s">
        <v>13</v>
      </c>
    </row>
    <row r="69" spans="1:2">
      <c r="A69" s="5" t="s">
        <v>12</v>
      </c>
      <c r="B69" s="5" t="s">
        <v>5</v>
      </c>
    </row>
    <row r="70" spans="1:2">
      <c r="A70" s="5" t="s">
        <v>12</v>
      </c>
      <c r="B70" s="5" t="s">
        <v>6</v>
      </c>
    </row>
    <row r="71" spans="1:2">
      <c r="A71" s="5" t="s">
        <v>12</v>
      </c>
      <c r="B71" s="5" t="s">
        <v>9</v>
      </c>
    </row>
    <row r="72" spans="1:2">
      <c r="A72" s="5" t="s">
        <v>12</v>
      </c>
      <c r="B72" s="5" t="s">
        <v>10</v>
      </c>
    </row>
    <row r="73" spans="1:2">
      <c r="A73" s="5" t="s">
        <v>12</v>
      </c>
      <c r="B73" s="5" t="s">
        <v>8</v>
      </c>
    </row>
    <row r="74" spans="1:2">
      <c r="A74" s="5" t="s">
        <v>12</v>
      </c>
      <c r="B74" s="5" t="s">
        <v>13</v>
      </c>
    </row>
    <row r="75" spans="1:2">
      <c r="A75" s="5" t="s">
        <v>19</v>
      </c>
      <c r="B75" s="5" t="s">
        <v>5</v>
      </c>
    </row>
    <row r="76" spans="1:2">
      <c r="A76" s="5" t="s">
        <v>19</v>
      </c>
      <c r="B76" s="5" t="s">
        <v>6</v>
      </c>
    </row>
    <row r="77" spans="1:2">
      <c r="A77" s="5" t="s">
        <v>19</v>
      </c>
      <c r="B77" s="5" t="s">
        <v>7</v>
      </c>
    </row>
    <row r="78" spans="1:2">
      <c r="A78" s="5" t="s">
        <v>19</v>
      </c>
      <c r="B78" s="5" t="s">
        <v>10</v>
      </c>
    </row>
    <row r="79" spans="1:2">
      <c r="A79" s="5" t="s">
        <v>19</v>
      </c>
      <c r="B79" s="5" t="s">
        <v>11</v>
      </c>
    </row>
    <row r="80" spans="1:2">
      <c r="A80" s="5"/>
      <c r="B80" s="5"/>
    </row>
    <row r="81" spans="1:2">
      <c r="A81" s="5" t="s">
        <v>19</v>
      </c>
      <c r="B81" s="5" t="s">
        <v>14</v>
      </c>
    </row>
    <row r="82" spans="1:2">
      <c r="A82" s="5" t="s">
        <v>13</v>
      </c>
      <c r="B82" s="5" t="s">
        <v>5</v>
      </c>
    </row>
    <row r="83" spans="1:2">
      <c r="A83" s="5" t="s">
        <v>13</v>
      </c>
      <c r="B83" s="5" t="s">
        <v>7</v>
      </c>
    </row>
    <row r="84" spans="1:2">
      <c r="A84" s="5" t="s">
        <v>13</v>
      </c>
      <c r="B84" s="5" t="s">
        <v>10</v>
      </c>
    </row>
    <row r="85" spans="1:2">
      <c r="A85" s="5" t="s">
        <v>13</v>
      </c>
      <c r="B85" s="5" t="s">
        <v>11</v>
      </c>
    </row>
    <row r="86" spans="1:2">
      <c r="A86" s="5" t="s">
        <v>13</v>
      </c>
      <c r="B86" s="5" t="s">
        <v>12</v>
      </c>
    </row>
    <row r="87" spans="1:2">
      <c r="A87" s="5" t="s">
        <v>13</v>
      </c>
      <c r="B87" s="5" t="s">
        <v>19</v>
      </c>
    </row>
    <row r="88" spans="1:2">
      <c r="A88" s="5" t="s">
        <v>14</v>
      </c>
      <c r="B88" s="5" t="s">
        <v>5</v>
      </c>
    </row>
    <row r="89" spans="1:2">
      <c r="A89" s="5"/>
      <c r="B89" s="5"/>
    </row>
    <row r="90" spans="1:2">
      <c r="A90" s="5" t="s">
        <v>14</v>
      </c>
      <c r="B90" s="5" t="s">
        <v>9</v>
      </c>
    </row>
    <row r="91" spans="1:2">
      <c r="A91" s="5" t="s">
        <v>14</v>
      </c>
      <c r="B91" s="5" t="s">
        <v>10</v>
      </c>
    </row>
    <row r="92" spans="1:2">
      <c r="A92" s="5" t="s">
        <v>14</v>
      </c>
      <c r="B92" s="5" t="s">
        <v>8</v>
      </c>
    </row>
    <row r="93" spans="1:2">
      <c r="A93" s="5" t="s">
        <v>14</v>
      </c>
      <c r="B93" s="5" t="s">
        <v>11</v>
      </c>
    </row>
    <row r="94" spans="1:2">
      <c r="A94" s="5" t="s">
        <v>14</v>
      </c>
      <c r="B94" s="5" t="s">
        <v>19</v>
      </c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L12">
    <cfRule type="containsText" dxfId="0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6"/>
  <sheetViews>
    <sheetView workbookViewId="0"/>
  </sheetViews>
  <sheetFormatPr defaultColWidth="8.875" defaultRowHeight="15.75"/>
  <sheetData>
    <row r="1" spans="1:2">
      <c r="A1">
        <f t="array" ref="A1:A16">Years</f>
        <v>2015</v>
      </c>
      <c r="B1">
        <v>1</v>
      </c>
    </row>
    <row r="2" spans="1:2">
      <c r="A2">
        <v>2016</v>
      </c>
      <c r="B2" s="2">
        <f>B1*0.99</f>
        <v>0.99</v>
      </c>
    </row>
    <row r="3" spans="1:2">
      <c r="A3">
        <v>2017</v>
      </c>
      <c r="B3" s="2">
        <f t="shared" ref="B3:B16" si="0">B2*0.99</f>
        <v>0.98009999999999997</v>
      </c>
    </row>
    <row r="4" spans="1:2">
      <c r="A4">
        <v>2018</v>
      </c>
      <c r="B4" s="2">
        <f t="shared" si="0"/>
        <v>0.97029899999999991</v>
      </c>
    </row>
    <row r="5" spans="1:2">
      <c r="A5">
        <v>2019</v>
      </c>
      <c r="B5" s="2">
        <f t="shared" si="0"/>
        <v>0.96059600999999994</v>
      </c>
    </row>
    <row r="6" spans="1:2">
      <c r="A6">
        <v>2020</v>
      </c>
      <c r="B6" s="2">
        <f t="shared" si="0"/>
        <v>0.95099004989999991</v>
      </c>
    </row>
    <row r="7" spans="1:2">
      <c r="A7">
        <v>2021</v>
      </c>
      <c r="B7" s="2">
        <f t="shared" si="0"/>
        <v>0.94148014940099989</v>
      </c>
    </row>
    <row r="8" spans="1:2">
      <c r="A8">
        <v>2022</v>
      </c>
      <c r="B8" s="2">
        <f t="shared" si="0"/>
        <v>0.93206534790698992</v>
      </c>
    </row>
    <row r="9" spans="1:2">
      <c r="A9">
        <v>2023</v>
      </c>
      <c r="B9" s="2">
        <f t="shared" si="0"/>
        <v>0.92274469442791995</v>
      </c>
    </row>
    <row r="10" spans="1:2">
      <c r="A10">
        <v>2024</v>
      </c>
      <c r="B10" s="2">
        <f t="shared" si="0"/>
        <v>0.91351724748364072</v>
      </c>
    </row>
    <row r="11" spans="1:2">
      <c r="A11">
        <v>2025</v>
      </c>
      <c r="B11" s="2">
        <f t="shared" si="0"/>
        <v>0.9043820750088043</v>
      </c>
    </row>
    <row r="12" spans="1:2">
      <c r="A12">
        <v>2026</v>
      </c>
      <c r="B12" s="2">
        <f t="shared" si="0"/>
        <v>0.89533825425871627</v>
      </c>
    </row>
    <row r="13" spans="1:2">
      <c r="A13">
        <v>2027</v>
      </c>
      <c r="B13" s="2">
        <f t="shared" si="0"/>
        <v>0.88638487171612912</v>
      </c>
    </row>
    <row r="14" spans="1:2">
      <c r="A14">
        <v>2028</v>
      </c>
      <c r="B14" s="2">
        <f t="shared" si="0"/>
        <v>0.87752102299896784</v>
      </c>
    </row>
    <row r="15" spans="1:2">
      <c r="A15">
        <v>2029</v>
      </c>
      <c r="B15" s="2">
        <f t="shared" si="0"/>
        <v>0.86874581276897811</v>
      </c>
    </row>
    <row r="16" spans="1:2">
      <c r="A16">
        <v>2030</v>
      </c>
      <c r="B16" s="2">
        <f t="shared" si="0"/>
        <v>0.86005835464128833</v>
      </c>
    </row>
  </sheetData>
  <pageMargins left="0.75" right="0.75" top="1" bottom="1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172"/>
  <sheetViews>
    <sheetView zoomScale="85" zoomScaleNormal="85" workbookViewId="0"/>
  </sheetViews>
  <sheetFormatPr defaultColWidth="8.875" defaultRowHeight="15.75"/>
  <cols>
    <col min="1" max="1" width="10.625" bestFit="1" customWidth="1"/>
    <col min="2" max="2" width="10.5" bestFit="1" customWidth="1"/>
  </cols>
  <sheetData>
    <row r="1" spans="1:34">
      <c r="C1">
        <f>CYF!C1</f>
        <v>2015</v>
      </c>
      <c r="D1">
        <f>CYF!D1</f>
        <v>2015</v>
      </c>
      <c r="E1">
        <f>CYF!E1</f>
        <v>2016</v>
      </c>
      <c r="F1">
        <f>CYF!F1</f>
        <v>2016</v>
      </c>
      <c r="G1">
        <f>CYF!G1</f>
        <v>2017</v>
      </c>
      <c r="H1">
        <f>CYF!H1</f>
        <v>2017</v>
      </c>
      <c r="I1">
        <f>CYF!I1</f>
        <v>2018</v>
      </c>
      <c r="J1">
        <f>CYF!J1</f>
        <v>2018</v>
      </c>
      <c r="K1">
        <f>CYF!K1</f>
        <v>2019</v>
      </c>
      <c r="L1">
        <f>CYF!L1</f>
        <v>2019</v>
      </c>
      <c r="M1">
        <f>CYF!M1</f>
        <v>2020</v>
      </c>
      <c r="N1">
        <f>CYF!N1</f>
        <v>2020</v>
      </c>
      <c r="O1">
        <f>CYF!O1</f>
        <v>2021</v>
      </c>
      <c r="P1">
        <f>CYF!P1</f>
        <v>2021</v>
      </c>
      <c r="Q1">
        <f>CYF!Q1</f>
        <v>2022</v>
      </c>
      <c r="R1">
        <f>CYF!R1</f>
        <v>2022</v>
      </c>
      <c r="S1">
        <f>CYF!S1</f>
        <v>2023</v>
      </c>
      <c r="T1">
        <f>CYF!T1</f>
        <v>2023</v>
      </c>
      <c r="U1">
        <f>CYF!U1</f>
        <v>2024</v>
      </c>
      <c r="V1">
        <f>CYF!V1</f>
        <v>2024</v>
      </c>
      <c r="W1">
        <f>CYF!W1</f>
        <v>2025</v>
      </c>
      <c r="X1">
        <f>CYF!X1</f>
        <v>2025</v>
      </c>
      <c r="Y1">
        <f>CYF!Y1</f>
        <v>2026</v>
      </c>
      <c r="Z1">
        <f>CYF!Z1</f>
        <v>2026</v>
      </c>
      <c r="AA1">
        <f>CYF!AA1</f>
        <v>2027</v>
      </c>
      <c r="AB1">
        <f>CYF!AB1</f>
        <v>2027</v>
      </c>
      <c r="AC1">
        <f>CYF!AC1</f>
        <v>2028</v>
      </c>
      <c r="AD1">
        <f>CYF!AD1</f>
        <v>2028</v>
      </c>
      <c r="AE1">
        <f>CYF!AE1</f>
        <v>2029</v>
      </c>
      <c r="AF1">
        <f>CYF!AF1</f>
        <v>2029</v>
      </c>
      <c r="AG1">
        <f>CYF!AG1</f>
        <v>2030</v>
      </c>
      <c r="AH1">
        <f>CYF!AH1</f>
        <v>2030</v>
      </c>
    </row>
    <row r="2" spans="1:34">
      <c r="C2" t="str">
        <f>CYF!C2</f>
        <v>Belg</v>
      </c>
      <c r="D2" t="str">
        <f>CYF!D2</f>
        <v>Kremt</v>
      </c>
      <c r="E2" t="str">
        <f>CYF!E2</f>
        <v>Belg</v>
      </c>
      <c r="F2" t="str">
        <f>CYF!F2</f>
        <v>Kremt</v>
      </c>
      <c r="G2" t="str">
        <f>CYF!G2</f>
        <v>Belg</v>
      </c>
      <c r="H2" t="str">
        <f>CYF!H2</f>
        <v>Kremt</v>
      </c>
      <c r="I2" t="str">
        <f>CYF!I2</f>
        <v>Belg</v>
      </c>
      <c r="J2" t="str">
        <f>CYF!J2</f>
        <v>Kremt</v>
      </c>
      <c r="K2" t="str">
        <f>CYF!K2</f>
        <v>Belg</v>
      </c>
      <c r="L2" t="str">
        <f>CYF!L2</f>
        <v>Kremt</v>
      </c>
      <c r="M2" t="str">
        <f>CYF!M2</f>
        <v>Belg</v>
      </c>
      <c r="N2" t="str">
        <f>CYF!N2</f>
        <v>Kremt</v>
      </c>
      <c r="O2" t="str">
        <f>CYF!O2</f>
        <v>Belg</v>
      </c>
      <c r="P2" t="str">
        <f>CYF!P2</f>
        <v>Kremt</v>
      </c>
      <c r="Q2" t="str">
        <f>CYF!Q2</f>
        <v>Belg</v>
      </c>
      <c r="R2" t="str">
        <f>CYF!R2</f>
        <v>Kremt</v>
      </c>
      <c r="S2" t="str">
        <f>CYF!S2</f>
        <v>Belg</v>
      </c>
      <c r="T2" t="str">
        <f>CYF!T2</f>
        <v>Kremt</v>
      </c>
      <c r="U2" t="str">
        <f>CYF!U2</f>
        <v>Belg</v>
      </c>
      <c r="V2" t="str">
        <f>CYF!V2</f>
        <v>Kremt</v>
      </c>
      <c r="W2" t="str">
        <f>CYF!W2</f>
        <v>Belg</v>
      </c>
      <c r="X2" t="str">
        <f>CYF!X2</f>
        <v>Kremt</v>
      </c>
      <c r="Y2" t="str">
        <f>CYF!Y2</f>
        <v>Belg</v>
      </c>
      <c r="Z2" t="str">
        <f>CYF!Z2</f>
        <v>Kremt</v>
      </c>
      <c r="AA2" t="str">
        <f>CYF!AA2</f>
        <v>Belg</v>
      </c>
      <c r="AB2" t="str">
        <f>CYF!AB2</f>
        <v>Kremt</v>
      </c>
      <c r="AC2" t="str">
        <f>CYF!AC2</f>
        <v>Belg</v>
      </c>
      <c r="AD2" t="str">
        <f>CYF!AD2</f>
        <v>Kremt</v>
      </c>
      <c r="AE2" t="str">
        <f>CYF!AE2</f>
        <v>Belg</v>
      </c>
      <c r="AF2" t="str">
        <f>CYF!AF2</f>
        <v>Kremt</v>
      </c>
      <c r="AG2" t="str">
        <f>CYF!AG2</f>
        <v>Belg</v>
      </c>
      <c r="AH2" t="str">
        <f>CYF!AH2</f>
        <v>Kremt</v>
      </c>
    </row>
    <row r="3" spans="1:34">
      <c r="A3" t="str">
        <f>CYF!A3</f>
        <v>Teff</v>
      </c>
      <c r="B3" t="str">
        <f>CYF!B3</f>
        <v>AddisAbaba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</row>
    <row r="4" spans="1:34">
      <c r="A4" t="str">
        <f>CYF!A4</f>
        <v>Teff</v>
      </c>
      <c r="B4" t="str">
        <f>CYF!B4</f>
        <v>Afar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>
        <v>1</v>
      </c>
      <c r="AH4">
        <v>1</v>
      </c>
    </row>
    <row r="5" spans="1:34">
      <c r="A5" t="str">
        <f>CYF!A5</f>
        <v>Teff</v>
      </c>
      <c r="B5" t="str">
        <f>CYF!B5</f>
        <v>Amhara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</row>
    <row r="6" spans="1:34">
      <c r="A6" t="str">
        <f>CYF!A6</f>
        <v>Teff</v>
      </c>
      <c r="B6" t="str">
        <f>CYF!B6</f>
        <v>Gumuz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>
        <v>1</v>
      </c>
      <c r="AD6">
        <v>1</v>
      </c>
      <c r="AE6">
        <v>1</v>
      </c>
      <c r="AF6">
        <v>1</v>
      </c>
      <c r="AG6">
        <v>1</v>
      </c>
      <c r="AH6">
        <v>1</v>
      </c>
    </row>
    <row r="7" spans="1:34">
      <c r="A7" t="str">
        <f>CYF!A7</f>
        <v>Teff</v>
      </c>
      <c r="B7" t="str">
        <f>CYF!B7</f>
        <v>DireDawa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</row>
    <row r="8" spans="1:34">
      <c r="A8" t="str">
        <f>CYF!A8</f>
        <v>Teff</v>
      </c>
      <c r="B8" t="str">
        <f>CYF!B8</f>
        <v>Gambela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</row>
    <row r="9" spans="1:34">
      <c r="A9" t="str">
        <f>CYF!A9</f>
        <v>Teff</v>
      </c>
      <c r="B9" t="str">
        <f>CYF!B9</f>
        <v>Harari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>
        <v>1</v>
      </c>
      <c r="AH9">
        <v>1</v>
      </c>
    </row>
    <row r="10" spans="1:34">
      <c r="A10" t="str">
        <f>CYF!A10</f>
        <v>Teff</v>
      </c>
      <c r="B10" t="str">
        <f>CYF!B10</f>
        <v>Oromia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</row>
    <row r="11" spans="1:34">
      <c r="A11" t="str">
        <f>CYF!A11</f>
        <v>Teff</v>
      </c>
      <c r="B11" t="str">
        <f>CYF!B11</f>
        <v>Somali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</row>
    <row r="12" spans="1:34">
      <c r="A12" t="str">
        <f>CYF!A12</f>
        <v>Teff</v>
      </c>
      <c r="B12" t="str">
        <f>CYF!B12</f>
        <v>SNNPR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</row>
    <row r="13" spans="1:34">
      <c r="A13" t="str">
        <f>CYF!A13</f>
        <v>Teff</v>
      </c>
      <c r="B13" t="str">
        <f>CYF!B13</f>
        <v>Tigray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</row>
    <row r="14" spans="1:34">
      <c r="A14" t="str">
        <f>CYF!A14</f>
        <v>Sorghum</v>
      </c>
      <c r="B14" t="str">
        <f>CYF!B14</f>
        <v>AddisAbaba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</row>
    <row r="15" spans="1:34">
      <c r="A15" t="str">
        <f>CYF!A15</f>
        <v>Sorghum</v>
      </c>
      <c r="B15" t="str">
        <f>CYF!B15</f>
        <v>Afar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</row>
    <row r="16" spans="1:34">
      <c r="A16" t="str">
        <f>CYF!A16</f>
        <v>Sorghum</v>
      </c>
      <c r="B16" t="str">
        <f>CYF!B16</f>
        <v>Amhara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</row>
    <row r="17" spans="1:34">
      <c r="A17" t="str">
        <f>CYF!A17</f>
        <v>Sorghum</v>
      </c>
      <c r="B17" t="str">
        <f>CYF!B17</f>
        <v>Gumuz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</row>
    <row r="18" spans="1:34">
      <c r="A18" t="str">
        <f>CYF!A18</f>
        <v>Sorghum</v>
      </c>
      <c r="B18" t="str">
        <f>CYF!B18</f>
        <v>DireDawa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</row>
    <row r="19" spans="1:34">
      <c r="A19" t="str">
        <f>CYF!A19</f>
        <v>Sorghum</v>
      </c>
      <c r="B19" t="str">
        <f>CYF!B19</f>
        <v>Gambela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</row>
    <row r="20" spans="1:34">
      <c r="A20" t="str">
        <f>CYF!A20</f>
        <v>Sorghum</v>
      </c>
      <c r="B20" t="str">
        <f>CYF!B20</f>
        <v>Harari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>
        <v>1</v>
      </c>
    </row>
    <row r="21" spans="1:34">
      <c r="A21" t="str">
        <f>CYF!A21</f>
        <v>Sorghum</v>
      </c>
      <c r="B21" t="str">
        <f>CYF!B21</f>
        <v>Oromia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1</v>
      </c>
    </row>
    <row r="22" spans="1:34">
      <c r="A22" t="str">
        <f>CYF!A22</f>
        <v>Sorghum</v>
      </c>
      <c r="B22" t="str">
        <f>CYF!B22</f>
        <v>Somali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</row>
    <row r="23" spans="1:34">
      <c r="A23" t="str">
        <f>CYF!A23</f>
        <v>Sorghum</v>
      </c>
      <c r="B23" t="str">
        <f>CYF!B23</f>
        <v>SNNPR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</row>
    <row r="24" spans="1:34">
      <c r="A24" t="str">
        <f>CYF!A24</f>
        <v>Sorghum</v>
      </c>
      <c r="B24" t="str">
        <f>CYF!B24</f>
        <v>Tigray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1</v>
      </c>
      <c r="AH24">
        <v>1</v>
      </c>
    </row>
    <row r="25" spans="1:34">
      <c r="A25" t="str">
        <f>CYF!A25</f>
        <v>Maize</v>
      </c>
      <c r="B25" t="str">
        <f>CYF!B25</f>
        <v>AddisAbaba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</row>
    <row r="26" spans="1:34">
      <c r="A26" t="str">
        <f>CYF!A26</f>
        <v>Maize</v>
      </c>
      <c r="B26" t="str">
        <f>CYF!B26</f>
        <v>Afar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</row>
    <row r="27" spans="1:34">
      <c r="A27" t="str">
        <f>CYF!A27</f>
        <v>Maize</v>
      </c>
      <c r="B27" t="str">
        <f>CYF!B27</f>
        <v>Amhara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</row>
    <row r="28" spans="1:34">
      <c r="A28" t="str">
        <f>CYF!A28</f>
        <v>Maize</v>
      </c>
      <c r="B28" t="str">
        <f>CYF!B28</f>
        <v>Gumuz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>
        <v>1</v>
      </c>
      <c r="AH28">
        <v>1</v>
      </c>
    </row>
    <row r="29" spans="1:34">
      <c r="A29" t="str">
        <f>CYF!A29</f>
        <v>Maize</v>
      </c>
      <c r="B29" t="str">
        <f>CYF!B29</f>
        <v>DireDawa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1</v>
      </c>
      <c r="AH29">
        <v>1</v>
      </c>
    </row>
    <row r="30" spans="1:34">
      <c r="A30" t="str">
        <f>CYF!A30</f>
        <v>Maize</v>
      </c>
      <c r="B30" t="str">
        <f>CYF!B30</f>
        <v>Gambela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</row>
    <row r="31" spans="1:34">
      <c r="A31" t="str">
        <f>CYF!A31</f>
        <v>Maize</v>
      </c>
      <c r="B31" t="str">
        <f>CYF!B31</f>
        <v>Harari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>
        <v>1</v>
      </c>
      <c r="AH31">
        <v>1</v>
      </c>
    </row>
    <row r="32" spans="1:34">
      <c r="A32" t="str">
        <f>CYF!A32</f>
        <v>Maize</v>
      </c>
      <c r="B32" t="str">
        <f>CYF!B32</f>
        <v>Oromia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>
        <v>1</v>
      </c>
      <c r="AH32">
        <v>1</v>
      </c>
    </row>
    <row r="33" spans="1:34">
      <c r="A33" t="str">
        <f>CYF!A33</f>
        <v>Maize</v>
      </c>
      <c r="B33" t="str">
        <f>CYF!B33</f>
        <v>Somali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</row>
    <row r="34" spans="1:34">
      <c r="A34" t="str">
        <f>CYF!A34</f>
        <v>Maize</v>
      </c>
      <c r="B34" t="str">
        <f>CYF!B34</f>
        <v>SNNPR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>
        <v>1</v>
      </c>
      <c r="AH34">
        <v>1</v>
      </c>
    </row>
    <row r="35" spans="1:34">
      <c r="A35" t="str">
        <f>CYF!A35</f>
        <v>Maize</v>
      </c>
      <c r="B35" t="str">
        <f>CYF!B35</f>
        <v>Tigray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</row>
    <row r="36" spans="1:34">
      <c r="A36" t="str">
        <f>CYF!A36</f>
        <v>Lentils</v>
      </c>
      <c r="B36" t="str">
        <f>CYF!B36</f>
        <v>AddisAbaba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</row>
    <row r="37" spans="1:34">
      <c r="A37" t="str">
        <f>CYF!A37</f>
        <v>Lentils</v>
      </c>
      <c r="B37" t="str">
        <f>CYF!B37</f>
        <v>Afar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</row>
    <row r="38" spans="1:34">
      <c r="A38" t="str">
        <f>CYF!A38</f>
        <v>Lentils</v>
      </c>
      <c r="B38" t="str">
        <f>CYF!B38</f>
        <v>Amhara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</row>
    <row r="39" spans="1:34">
      <c r="A39" t="str">
        <f>CYF!A39</f>
        <v>Lentils</v>
      </c>
      <c r="B39" t="str">
        <f>CYF!B39</f>
        <v>Gumuz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1</v>
      </c>
    </row>
    <row r="40" spans="1:34">
      <c r="A40" t="str">
        <f>CYF!A40</f>
        <v>Lentils</v>
      </c>
      <c r="B40" t="str">
        <f>CYF!B40</f>
        <v>DireDawa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>
        <v>1</v>
      </c>
      <c r="AH40">
        <v>1</v>
      </c>
    </row>
    <row r="41" spans="1:34">
      <c r="A41" t="str">
        <f>CYF!A41</f>
        <v>Lentils</v>
      </c>
      <c r="B41" t="str">
        <f>CYF!B41</f>
        <v>Gambela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>
        <v>1</v>
      </c>
      <c r="AH41">
        <v>1</v>
      </c>
    </row>
    <row r="42" spans="1:34">
      <c r="A42" t="str">
        <f>CYF!A42</f>
        <v>Lentils</v>
      </c>
      <c r="B42" t="str">
        <f>CYF!B42</f>
        <v>Harari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</row>
    <row r="43" spans="1:34">
      <c r="A43" t="str">
        <f>CYF!A43</f>
        <v>Lentils</v>
      </c>
      <c r="B43" t="str">
        <f>CYF!B43</f>
        <v>Oromia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>
        <v>1</v>
      </c>
      <c r="AH43">
        <v>1</v>
      </c>
    </row>
    <row r="44" spans="1:34">
      <c r="A44" t="str">
        <f>CYF!A44</f>
        <v>Lentils</v>
      </c>
      <c r="B44" t="str">
        <f>CYF!B44</f>
        <v>Somali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</row>
    <row r="45" spans="1:34">
      <c r="A45" t="str">
        <f>CYF!A45</f>
        <v>Lentils</v>
      </c>
      <c r="B45" t="str">
        <f>CYF!B45</f>
        <v>SNNPR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>
        <v>1</v>
      </c>
      <c r="AH45">
        <v>1</v>
      </c>
    </row>
    <row r="46" spans="1:34">
      <c r="A46" t="str">
        <f>CYF!A46</f>
        <v>Lentils</v>
      </c>
      <c r="B46" t="str">
        <f>CYF!B46</f>
        <v>Tigray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</row>
    <row r="47" spans="1:34">
      <c r="A47" t="str">
        <f>CYF!A47</f>
        <v>Vegetables</v>
      </c>
      <c r="B47" t="str">
        <f>CYF!B47</f>
        <v>AddisAbaba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</row>
    <row r="48" spans="1:34">
      <c r="A48" t="str">
        <f>CYF!A48</f>
        <v>Vegetables</v>
      </c>
      <c r="B48" t="str">
        <f>CYF!B48</f>
        <v>Afar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>
        <v>1</v>
      </c>
      <c r="AH48">
        <v>1</v>
      </c>
    </row>
    <row r="49" spans="1:34">
      <c r="A49" t="str">
        <f>CYF!A49</f>
        <v>Vegetables</v>
      </c>
      <c r="B49" t="str">
        <f>CYF!B49</f>
        <v>Amhara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</row>
    <row r="50" spans="1:34">
      <c r="A50" t="str">
        <f>CYF!A50</f>
        <v>Vegetables</v>
      </c>
      <c r="B50" t="str">
        <f>CYF!B50</f>
        <v>Gumuz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</row>
    <row r="51" spans="1:34">
      <c r="A51" t="str">
        <f>CYF!A51</f>
        <v>Vegetables</v>
      </c>
      <c r="B51" t="str">
        <f>CYF!B51</f>
        <v>DireDawa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>
        <v>1</v>
      </c>
      <c r="AH51">
        <v>1</v>
      </c>
    </row>
    <row r="52" spans="1:34">
      <c r="A52" t="str">
        <f>CYF!A52</f>
        <v>Vegetables</v>
      </c>
      <c r="B52" t="str">
        <f>CYF!B52</f>
        <v>Gambela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</row>
    <row r="53" spans="1:34">
      <c r="A53" t="str">
        <f>CYF!A53</f>
        <v>Vegetables</v>
      </c>
      <c r="B53" t="str">
        <f>CYF!B53</f>
        <v>Harari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>
        <v>1</v>
      </c>
      <c r="AH53">
        <v>1</v>
      </c>
    </row>
    <row r="54" spans="1:34">
      <c r="A54" t="str">
        <f>CYF!A54</f>
        <v>Vegetables</v>
      </c>
      <c r="B54" t="str">
        <f>CYF!B54</f>
        <v>Oromia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</row>
    <row r="55" spans="1:34">
      <c r="A55" t="str">
        <f>CYF!A55</f>
        <v>Vegetables</v>
      </c>
      <c r="B55" t="str">
        <f>CYF!B55</f>
        <v>Somali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>
        <v>1</v>
      </c>
      <c r="AH55">
        <v>1</v>
      </c>
    </row>
    <row r="56" spans="1:34">
      <c r="A56" t="str">
        <f>CYF!A56</f>
        <v>Vegetables</v>
      </c>
      <c r="B56" t="str">
        <f>CYF!B56</f>
        <v>SNNPR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</row>
    <row r="57" spans="1:34">
      <c r="A57" t="str">
        <f>CYF!A57</f>
        <v>Vegetables</v>
      </c>
      <c r="B57" t="str">
        <f>CYF!B57</f>
        <v>Tigray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1</v>
      </c>
      <c r="AH57">
        <v>1</v>
      </c>
    </row>
    <row r="58" spans="1:34">
      <c r="A58" t="str">
        <f>CYF!A58</f>
        <v>Coffee</v>
      </c>
      <c r="B58" t="str">
        <f>CYF!B58</f>
        <v>AddisAbaba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</row>
    <row r="59" spans="1:34">
      <c r="A59" t="str">
        <f>CYF!A59</f>
        <v>Coffee</v>
      </c>
      <c r="B59" t="str">
        <f>CYF!B59</f>
        <v>Afar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1</v>
      </c>
      <c r="AH59">
        <v>1</v>
      </c>
    </row>
    <row r="60" spans="1:34">
      <c r="A60" t="str">
        <f>CYF!A60</f>
        <v>Coffee</v>
      </c>
      <c r="B60" t="str">
        <f>CYF!B60</f>
        <v>Amhara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</row>
    <row r="61" spans="1:34">
      <c r="A61" t="str">
        <f>CYF!A61</f>
        <v>Coffee</v>
      </c>
      <c r="B61" t="str">
        <f>CYF!B61</f>
        <v>Gumuz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</row>
    <row r="62" spans="1:34">
      <c r="A62" t="str">
        <f>CYF!A62</f>
        <v>Coffee</v>
      </c>
      <c r="B62" t="str">
        <f>CYF!B62</f>
        <v>DireDawa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</row>
    <row r="63" spans="1:34">
      <c r="A63" t="str">
        <f>CYF!A63</f>
        <v>Coffee</v>
      </c>
      <c r="B63" t="str">
        <f>CYF!B63</f>
        <v>Gambela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1</v>
      </c>
      <c r="AH63">
        <v>1</v>
      </c>
    </row>
    <row r="64" spans="1:34">
      <c r="A64" t="str">
        <f>CYF!A64</f>
        <v>Coffee</v>
      </c>
      <c r="B64" t="str">
        <f>CYF!B64</f>
        <v>Harari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>
        <v>1</v>
      </c>
      <c r="AH64">
        <v>1</v>
      </c>
    </row>
    <row r="65" spans="1:34">
      <c r="A65" t="str">
        <f>CYF!A65</f>
        <v>Coffee</v>
      </c>
      <c r="B65" t="str">
        <f>CYF!B65</f>
        <v>Oromia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>
        <v>1</v>
      </c>
      <c r="AH65">
        <v>1</v>
      </c>
    </row>
    <row r="66" spans="1:34">
      <c r="A66" t="str">
        <f>CYF!A66</f>
        <v>Coffee</v>
      </c>
      <c r="B66" t="str">
        <f>CYF!B66</f>
        <v>Somali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>
        <v>1</v>
      </c>
      <c r="AH66">
        <v>1</v>
      </c>
    </row>
    <row r="67" spans="1:34">
      <c r="A67" t="str">
        <f>CYF!A67</f>
        <v>Coffee</v>
      </c>
      <c r="B67" t="str">
        <f>CYF!B67</f>
        <v>SNNPR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>
        <v>1</v>
      </c>
      <c r="AH67">
        <v>1</v>
      </c>
    </row>
    <row r="68" spans="1:34">
      <c r="A68" t="str">
        <f>CYF!A68</f>
        <v>Coffee</v>
      </c>
      <c r="B68" t="str">
        <f>CYF!B68</f>
        <v>Tigray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  <c r="Q68">
        <v>1</v>
      </c>
      <c r="R68">
        <v>1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</row>
    <row r="101" spans="1:17">
      <c r="B101">
        <f t="array" ref="B101:Q101">TRANSPOSE(Years)</f>
        <v>2015</v>
      </c>
      <c r="C101">
        <v>2016</v>
      </c>
      <c r="D101">
        <v>2017</v>
      </c>
      <c r="E101">
        <v>2018</v>
      </c>
      <c r="F101">
        <v>2019</v>
      </c>
      <c r="G101">
        <v>2020</v>
      </c>
      <c r="H101">
        <v>2021</v>
      </c>
      <c r="I101">
        <v>2022</v>
      </c>
      <c r="J101">
        <v>2023</v>
      </c>
      <c r="K101">
        <v>2024</v>
      </c>
      <c r="L101">
        <v>2025</v>
      </c>
      <c r="M101">
        <v>2026</v>
      </c>
      <c r="N101">
        <v>2027</v>
      </c>
      <c r="O101">
        <v>2028</v>
      </c>
      <c r="P101">
        <v>2029</v>
      </c>
      <c r="Q101">
        <v>2030</v>
      </c>
    </row>
    <row r="102" spans="1:17">
      <c r="A102" t="str">
        <f t="array" ref="A102:A112">Nodes</f>
        <v>AddisAbaba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1</v>
      </c>
      <c r="M102">
        <v>1</v>
      </c>
      <c r="N102">
        <v>1</v>
      </c>
      <c r="O102">
        <v>1</v>
      </c>
      <c r="P102">
        <v>1</v>
      </c>
      <c r="Q102">
        <v>1</v>
      </c>
    </row>
    <row r="103" spans="1:17">
      <c r="A103" t="str">
        <v>Afar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1</v>
      </c>
      <c r="M103">
        <v>1</v>
      </c>
      <c r="N103">
        <v>1</v>
      </c>
      <c r="O103">
        <v>1</v>
      </c>
      <c r="P103">
        <v>1</v>
      </c>
      <c r="Q103">
        <v>1</v>
      </c>
    </row>
    <row r="104" spans="1:17">
      <c r="A104" t="str">
        <v>Amhara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1</v>
      </c>
      <c r="M104">
        <v>1</v>
      </c>
      <c r="N104">
        <v>1</v>
      </c>
      <c r="O104">
        <v>1</v>
      </c>
      <c r="P104">
        <v>1</v>
      </c>
      <c r="Q104">
        <v>1</v>
      </c>
    </row>
    <row r="105" spans="1:17">
      <c r="A105" t="str">
        <v>Gumuz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  <c r="I105">
        <v>1</v>
      </c>
      <c r="J105">
        <v>1</v>
      </c>
      <c r="K105">
        <v>1</v>
      </c>
      <c r="L105">
        <v>1</v>
      </c>
      <c r="M105">
        <v>1</v>
      </c>
      <c r="N105">
        <v>1</v>
      </c>
      <c r="O105">
        <v>1</v>
      </c>
      <c r="P105">
        <v>1</v>
      </c>
      <c r="Q105">
        <v>1</v>
      </c>
    </row>
    <row r="106" spans="1:17">
      <c r="A106" t="str">
        <v>DireDawa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  <c r="I106">
        <v>1</v>
      </c>
      <c r="J106">
        <v>1</v>
      </c>
      <c r="K106">
        <v>1</v>
      </c>
      <c r="L106">
        <v>1</v>
      </c>
      <c r="M106">
        <v>1</v>
      </c>
      <c r="N106">
        <v>1</v>
      </c>
      <c r="O106">
        <v>1</v>
      </c>
      <c r="P106">
        <v>1</v>
      </c>
      <c r="Q106">
        <v>1</v>
      </c>
    </row>
    <row r="107" spans="1:17">
      <c r="A107" t="str">
        <v>Gambela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  <c r="I107">
        <v>1</v>
      </c>
      <c r="J107">
        <v>1</v>
      </c>
      <c r="K107">
        <v>1</v>
      </c>
      <c r="L107">
        <v>1</v>
      </c>
      <c r="M107">
        <v>1</v>
      </c>
      <c r="N107">
        <v>1</v>
      </c>
      <c r="O107">
        <v>1</v>
      </c>
      <c r="P107">
        <v>1</v>
      </c>
      <c r="Q107">
        <v>1</v>
      </c>
    </row>
    <row r="108" spans="1:17">
      <c r="A108" t="str">
        <v>Harari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  <c r="I108">
        <v>1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</row>
    <row r="109" spans="1:17">
      <c r="A109" t="str">
        <v>Oromia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  <c r="P109">
        <v>1</v>
      </c>
      <c r="Q109">
        <v>1</v>
      </c>
    </row>
    <row r="110" spans="1:17">
      <c r="A110" t="str">
        <v>Somali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</row>
    <row r="111" spans="1:17">
      <c r="A111" t="str">
        <v>SNNPR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  <c r="I111">
        <v>1</v>
      </c>
      <c r="J111">
        <v>1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</row>
    <row r="112" spans="1:17">
      <c r="A112" t="str">
        <v>Tigray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1</v>
      </c>
      <c r="P112">
        <v>1</v>
      </c>
      <c r="Q112">
        <v>1</v>
      </c>
    </row>
    <row r="121" spans="1:17">
      <c r="B121">
        <f t="array" ref="B121:Q121">TRANSPOSE(Years)</f>
        <v>2015</v>
      </c>
      <c r="C121">
        <v>2016</v>
      </c>
      <c r="D121">
        <v>2017</v>
      </c>
      <c r="E121">
        <v>2018</v>
      </c>
      <c r="F121">
        <v>2019</v>
      </c>
      <c r="G121">
        <v>2020</v>
      </c>
      <c r="H121">
        <v>2021</v>
      </c>
      <c r="I121">
        <v>2022</v>
      </c>
      <c r="J121">
        <v>2023</v>
      </c>
      <c r="K121">
        <v>2024</v>
      </c>
      <c r="L121">
        <v>2025</v>
      </c>
      <c r="M121">
        <v>2026</v>
      </c>
      <c r="N121">
        <v>2027</v>
      </c>
      <c r="O121">
        <v>2028</v>
      </c>
      <c r="P121">
        <v>2029</v>
      </c>
      <c r="Q121">
        <v>2030</v>
      </c>
    </row>
    <row r="122" spans="1:17">
      <c r="A122" t="str">
        <f t="array" ref="A122:A132">Nodes</f>
        <v>AddisAbaba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  <c r="I122">
        <v>1</v>
      </c>
      <c r="J122">
        <v>1</v>
      </c>
      <c r="K122">
        <v>1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</row>
    <row r="123" spans="1:17">
      <c r="A123" t="str">
        <v>Afar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1</v>
      </c>
    </row>
    <row r="124" spans="1:17">
      <c r="A124" t="str">
        <v>Amhara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>
        <v>1</v>
      </c>
      <c r="O124">
        <v>1</v>
      </c>
      <c r="P124">
        <v>1</v>
      </c>
      <c r="Q124">
        <v>1</v>
      </c>
    </row>
    <row r="125" spans="1:17">
      <c r="A125" t="str">
        <v>Gumuz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  <c r="I125">
        <v>1</v>
      </c>
      <c r="J125">
        <v>1</v>
      </c>
      <c r="K125">
        <v>1</v>
      </c>
      <c r="L125">
        <v>1</v>
      </c>
      <c r="M125">
        <v>1</v>
      </c>
      <c r="N125">
        <v>1</v>
      </c>
      <c r="O125">
        <v>1</v>
      </c>
      <c r="P125">
        <v>1</v>
      </c>
      <c r="Q125">
        <v>1</v>
      </c>
    </row>
    <row r="126" spans="1:17">
      <c r="A126" t="str">
        <v>DireDawa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1</v>
      </c>
      <c r="K126">
        <v>1</v>
      </c>
      <c r="L126">
        <v>1</v>
      </c>
      <c r="M126">
        <v>1</v>
      </c>
      <c r="N126">
        <v>1</v>
      </c>
      <c r="O126">
        <v>1</v>
      </c>
      <c r="P126">
        <v>1</v>
      </c>
      <c r="Q126">
        <v>1</v>
      </c>
    </row>
    <row r="127" spans="1:17">
      <c r="A127" t="str">
        <v>Gambela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  <c r="I127">
        <v>1</v>
      </c>
      <c r="J127">
        <v>1</v>
      </c>
      <c r="K127">
        <v>1</v>
      </c>
      <c r="L127">
        <v>1</v>
      </c>
      <c r="M127">
        <v>1</v>
      </c>
      <c r="N127">
        <v>1</v>
      </c>
      <c r="O127">
        <v>1</v>
      </c>
      <c r="P127">
        <v>1</v>
      </c>
      <c r="Q127">
        <v>1</v>
      </c>
    </row>
    <row r="128" spans="1:17">
      <c r="A128" t="str">
        <v>Harari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  <c r="I128">
        <v>1</v>
      </c>
      <c r="J128">
        <v>1</v>
      </c>
      <c r="K128">
        <v>1</v>
      </c>
      <c r="L128">
        <v>1</v>
      </c>
      <c r="M128">
        <v>1</v>
      </c>
      <c r="N128">
        <v>1</v>
      </c>
      <c r="O128">
        <v>1</v>
      </c>
      <c r="P128">
        <v>1</v>
      </c>
      <c r="Q128">
        <v>1</v>
      </c>
    </row>
    <row r="129" spans="1:17">
      <c r="A129" t="str">
        <v>Oromia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  <c r="I129">
        <v>1</v>
      </c>
      <c r="J129">
        <v>1</v>
      </c>
      <c r="K129">
        <v>1</v>
      </c>
      <c r="L129">
        <v>1</v>
      </c>
      <c r="M129">
        <v>1</v>
      </c>
      <c r="N129">
        <v>1</v>
      </c>
      <c r="O129">
        <v>1</v>
      </c>
      <c r="P129">
        <v>1</v>
      </c>
      <c r="Q129">
        <v>1</v>
      </c>
    </row>
    <row r="130" spans="1:17">
      <c r="A130" t="str">
        <v>Somali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1</v>
      </c>
      <c r="M130">
        <v>1</v>
      </c>
      <c r="N130">
        <v>1</v>
      </c>
      <c r="O130">
        <v>1</v>
      </c>
      <c r="P130">
        <v>1</v>
      </c>
      <c r="Q130">
        <v>1</v>
      </c>
    </row>
    <row r="131" spans="1:17">
      <c r="A131" t="str">
        <v>SNNPR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M131">
        <v>1</v>
      </c>
      <c r="N131">
        <v>1</v>
      </c>
      <c r="O131">
        <v>1</v>
      </c>
      <c r="P131">
        <v>1</v>
      </c>
      <c r="Q131">
        <v>1</v>
      </c>
    </row>
    <row r="132" spans="1:17">
      <c r="A132" t="str">
        <v>Tigray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  <c r="I132">
        <v>1</v>
      </c>
      <c r="J132">
        <v>1</v>
      </c>
      <c r="K132">
        <v>1</v>
      </c>
      <c r="L132">
        <v>1</v>
      </c>
      <c r="M132">
        <v>1</v>
      </c>
      <c r="N132">
        <v>1</v>
      </c>
      <c r="O132">
        <v>1</v>
      </c>
      <c r="P132">
        <v>1</v>
      </c>
      <c r="Q132">
        <v>1</v>
      </c>
    </row>
    <row r="141" spans="1:17">
      <c r="A141" t="str">
        <f t="array" ref="A141:A151">Nodes</f>
        <v>AddisAbaba</v>
      </c>
      <c r="B141" s="3">
        <v>15000</v>
      </c>
    </row>
    <row r="142" spans="1:17">
      <c r="A142" t="str">
        <v>Afar</v>
      </c>
      <c r="B142" s="3">
        <v>15000</v>
      </c>
    </row>
    <row r="143" spans="1:17">
      <c r="A143" t="str">
        <v>Amhara</v>
      </c>
      <c r="B143" s="3">
        <v>15000</v>
      </c>
    </row>
    <row r="144" spans="1:17">
      <c r="A144" t="str">
        <v>Gumuz</v>
      </c>
      <c r="B144" s="3">
        <v>15000</v>
      </c>
    </row>
    <row r="145" spans="1:2">
      <c r="A145" t="str">
        <v>DireDawa</v>
      </c>
      <c r="B145" s="3">
        <v>15000</v>
      </c>
    </row>
    <row r="146" spans="1:2">
      <c r="A146" t="str">
        <v>Gambela</v>
      </c>
      <c r="B146" s="3">
        <v>15000</v>
      </c>
    </row>
    <row r="147" spans="1:2">
      <c r="A147" t="str">
        <v>Harari</v>
      </c>
      <c r="B147" s="3">
        <v>15000</v>
      </c>
    </row>
    <row r="148" spans="1:2">
      <c r="A148" t="str">
        <v>Oromia</v>
      </c>
      <c r="B148" s="3">
        <v>15000</v>
      </c>
    </row>
    <row r="149" spans="1:2">
      <c r="A149" t="str">
        <v>Somali</v>
      </c>
      <c r="B149" s="3">
        <v>15000</v>
      </c>
    </row>
    <row r="150" spans="1:2">
      <c r="A150" t="str">
        <v>SNNPR</v>
      </c>
      <c r="B150" s="3">
        <v>15000</v>
      </c>
    </row>
    <row r="151" spans="1:2">
      <c r="A151" t="str">
        <v>Tigray</v>
      </c>
      <c r="B151" s="3">
        <v>15000</v>
      </c>
    </row>
    <row r="161" spans="1:7">
      <c r="B161" t="str">
        <f t="array" ref="B161:G161">TRANSPOSE(Crops)</f>
        <v>Teff</v>
      </c>
      <c r="C161" t="str">
        <v>Sorghum</v>
      </c>
      <c r="D161" t="str">
        <v>Maize</v>
      </c>
      <c r="E161" t="str">
        <v>Lentils</v>
      </c>
      <c r="F161" t="str">
        <v>Vegetables</v>
      </c>
      <c r="G161" t="str">
        <v>Coffee</v>
      </c>
    </row>
    <row r="162" spans="1:7">
      <c r="A162" t="str">
        <f t="array" ref="A162:A172">Nodes</f>
        <v>AddisAbaba</v>
      </c>
      <c r="B162" s="2">
        <f t="shared" ref="B162:B172" si="0">B141*0.6</f>
        <v>9000</v>
      </c>
      <c r="C162" s="2">
        <f>B162-1000</f>
        <v>8000</v>
      </c>
      <c r="D162" s="2">
        <f t="shared" ref="D162:G162" si="1">C162-1000</f>
        <v>7000</v>
      </c>
      <c r="E162" s="2">
        <f t="shared" si="1"/>
        <v>6000</v>
      </c>
      <c r="F162" s="2">
        <f t="shared" si="1"/>
        <v>5000</v>
      </c>
      <c r="G162" s="2">
        <f t="shared" si="1"/>
        <v>4000</v>
      </c>
    </row>
    <row r="163" spans="1:7">
      <c r="A163" t="str">
        <v>Afar</v>
      </c>
      <c r="B163" s="2">
        <f t="shared" si="0"/>
        <v>9000</v>
      </c>
      <c r="C163" s="2">
        <f t="shared" ref="C163:G172" si="2">B163-1000</f>
        <v>8000</v>
      </c>
      <c r="D163" s="2">
        <f t="shared" si="2"/>
        <v>7000</v>
      </c>
      <c r="E163" s="2">
        <f t="shared" si="2"/>
        <v>6000</v>
      </c>
      <c r="F163" s="2">
        <f t="shared" si="2"/>
        <v>5000</v>
      </c>
      <c r="G163" s="2">
        <f t="shared" si="2"/>
        <v>4000</v>
      </c>
    </row>
    <row r="164" spans="1:7">
      <c r="A164" t="str">
        <v>Amhara</v>
      </c>
      <c r="B164" s="2">
        <f t="shared" si="0"/>
        <v>9000</v>
      </c>
      <c r="C164" s="2">
        <f t="shared" si="2"/>
        <v>8000</v>
      </c>
      <c r="D164" s="2">
        <f t="shared" si="2"/>
        <v>7000</v>
      </c>
      <c r="E164" s="2">
        <f t="shared" si="2"/>
        <v>6000</v>
      </c>
      <c r="F164" s="2">
        <f t="shared" si="2"/>
        <v>5000</v>
      </c>
      <c r="G164" s="2">
        <f t="shared" si="2"/>
        <v>4000</v>
      </c>
    </row>
    <row r="165" spans="1:7">
      <c r="A165" t="str">
        <v>Gumuz</v>
      </c>
      <c r="B165" s="2">
        <f t="shared" si="0"/>
        <v>9000</v>
      </c>
      <c r="C165" s="2">
        <f t="shared" si="2"/>
        <v>8000</v>
      </c>
      <c r="D165" s="2">
        <f t="shared" si="2"/>
        <v>7000</v>
      </c>
      <c r="E165" s="2">
        <f t="shared" si="2"/>
        <v>6000</v>
      </c>
      <c r="F165" s="2">
        <f t="shared" si="2"/>
        <v>5000</v>
      </c>
      <c r="G165" s="2">
        <f t="shared" si="2"/>
        <v>4000</v>
      </c>
    </row>
    <row r="166" spans="1:7">
      <c r="A166" t="str">
        <v>DireDawa</v>
      </c>
      <c r="B166" s="2">
        <f t="shared" si="0"/>
        <v>9000</v>
      </c>
      <c r="C166" s="2">
        <f t="shared" si="2"/>
        <v>8000</v>
      </c>
      <c r="D166" s="2">
        <f t="shared" si="2"/>
        <v>7000</v>
      </c>
      <c r="E166" s="2">
        <f t="shared" si="2"/>
        <v>6000</v>
      </c>
      <c r="F166" s="2">
        <f t="shared" si="2"/>
        <v>5000</v>
      </c>
      <c r="G166" s="2">
        <f t="shared" si="2"/>
        <v>4000</v>
      </c>
    </row>
    <row r="167" spans="1:7">
      <c r="A167" t="str">
        <v>Gambela</v>
      </c>
      <c r="B167" s="2">
        <f t="shared" si="0"/>
        <v>9000</v>
      </c>
      <c r="C167" s="2">
        <f t="shared" si="2"/>
        <v>8000</v>
      </c>
      <c r="D167" s="2">
        <f t="shared" si="2"/>
        <v>7000</v>
      </c>
      <c r="E167" s="2">
        <f t="shared" si="2"/>
        <v>6000</v>
      </c>
      <c r="F167" s="2">
        <f t="shared" si="2"/>
        <v>5000</v>
      </c>
      <c r="G167" s="2">
        <f t="shared" si="2"/>
        <v>4000</v>
      </c>
    </row>
    <row r="168" spans="1:7">
      <c r="A168" t="str">
        <v>Harari</v>
      </c>
      <c r="B168" s="2">
        <f t="shared" si="0"/>
        <v>9000</v>
      </c>
      <c r="C168" s="2">
        <f t="shared" si="2"/>
        <v>8000</v>
      </c>
      <c r="D168" s="2">
        <f t="shared" si="2"/>
        <v>7000</v>
      </c>
      <c r="E168" s="2">
        <f t="shared" si="2"/>
        <v>6000</v>
      </c>
      <c r="F168" s="2">
        <f t="shared" si="2"/>
        <v>5000</v>
      </c>
      <c r="G168" s="2">
        <f t="shared" si="2"/>
        <v>4000</v>
      </c>
    </row>
    <row r="169" spans="1:7">
      <c r="A169" t="str">
        <v>Oromia</v>
      </c>
      <c r="B169" s="2">
        <f t="shared" si="0"/>
        <v>9000</v>
      </c>
      <c r="C169" s="2">
        <f t="shared" si="2"/>
        <v>8000</v>
      </c>
      <c r="D169" s="2">
        <f t="shared" si="2"/>
        <v>7000</v>
      </c>
      <c r="E169" s="2">
        <f t="shared" si="2"/>
        <v>6000</v>
      </c>
      <c r="F169" s="2">
        <f t="shared" si="2"/>
        <v>5000</v>
      </c>
      <c r="G169" s="2">
        <f t="shared" si="2"/>
        <v>4000</v>
      </c>
    </row>
    <row r="170" spans="1:7">
      <c r="A170" t="str">
        <v>Somali</v>
      </c>
      <c r="B170" s="2">
        <f t="shared" si="0"/>
        <v>9000</v>
      </c>
      <c r="C170" s="2">
        <f t="shared" si="2"/>
        <v>8000</v>
      </c>
      <c r="D170" s="2">
        <f t="shared" si="2"/>
        <v>7000</v>
      </c>
      <c r="E170" s="2">
        <f t="shared" si="2"/>
        <v>6000</v>
      </c>
      <c r="F170" s="2">
        <f t="shared" si="2"/>
        <v>5000</v>
      </c>
      <c r="G170" s="2">
        <f t="shared" si="2"/>
        <v>4000</v>
      </c>
    </row>
    <row r="171" spans="1:7">
      <c r="A171" t="str">
        <v>SNNPR</v>
      </c>
      <c r="B171" s="2">
        <f t="shared" si="0"/>
        <v>9000</v>
      </c>
      <c r="C171" s="2">
        <f t="shared" si="2"/>
        <v>8000</v>
      </c>
      <c r="D171" s="2">
        <f t="shared" si="2"/>
        <v>7000</v>
      </c>
      <c r="E171" s="2">
        <f t="shared" si="2"/>
        <v>6000</v>
      </c>
      <c r="F171" s="2">
        <f t="shared" si="2"/>
        <v>5000</v>
      </c>
      <c r="G171" s="2">
        <f t="shared" si="2"/>
        <v>4000</v>
      </c>
    </row>
    <row r="172" spans="1:7">
      <c r="A172" t="str">
        <v>Tigray</v>
      </c>
      <c r="B172" s="2">
        <f t="shared" si="0"/>
        <v>9000</v>
      </c>
      <c r="C172" s="2">
        <f t="shared" si="2"/>
        <v>8000</v>
      </c>
      <c r="D172" s="2">
        <f t="shared" si="2"/>
        <v>7000</v>
      </c>
      <c r="E172" s="2">
        <f t="shared" si="2"/>
        <v>6000</v>
      </c>
      <c r="F172" s="2">
        <f t="shared" si="2"/>
        <v>5000</v>
      </c>
      <c r="G172" s="2">
        <f t="shared" si="2"/>
        <v>4000</v>
      </c>
    </row>
  </sheetData>
  <pageMargins left="0.75" right="0.75" top="1" bottom="1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68"/>
  <sheetViews>
    <sheetView zoomScale="85" zoomScaleNormal="85" workbookViewId="0">
      <selection activeCell="C3" sqref="C3:AA46"/>
    </sheetView>
  </sheetViews>
  <sheetFormatPr defaultColWidth="8.875" defaultRowHeight="15.75"/>
  <cols>
    <col min="1" max="1" width="10.125" bestFit="1" customWidth="1"/>
    <col min="2" max="2" width="10.625" bestFit="1" customWidth="1"/>
  </cols>
  <sheetData>
    <row r="1" spans="1:34">
      <c r="C1">
        <v>2015</v>
      </c>
      <c r="D1">
        <v>2015</v>
      </c>
      <c r="E1">
        <f>C1+1</f>
        <v>2016</v>
      </c>
      <c r="F1">
        <f t="shared" ref="F1:AH1" si="0">D1+1</f>
        <v>2016</v>
      </c>
      <c r="G1">
        <f t="shared" si="0"/>
        <v>2017</v>
      </c>
      <c r="H1">
        <f t="shared" si="0"/>
        <v>2017</v>
      </c>
      <c r="I1">
        <f t="shared" si="0"/>
        <v>2018</v>
      </c>
      <c r="J1">
        <f t="shared" si="0"/>
        <v>2018</v>
      </c>
      <c r="K1">
        <f t="shared" si="0"/>
        <v>2019</v>
      </c>
      <c r="L1">
        <f t="shared" si="0"/>
        <v>2019</v>
      </c>
      <c r="M1">
        <f t="shared" si="0"/>
        <v>2020</v>
      </c>
      <c r="N1">
        <f t="shared" si="0"/>
        <v>2020</v>
      </c>
      <c r="O1">
        <f t="shared" si="0"/>
        <v>2021</v>
      </c>
      <c r="P1">
        <f t="shared" si="0"/>
        <v>2021</v>
      </c>
      <c r="Q1">
        <f t="shared" si="0"/>
        <v>2022</v>
      </c>
      <c r="R1">
        <f t="shared" si="0"/>
        <v>2022</v>
      </c>
      <c r="S1">
        <f t="shared" si="0"/>
        <v>2023</v>
      </c>
      <c r="T1">
        <f t="shared" si="0"/>
        <v>2023</v>
      </c>
      <c r="U1">
        <f t="shared" si="0"/>
        <v>2024</v>
      </c>
      <c r="V1">
        <f t="shared" si="0"/>
        <v>2024</v>
      </c>
      <c r="W1">
        <f t="shared" si="0"/>
        <v>2025</v>
      </c>
      <c r="X1">
        <f t="shared" si="0"/>
        <v>2025</v>
      </c>
      <c r="Y1">
        <f t="shared" si="0"/>
        <v>2026</v>
      </c>
      <c r="Z1">
        <f t="shared" si="0"/>
        <v>2026</v>
      </c>
      <c r="AA1">
        <f t="shared" si="0"/>
        <v>2027</v>
      </c>
      <c r="AB1">
        <f t="shared" si="0"/>
        <v>2027</v>
      </c>
      <c r="AC1">
        <f t="shared" si="0"/>
        <v>2028</v>
      </c>
      <c r="AD1">
        <f t="shared" si="0"/>
        <v>2028</v>
      </c>
      <c r="AE1">
        <f t="shared" si="0"/>
        <v>2029</v>
      </c>
      <c r="AF1">
        <f t="shared" si="0"/>
        <v>2029</v>
      </c>
      <c r="AG1">
        <f t="shared" si="0"/>
        <v>2030</v>
      </c>
      <c r="AH1">
        <f t="shared" si="0"/>
        <v>2030</v>
      </c>
    </row>
    <row r="2" spans="1:34">
      <c r="C2" t="str">
        <f t="array" ref="C2:D2">TRANSPOSE(Seasons)</f>
        <v>Belg</v>
      </c>
      <c r="D2" t="str">
        <v>Kremt</v>
      </c>
      <c r="E2" t="str">
        <f>C2</f>
        <v>Belg</v>
      </c>
      <c r="F2" t="str">
        <f t="shared" ref="F2:AH2" si="1">D2</f>
        <v>Kremt</v>
      </c>
      <c r="G2" t="str">
        <f t="shared" si="1"/>
        <v>Belg</v>
      </c>
      <c r="H2" t="str">
        <f t="shared" si="1"/>
        <v>Kremt</v>
      </c>
      <c r="I2" t="str">
        <f t="shared" si="1"/>
        <v>Belg</v>
      </c>
      <c r="J2" t="str">
        <f t="shared" si="1"/>
        <v>Kremt</v>
      </c>
      <c r="K2" t="str">
        <f t="shared" si="1"/>
        <v>Belg</v>
      </c>
      <c r="L2" t="str">
        <f t="shared" si="1"/>
        <v>Kremt</v>
      </c>
      <c r="M2" t="str">
        <f t="shared" si="1"/>
        <v>Belg</v>
      </c>
      <c r="N2" t="str">
        <f t="shared" si="1"/>
        <v>Kremt</v>
      </c>
      <c r="O2" t="str">
        <f t="shared" si="1"/>
        <v>Belg</v>
      </c>
      <c r="P2" t="str">
        <f t="shared" si="1"/>
        <v>Kremt</v>
      </c>
      <c r="Q2" t="str">
        <f t="shared" si="1"/>
        <v>Belg</v>
      </c>
      <c r="R2" t="str">
        <f t="shared" si="1"/>
        <v>Kremt</v>
      </c>
      <c r="S2" t="str">
        <f t="shared" si="1"/>
        <v>Belg</v>
      </c>
      <c r="T2" t="str">
        <f t="shared" si="1"/>
        <v>Kremt</v>
      </c>
      <c r="U2" t="str">
        <f t="shared" si="1"/>
        <v>Belg</v>
      </c>
      <c r="V2" t="str">
        <f t="shared" si="1"/>
        <v>Kremt</v>
      </c>
      <c r="W2" t="str">
        <f t="shared" si="1"/>
        <v>Belg</v>
      </c>
      <c r="X2" t="str">
        <f t="shared" si="1"/>
        <v>Kremt</v>
      </c>
      <c r="Y2" t="str">
        <f t="shared" si="1"/>
        <v>Belg</v>
      </c>
      <c r="Z2" t="str">
        <f t="shared" si="1"/>
        <v>Kremt</v>
      </c>
      <c r="AA2" t="str">
        <f t="shared" si="1"/>
        <v>Belg</v>
      </c>
      <c r="AB2" t="str">
        <f t="shared" si="1"/>
        <v>Kremt</v>
      </c>
      <c r="AC2" t="str">
        <f t="shared" si="1"/>
        <v>Belg</v>
      </c>
      <c r="AD2" t="str">
        <f t="shared" si="1"/>
        <v>Kremt</v>
      </c>
      <c r="AE2" t="str">
        <f t="shared" si="1"/>
        <v>Belg</v>
      </c>
      <c r="AF2" t="str">
        <f t="shared" si="1"/>
        <v>Kremt</v>
      </c>
      <c r="AG2" t="str">
        <f t="shared" si="1"/>
        <v>Belg</v>
      </c>
      <c r="AH2" t="str">
        <f t="shared" si="1"/>
        <v>Kremt</v>
      </c>
    </row>
    <row r="3" spans="1:34">
      <c r="A3" t="str">
        <f>sets!$H$3</f>
        <v>Teff</v>
      </c>
      <c r="B3" t="str">
        <f t="array" ref="B3:B13">Nodes</f>
        <v>AddisAbaba</v>
      </c>
      <c r="C3" s="2">
        <f t="shared" ref="C3:C34" ca="1" si="2">RAND()*0.1+0.2</f>
        <v>0.2576666405805394</v>
      </c>
      <c r="D3" s="2">
        <f t="shared" ref="D3:AH11" ca="1" si="3">RAND()*0.1+0.2</f>
        <v>0.20738773897428403</v>
      </c>
      <c r="E3" s="2">
        <f t="shared" ca="1" si="3"/>
        <v>0.27933305988849877</v>
      </c>
      <c r="F3" s="2">
        <f t="shared" ca="1" si="3"/>
        <v>0.21858163140244077</v>
      </c>
      <c r="G3" s="2">
        <f t="shared" ca="1" si="3"/>
        <v>0.21671300803251226</v>
      </c>
      <c r="H3" s="2">
        <f t="shared" ca="1" si="3"/>
        <v>0.20608860521165603</v>
      </c>
      <c r="I3" s="2">
        <f t="shared" ca="1" si="3"/>
        <v>0.20991806197352436</v>
      </c>
      <c r="J3" s="2">
        <f t="shared" ca="1" si="3"/>
        <v>0.24062535875685986</v>
      </c>
      <c r="K3" s="2">
        <f t="shared" ca="1" si="3"/>
        <v>0.21695790798997458</v>
      </c>
      <c r="L3" s="2">
        <f t="shared" ca="1" si="3"/>
        <v>0.27867861298138569</v>
      </c>
      <c r="M3" s="2">
        <f t="shared" ca="1" si="3"/>
        <v>0.21073150265633944</v>
      </c>
      <c r="N3" s="2">
        <f t="shared" ca="1" si="3"/>
        <v>0.24008869434528293</v>
      </c>
      <c r="O3" s="2">
        <f t="shared" ca="1" si="3"/>
        <v>0.23615341056976885</v>
      </c>
      <c r="P3" s="2">
        <f t="shared" ca="1" si="3"/>
        <v>0.23981390288390378</v>
      </c>
      <c r="Q3" s="2">
        <f t="shared" ca="1" si="3"/>
        <v>0.20457669568592265</v>
      </c>
      <c r="R3" s="2">
        <f t="shared" ca="1" si="3"/>
        <v>0.26656955943486726</v>
      </c>
      <c r="S3" s="2">
        <f t="shared" ca="1" si="3"/>
        <v>0.25003176640296787</v>
      </c>
      <c r="T3" s="2">
        <f t="shared" ca="1" si="3"/>
        <v>0.2244227813325361</v>
      </c>
      <c r="U3" s="2">
        <f t="shared" ca="1" si="3"/>
        <v>0.26751500766063968</v>
      </c>
      <c r="V3" s="2">
        <f t="shared" ca="1" si="3"/>
        <v>0.26577584829129786</v>
      </c>
      <c r="W3" s="2">
        <f t="shared" ca="1" si="3"/>
        <v>0.28456856322009166</v>
      </c>
      <c r="X3" s="2">
        <f t="shared" ca="1" si="3"/>
        <v>0.25604589824277579</v>
      </c>
      <c r="Y3" s="2">
        <f t="shared" ca="1" si="3"/>
        <v>0.21426356426867538</v>
      </c>
      <c r="Z3" s="2">
        <f t="shared" ca="1" si="3"/>
        <v>0.23470671146035263</v>
      </c>
      <c r="AA3" s="2">
        <f t="shared" ca="1" si="3"/>
        <v>0.24114732019984347</v>
      </c>
      <c r="AB3" s="2">
        <f t="shared" ca="1" si="3"/>
        <v>0.23463434207038744</v>
      </c>
      <c r="AC3" s="2">
        <f t="shared" ca="1" si="3"/>
        <v>0.23578768813044443</v>
      </c>
      <c r="AD3" s="2">
        <f t="shared" ca="1" si="3"/>
        <v>0.2430616899334255</v>
      </c>
      <c r="AE3" s="2">
        <f t="shared" ca="1" si="3"/>
        <v>0.26712252517320373</v>
      </c>
      <c r="AF3" s="2">
        <f t="shared" ca="1" si="3"/>
        <v>0.21236951269046511</v>
      </c>
      <c r="AG3" s="2">
        <f t="shared" ca="1" si="3"/>
        <v>0.22197920883176747</v>
      </c>
      <c r="AH3" s="2">
        <f t="shared" ca="1" si="3"/>
        <v>0.20911947954513915</v>
      </c>
    </row>
    <row r="4" spans="1:34">
      <c r="A4" t="str">
        <f>sets!$H$3</f>
        <v>Teff</v>
      </c>
      <c r="B4" t="str">
        <v>Afar</v>
      </c>
      <c r="C4" s="2">
        <f t="shared" ca="1" si="2"/>
        <v>0.2738117463939726</v>
      </c>
      <c r="D4" s="2">
        <f t="shared" ca="1" si="3"/>
        <v>0.24932398216586502</v>
      </c>
      <c r="E4" s="2">
        <f t="shared" ca="1" si="3"/>
        <v>0.23002817168159378</v>
      </c>
      <c r="F4" s="2">
        <f t="shared" ca="1" si="3"/>
        <v>0.24930897915520842</v>
      </c>
      <c r="G4" s="2">
        <f t="shared" ca="1" si="3"/>
        <v>0.22794884912179617</v>
      </c>
      <c r="H4" s="2">
        <f t="shared" ca="1" si="3"/>
        <v>0.2705567091122571</v>
      </c>
      <c r="I4" s="2">
        <f t="shared" ca="1" si="3"/>
        <v>0.24021682670025302</v>
      </c>
      <c r="J4" s="2">
        <f t="shared" ca="1" si="3"/>
        <v>0.24751063241060306</v>
      </c>
      <c r="K4" s="2">
        <f t="shared" ca="1" si="3"/>
        <v>0.27945721229974485</v>
      </c>
      <c r="L4" s="2">
        <f t="shared" ca="1" si="3"/>
        <v>0.2900298926965369</v>
      </c>
      <c r="M4" s="2">
        <f t="shared" ca="1" si="3"/>
        <v>0.25138136738781114</v>
      </c>
      <c r="N4" s="2">
        <f t="shared" ca="1" si="3"/>
        <v>0.27175015822544635</v>
      </c>
      <c r="O4" s="2">
        <f t="shared" ca="1" si="3"/>
        <v>0.25072657804833565</v>
      </c>
      <c r="P4" s="2">
        <f t="shared" ca="1" si="3"/>
        <v>0.27000570947751962</v>
      </c>
      <c r="Q4" s="2">
        <f t="shared" ca="1" si="3"/>
        <v>0.24280978134667386</v>
      </c>
      <c r="R4" s="2">
        <f t="shared" ca="1" si="3"/>
        <v>0.26422176205824616</v>
      </c>
      <c r="S4" s="2">
        <f t="shared" ca="1" si="3"/>
        <v>0.27559153535866793</v>
      </c>
      <c r="T4" s="2">
        <f t="shared" ca="1" si="3"/>
        <v>0.29534241362911162</v>
      </c>
      <c r="U4" s="2">
        <f t="shared" ca="1" si="3"/>
        <v>0.24184384375874812</v>
      </c>
      <c r="V4" s="2">
        <f t="shared" ca="1" si="3"/>
        <v>0.21182912443149315</v>
      </c>
      <c r="W4" s="2">
        <f t="shared" ca="1" si="3"/>
        <v>0.25150554905885142</v>
      </c>
      <c r="X4" s="2">
        <f t="shared" ca="1" si="3"/>
        <v>0.27318490203942974</v>
      </c>
      <c r="Y4" s="2">
        <f t="shared" ca="1" si="3"/>
        <v>0.20802344599412956</v>
      </c>
      <c r="Z4" s="2">
        <f t="shared" ca="1" si="3"/>
        <v>0.27608072264218397</v>
      </c>
      <c r="AA4" s="2">
        <f t="shared" ca="1" si="3"/>
        <v>0.22611738597996475</v>
      </c>
      <c r="AB4" s="2">
        <f t="shared" ca="1" si="3"/>
        <v>0.23326089092978516</v>
      </c>
      <c r="AC4" s="2">
        <f t="shared" ca="1" si="3"/>
        <v>0.23340987433854071</v>
      </c>
      <c r="AD4" s="2">
        <f t="shared" ca="1" si="3"/>
        <v>0.29540074765297497</v>
      </c>
      <c r="AE4" s="2">
        <f t="shared" ca="1" si="3"/>
        <v>0.26988699805141153</v>
      </c>
      <c r="AF4" s="2">
        <f t="shared" ca="1" si="3"/>
        <v>0.27792328156522728</v>
      </c>
      <c r="AG4" s="2">
        <f t="shared" ca="1" si="3"/>
        <v>0.27677176085412841</v>
      </c>
      <c r="AH4" s="2">
        <f t="shared" ca="1" si="3"/>
        <v>0.29289090876409751</v>
      </c>
    </row>
    <row r="5" spans="1:34">
      <c r="A5" t="str">
        <f>sets!$H$3</f>
        <v>Teff</v>
      </c>
      <c r="B5" t="str">
        <v>Amhara</v>
      </c>
      <c r="C5" s="2">
        <f t="shared" ca="1" si="2"/>
        <v>0.2968347363948326</v>
      </c>
      <c r="D5" s="2">
        <f t="shared" ca="1" si="3"/>
        <v>0.26183171100500907</v>
      </c>
      <c r="E5" s="2">
        <f t="shared" ca="1" si="3"/>
        <v>0.26204370462618792</v>
      </c>
      <c r="F5" s="2">
        <f t="shared" ca="1" si="3"/>
        <v>0.2751285388307893</v>
      </c>
      <c r="G5" s="2">
        <f t="shared" ca="1" si="3"/>
        <v>0.26336179127015397</v>
      </c>
      <c r="H5" s="2">
        <f t="shared" ca="1" si="3"/>
        <v>0.29280543021077193</v>
      </c>
      <c r="I5" s="2">
        <f t="shared" ca="1" si="3"/>
        <v>0.28664728319058475</v>
      </c>
      <c r="J5" s="2">
        <f t="shared" ca="1" si="3"/>
        <v>0.22713191396508428</v>
      </c>
      <c r="K5" s="2">
        <f t="shared" ca="1" si="3"/>
        <v>0.25957491644017333</v>
      </c>
      <c r="L5" s="2">
        <f t="shared" ca="1" si="3"/>
        <v>0.20926002576456743</v>
      </c>
      <c r="M5" s="2">
        <f t="shared" ca="1" si="3"/>
        <v>0.26412899142892737</v>
      </c>
      <c r="N5" s="2">
        <f t="shared" ca="1" si="3"/>
        <v>0.22794272941705085</v>
      </c>
      <c r="O5" s="2">
        <f t="shared" ca="1" si="3"/>
        <v>0.28292867447571696</v>
      </c>
      <c r="P5" s="2">
        <f t="shared" ca="1" si="3"/>
        <v>0.26271400852460169</v>
      </c>
      <c r="Q5" s="2">
        <f t="shared" ca="1" si="3"/>
        <v>0.22474236016389332</v>
      </c>
      <c r="R5" s="2">
        <f t="shared" ca="1" si="3"/>
        <v>0.23400455776884965</v>
      </c>
      <c r="S5" s="2">
        <f t="shared" ca="1" si="3"/>
        <v>0.28671278272821199</v>
      </c>
      <c r="T5" s="2">
        <f t="shared" ca="1" si="3"/>
        <v>0.22065723285839239</v>
      </c>
      <c r="U5" s="2">
        <f t="shared" ca="1" si="3"/>
        <v>0.20007672767239393</v>
      </c>
      <c r="V5" s="2">
        <f t="shared" ca="1" si="3"/>
        <v>0.2206804971526645</v>
      </c>
      <c r="W5" s="2">
        <f t="shared" ca="1" si="3"/>
        <v>0.2557459205147396</v>
      </c>
      <c r="X5" s="2">
        <f t="shared" ca="1" si="3"/>
        <v>0.26662113147632643</v>
      </c>
      <c r="Y5" s="2">
        <f t="shared" ca="1" si="3"/>
        <v>0.22464216945285259</v>
      </c>
      <c r="Z5" s="2">
        <f t="shared" ca="1" si="3"/>
        <v>0.20581611181841747</v>
      </c>
      <c r="AA5" s="2">
        <f t="shared" ca="1" si="3"/>
        <v>0.21874881033551793</v>
      </c>
      <c r="AB5" s="2">
        <f t="shared" ca="1" si="3"/>
        <v>0.21625067476242488</v>
      </c>
      <c r="AC5" s="2">
        <f t="shared" ca="1" si="3"/>
        <v>0.25001276764338665</v>
      </c>
      <c r="AD5" s="2">
        <f t="shared" ca="1" si="3"/>
        <v>0.23618645948582878</v>
      </c>
      <c r="AE5" s="2">
        <f t="shared" ca="1" si="3"/>
        <v>0.26381408039222082</v>
      </c>
      <c r="AF5" s="2">
        <f t="shared" ca="1" si="3"/>
        <v>0.26051485123620099</v>
      </c>
      <c r="AG5" s="2">
        <f t="shared" ca="1" si="3"/>
        <v>0.29097784952941935</v>
      </c>
      <c r="AH5" s="2">
        <f t="shared" ca="1" si="3"/>
        <v>0.2974658455493725</v>
      </c>
    </row>
    <row r="6" spans="1:34">
      <c r="A6" t="str">
        <f>sets!$H$3</f>
        <v>Teff</v>
      </c>
      <c r="B6" t="str">
        <v>Gumuz</v>
      </c>
      <c r="C6" s="2">
        <f t="shared" ca="1" si="2"/>
        <v>0.23526086140843366</v>
      </c>
      <c r="D6" s="2">
        <f t="shared" ca="1" si="3"/>
        <v>0.28025837743715326</v>
      </c>
      <c r="E6" s="2">
        <f t="shared" ca="1" si="3"/>
        <v>0.29098939752907066</v>
      </c>
      <c r="F6" s="2">
        <f t="shared" ca="1" si="3"/>
        <v>0.21223939604720982</v>
      </c>
      <c r="G6" s="2">
        <f t="shared" ca="1" si="3"/>
        <v>0.26057571453459366</v>
      </c>
      <c r="H6" s="2">
        <f t="shared" ca="1" si="3"/>
        <v>0.2734413745454411</v>
      </c>
      <c r="I6" s="2">
        <f t="shared" ca="1" si="3"/>
        <v>0.20167124148308388</v>
      </c>
      <c r="J6" s="2">
        <f t="shared" ca="1" si="3"/>
        <v>0.26811483615825521</v>
      </c>
      <c r="K6" s="2">
        <f t="shared" ca="1" si="3"/>
        <v>0.27357568375181429</v>
      </c>
      <c r="L6" s="2">
        <f t="shared" ca="1" si="3"/>
        <v>0.27292328021567613</v>
      </c>
      <c r="M6" s="2">
        <f t="shared" ca="1" si="3"/>
        <v>0.20777030505648542</v>
      </c>
      <c r="N6" s="2">
        <f t="shared" ca="1" si="3"/>
        <v>0.26796404899222404</v>
      </c>
      <c r="O6" s="2">
        <f t="shared" ca="1" si="3"/>
        <v>0.29359947615338616</v>
      </c>
      <c r="P6" s="2">
        <f t="shared" ca="1" si="3"/>
        <v>0.23782896486771976</v>
      </c>
      <c r="Q6" s="2">
        <f t="shared" ca="1" si="3"/>
        <v>0.25772655096761643</v>
      </c>
      <c r="R6" s="2">
        <f t="shared" ca="1" si="3"/>
        <v>0.20359740755592337</v>
      </c>
      <c r="S6" s="2">
        <f t="shared" ca="1" si="3"/>
        <v>0.24841440776321622</v>
      </c>
      <c r="T6" s="2">
        <f t="shared" ca="1" si="3"/>
        <v>0.24682635359192318</v>
      </c>
      <c r="U6" s="2">
        <f t="shared" ca="1" si="3"/>
        <v>0.22723023642842161</v>
      </c>
      <c r="V6" s="2">
        <f t="shared" ca="1" si="3"/>
        <v>0.28120712957341287</v>
      </c>
      <c r="W6" s="2">
        <f t="shared" ca="1" si="3"/>
        <v>0.24377953627006793</v>
      </c>
      <c r="X6" s="2">
        <f t="shared" ca="1" si="3"/>
        <v>0.22726222435337795</v>
      </c>
      <c r="Y6" s="2">
        <f t="shared" ca="1" si="3"/>
        <v>0.24526974570935378</v>
      </c>
      <c r="Z6" s="2">
        <f t="shared" ca="1" si="3"/>
        <v>0.27243925379846656</v>
      </c>
      <c r="AA6" s="2">
        <f t="shared" ca="1" si="3"/>
        <v>0.24775271347530786</v>
      </c>
      <c r="AB6" s="2">
        <f t="shared" ca="1" si="3"/>
        <v>0.28693929776363081</v>
      </c>
      <c r="AC6" s="2">
        <f t="shared" ca="1" si="3"/>
        <v>0.27535882717779464</v>
      </c>
      <c r="AD6" s="2">
        <f t="shared" ca="1" si="3"/>
        <v>0.26634671617626082</v>
      </c>
      <c r="AE6" s="2">
        <f t="shared" ca="1" si="3"/>
        <v>0.25008106374490213</v>
      </c>
      <c r="AF6" s="2">
        <f t="shared" ca="1" si="3"/>
        <v>0.2321717401717886</v>
      </c>
      <c r="AG6" s="2">
        <f t="shared" ca="1" si="3"/>
        <v>0.29610949838137068</v>
      </c>
      <c r="AH6" s="2">
        <f t="shared" ca="1" si="3"/>
        <v>0.25127229145156138</v>
      </c>
    </row>
    <row r="7" spans="1:34">
      <c r="A7" t="str">
        <f>sets!$H$3</f>
        <v>Teff</v>
      </c>
      <c r="B7" t="str">
        <v>DireDawa</v>
      </c>
      <c r="C7" s="2">
        <f t="shared" ca="1" si="2"/>
        <v>0.27379893191767218</v>
      </c>
      <c r="D7" s="2">
        <f t="shared" ca="1" si="3"/>
        <v>0.26281259389072786</v>
      </c>
      <c r="E7" s="2">
        <f t="shared" ca="1" si="3"/>
        <v>0.2749278669655964</v>
      </c>
      <c r="F7" s="2">
        <f t="shared" ca="1" si="3"/>
        <v>0.20073345222420658</v>
      </c>
      <c r="G7" s="2">
        <f t="shared" ca="1" si="3"/>
        <v>0.20076511832830804</v>
      </c>
      <c r="H7" s="2">
        <f t="shared" ca="1" si="3"/>
        <v>0.29521678198234486</v>
      </c>
      <c r="I7" s="2">
        <f t="shared" ca="1" si="3"/>
        <v>0.21805472295149375</v>
      </c>
      <c r="J7" s="2">
        <f t="shared" ca="1" si="3"/>
        <v>0.28896760684594408</v>
      </c>
      <c r="K7" s="2">
        <f t="shared" ca="1" si="3"/>
        <v>0.24967648921962088</v>
      </c>
      <c r="L7" s="2">
        <f t="shared" ca="1" si="3"/>
        <v>0.28709450476354825</v>
      </c>
      <c r="M7" s="2">
        <f t="shared" ca="1" si="3"/>
        <v>0.27280211432944645</v>
      </c>
      <c r="N7" s="2">
        <f t="shared" ca="1" si="3"/>
        <v>0.29222227296438685</v>
      </c>
      <c r="O7" s="2">
        <f t="shared" ca="1" si="3"/>
        <v>0.27064214566595274</v>
      </c>
      <c r="P7" s="2">
        <f t="shared" ca="1" si="3"/>
        <v>0.25436829520815263</v>
      </c>
      <c r="Q7" s="2">
        <f t="shared" ca="1" si="3"/>
        <v>0.25591889614078139</v>
      </c>
      <c r="R7" s="2">
        <f t="shared" ca="1" si="3"/>
        <v>0.28287390900357645</v>
      </c>
      <c r="S7" s="2">
        <f t="shared" ca="1" si="3"/>
        <v>0.26371355131002649</v>
      </c>
      <c r="T7" s="2">
        <f t="shared" ca="1" si="3"/>
        <v>0.26225687013154042</v>
      </c>
      <c r="U7" s="2">
        <f t="shared" ca="1" si="3"/>
        <v>0.28172426540776174</v>
      </c>
      <c r="V7" s="2">
        <f t="shared" ca="1" si="3"/>
        <v>0.25502418462341298</v>
      </c>
      <c r="W7" s="2">
        <f t="shared" ca="1" si="3"/>
        <v>0.2051690387312527</v>
      </c>
      <c r="X7" s="2">
        <f t="shared" ca="1" si="3"/>
        <v>0.29571222506722256</v>
      </c>
      <c r="Y7" s="2">
        <f t="shared" ca="1" si="3"/>
        <v>0.27096114462326887</v>
      </c>
      <c r="Z7" s="2">
        <f t="shared" ca="1" si="3"/>
        <v>0.21233886875531433</v>
      </c>
      <c r="AA7" s="2">
        <f t="shared" ca="1" si="3"/>
        <v>0.22833973769336291</v>
      </c>
      <c r="AB7" s="2">
        <f t="shared" ca="1" si="3"/>
        <v>0.23459425890642102</v>
      </c>
      <c r="AC7" s="2">
        <f t="shared" ca="1" si="3"/>
        <v>0.20528513143062233</v>
      </c>
      <c r="AD7" s="2">
        <f t="shared" ca="1" si="3"/>
        <v>0.28507846135697201</v>
      </c>
      <c r="AE7" s="2">
        <f t="shared" ca="1" si="3"/>
        <v>0.20427905066406349</v>
      </c>
      <c r="AF7" s="2">
        <f t="shared" ca="1" si="3"/>
        <v>0.26382115070345197</v>
      </c>
      <c r="AG7" s="2">
        <f t="shared" ca="1" si="3"/>
        <v>0.29023019131863065</v>
      </c>
      <c r="AH7" s="2">
        <f t="shared" ca="1" si="3"/>
        <v>0.22048931358990448</v>
      </c>
    </row>
    <row r="8" spans="1:34">
      <c r="A8" t="str">
        <f>sets!$H$3</f>
        <v>Teff</v>
      </c>
      <c r="B8" t="str">
        <v>Gambela</v>
      </c>
      <c r="C8" s="2">
        <f t="shared" ca="1" si="2"/>
        <v>0.20717800218108251</v>
      </c>
      <c r="D8" s="2">
        <f t="shared" ca="1" si="3"/>
        <v>0.2285002823937981</v>
      </c>
      <c r="E8" s="2">
        <f t="shared" ca="1" si="3"/>
        <v>0.25170775337025419</v>
      </c>
      <c r="F8" s="2">
        <f t="shared" ca="1" si="3"/>
        <v>0.26072135673534375</v>
      </c>
      <c r="G8" s="2">
        <f t="shared" ca="1" si="3"/>
        <v>0.24733641343138724</v>
      </c>
      <c r="H8" s="2">
        <f t="shared" ca="1" si="3"/>
        <v>0.22120178526521511</v>
      </c>
      <c r="I8" s="2">
        <f t="shared" ca="1" si="3"/>
        <v>0.23416707678710053</v>
      </c>
      <c r="J8" s="2">
        <f t="shared" ca="1" si="3"/>
        <v>0.20244272032930891</v>
      </c>
      <c r="K8" s="2">
        <f t="shared" ca="1" si="3"/>
        <v>0.23079374876123343</v>
      </c>
      <c r="L8" s="2">
        <f t="shared" ca="1" si="3"/>
        <v>0.21904949261905871</v>
      </c>
      <c r="M8" s="2">
        <f t="shared" ca="1" si="3"/>
        <v>0.2515085154190782</v>
      </c>
      <c r="N8" s="2">
        <f t="shared" ca="1" si="3"/>
        <v>0.2365028281939198</v>
      </c>
      <c r="O8" s="2">
        <f t="shared" ca="1" si="3"/>
        <v>0.25691193134601531</v>
      </c>
      <c r="P8" s="2">
        <f t="shared" ca="1" si="3"/>
        <v>0.27568785542748642</v>
      </c>
      <c r="Q8" s="2">
        <f t="shared" ca="1" si="3"/>
        <v>0.25731196350568142</v>
      </c>
      <c r="R8" s="2">
        <f t="shared" ca="1" si="3"/>
        <v>0.20020883425440061</v>
      </c>
      <c r="S8" s="2">
        <f t="shared" ca="1" si="3"/>
        <v>0.24378091838049293</v>
      </c>
      <c r="T8" s="2">
        <f t="shared" ca="1" si="3"/>
        <v>0.25863162590878647</v>
      </c>
      <c r="U8" s="2">
        <f t="shared" ca="1" si="3"/>
        <v>0.25419781651522794</v>
      </c>
      <c r="V8" s="2">
        <f t="shared" ca="1" si="3"/>
        <v>0.23928944109145703</v>
      </c>
      <c r="W8" s="2">
        <f t="shared" ca="1" si="3"/>
        <v>0.20588282535008529</v>
      </c>
      <c r="X8" s="2">
        <f t="shared" ca="1" si="3"/>
        <v>0.28995729653215241</v>
      </c>
      <c r="Y8" s="2">
        <f t="shared" ca="1" si="3"/>
        <v>0.25325855891855592</v>
      </c>
      <c r="Z8" s="2">
        <f t="shared" ca="1" si="3"/>
        <v>0.26831220272774181</v>
      </c>
      <c r="AA8" s="2">
        <f t="shared" ca="1" si="3"/>
        <v>0.2871234779128185</v>
      </c>
      <c r="AB8" s="2">
        <f t="shared" ca="1" si="3"/>
        <v>0.27801723707273529</v>
      </c>
      <c r="AC8" s="2">
        <f t="shared" ca="1" si="3"/>
        <v>0.29532584539888934</v>
      </c>
      <c r="AD8" s="2">
        <f t="shared" ca="1" si="3"/>
        <v>0.2858668913887622</v>
      </c>
      <c r="AE8" s="2">
        <f t="shared" ca="1" si="3"/>
        <v>0.27691671938022533</v>
      </c>
      <c r="AF8" s="2">
        <f t="shared" ca="1" si="3"/>
        <v>0.22906833168304239</v>
      </c>
      <c r="AG8" s="2">
        <f t="shared" ca="1" si="3"/>
        <v>0.26694653576940192</v>
      </c>
      <c r="AH8" s="2">
        <f t="shared" ca="1" si="3"/>
        <v>0.20970421895709457</v>
      </c>
    </row>
    <row r="9" spans="1:34">
      <c r="A9" t="str">
        <f>sets!$H$3</f>
        <v>Teff</v>
      </c>
      <c r="B9" t="str">
        <v>Harari</v>
      </c>
      <c r="C9" s="2">
        <f t="shared" ca="1" si="2"/>
        <v>0.22696251031231704</v>
      </c>
      <c r="D9" s="2">
        <f t="shared" ca="1" si="3"/>
        <v>0.25546801112146705</v>
      </c>
      <c r="E9" s="2">
        <f t="shared" ca="1" si="3"/>
        <v>0.24196228946408616</v>
      </c>
      <c r="F9" s="2">
        <f t="shared" ca="1" si="3"/>
        <v>0.26838869941395138</v>
      </c>
      <c r="G9" s="2">
        <f t="shared" ca="1" si="3"/>
        <v>0.29627979724027459</v>
      </c>
      <c r="H9" s="2">
        <f t="shared" ca="1" si="3"/>
        <v>0.2584277308856775</v>
      </c>
      <c r="I9" s="2">
        <f t="shared" ca="1" si="3"/>
        <v>0.24451726837113336</v>
      </c>
      <c r="J9" s="2">
        <f t="shared" ca="1" si="3"/>
        <v>0.21924693455714486</v>
      </c>
      <c r="K9" s="2">
        <f t="shared" ca="1" si="3"/>
        <v>0.27300096192314305</v>
      </c>
      <c r="L9" s="2">
        <f t="shared" ca="1" si="3"/>
        <v>0.20215831578632021</v>
      </c>
      <c r="M9" s="2">
        <f t="shared" ca="1" si="3"/>
        <v>0.23170897109124769</v>
      </c>
      <c r="N9" s="2">
        <f t="shared" ca="1" si="3"/>
        <v>0.26781542131261832</v>
      </c>
      <c r="O9" s="2">
        <f t="shared" ca="1" si="3"/>
        <v>0.22293867793962771</v>
      </c>
      <c r="P9" s="2">
        <f t="shared" ca="1" si="3"/>
        <v>0.22417076814778553</v>
      </c>
      <c r="Q9" s="2">
        <f t="shared" ca="1" si="3"/>
        <v>0.28455435337477775</v>
      </c>
      <c r="R9" s="2">
        <f t="shared" ca="1" si="3"/>
        <v>0.29542969203951275</v>
      </c>
      <c r="S9" s="2">
        <f t="shared" ca="1" si="3"/>
        <v>0.29030657284952238</v>
      </c>
      <c r="T9" s="2">
        <f t="shared" ca="1" si="3"/>
        <v>0.27268185345585427</v>
      </c>
      <c r="U9" s="2">
        <f t="shared" ca="1" si="3"/>
        <v>0.26713945361267499</v>
      </c>
      <c r="V9" s="2">
        <f t="shared" ca="1" si="3"/>
        <v>0.20590222395255287</v>
      </c>
      <c r="W9" s="2">
        <f t="shared" ca="1" si="3"/>
        <v>0.27044082135821684</v>
      </c>
      <c r="X9" s="2">
        <f t="shared" ca="1" si="3"/>
        <v>0.26288703543258785</v>
      </c>
      <c r="Y9" s="2">
        <f t="shared" ca="1" si="3"/>
        <v>0.24460159553535671</v>
      </c>
      <c r="Z9" s="2">
        <f t="shared" ca="1" si="3"/>
        <v>0.25654146023376867</v>
      </c>
      <c r="AA9" s="2">
        <f t="shared" ca="1" si="3"/>
        <v>0.27991658632717165</v>
      </c>
      <c r="AB9" s="2">
        <f t="shared" ca="1" si="3"/>
        <v>0.20236977294069897</v>
      </c>
      <c r="AC9" s="2">
        <f t="shared" ca="1" si="3"/>
        <v>0.27492494900794617</v>
      </c>
      <c r="AD9" s="2">
        <f t="shared" ca="1" si="3"/>
        <v>0.25080943455706317</v>
      </c>
      <c r="AE9" s="2">
        <f t="shared" ca="1" si="3"/>
        <v>0.29500049912447801</v>
      </c>
      <c r="AF9" s="2">
        <f t="shared" ca="1" si="3"/>
        <v>0.20414984782579076</v>
      </c>
      <c r="AG9" s="2">
        <f t="shared" ca="1" si="3"/>
        <v>0.24731973255833631</v>
      </c>
      <c r="AH9" s="2">
        <f t="shared" ca="1" si="3"/>
        <v>0.26518235468941892</v>
      </c>
    </row>
    <row r="10" spans="1:34">
      <c r="A10" t="str">
        <f>sets!$H$3</f>
        <v>Teff</v>
      </c>
      <c r="B10" t="str">
        <v>Oromia</v>
      </c>
      <c r="C10" s="2">
        <f t="shared" ca="1" si="2"/>
        <v>0.21672282108669064</v>
      </c>
      <c r="D10" s="2">
        <f t="shared" ca="1" si="3"/>
        <v>0.29922734336853668</v>
      </c>
      <c r="E10" s="2">
        <f t="shared" ca="1" si="3"/>
        <v>0.25526893647195026</v>
      </c>
      <c r="F10" s="2">
        <f t="shared" ca="1" si="3"/>
        <v>0.20876988286343989</v>
      </c>
      <c r="G10" s="2">
        <f t="shared" ca="1" si="3"/>
        <v>0.24139460318323691</v>
      </c>
      <c r="H10" s="2">
        <f t="shared" ca="1" si="3"/>
        <v>0.22401917063413684</v>
      </c>
      <c r="I10" s="2">
        <f t="shared" ca="1" si="3"/>
        <v>0.26086745503324338</v>
      </c>
      <c r="J10" s="2">
        <f t="shared" ca="1" si="3"/>
        <v>0.29011975447084565</v>
      </c>
      <c r="K10" s="2">
        <f t="shared" ca="1" si="3"/>
        <v>0.29776766197980059</v>
      </c>
      <c r="L10" s="2">
        <f t="shared" ca="1" si="3"/>
        <v>0.28864422847702365</v>
      </c>
      <c r="M10" s="2">
        <f t="shared" ca="1" si="3"/>
        <v>0.28032555740346837</v>
      </c>
      <c r="N10" s="2">
        <f t="shared" ca="1" si="3"/>
        <v>0.28637261682358428</v>
      </c>
      <c r="O10" s="2">
        <f t="shared" ca="1" si="3"/>
        <v>0.20615517066877909</v>
      </c>
      <c r="P10" s="2">
        <f t="shared" ca="1" si="3"/>
        <v>0.21514634697871163</v>
      </c>
      <c r="Q10" s="2">
        <f t="shared" ca="1" si="3"/>
        <v>0.29354986782514586</v>
      </c>
      <c r="R10" s="2">
        <f t="shared" ca="1" si="3"/>
        <v>0.29507050375240773</v>
      </c>
      <c r="S10" s="2">
        <f t="shared" ca="1" si="3"/>
        <v>0.25622183689210992</v>
      </c>
      <c r="T10" s="2">
        <f t="shared" ca="1" si="3"/>
        <v>0.25750987677637227</v>
      </c>
      <c r="U10" s="2">
        <f t="shared" ca="1" si="3"/>
        <v>0.26445592009676344</v>
      </c>
      <c r="V10" s="2">
        <f t="shared" ca="1" si="3"/>
        <v>0.29210346542968219</v>
      </c>
      <c r="W10" s="2">
        <f t="shared" ca="1" si="3"/>
        <v>0.28069401187311938</v>
      </c>
      <c r="X10" s="2">
        <f t="shared" ca="1" si="3"/>
        <v>0.21902199609856265</v>
      </c>
      <c r="Y10" s="2">
        <f t="shared" ca="1" si="3"/>
        <v>0.23699205513113694</v>
      </c>
      <c r="Z10" s="2">
        <f t="shared" ca="1" si="3"/>
        <v>0.28231351652006226</v>
      </c>
      <c r="AA10" s="2">
        <f t="shared" ca="1" si="3"/>
        <v>0.28444875793685043</v>
      </c>
      <c r="AB10" s="2">
        <f t="shared" ca="1" si="3"/>
        <v>0.26167570729175088</v>
      </c>
      <c r="AC10" s="2">
        <f t="shared" ca="1" si="3"/>
        <v>0.20655918978296745</v>
      </c>
      <c r="AD10" s="2">
        <f t="shared" ca="1" si="3"/>
        <v>0.25767486062586836</v>
      </c>
      <c r="AE10" s="2">
        <f t="shared" ca="1" si="3"/>
        <v>0.24143495147068514</v>
      </c>
      <c r="AF10" s="2">
        <f t="shared" ca="1" si="3"/>
        <v>0.29362213438239199</v>
      </c>
      <c r="AG10" s="2">
        <f t="shared" ca="1" si="3"/>
        <v>0.22151324627004246</v>
      </c>
      <c r="AH10" s="2">
        <f t="shared" ca="1" si="3"/>
        <v>0.26705392394261723</v>
      </c>
    </row>
    <row r="11" spans="1:34">
      <c r="A11" t="str">
        <f>sets!$H$3</f>
        <v>Teff</v>
      </c>
      <c r="B11" t="str">
        <v>Somali</v>
      </c>
      <c r="C11" s="2">
        <f t="shared" ca="1" si="2"/>
        <v>0.29840858709151002</v>
      </c>
      <c r="D11" s="2">
        <f t="shared" ca="1" si="3"/>
        <v>0.22096187436687742</v>
      </c>
      <c r="E11" s="2">
        <f t="shared" ca="1" si="3"/>
        <v>0.24205689360349261</v>
      </c>
      <c r="F11" s="2">
        <f t="shared" ca="1" si="3"/>
        <v>0.26977141393285919</v>
      </c>
      <c r="G11" s="2">
        <f t="shared" ca="1" si="3"/>
        <v>0.28769261500913657</v>
      </c>
      <c r="H11" s="2">
        <f t="shared" ca="1" si="3"/>
        <v>0.21624273841952513</v>
      </c>
      <c r="I11" s="2">
        <f t="shared" ca="1" si="3"/>
        <v>0.23867263031843919</v>
      </c>
      <c r="J11" s="2">
        <f t="shared" ca="1" si="3"/>
        <v>0.22262618677099275</v>
      </c>
      <c r="K11" s="2">
        <f t="shared" ref="K11:Z20" ca="1" si="4">RAND()*0.1+0.2</f>
        <v>0.24532202789387042</v>
      </c>
      <c r="L11" s="2">
        <f t="shared" ca="1" si="4"/>
        <v>0.21907053810478802</v>
      </c>
      <c r="M11" s="2">
        <f t="shared" ca="1" si="4"/>
        <v>0.24368275556732713</v>
      </c>
      <c r="N11" s="2">
        <f t="shared" ca="1" si="4"/>
        <v>0.27928632588844443</v>
      </c>
      <c r="O11" s="2">
        <f t="shared" ca="1" si="4"/>
        <v>0.29690268018121313</v>
      </c>
      <c r="P11" s="2">
        <f t="shared" ca="1" si="4"/>
        <v>0.20453602494326587</v>
      </c>
      <c r="Q11" s="2">
        <f t="shared" ca="1" si="4"/>
        <v>0.24678655950472417</v>
      </c>
      <c r="R11" s="2">
        <f t="shared" ca="1" si="4"/>
        <v>0.24876171994300963</v>
      </c>
      <c r="S11" s="2">
        <f t="shared" ca="1" si="4"/>
        <v>0.2385705184828551</v>
      </c>
      <c r="T11" s="2">
        <f t="shared" ca="1" si="4"/>
        <v>0.25505650315333367</v>
      </c>
      <c r="U11" s="2">
        <f t="shared" ca="1" si="4"/>
        <v>0.29430833850254356</v>
      </c>
      <c r="V11" s="2">
        <f t="shared" ca="1" si="4"/>
        <v>0.24316951186048202</v>
      </c>
      <c r="W11" s="2">
        <f t="shared" ca="1" si="4"/>
        <v>0.24082962684088671</v>
      </c>
      <c r="X11" s="2">
        <f t="shared" ca="1" si="4"/>
        <v>0.28474981451165843</v>
      </c>
      <c r="Y11" s="2">
        <f t="shared" ca="1" si="4"/>
        <v>0.24972939322502882</v>
      </c>
      <c r="Z11" s="2">
        <f t="shared" ca="1" si="4"/>
        <v>0.2567262300994923</v>
      </c>
      <c r="AA11" s="2">
        <f t="shared" ref="AA11:AH42" ca="1" si="5">RAND()*0.1+0.2</f>
        <v>0.24080756821927976</v>
      </c>
      <c r="AB11" s="2">
        <f t="shared" ca="1" si="5"/>
        <v>0.23490366108647409</v>
      </c>
      <c r="AC11" s="2">
        <f t="shared" ca="1" si="5"/>
        <v>0.28770555337075671</v>
      </c>
      <c r="AD11" s="2">
        <f t="shared" ca="1" si="5"/>
        <v>0.29046122151502096</v>
      </c>
      <c r="AE11" s="2">
        <f t="shared" ca="1" si="5"/>
        <v>0.27142710299612249</v>
      </c>
      <c r="AF11" s="2">
        <f t="shared" ca="1" si="5"/>
        <v>0.28936893953315501</v>
      </c>
      <c r="AG11" s="2">
        <f t="shared" ca="1" si="5"/>
        <v>0.26802299146627623</v>
      </c>
      <c r="AH11" s="2">
        <f t="shared" ca="1" si="5"/>
        <v>0.25507895451832807</v>
      </c>
    </row>
    <row r="12" spans="1:34">
      <c r="A12" t="str">
        <f>sets!$H$3</f>
        <v>Teff</v>
      </c>
      <c r="B12" t="str">
        <v>SNNPR</v>
      </c>
      <c r="C12" s="2">
        <f t="shared" ca="1" si="2"/>
        <v>0.26754798000786406</v>
      </c>
      <c r="D12" s="2">
        <f t="shared" ref="D12:J21" ca="1" si="6">RAND()*0.1+0.2</f>
        <v>0.28393337244492906</v>
      </c>
      <c r="E12" s="2">
        <f t="shared" ca="1" si="6"/>
        <v>0.27861718318591</v>
      </c>
      <c r="F12" s="2">
        <f t="shared" ca="1" si="6"/>
        <v>0.29288058900462899</v>
      </c>
      <c r="G12" s="2">
        <f t="shared" ca="1" si="6"/>
        <v>0.21256173874094059</v>
      </c>
      <c r="H12" s="2">
        <f t="shared" ca="1" si="6"/>
        <v>0.21442822006507925</v>
      </c>
      <c r="I12" s="2">
        <f t="shared" ca="1" si="6"/>
        <v>0.25931560773699142</v>
      </c>
      <c r="J12" s="2">
        <f t="shared" ca="1" si="6"/>
        <v>0.21413846047311613</v>
      </c>
      <c r="K12" s="2">
        <f t="shared" ca="1" si="4"/>
        <v>0.20341169869478656</v>
      </c>
      <c r="L12" s="2">
        <f t="shared" ca="1" si="4"/>
        <v>0.29031967338249964</v>
      </c>
      <c r="M12" s="2">
        <f t="shared" ca="1" si="4"/>
        <v>0.2104068787832265</v>
      </c>
      <c r="N12" s="2">
        <f t="shared" ca="1" si="4"/>
        <v>0.27309327552892892</v>
      </c>
      <c r="O12" s="2">
        <f t="shared" ca="1" si="4"/>
        <v>0.25548599828661817</v>
      </c>
      <c r="P12" s="2">
        <f t="shared" ca="1" si="4"/>
        <v>0.28901763007928183</v>
      </c>
      <c r="Q12" s="2">
        <f t="shared" ca="1" si="4"/>
        <v>0.25085624502514647</v>
      </c>
      <c r="R12" s="2">
        <f t="shared" ca="1" si="4"/>
        <v>0.29389672791057014</v>
      </c>
      <c r="S12" s="2">
        <f t="shared" ca="1" si="4"/>
        <v>0.20427340399011792</v>
      </c>
      <c r="T12" s="2">
        <f t="shared" ca="1" si="4"/>
        <v>0.26381627639559874</v>
      </c>
      <c r="U12" s="2">
        <f t="shared" ca="1" si="4"/>
        <v>0.20597527463271839</v>
      </c>
      <c r="V12" s="2">
        <f t="shared" ca="1" si="4"/>
        <v>0.23626883993805642</v>
      </c>
      <c r="W12" s="2">
        <f t="shared" ca="1" si="4"/>
        <v>0.27473461642118618</v>
      </c>
      <c r="X12" s="2">
        <f t="shared" ca="1" si="4"/>
        <v>0.20891218982114806</v>
      </c>
      <c r="Y12" s="2">
        <f t="shared" ca="1" si="4"/>
        <v>0.21865155043704143</v>
      </c>
      <c r="Z12" s="2">
        <f t="shared" ca="1" si="4"/>
        <v>0.27353056842464818</v>
      </c>
      <c r="AA12" s="2">
        <f t="shared" ca="1" si="5"/>
        <v>0.20509876470599123</v>
      </c>
      <c r="AB12" s="2">
        <f t="shared" ca="1" si="5"/>
        <v>0.28830291717198064</v>
      </c>
      <c r="AC12" s="2">
        <f t="shared" ca="1" si="5"/>
        <v>0.23551338525491672</v>
      </c>
      <c r="AD12" s="2">
        <f t="shared" ca="1" si="5"/>
        <v>0.25712784692758439</v>
      </c>
      <c r="AE12" s="2">
        <f t="shared" ca="1" si="5"/>
        <v>0.25053604007982661</v>
      </c>
      <c r="AF12" s="2">
        <f t="shared" ca="1" si="5"/>
        <v>0.23500164619688405</v>
      </c>
      <c r="AG12" s="2">
        <f t="shared" ca="1" si="5"/>
        <v>0.27668095223642375</v>
      </c>
      <c r="AH12" s="2">
        <f t="shared" ca="1" si="5"/>
        <v>0.21179841167857499</v>
      </c>
    </row>
    <row r="13" spans="1:34">
      <c r="A13" t="str">
        <f>sets!$H$3</f>
        <v>Teff</v>
      </c>
      <c r="B13" t="str">
        <v>Tigray</v>
      </c>
      <c r="C13" s="2">
        <f t="shared" ca="1" si="2"/>
        <v>0.26527175463138403</v>
      </c>
      <c r="D13" s="2">
        <f t="shared" ca="1" si="6"/>
        <v>0.24914206480790446</v>
      </c>
      <c r="E13" s="2">
        <f t="shared" ca="1" si="6"/>
        <v>0.28727154643106001</v>
      </c>
      <c r="F13" s="2">
        <f t="shared" ca="1" si="6"/>
        <v>0.24888785250812798</v>
      </c>
      <c r="G13" s="2">
        <f t="shared" ca="1" si="6"/>
        <v>0.25221679060110969</v>
      </c>
      <c r="H13" s="2">
        <f t="shared" ca="1" si="6"/>
        <v>0.21873020245814198</v>
      </c>
      <c r="I13" s="2">
        <f t="shared" ca="1" si="6"/>
        <v>0.2778107766509661</v>
      </c>
      <c r="J13" s="2">
        <f t="shared" ca="1" si="6"/>
        <v>0.20044812372966811</v>
      </c>
      <c r="K13" s="2">
        <f t="shared" ca="1" si="4"/>
        <v>0.26145154652196445</v>
      </c>
      <c r="L13" s="2">
        <f t="shared" ca="1" si="4"/>
        <v>0.2765452327888443</v>
      </c>
      <c r="M13" s="2">
        <f t="shared" ca="1" si="4"/>
        <v>0.20786730012218388</v>
      </c>
      <c r="N13" s="2">
        <f t="shared" ca="1" si="4"/>
        <v>0.26698773461208392</v>
      </c>
      <c r="O13" s="2">
        <f t="shared" ca="1" si="4"/>
        <v>0.25333568616785768</v>
      </c>
      <c r="P13" s="2">
        <f t="shared" ca="1" si="4"/>
        <v>0.21136442193249386</v>
      </c>
      <c r="Q13" s="2">
        <f t="shared" ca="1" si="4"/>
        <v>0.2164123796239045</v>
      </c>
      <c r="R13" s="2">
        <f t="shared" ca="1" si="4"/>
        <v>0.24192092971330875</v>
      </c>
      <c r="S13" s="2">
        <f t="shared" ca="1" si="4"/>
        <v>0.22273552371750815</v>
      </c>
      <c r="T13" s="2">
        <f t="shared" ca="1" si="4"/>
        <v>0.25238165436471904</v>
      </c>
      <c r="U13" s="2">
        <f t="shared" ca="1" si="4"/>
        <v>0.24606477012260375</v>
      </c>
      <c r="V13" s="2">
        <f t="shared" ca="1" si="4"/>
        <v>0.23071596367374644</v>
      </c>
      <c r="W13" s="2">
        <f t="shared" ca="1" si="4"/>
        <v>0.29065436993442334</v>
      </c>
      <c r="X13" s="2">
        <f t="shared" ca="1" si="4"/>
        <v>0.28273396260200423</v>
      </c>
      <c r="Y13" s="2">
        <f t="shared" ca="1" si="4"/>
        <v>0.21960855903814047</v>
      </c>
      <c r="Z13" s="2">
        <f t="shared" ca="1" si="4"/>
        <v>0.21214068794858826</v>
      </c>
      <c r="AA13" s="2">
        <f t="shared" ca="1" si="5"/>
        <v>0.23906923864318372</v>
      </c>
      <c r="AB13" s="2">
        <f t="shared" ca="1" si="5"/>
        <v>0.24600432455024179</v>
      </c>
      <c r="AC13" s="2">
        <f t="shared" ca="1" si="5"/>
        <v>0.25012829249999091</v>
      </c>
      <c r="AD13" s="2">
        <f t="shared" ca="1" si="5"/>
        <v>0.29912127960705576</v>
      </c>
      <c r="AE13" s="2">
        <f t="shared" ca="1" si="5"/>
        <v>0.2223332878427372</v>
      </c>
      <c r="AF13" s="2">
        <f t="shared" ca="1" si="5"/>
        <v>0.29689896062189658</v>
      </c>
      <c r="AG13" s="2">
        <f t="shared" ca="1" si="5"/>
        <v>0.2271798710123647</v>
      </c>
      <c r="AH13" s="2">
        <f t="shared" ca="1" si="5"/>
        <v>0.24621741234327355</v>
      </c>
    </row>
    <row r="14" spans="1:34">
      <c r="A14" t="str">
        <f t="shared" ref="A14:A45" si="7">INDEX(Food,MATCH(A3,Food,0)+1)</f>
        <v>Sorghum</v>
      </c>
      <c r="B14" t="str">
        <f>B3</f>
        <v>AddisAbaba</v>
      </c>
      <c r="C14" s="2">
        <f t="shared" ca="1" si="2"/>
        <v>0.27665188966245691</v>
      </c>
      <c r="D14" s="2">
        <f t="shared" ca="1" si="6"/>
        <v>0.21112568139567514</v>
      </c>
      <c r="E14" s="2">
        <f t="shared" ca="1" si="6"/>
        <v>0.24616234596225395</v>
      </c>
      <c r="F14" s="2">
        <f t="shared" ca="1" si="6"/>
        <v>0.28577243762779292</v>
      </c>
      <c r="G14" s="2">
        <f t="shared" ca="1" si="6"/>
        <v>0.21562014721025716</v>
      </c>
      <c r="H14" s="2">
        <f t="shared" ca="1" si="6"/>
        <v>0.24099841346528206</v>
      </c>
      <c r="I14" s="2">
        <f t="shared" ca="1" si="6"/>
        <v>0.23467030921679197</v>
      </c>
      <c r="J14" s="2">
        <f t="shared" ca="1" si="6"/>
        <v>0.23863882279647536</v>
      </c>
      <c r="K14" s="2">
        <f t="shared" ca="1" si="4"/>
        <v>0.20007433100784028</v>
      </c>
      <c r="L14" s="2">
        <f t="shared" ca="1" si="4"/>
        <v>0.291133025618527</v>
      </c>
      <c r="M14" s="2">
        <f t="shared" ca="1" si="4"/>
        <v>0.22627458490749397</v>
      </c>
      <c r="N14" s="2">
        <f t="shared" ca="1" si="4"/>
        <v>0.25062790430988718</v>
      </c>
      <c r="O14" s="2">
        <f t="shared" ca="1" si="4"/>
        <v>0.2350549331321653</v>
      </c>
      <c r="P14" s="2">
        <f t="shared" ca="1" si="4"/>
        <v>0.24355932795560681</v>
      </c>
      <c r="Q14" s="2">
        <f t="shared" ca="1" si="4"/>
        <v>0.27772736896954864</v>
      </c>
      <c r="R14" s="2">
        <f t="shared" ca="1" si="4"/>
        <v>0.20169876615895832</v>
      </c>
      <c r="S14" s="2">
        <f t="shared" ca="1" si="4"/>
        <v>0.23461311092833148</v>
      </c>
      <c r="T14" s="2">
        <f t="shared" ca="1" si="4"/>
        <v>0.22730211061301647</v>
      </c>
      <c r="U14" s="2">
        <f t="shared" ca="1" si="4"/>
        <v>0.26676723044092232</v>
      </c>
      <c r="V14" s="2">
        <f t="shared" ca="1" si="4"/>
        <v>0.27580376964033337</v>
      </c>
      <c r="W14" s="2">
        <f t="shared" ca="1" si="4"/>
        <v>0.24738573625801871</v>
      </c>
      <c r="X14" s="2">
        <f t="shared" ca="1" si="4"/>
        <v>0.20522061770187369</v>
      </c>
      <c r="Y14" s="2">
        <f t="shared" ca="1" si="4"/>
        <v>0.20208299244237687</v>
      </c>
      <c r="Z14" s="2">
        <f t="shared" ca="1" si="4"/>
        <v>0.29588758787940544</v>
      </c>
      <c r="AA14" s="2">
        <f t="shared" ca="1" si="5"/>
        <v>0.24564300862746888</v>
      </c>
      <c r="AB14" s="2">
        <f t="shared" ca="1" si="5"/>
        <v>0.22575543816457966</v>
      </c>
      <c r="AC14" s="2">
        <f t="shared" ca="1" si="5"/>
        <v>0.21819973821082</v>
      </c>
      <c r="AD14" s="2">
        <f t="shared" ca="1" si="5"/>
        <v>0.2509188712991175</v>
      </c>
      <c r="AE14" s="2">
        <f t="shared" ca="1" si="5"/>
        <v>0.23018647574061157</v>
      </c>
      <c r="AF14" s="2">
        <f t="shared" ca="1" si="5"/>
        <v>0.27596709465805291</v>
      </c>
      <c r="AG14" s="2">
        <f t="shared" ca="1" si="5"/>
        <v>0.25660921284194549</v>
      </c>
      <c r="AH14" s="2">
        <f t="shared" ca="1" si="5"/>
        <v>0.22507951785298475</v>
      </c>
    </row>
    <row r="15" spans="1:34">
      <c r="A15" t="str">
        <f t="shared" si="7"/>
        <v>Sorghum</v>
      </c>
      <c r="B15" t="str">
        <f t="shared" ref="B15:B68" si="8">B4</f>
        <v>Afar</v>
      </c>
      <c r="C15" s="2">
        <f t="shared" ca="1" si="2"/>
        <v>0.24143091832038277</v>
      </c>
      <c r="D15" s="2">
        <f t="shared" ca="1" si="6"/>
        <v>0.24896963039419234</v>
      </c>
      <c r="E15" s="2">
        <f t="shared" ca="1" si="6"/>
        <v>0.22790821527664185</v>
      </c>
      <c r="F15" s="2">
        <f t="shared" ca="1" si="6"/>
        <v>0.2518442640852846</v>
      </c>
      <c r="G15" s="2">
        <f t="shared" ca="1" si="6"/>
        <v>0.29209238762849132</v>
      </c>
      <c r="H15" s="2">
        <f t="shared" ca="1" si="6"/>
        <v>0.25812581223435094</v>
      </c>
      <c r="I15" s="2">
        <f t="shared" ca="1" si="6"/>
        <v>0.23694114097675106</v>
      </c>
      <c r="J15" s="2">
        <f t="shared" ca="1" si="6"/>
        <v>0.27203964200453162</v>
      </c>
      <c r="K15" s="2">
        <f t="shared" ca="1" si="4"/>
        <v>0.22408723579761045</v>
      </c>
      <c r="L15" s="2">
        <f t="shared" ca="1" si="4"/>
        <v>0.22620993939202483</v>
      </c>
      <c r="M15" s="2">
        <f t="shared" ca="1" si="4"/>
        <v>0.22018298255522667</v>
      </c>
      <c r="N15" s="2">
        <f t="shared" ca="1" si="4"/>
        <v>0.24936276755672274</v>
      </c>
      <c r="O15" s="2">
        <f t="shared" ca="1" si="4"/>
        <v>0.22228608543340253</v>
      </c>
      <c r="P15" s="2">
        <f t="shared" ca="1" si="4"/>
        <v>0.2459528344850965</v>
      </c>
      <c r="Q15" s="2">
        <f t="shared" ca="1" si="4"/>
        <v>0.27069893483903429</v>
      </c>
      <c r="R15" s="2">
        <f t="shared" ca="1" si="4"/>
        <v>0.26542457550621917</v>
      </c>
      <c r="S15" s="2">
        <f t="shared" ca="1" si="4"/>
        <v>0.25081834398194497</v>
      </c>
      <c r="T15" s="2">
        <f t="shared" ca="1" si="4"/>
        <v>0.2191148503329037</v>
      </c>
      <c r="U15" s="2">
        <f t="shared" ca="1" si="4"/>
        <v>0.29257532751869664</v>
      </c>
      <c r="V15" s="2">
        <f t="shared" ca="1" si="4"/>
        <v>0.25271724985634914</v>
      </c>
      <c r="W15" s="2">
        <f t="shared" ca="1" si="4"/>
        <v>0.2887992784580693</v>
      </c>
      <c r="X15" s="2">
        <f t="shared" ca="1" si="4"/>
        <v>0.20122745323365324</v>
      </c>
      <c r="Y15" s="2">
        <f t="shared" ca="1" si="4"/>
        <v>0.22926528078380853</v>
      </c>
      <c r="Z15" s="2">
        <f t="shared" ca="1" si="4"/>
        <v>0.2045378751810405</v>
      </c>
      <c r="AA15" s="2">
        <f t="shared" ca="1" si="5"/>
        <v>0.22446454089466716</v>
      </c>
      <c r="AB15" s="2">
        <f t="shared" ca="1" si="5"/>
        <v>0.26588026391503805</v>
      </c>
      <c r="AC15" s="2">
        <f t="shared" ca="1" si="5"/>
        <v>0.22761438413409049</v>
      </c>
      <c r="AD15" s="2">
        <f t="shared" ca="1" si="5"/>
        <v>0.21058010893061285</v>
      </c>
      <c r="AE15" s="2">
        <f t="shared" ca="1" si="5"/>
        <v>0.2123702444532708</v>
      </c>
      <c r="AF15" s="2">
        <f t="shared" ca="1" si="5"/>
        <v>0.22285423172624094</v>
      </c>
      <c r="AG15" s="2">
        <f t="shared" ca="1" si="5"/>
        <v>0.21595072895088641</v>
      </c>
      <c r="AH15" s="2">
        <f t="shared" ca="1" si="5"/>
        <v>0.22376004114250436</v>
      </c>
    </row>
    <row r="16" spans="1:34">
      <c r="A16" t="str">
        <f t="shared" si="7"/>
        <v>Sorghum</v>
      </c>
      <c r="B16" t="str">
        <f t="shared" si="8"/>
        <v>Amhara</v>
      </c>
      <c r="C16" s="2">
        <f t="shared" ca="1" si="2"/>
        <v>0.25401973072166528</v>
      </c>
      <c r="D16" s="2">
        <f t="shared" ca="1" si="6"/>
        <v>0.28199904533991671</v>
      </c>
      <c r="E16" s="2">
        <f t="shared" ca="1" si="6"/>
        <v>0.2359868702026692</v>
      </c>
      <c r="F16" s="2">
        <f t="shared" ca="1" si="6"/>
        <v>0.2681075429376073</v>
      </c>
      <c r="G16" s="2">
        <f t="shared" ca="1" si="6"/>
        <v>0.22550998790842286</v>
      </c>
      <c r="H16" s="2">
        <f t="shared" ca="1" si="6"/>
        <v>0.2160059556792624</v>
      </c>
      <c r="I16" s="2">
        <f t="shared" ca="1" si="6"/>
        <v>0.26885966553847795</v>
      </c>
      <c r="J16" s="2">
        <f t="shared" ca="1" si="6"/>
        <v>0.25340095382751071</v>
      </c>
      <c r="K16" s="2">
        <f t="shared" ca="1" si="4"/>
        <v>0.24027776112001353</v>
      </c>
      <c r="L16" s="2">
        <f t="shared" ca="1" si="4"/>
        <v>0.29156061709153719</v>
      </c>
      <c r="M16" s="2">
        <f t="shared" ca="1" si="4"/>
        <v>0.22550023705951822</v>
      </c>
      <c r="N16" s="2">
        <f t="shared" ca="1" si="4"/>
        <v>0.21630144461303757</v>
      </c>
      <c r="O16" s="2">
        <f t="shared" ca="1" si="4"/>
        <v>0.21974660091869805</v>
      </c>
      <c r="P16" s="2">
        <f t="shared" ca="1" si="4"/>
        <v>0.22294486023723811</v>
      </c>
      <c r="Q16" s="2">
        <f t="shared" ca="1" si="4"/>
        <v>0.21018546416462555</v>
      </c>
      <c r="R16" s="2">
        <f t="shared" ca="1" si="4"/>
        <v>0.26893698551607192</v>
      </c>
      <c r="S16" s="2">
        <f t="shared" ca="1" si="4"/>
        <v>0.25794781816396839</v>
      </c>
      <c r="T16" s="2">
        <f t="shared" ca="1" si="4"/>
        <v>0.25466927778257009</v>
      </c>
      <c r="U16" s="2">
        <f t="shared" ca="1" si="4"/>
        <v>0.20451226729497912</v>
      </c>
      <c r="V16" s="2">
        <f t="shared" ca="1" si="4"/>
        <v>0.22104427673395191</v>
      </c>
      <c r="W16" s="2">
        <f t="shared" ca="1" si="4"/>
        <v>0.29265920427008646</v>
      </c>
      <c r="X16" s="2">
        <f t="shared" ca="1" si="4"/>
        <v>0.21583379252356238</v>
      </c>
      <c r="Y16" s="2">
        <f t="shared" ca="1" si="4"/>
        <v>0.2871660668189584</v>
      </c>
      <c r="Z16" s="2">
        <f t="shared" ca="1" si="4"/>
        <v>0.22865635835316345</v>
      </c>
      <c r="AA16" s="2">
        <f t="shared" ca="1" si="5"/>
        <v>0.22611465808490805</v>
      </c>
      <c r="AB16" s="2">
        <f t="shared" ca="1" si="5"/>
        <v>0.24090618125197552</v>
      </c>
      <c r="AC16" s="2">
        <f t="shared" ca="1" si="5"/>
        <v>0.20874244105269091</v>
      </c>
      <c r="AD16" s="2">
        <f t="shared" ca="1" si="5"/>
        <v>0.28829516072527328</v>
      </c>
      <c r="AE16" s="2">
        <f t="shared" ca="1" si="5"/>
        <v>0.25968090416615175</v>
      </c>
      <c r="AF16" s="2">
        <f t="shared" ca="1" si="5"/>
        <v>0.23070545595466516</v>
      </c>
      <c r="AG16" s="2">
        <f t="shared" ca="1" si="5"/>
        <v>0.27791447389080975</v>
      </c>
      <c r="AH16" s="2">
        <f t="shared" ca="1" si="5"/>
        <v>0.20176595511919787</v>
      </c>
    </row>
    <row r="17" spans="1:34">
      <c r="A17" t="str">
        <f t="shared" si="7"/>
        <v>Sorghum</v>
      </c>
      <c r="B17" t="str">
        <f t="shared" si="8"/>
        <v>Gumuz</v>
      </c>
      <c r="C17" s="2">
        <f t="shared" ca="1" si="2"/>
        <v>0.21467243424329646</v>
      </c>
      <c r="D17" s="2">
        <f t="shared" ca="1" si="6"/>
        <v>0.29650708772325052</v>
      </c>
      <c r="E17" s="2">
        <f t="shared" ca="1" si="6"/>
        <v>0.25768709315992422</v>
      </c>
      <c r="F17" s="2">
        <f t="shared" ca="1" si="6"/>
        <v>0.23371650930523194</v>
      </c>
      <c r="G17" s="2">
        <f t="shared" ca="1" si="6"/>
        <v>0.21232460607323533</v>
      </c>
      <c r="H17" s="2">
        <f t="shared" ca="1" si="6"/>
        <v>0.28802584406962878</v>
      </c>
      <c r="I17" s="2">
        <f t="shared" ca="1" si="6"/>
        <v>0.29589907224705903</v>
      </c>
      <c r="J17" s="2">
        <f t="shared" ca="1" si="6"/>
        <v>0.22532024835726694</v>
      </c>
      <c r="K17" s="2">
        <f t="shared" ca="1" si="4"/>
        <v>0.21799880468506894</v>
      </c>
      <c r="L17" s="2">
        <f t="shared" ca="1" si="4"/>
        <v>0.25021675271016791</v>
      </c>
      <c r="M17" s="2">
        <f t="shared" ca="1" si="4"/>
        <v>0.21014887006857316</v>
      </c>
      <c r="N17" s="2">
        <f t="shared" ca="1" si="4"/>
        <v>0.23591855293463113</v>
      </c>
      <c r="O17" s="2">
        <f t="shared" ca="1" si="4"/>
        <v>0.20442961496084297</v>
      </c>
      <c r="P17" s="2">
        <f t="shared" ca="1" si="4"/>
        <v>0.2519660048923788</v>
      </c>
      <c r="Q17" s="2">
        <f t="shared" ca="1" si="4"/>
        <v>0.22597855869207137</v>
      </c>
      <c r="R17" s="2">
        <f t="shared" ca="1" si="4"/>
        <v>0.20247180966764836</v>
      </c>
      <c r="S17" s="2">
        <f t="shared" ca="1" si="4"/>
        <v>0.21075261208208543</v>
      </c>
      <c r="T17" s="2">
        <f t="shared" ca="1" si="4"/>
        <v>0.25122531383120289</v>
      </c>
      <c r="U17" s="2">
        <f t="shared" ca="1" si="4"/>
        <v>0.24203973733101769</v>
      </c>
      <c r="V17" s="2">
        <f t="shared" ca="1" si="4"/>
        <v>0.26633665945529661</v>
      </c>
      <c r="W17" s="2">
        <f t="shared" ca="1" si="4"/>
        <v>0.26198156975795278</v>
      </c>
      <c r="X17" s="2">
        <f t="shared" ca="1" si="4"/>
        <v>0.2346536029169623</v>
      </c>
      <c r="Y17" s="2">
        <f t="shared" ca="1" si="4"/>
        <v>0.21461222631014409</v>
      </c>
      <c r="Z17" s="2">
        <f t="shared" ca="1" si="4"/>
        <v>0.29777608264914057</v>
      </c>
      <c r="AA17" s="2">
        <f t="shared" ca="1" si="5"/>
        <v>0.26731470443855254</v>
      </c>
      <c r="AB17" s="2">
        <f t="shared" ca="1" si="5"/>
        <v>0.23203350303030282</v>
      </c>
      <c r="AC17" s="2">
        <f t="shared" ca="1" si="5"/>
        <v>0.23962255195448245</v>
      </c>
      <c r="AD17" s="2">
        <f t="shared" ca="1" si="5"/>
        <v>0.23531191880149355</v>
      </c>
      <c r="AE17" s="2">
        <f t="shared" ca="1" si="5"/>
        <v>0.25191409205113258</v>
      </c>
      <c r="AF17" s="2">
        <f t="shared" ca="1" si="5"/>
        <v>0.29386935397282365</v>
      </c>
      <c r="AG17" s="2">
        <f t="shared" ca="1" si="5"/>
        <v>0.22038797194216056</v>
      </c>
      <c r="AH17" s="2">
        <f t="shared" ca="1" si="5"/>
        <v>0.22053440275094766</v>
      </c>
    </row>
    <row r="18" spans="1:34">
      <c r="A18" t="str">
        <f t="shared" si="7"/>
        <v>Sorghum</v>
      </c>
      <c r="B18" t="str">
        <f t="shared" si="8"/>
        <v>DireDawa</v>
      </c>
      <c r="C18" s="2">
        <f t="shared" ca="1" si="2"/>
        <v>0.20122959431736273</v>
      </c>
      <c r="D18" s="2">
        <f t="shared" ca="1" si="6"/>
        <v>0.2717946721719538</v>
      </c>
      <c r="E18" s="2">
        <f t="shared" ca="1" si="6"/>
        <v>0.21602168622420972</v>
      </c>
      <c r="F18" s="2">
        <f t="shared" ca="1" si="6"/>
        <v>0.20116685063414486</v>
      </c>
      <c r="G18" s="2">
        <f t="shared" ca="1" si="6"/>
        <v>0.212418952889529</v>
      </c>
      <c r="H18" s="2">
        <f t="shared" ca="1" si="6"/>
        <v>0.23899312606458264</v>
      </c>
      <c r="I18" s="2">
        <f t="shared" ca="1" si="6"/>
        <v>0.27887681646753126</v>
      </c>
      <c r="J18" s="2">
        <f t="shared" ca="1" si="6"/>
        <v>0.2242468105387341</v>
      </c>
      <c r="K18" s="2">
        <f t="shared" ca="1" si="4"/>
        <v>0.27509038090835458</v>
      </c>
      <c r="L18" s="2">
        <f t="shared" ca="1" si="4"/>
        <v>0.24394549790757419</v>
      </c>
      <c r="M18" s="2">
        <f t="shared" ca="1" si="4"/>
        <v>0.29011534119235149</v>
      </c>
      <c r="N18" s="2">
        <f t="shared" ca="1" si="4"/>
        <v>0.22672129357704796</v>
      </c>
      <c r="O18" s="2">
        <f t="shared" ca="1" si="4"/>
        <v>0.21894895315937168</v>
      </c>
      <c r="P18" s="2">
        <f t="shared" ca="1" si="4"/>
        <v>0.24417752955922409</v>
      </c>
      <c r="Q18" s="2">
        <f t="shared" ca="1" si="4"/>
        <v>0.21951377626046506</v>
      </c>
      <c r="R18" s="2">
        <f t="shared" ca="1" si="4"/>
        <v>0.27330986275406799</v>
      </c>
      <c r="S18" s="2">
        <f t="shared" ca="1" si="4"/>
        <v>0.23806015150590376</v>
      </c>
      <c r="T18" s="2">
        <f t="shared" ca="1" si="4"/>
        <v>0.22984182412464471</v>
      </c>
      <c r="U18" s="2">
        <f t="shared" ca="1" si="4"/>
        <v>0.2402463065496985</v>
      </c>
      <c r="V18" s="2">
        <f t="shared" ca="1" si="4"/>
        <v>0.2625627048705691</v>
      </c>
      <c r="W18" s="2">
        <f t="shared" ca="1" si="4"/>
        <v>0.21228275265003738</v>
      </c>
      <c r="X18" s="2">
        <f t="shared" ca="1" si="4"/>
        <v>0.22707700672410283</v>
      </c>
      <c r="Y18" s="2">
        <f t="shared" ca="1" si="4"/>
        <v>0.24691545772279533</v>
      </c>
      <c r="Z18" s="2">
        <f t="shared" ca="1" si="4"/>
        <v>0.29207402350665479</v>
      </c>
      <c r="AA18" s="2">
        <f t="shared" ca="1" si="5"/>
        <v>0.26313607108637055</v>
      </c>
      <c r="AB18" s="2">
        <f t="shared" ca="1" si="5"/>
        <v>0.25087639727934274</v>
      </c>
      <c r="AC18" s="2">
        <f t="shared" ca="1" si="5"/>
        <v>0.23617909888549837</v>
      </c>
      <c r="AD18" s="2">
        <f t="shared" ca="1" si="5"/>
        <v>0.25598732757445486</v>
      </c>
      <c r="AE18" s="2">
        <f t="shared" ca="1" si="5"/>
        <v>0.23174841630209975</v>
      </c>
      <c r="AF18" s="2">
        <f t="shared" ca="1" si="5"/>
        <v>0.24406870596952632</v>
      </c>
      <c r="AG18" s="2">
        <f t="shared" ca="1" si="5"/>
        <v>0.24321892190613709</v>
      </c>
      <c r="AH18" s="2">
        <f t="shared" ca="1" si="5"/>
        <v>0.29495762196444875</v>
      </c>
    </row>
    <row r="19" spans="1:34">
      <c r="A19" t="str">
        <f t="shared" si="7"/>
        <v>Sorghum</v>
      </c>
      <c r="B19" t="str">
        <f t="shared" si="8"/>
        <v>Gambela</v>
      </c>
      <c r="C19" s="2">
        <f t="shared" ca="1" si="2"/>
        <v>0.28575262714114513</v>
      </c>
      <c r="D19" s="2">
        <f t="shared" ca="1" si="6"/>
        <v>0.2320282286667491</v>
      </c>
      <c r="E19" s="2">
        <f t="shared" ca="1" si="6"/>
        <v>0.22259302439139961</v>
      </c>
      <c r="F19" s="2">
        <f t="shared" ca="1" si="6"/>
        <v>0.26287949929690668</v>
      </c>
      <c r="G19" s="2">
        <f t="shared" ca="1" si="6"/>
        <v>0.22457280109507022</v>
      </c>
      <c r="H19" s="2">
        <f t="shared" ca="1" si="6"/>
        <v>0.26306800061842112</v>
      </c>
      <c r="I19" s="2">
        <f t="shared" ca="1" si="6"/>
        <v>0.27944060452666686</v>
      </c>
      <c r="J19" s="2">
        <f t="shared" ca="1" si="6"/>
        <v>0.29094750728174557</v>
      </c>
      <c r="K19" s="2">
        <f t="shared" ca="1" si="4"/>
        <v>0.21960889763832592</v>
      </c>
      <c r="L19" s="2">
        <f t="shared" ca="1" si="4"/>
        <v>0.24440379047108859</v>
      </c>
      <c r="M19" s="2">
        <f t="shared" ca="1" si="4"/>
        <v>0.26078852300740629</v>
      </c>
      <c r="N19" s="2">
        <f t="shared" ca="1" si="4"/>
        <v>0.220585957351112</v>
      </c>
      <c r="O19" s="2">
        <f t="shared" ca="1" si="4"/>
        <v>0.22217686412328444</v>
      </c>
      <c r="P19" s="2">
        <f t="shared" ca="1" si="4"/>
        <v>0.22216566936039517</v>
      </c>
      <c r="Q19" s="2">
        <f t="shared" ca="1" si="4"/>
        <v>0.29336797940204162</v>
      </c>
      <c r="R19" s="2">
        <f t="shared" ca="1" si="4"/>
        <v>0.21030361886429216</v>
      </c>
      <c r="S19" s="2">
        <f t="shared" ca="1" si="4"/>
        <v>0.24069005975900143</v>
      </c>
      <c r="T19" s="2">
        <f t="shared" ca="1" si="4"/>
        <v>0.29997142866514526</v>
      </c>
      <c r="U19" s="2">
        <f t="shared" ca="1" si="4"/>
        <v>0.27382275637306053</v>
      </c>
      <c r="V19" s="2">
        <f t="shared" ca="1" si="4"/>
        <v>0.27124152286463926</v>
      </c>
      <c r="W19" s="2">
        <f t="shared" ca="1" si="4"/>
        <v>0.25076985992888257</v>
      </c>
      <c r="X19" s="2">
        <f t="shared" ca="1" si="4"/>
        <v>0.26013742160299391</v>
      </c>
      <c r="Y19" s="2">
        <f t="shared" ca="1" si="4"/>
        <v>0.27912485232315309</v>
      </c>
      <c r="Z19" s="2">
        <f t="shared" ca="1" si="4"/>
        <v>0.26023284887820297</v>
      </c>
      <c r="AA19" s="2">
        <f t="shared" ca="1" si="5"/>
        <v>0.28719517231313574</v>
      </c>
      <c r="AB19" s="2">
        <f t="shared" ca="1" si="5"/>
        <v>0.22235686330402021</v>
      </c>
      <c r="AC19" s="2">
        <f t="shared" ca="1" si="5"/>
        <v>0.20198771082404446</v>
      </c>
      <c r="AD19" s="2">
        <f t="shared" ca="1" si="5"/>
        <v>0.26701492930597448</v>
      </c>
      <c r="AE19" s="2">
        <f t="shared" ca="1" si="5"/>
        <v>0.28630850288990278</v>
      </c>
      <c r="AF19" s="2">
        <f t="shared" ca="1" si="5"/>
        <v>0.2619153358782394</v>
      </c>
      <c r="AG19" s="2">
        <f t="shared" ca="1" si="5"/>
        <v>0.21992146506949181</v>
      </c>
      <c r="AH19" s="2">
        <f t="shared" ca="1" si="5"/>
        <v>0.2322919579572475</v>
      </c>
    </row>
    <row r="20" spans="1:34">
      <c r="A20" t="str">
        <f t="shared" si="7"/>
        <v>Sorghum</v>
      </c>
      <c r="B20" t="str">
        <f t="shared" si="8"/>
        <v>Harari</v>
      </c>
      <c r="C20" s="2">
        <f t="shared" ca="1" si="2"/>
        <v>0.24022241033255606</v>
      </c>
      <c r="D20" s="2">
        <f t="shared" ca="1" si="6"/>
        <v>0.25776646655526786</v>
      </c>
      <c r="E20" s="2">
        <f t="shared" ca="1" si="6"/>
        <v>0.28251178589498688</v>
      </c>
      <c r="F20" s="2">
        <f t="shared" ca="1" si="6"/>
        <v>0.20918633606015496</v>
      </c>
      <c r="G20" s="2">
        <f t="shared" ca="1" si="6"/>
        <v>0.22210861017444208</v>
      </c>
      <c r="H20" s="2">
        <f t="shared" ca="1" si="6"/>
        <v>0.2740061949492254</v>
      </c>
      <c r="I20" s="2">
        <f t="shared" ca="1" si="6"/>
        <v>0.27457932798467105</v>
      </c>
      <c r="J20" s="2">
        <f t="shared" ca="1" si="6"/>
        <v>0.21738085611958552</v>
      </c>
      <c r="K20" s="2">
        <f t="shared" ca="1" si="4"/>
        <v>0.28288965063961047</v>
      </c>
      <c r="L20" s="2">
        <f t="shared" ca="1" si="4"/>
        <v>0.25227769426429891</v>
      </c>
      <c r="M20" s="2">
        <f t="shared" ca="1" si="4"/>
        <v>0.28613433281229628</v>
      </c>
      <c r="N20" s="2">
        <f t="shared" ca="1" si="4"/>
        <v>0.27466710978701009</v>
      </c>
      <c r="O20" s="2">
        <f t="shared" ca="1" si="4"/>
        <v>0.25865170169711393</v>
      </c>
      <c r="P20" s="2">
        <f t="shared" ca="1" si="4"/>
        <v>0.2876776122711302</v>
      </c>
      <c r="Q20" s="2">
        <f t="shared" ca="1" si="4"/>
        <v>0.24801506998037257</v>
      </c>
      <c r="R20" s="2">
        <f t="shared" ca="1" si="4"/>
        <v>0.24671299773954919</v>
      </c>
      <c r="S20" s="2">
        <f t="shared" ca="1" si="4"/>
        <v>0.23856685645690484</v>
      </c>
      <c r="T20" s="2">
        <f t="shared" ca="1" si="4"/>
        <v>0.26083047615410926</v>
      </c>
      <c r="U20" s="2">
        <f t="shared" ca="1" si="4"/>
        <v>0.21222816298011868</v>
      </c>
      <c r="V20" s="2">
        <f t="shared" ca="1" si="4"/>
        <v>0.28366416306312225</v>
      </c>
      <c r="W20" s="2">
        <f t="shared" ca="1" si="4"/>
        <v>0.22315191558706399</v>
      </c>
      <c r="X20" s="2">
        <f t="shared" ca="1" si="4"/>
        <v>0.24919657089933461</v>
      </c>
      <c r="Y20" s="2">
        <f t="shared" ca="1" si="4"/>
        <v>0.26282970575721581</v>
      </c>
      <c r="Z20" s="2">
        <f t="shared" ca="1" si="4"/>
        <v>0.22130382531586335</v>
      </c>
      <c r="AA20" s="2">
        <f t="shared" ca="1" si="5"/>
        <v>0.2201642834464988</v>
      </c>
      <c r="AB20" s="2">
        <f t="shared" ca="1" si="5"/>
        <v>0.24439078175442128</v>
      </c>
      <c r="AC20" s="2">
        <f t="shared" ca="1" si="5"/>
        <v>0.27002094081416639</v>
      </c>
      <c r="AD20" s="2">
        <f t="shared" ca="1" si="5"/>
        <v>0.23442788495441014</v>
      </c>
      <c r="AE20" s="2">
        <f t="shared" ca="1" si="5"/>
        <v>0.27497297124380249</v>
      </c>
      <c r="AF20" s="2">
        <f t="shared" ca="1" si="5"/>
        <v>0.28832757341813509</v>
      </c>
      <c r="AG20" s="2">
        <f t="shared" ca="1" si="5"/>
        <v>0.22633921317032454</v>
      </c>
      <c r="AH20" s="2">
        <f t="shared" ca="1" si="5"/>
        <v>0.25785335736620757</v>
      </c>
    </row>
    <row r="21" spans="1:34">
      <c r="A21" t="str">
        <f t="shared" si="7"/>
        <v>Sorghum</v>
      </c>
      <c r="B21" t="str">
        <f t="shared" si="8"/>
        <v>Oromia</v>
      </c>
      <c r="C21" s="2">
        <f t="shared" ca="1" si="2"/>
        <v>0.2794338396888863</v>
      </c>
      <c r="D21" s="2">
        <f t="shared" ca="1" si="6"/>
        <v>0.26580574870328511</v>
      </c>
      <c r="E21" s="2">
        <f t="shared" ca="1" si="6"/>
        <v>0.26372885013594</v>
      </c>
      <c r="F21" s="2">
        <f t="shared" ca="1" si="6"/>
        <v>0.26751539351190645</v>
      </c>
      <c r="G21" s="2">
        <f t="shared" ca="1" si="6"/>
        <v>0.29221615981271326</v>
      </c>
      <c r="H21" s="2">
        <f t="shared" ca="1" si="6"/>
        <v>0.29895421650591664</v>
      </c>
      <c r="I21" s="2">
        <f t="shared" ca="1" si="6"/>
        <v>0.24024384851621003</v>
      </c>
      <c r="J21" s="2">
        <f t="shared" ca="1" si="6"/>
        <v>0.26124575854798543</v>
      </c>
      <c r="K21" s="2">
        <f t="shared" ref="K21:Z30" ca="1" si="9">RAND()*0.1+0.2</f>
        <v>0.25579904686141647</v>
      </c>
      <c r="L21" s="2">
        <f t="shared" ca="1" si="9"/>
        <v>0.28692377732574614</v>
      </c>
      <c r="M21" s="2">
        <f t="shared" ca="1" si="9"/>
        <v>0.22482338255468159</v>
      </c>
      <c r="N21" s="2">
        <f t="shared" ca="1" si="9"/>
        <v>0.25179374936073073</v>
      </c>
      <c r="O21" s="2">
        <f t="shared" ca="1" si="9"/>
        <v>0.20729550890343779</v>
      </c>
      <c r="P21" s="2">
        <f t="shared" ca="1" si="9"/>
        <v>0.28959495069296887</v>
      </c>
      <c r="Q21" s="2">
        <f t="shared" ca="1" si="9"/>
        <v>0.222829379128056</v>
      </c>
      <c r="R21" s="2">
        <f t="shared" ca="1" si="9"/>
        <v>0.25274483053375979</v>
      </c>
      <c r="S21" s="2">
        <f t="shared" ca="1" si="9"/>
        <v>0.2746953101949654</v>
      </c>
      <c r="T21" s="2">
        <f t="shared" ca="1" si="9"/>
        <v>0.29532009362876094</v>
      </c>
      <c r="U21" s="2">
        <f t="shared" ca="1" si="9"/>
        <v>0.27049775217561006</v>
      </c>
      <c r="V21" s="2">
        <f t="shared" ca="1" si="9"/>
        <v>0.28532520904419245</v>
      </c>
      <c r="W21" s="2">
        <f t="shared" ca="1" si="9"/>
        <v>0.23580704565599336</v>
      </c>
      <c r="X21" s="2">
        <f t="shared" ca="1" si="9"/>
        <v>0.29787161440606336</v>
      </c>
      <c r="Y21" s="2">
        <f t="shared" ca="1" si="9"/>
        <v>0.24731175324194737</v>
      </c>
      <c r="Z21" s="2">
        <f t="shared" ca="1" si="9"/>
        <v>0.29198683961168115</v>
      </c>
      <c r="AA21" s="2">
        <f t="shared" ca="1" si="5"/>
        <v>0.20751455990787934</v>
      </c>
      <c r="AB21" s="2">
        <f t="shared" ca="1" si="5"/>
        <v>0.23112826860679322</v>
      </c>
      <c r="AC21" s="2">
        <f t="shared" ca="1" si="5"/>
        <v>0.22653498720728837</v>
      </c>
      <c r="AD21" s="2">
        <f t="shared" ca="1" si="5"/>
        <v>0.27932035601350363</v>
      </c>
      <c r="AE21" s="2">
        <f t="shared" ca="1" si="5"/>
        <v>0.28589084550939503</v>
      </c>
      <c r="AF21" s="2">
        <f t="shared" ca="1" si="5"/>
        <v>0.24137476663007457</v>
      </c>
      <c r="AG21" s="2">
        <f t="shared" ca="1" si="5"/>
        <v>0.25001638116264069</v>
      </c>
      <c r="AH21" s="2">
        <f t="shared" ca="1" si="5"/>
        <v>0.24427206248713793</v>
      </c>
    </row>
    <row r="22" spans="1:34">
      <c r="A22" t="str">
        <f t="shared" si="7"/>
        <v>Sorghum</v>
      </c>
      <c r="B22" t="str">
        <f t="shared" si="8"/>
        <v>Somali</v>
      </c>
      <c r="C22" s="2">
        <f t="shared" ca="1" si="2"/>
        <v>0.29467500202306118</v>
      </c>
      <c r="D22" s="2">
        <f t="shared" ref="D22:J31" ca="1" si="10">RAND()*0.1+0.2</f>
        <v>0.25440398222063959</v>
      </c>
      <c r="E22" s="2">
        <f t="shared" ca="1" si="10"/>
        <v>0.25416693891527387</v>
      </c>
      <c r="F22" s="2">
        <f t="shared" ca="1" si="10"/>
        <v>0.26846751783307365</v>
      </c>
      <c r="G22" s="2">
        <f t="shared" ca="1" si="10"/>
        <v>0.2264652328231774</v>
      </c>
      <c r="H22" s="2">
        <f t="shared" ca="1" si="10"/>
        <v>0.27585228328909356</v>
      </c>
      <c r="I22" s="2">
        <f t="shared" ca="1" si="10"/>
        <v>0.22262756078729429</v>
      </c>
      <c r="J22" s="2">
        <f t="shared" ca="1" si="10"/>
        <v>0.26834395221041141</v>
      </c>
      <c r="K22" s="2">
        <f t="shared" ca="1" si="9"/>
        <v>0.28266175815954497</v>
      </c>
      <c r="L22" s="2">
        <f t="shared" ca="1" si="9"/>
        <v>0.23770093492716915</v>
      </c>
      <c r="M22" s="2">
        <f t="shared" ca="1" si="9"/>
        <v>0.27672819419912353</v>
      </c>
      <c r="N22" s="2">
        <f t="shared" ca="1" si="9"/>
        <v>0.22810735492135994</v>
      </c>
      <c r="O22" s="2">
        <f t="shared" ca="1" si="9"/>
        <v>0.23647756444650214</v>
      </c>
      <c r="P22" s="2">
        <f t="shared" ca="1" si="9"/>
        <v>0.20301025459201169</v>
      </c>
      <c r="Q22" s="2">
        <f t="shared" ca="1" si="9"/>
        <v>0.29722799197171507</v>
      </c>
      <c r="R22" s="2">
        <f t="shared" ca="1" si="9"/>
        <v>0.22236483221379333</v>
      </c>
      <c r="S22" s="2">
        <f t="shared" ca="1" si="9"/>
        <v>0.26092317909632268</v>
      </c>
      <c r="T22" s="2">
        <f t="shared" ca="1" si="9"/>
        <v>0.26887321141382731</v>
      </c>
      <c r="U22" s="2">
        <f t="shared" ca="1" si="9"/>
        <v>0.22516642924443056</v>
      </c>
      <c r="V22" s="2">
        <f t="shared" ca="1" si="9"/>
        <v>0.29529908065324295</v>
      </c>
      <c r="W22" s="2">
        <f t="shared" ca="1" si="9"/>
        <v>0.22742303665898045</v>
      </c>
      <c r="X22" s="2">
        <f t="shared" ca="1" si="9"/>
        <v>0.26517838531838756</v>
      </c>
      <c r="Y22" s="2">
        <f t="shared" ca="1" si="9"/>
        <v>0.207921190845019</v>
      </c>
      <c r="Z22" s="2">
        <f t="shared" ca="1" si="9"/>
        <v>0.29023110311551215</v>
      </c>
      <c r="AA22" s="2">
        <f t="shared" ca="1" si="5"/>
        <v>0.28283851092544238</v>
      </c>
      <c r="AB22" s="2">
        <f t="shared" ca="1" si="5"/>
        <v>0.29462199984778809</v>
      </c>
      <c r="AC22" s="2">
        <f t="shared" ca="1" si="5"/>
        <v>0.23392988504244036</v>
      </c>
      <c r="AD22" s="2">
        <f t="shared" ca="1" si="5"/>
        <v>0.26056260548745813</v>
      </c>
      <c r="AE22" s="2">
        <f t="shared" ca="1" si="5"/>
        <v>0.25276113387625287</v>
      </c>
      <c r="AF22" s="2">
        <f t="shared" ca="1" si="5"/>
        <v>0.2172592932679866</v>
      </c>
      <c r="AG22" s="2">
        <f t="shared" ca="1" si="5"/>
        <v>0.2227273247662919</v>
      </c>
      <c r="AH22" s="2">
        <f t="shared" ca="1" si="5"/>
        <v>0.21072853230319277</v>
      </c>
    </row>
    <row r="23" spans="1:34">
      <c r="A23" t="str">
        <f t="shared" si="7"/>
        <v>Sorghum</v>
      </c>
      <c r="B23" t="str">
        <f t="shared" si="8"/>
        <v>SNNPR</v>
      </c>
      <c r="C23" s="2">
        <f t="shared" ca="1" si="2"/>
        <v>0.25468846329691924</v>
      </c>
      <c r="D23" s="2">
        <f t="shared" ca="1" si="10"/>
        <v>0.27341978025828134</v>
      </c>
      <c r="E23" s="2">
        <f t="shared" ca="1" si="10"/>
        <v>0.20337648736248012</v>
      </c>
      <c r="F23" s="2">
        <f t="shared" ca="1" si="10"/>
        <v>0.25427685711168124</v>
      </c>
      <c r="G23" s="2">
        <f t="shared" ca="1" si="10"/>
        <v>0.22304397956982103</v>
      </c>
      <c r="H23" s="2">
        <f t="shared" ca="1" si="10"/>
        <v>0.21398125999066445</v>
      </c>
      <c r="I23" s="2">
        <f t="shared" ca="1" si="10"/>
        <v>0.26995051041908563</v>
      </c>
      <c r="J23" s="2">
        <f t="shared" ca="1" si="10"/>
        <v>0.27645228300750807</v>
      </c>
      <c r="K23" s="2">
        <f t="shared" ca="1" si="9"/>
        <v>0.2297408269648924</v>
      </c>
      <c r="L23" s="2">
        <f t="shared" ca="1" si="9"/>
        <v>0.23535403894406073</v>
      </c>
      <c r="M23" s="2">
        <f t="shared" ca="1" si="9"/>
        <v>0.29696352591298136</v>
      </c>
      <c r="N23" s="2">
        <f t="shared" ca="1" si="9"/>
        <v>0.27186152431343219</v>
      </c>
      <c r="O23" s="2">
        <f t="shared" ca="1" si="9"/>
        <v>0.26850677714517635</v>
      </c>
      <c r="P23" s="2">
        <f t="shared" ca="1" si="9"/>
        <v>0.28676082307031631</v>
      </c>
      <c r="Q23" s="2">
        <f t="shared" ca="1" si="9"/>
        <v>0.23623154629083851</v>
      </c>
      <c r="R23" s="2">
        <f t="shared" ca="1" si="9"/>
        <v>0.23496930225821044</v>
      </c>
      <c r="S23" s="2">
        <f t="shared" ca="1" si="9"/>
        <v>0.26788794942232746</v>
      </c>
      <c r="T23" s="2">
        <f t="shared" ca="1" si="9"/>
        <v>0.20386831593802715</v>
      </c>
      <c r="U23" s="2">
        <f t="shared" ca="1" si="9"/>
        <v>0.2612099199783125</v>
      </c>
      <c r="V23" s="2">
        <f t="shared" ca="1" si="9"/>
        <v>0.22036869733114706</v>
      </c>
      <c r="W23" s="2">
        <f t="shared" ca="1" si="9"/>
        <v>0.22315292948676874</v>
      </c>
      <c r="X23" s="2">
        <f t="shared" ca="1" si="9"/>
        <v>0.20461967211785792</v>
      </c>
      <c r="Y23" s="2">
        <f t="shared" ca="1" si="9"/>
        <v>0.23584565259247892</v>
      </c>
      <c r="Z23" s="2">
        <f t="shared" ca="1" si="9"/>
        <v>0.27739512765953683</v>
      </c>
      <c r="AA23" s="2">
        <f t="shared" ca="1" si="5"/>
        <v>0.20722667680239126</v>
      </c>
      <c r="AB23" s="2">
        <f t="shared" ca="1" si="5"/>
        <v>0.25343567402773293</v>
      </c>
      <c r="AC23" s="2">
        <f t="shared" ca="1" si="5"/>
        <v>0.25865971144173655</v>
      </c>
      <c r="AD23" s="2">
        <f t="shared" ca="1" si="5"/>
        <v>0.28626487506975573</v>
      </c>
      <c r="AE23" s="2">
        <f t="shared" ca="1" si="5"/>
        <v>0.25164675501131323</v>
      </c>
      <c r="AF23" s="2">
        <f t="shared" ca="1" si="5"/>
        <v>0.20294310114596012</v>
      </c>
      <c r="AG23" s="2">
        <f t="shared" ca="1" si="5"/>
        <v>0.25147579823576621</v>
      </c>
      <c r="AH23" s="2">
        <f t="shared" ca="1" si="5"/>
        <v>0.29434484453905979</v>
      </c>
    </row>
    <row r="24" spans="1:34">
      <c r="A24" t="str">
        <f t="shared" si="7"/>
        <v>Sorghum</v>
      </c>
      <c r="B24" t="str">
        <f t="shared" si="8"/>
        <v>Tigray</v>
      </c>
      <c r="C24" s="2">
        <f t="shared" ca="1" si="2"/>
        <v>0.20883508165451997</v>
      </c>
      <c r="D24" s="2">
        <f t="shared" ca="1" si="10"/>
        <v>0.28552369297033614</v>
      </c>
      <c r="E24" s="2">
        <f t="shared" ca="1" si="10"/>
        <v>0.26900492746772786</v>
      </c>
      <c r="F24" s="2">
        <f t="shared" ca="1" si="10"/>
        <v>0.2928529570232688</v>
      </c>
      <c r="G24" s="2">
        <f t="shared" ca="1" si="10"/>
        <v>0.23923760336757188</v>
      </c>
      <c r="H24" s="2">
        <f t="shared" ca="1" si="10"/>
        <v>0.21292715401675186</v>
      </c>
      <c r="I24" s="2">
        <f t="shared" ca="1" si="10"/>
        <v>0.20906247863868382</v>
      </c>
      <c r="J24" s="2">
        <f t="shared" ca="1" si="10"/>
        <v>0.24051834212557718</v>
      </c>
      <c r="K24" s="2">
        <f t="shared" ca="1" si="9"/>
        <v>0.29758642210808256</v>
      </c>
      <c r="L24" s="2">
        <f t="shared" ca="1" si="9"/>
        <v>0.27947760707901781</v>
      </c>
      <c r="M24" s="2">
        <f t="shared" ca="1" si="9"/>
        <v>0.22951940205266644</v>
      </c>
      <c r="N24" s="2">
        <f t="shared" ca="1" si="9"/>
        <v>0.20648410147630122</v>
      </c>
      <c r="O24" s="2">
        <f t="shared" ca="1" si="9"/>
        <v>0.2073233634599044</v>
      </c>
      <c r="P24" s="2">
        <f t="shared" ca="1" si="9"/>
        <v>0.24712780747366533</v>
      </c>
      <c r="Q24" s="2">
        <f t="shared" ca="1" si="9"/>
        <v>0.2266895450467668</v>
      </c>
      <c r="R24" s="2">
        <f t="shared" ca="1" si="9"/>
        <v>0.24945357725890874</v>
      </c>
      <c r="S24" s="2">
        <f t="shared" ca="1" si="9"/>
        <v>0.27906688291987036</v>
      </c>
      <c r="T24" s="2">
        <f t="shared" ca="1" si="9"/>
        <v>0.25981687281813443</v>
      </c>
      <c r="U24" s="2">
        <f t="shared" ca="1" si="9"/>
        <v>0.26299971436388347</v>
      </c>
      <c r="V24" s="2">
        <f t="shared" ca="1" si="9"/>
        <v>0.28921817962866103</v>
      </c>
      <c r="W24" s="2">
        <f t="shared" ca="1" si="9"/>
        <v>0.29035146373988396</v>
      </c>
      <c r="X24" s="2">
        <f t="shared" ca="1" si="9"/>
        <v>0.2043454367158638</v>
      </c>
      <c r="Y24" s="2">
        <f t="shared" ca="1" si="9"/>
        <v>0.20018531577114673</v>
      </c>
      <c r="Z24" s="2">
        <f t="shared" ca="1" si="9"/>
        <v>0.21775046579821902</v>
      </c>
      <c r="AA24" s="2">
        <f t="shared" ca="1" si="5"/>
        <v>0.2679857198777218</v>
      </c>
      <c r="AB24" s="2">
        <f t="shared" ca="1" si="5"/>
        <v>0.29835278015253686</v>
      </c>
      <c r="AC24" s="2">
        <f t="shared" ca="1" si="5"/>
        <v>0.24995852348091752</v>
      </c>
      <c r="AD24" s="2">
        <f t="shared" ca="1" si="5"/>
        <v>0.21237276840682365</v>
      </c>
      <c r="AE24" s="2">
        <f t="shared" ca="1" si="5"/>
        <v>0.2276042269211315</v>
      </c>
      <c r="AF24" s="2">
        <f t="shared" ca="1" si="5"/>
        <v>0.28489427496486353</v>
      </c>
      <c r="AG24" s="2">
        <f t="shared" ca="1" si="5"/>
        <v>0.28881858854194165</v>
      </c>
      <c r="AH24" s="2">
        <f t="shared" ca="1" si="5"/>
        <v>0.27547964593600366</v>
      </c>
    </row>
    <row r="25" spans="1:34">
      <c r="A25" t="str">
        <f t="shared" si="7"/>
        <v>Maize</v>
      </c>
      <c r="B25" t="str">
        <f t="shared" si="8"/>
        <v>AddisAbaba</v>
      </c>
      <c r="C25" s="2">
        <f t="shared" ca="1" si="2"/>
        <v>0.29556350323338187</v>
      </c>
      <c r="D25" s="2">
        <f t="shared" ca="1" si="10"/>
        <v>0.20386411186183032</v>
      </c>
      <c r="E25" s="2">
        <f t="shared" ca="1" si="10"/>
        <v>0.25876701860167484</v>
      </c>
      <c r="F25" s="2">
        <f t="shared" ca="1" si="10"/>
        <v>0.20908292106312976</v>
      </c>
      <c r="G25" s="2">
        <f t="shared" ca="1" si="10"/>
        <v>0.29617832512735814</v>
      </c>
      <c r="H25" s="2">
        <f t="shared" ca="1" si="10"/>
        <v>0.22721280871039529</v>
      </c>
      <c r="I25" s="2">
        <f t="shared" ca="1" si="10"/>
        <v>0.2046748791845894</v>
      </c>
      <c r="J25" s="2">
        <f t="shared" ca="1" si="10"/>
        <v>0.24563068103687816</v>
      </c>
      <c r="K25" s="2">
        <f t="shared" ca="1" si="9"/>
        <v>0.20832890112155611</v>
      </c>
      <c r="L25" s="2">
        <f t="shared" ca="1" si="9"/>
        <v>0.27684965448204191</v>
      </c>
      <c r="M25" s="2">
        <f t="shared" ca="1" si="9"/>
        <v>0.28922319245393169</v>
      </c>
      <c r="N25" s="2">
        <f t="shared" ca="1" si="9"/>
        <v>0.22589529521231014</v>
      </c>
      <c r="O25" s="2">
        <f t="shared" ca="1" si="9"/>
        <v>0.27708844100672803</v>
      </c>
      <c r="P25" s="2">
        <f t="shared" ca="1" si="9"/>
        <v>0.22472991028378</v>
      </c>
      <c r="Q25" s="2">
        <f t="shared" ca="1" si="9"/>
        <v>0.26503689444346246</v>
      </c>
      <c r="R25" s="2">
        <f t="shared" ca="1" si="9"/>
        <v>0.22620066418677406</v>
      </c>
      <c r="S25" s="2">
        <f t="shared" ca="1" si="9"/>
        <v>0.26824262440368662</v>
      </c>
      <c r="T25" s="2">
        <f t="shared" ca="1" si="9"/>
        <v>0.2748602007843669</v>
      </c>
      <c r="U25" s="2">
        <f t="shared" ca="1" si="9"/>
        <v>0.21485263909786964</v>
      </c>
      <c r="V25" s="2">
        <f t="shared" ca="1" si="9"/>
        <v>0.22584710230880309</v>
      </c>
      <c r="W25" s="2">
        <f t="shared" ca="1" si="9"/>
        <v>0.29710149619174697</v>
      </c>
      <c r="X25" s="2">
        <f t="shared" ca="1" si="9"/>
        <v>0.24262745885192852</v>
      </c>
      <c r="Y25" s="2">
        <f t="shared" ca="1" si="9"/>
        <v>0.25076706376710767</v>
      </c>
      <c r="Z25" s="2">
        <f t="shared" ca="1" si="9"/>
        <v>0.20793174461030928</v>
      </c>
      <c r="AA25" s="2">
        <f t="shared" ca="1" si="5"/>
        <v>0.29688792477138271</v>
      </c>
      <c r="AB25" s="2">
        <f t="shared" ca="1" si="5"/>
        <v>0.220684168832565</v>
      </c>
      <c r="AC25" s="2">
        <f t="shared" ca="1" si="5"/>
        <v>0.23575774657324383</v>
      </c>
      <c r="AD25" s="2">
        <f t="shared" ca="1" si="5"/>
        <v>0.26966736271693631</v>
      </c>
      <c r="AE25" s="2">
        <f t="shared" ca="1" si="5"/>
        <v>0.2873317623094071</v>
      </c>
      <c r="AF25" s="2">
        <f t="shared" ca="1" si="5"/>
        <v>0.24622024924214175</v>
      </c>
      <c r="AG25" s="2">
        <f t="shared" ca="1" si="5"/>
        <v>0.22955689808014978</v>
      </c>
      <c r="AH25" s="2">
        <f t="shared" ca="1" si="5"/>
        <v>0.29304938149241161</v>
      </c>
    </row>
    <row r="26" spans="1:34">
      <c r="A26" t="str">
        <f t="shared" si="7"/>
        <v>Maize</v>
      </c>
      <c r="B26" t="str">
        <f t="shared" si="8"/>
        <v>Afar</v>
      </c>
      <c r="C26" s="2">
        <f t="shared" ca="1" si="2"/>
        <v>0.25791922568052922</v>
      </c>
      <c r="D26" s="2">
        <f t="shared" ca="1" si="10"/>
        <v>0.22889524879210943</v>
      </c>
      <c r="E26" s="2">
        <f t="shared" ca="1" si="10"/>
        <v>0.28995223573432366</v>
      </c>
      <c r="F26" s="2">
        <f t="shared" ca="1" si="10"/>
        <v>0.29129561637758528</v>
      </c>
      <c r="G26" s="2">
        <f t="shared" ca="1" si="10"/>
        <v>0.28511225660751649</v>
      </c>
      <c r="H26" s="2">
        <f t="shared" ca="1" si="10"/>
        <v>0.28512263271005595</v>
      </c>
      <c r="I26" s="2">
        <f t="shared" ca="1" si="10"/>
        <v>0.28524548642999781</v>
      </c>
      <c r="J26" s="2">
        <f t="shared" ca="1" si="10"/>
        <v>0.25725436503914739</v>
      </c>
      <c r="K26" s="2">
        <f t="shared" ca="1" si="9"/>
        <v>0.23503383799214098</v>
      </c>
      <c r="L26" s="2">
        <f t="shared" ca="1" si="9"/>
        <v>0.20253589906274272</v>
      </c>
      <c r="M26" s="2">
        <f t="shared" ca="1" si="9"/>
        <v>0.20056839667844212</v>
      </c>
      <c r="N26" s="2">
        <f t="shared" ca="1" si="9"/>
        <v>0.22868593996935574</v>
      </c>
      <c r="O26" s="2">
        <f t="shared" ca="1" si="9"/>
        <v>0.23316542365819629</v>
      </c>
      <c r="P26" s="2">
        <f t="shared" ca="1" si="9"/>
        <v>0.24974267340970066</v>
      </c>
      <c r="Q26" s="2">
        <f t="shared" ca="1" si="9"/>
        <v>0.20691963479264958</v>
      </c>
      <c r="R26" s="2">
        <f t="shared" ca="1" si="9"/>
        <v>0.26973950503587701</v>
      </c>
      <c r="S26" s="2">
        <f t="shared" ca="1" si="9"/>
        <v>0.23099925255674986</v>
      </c>
      <c r="T26" s="2">
        <f t="shared" ca="1" si="9"/>
        <v>0.21208950311616809</v>
      </c>
      <c r="U26" s="2">
        <f t="shared" ca="1" si="9"/>
        <v>0.26411075703717413</v>
      </c>
      <c r="V26" s="2">
        <f t="shared" ca="1" si="9"/>
        <v>0.23834900378555651</v>
      </c>
      <c r="W26" s="2">
        <f t="shared" ca="1" si="9"/>
        <v>0.26371097604428811</v>
      </c>
      <c r="X26" s="2">
        <f t="shared" ca="1" si="9"/>
        <v>0.27412637891403957</v>
      </c>
      <c r="Y26" s="2">
        <f t="shared" ca="1" si="9"/>
        <v>0.26680240710636732</v>
      </c>
      <c r="Z26" s="2">
        <f t="shared" ca="1" si="9"/>
        <v>0.27312214529162737</v>
      </c>
      <c r="AA26" s="2">
        <f t="shared" ca="1" si="5"/>
        <v>0.22953455867023126</v>
      </c>
      <c r="AB26" s="2">
        <f t="shared" ca="1" si="5"/>
        <v>0.29936032973749199</v>
      </c>
      <c r="AC26" s="2">
        <f t="shared" ca="1" si="5"/>
        <v>0.294885322652436</v>
      </c>
      <c r="AD26" s="2">
        <f t="shared" ca="1" si="5"/>
        <v>0.25566117067132188</v>
      </c>
      <c r="AE26" s="2">
        <f t="shared" ca="1" si="5"/>
        <v>0.25919123490897505</v>
      </c>
      <c r="AF26" s="2">
        <f t="shared" ca="1" si="5"/>
        <v>0.29783722541932312</v>
      </c>
      <c r="AG26" s="2">
        <f t="shared" ca="1" si="5"/>
        <v>0.24645216525963404</v>
      </c>
      <c r="AH26" s="2">
        <f t="shared" ca="1" si="5"/>
        <v>0.29502493714321287</v>
      </c>
    </row>
    <row r="27" spans="1:34">
      <c r="A27" t="str">
        <f t="shared" si="7"/>
        <v>Maize</v>
      </c>
      <c r="B27" t="str">
        <f t="shared" si="8"/>
        <v>Amhara</v>
      </c>
      <c r="C27" s="2">
        <f t="shared" ca="1" si="2"/>
        <v>0.26589535236391593</v>
      </c>
      <c r="D27" s="2">
        <f t="shared" ca="1" si="10"/>
        <v>0.25383560151724854</v>
      </c>
      <c r="E27" s="2">
        <f t="shared" ca="1" si="10"/>
        <v>0.20616548136998636</v>
      </c>
      <c r="F27" s="2">
        <f t="shared" ca="1" si="10"/>
        <v>0.2001292784843639</v>
      </c>
      <c r="G27" s="2">
        <f t="shared" ca="1" si="10"/>
        <v>0.2694389165154718</v>
      </c>
      <c r="H27" s="2">
        <f t="shared" ca="1" si="10"/>
        <v>0.27487815606946103</v>
      </c>
      <c r="I27" s="2">
        <f t="shared" ca="1" si="10"/>
        <v>0.24910813715824442</v>
      </c>
      <c r="J27" s="2">
        <f t="shared" ca="1" si="10"/>
        <v>0.27646904244372128</v>
      </c>
      <c r="K27" s="2">
        <f t="shared" ca="1" si="9"/>
        <v>0.23525043846282967</v>
      </c>
      <c r="L27" s="2">
        <f t="shared" ca="1" si="9"/>
        <v>0.26472522177658742</v>
      </c>
      <c r="M27" s="2">
        <f t="shared" ca="1" si="9"/>
        <v>0.28024283291450147</v>
      </c>
      <c r="N27" s="2">
        <f t="shared" ca="1" si="9"/>
        <v>0.28656832091443052</v>
      </c>
      <c r="O27" s="2">
        <f t="shared" ca="1" si="9"/>
        <v>0.26963662034039759</v>
      </c>
      <c r="P27" s="2">
        <f t="shared" ca="1" si="9"/>
        <v>0.22590698289330463</v>
      </c>
      <c r="Q27" s="2">
        <f t="shared" ca="1" si="9"/>
        <v>0.26340191884458081</v>
      </c>
      <c r="R27" s="2">
        <f t="shared" ca="1" si="9"/>
        <v>0.2951731574193121</v>
      </c>
      <c r="S27" s="2">
        <f t="shared" ca="1" si="9"/>
        <v>0.26704886961278407</v>
      </c>
      <c r="T27" s="2">
        <f t="shared" ca="1" si="9"/>
        <v>0.28400775373184822</v>
      </c>
      <c r="U27" s="2">
        <f t="shared" ca="1" si="9"/>
        <v>0.27065038429826133</v>
      </c>
      <c r="V27" s="2">
        <f t="shared" ca="1" si="9"/>
        <v>0.27947773111958368</v>
      </c>
      <c r="W27" s="2">
        <f t="shared" ca="1" si="9"/>
        <v>0.21842953051132286</v>
      </c>
      <c r="X27" s="2">
        <f t="shared" ca="1" si="9"/>
        <v>0.21377475261792564</v>
      </c>
      <c r="Y27" s="2">
        <f t="shared" ca="1" si="9"/>
        <v>0.2932192761827212</v>
      </c>
      <c r="Z27" s="2">
        <f t="shared" ca="1" si="9"/>
        <v>0.21348726963418385</v>
      </c>
      <c r="AA27" s="2">
        <f t="shared" ca="1" si="5"/>
        <v>0.23127523513274462</v>
      </c>
      <c r="AB27" s="2">
        <f t="shared" ca="1" si="5"/>
        <v>0.23322569064731208</v>
      </c>
      <c r="AC27" s="2">
        <f t="shared" ca="1" si="5"/>
        <v>0.21048019389700709</v>
      </c>
      <c r="AD27" s="2">
        <f t="shared" ca="1" si="5"/>
        <v>0.23584841578366028</v>
      </c>
      <c r="AE27" s="2">
        <f t="shared" ca="1" si="5"/>
        <v>0.26055326879663387</v>
      </c>
      <c r="AF27" s="2">
        <f t="shared" ca="1" si="5"/>
        <v>0.29151114134808376</v>
      </c>
      <c r="AG27" s="2">
        <f t="shared" ca="1" si="5"/>
        <v>0.22497794891912207</v>
      </c>
      <c r="AH27" s="2">
        <f t="shared" ca="1" si="5"/>
        <v>0.29754870024473662</v>
      </c>
    </row>
    <row r="28" spans="1:34">
      <c r="A28" t="str">
        <f t="shared" si="7"/>
        <v>Maize</v>
      </c>
      <c r="B28" t="str">
        <f t="shared" si="8"/>
        <v>Gumuz</v>
      </c>
      <c r="C28" s="2">
        <f t="shared" ca="1" si="2"/>
        <v>0.21751457527349155</v>
      </c>
      <c r="D28" s="2">
        <f t="shared" ca="1" si="10"/>
        <v>0.26254933555377491</v>
      </c>
      <c r="E28" s="2">
        <f t="shared" ca="1" si="10"/>
        <v>0.23533998930154248</v>
      </c>
      <c r="F28" s="2">
        <f t="shared" ca="1" si="10"/>
        <v>0.20942487712365515</v>
      </c>
      <c r="G28" s="2">
        <f t="shared" ca="1" si="10"/>
        <v>0.2816891393673901</v>
      </c>
      <c r="H28" s="2">
        <f t="shared" ca="1" si="10"/>
        <v>0.22451060283967181</v>
      </c>
      <c r="I28" s="2">
        <f t="shared" ca="1" si="10"/>
        <v>0.26396698376350808</v>
      </c>
      <c r="J28" s="2">
        <f t="shared" ca="1" si="10"/>
        <v>0.27443055140372191</v>
      </c>
      <c r="K28" s="2">
        <f t="shared" ca="1" si="9"/>
        <v>0.28689344018533108</v>
      </c>
      <c r="L28" s="2">
        <f t="shared" ca="1" si="9"/>
        <v>0.25080333050282466</v>
      </c>
      <c r="M28" s="2">
        <f t="shared" ca="1" si="9"/>
        <v>0.24298186642906397</v>
      </c>
      <c r="N28" s="2">
        <f t="shared" ca="1" si="9"/>
        <v>0.25517645288950275</v>
      </c>
      <c r="O28" s="2">
        <f t="shared" ca="1" si="9"/>
        <v>0.21540192401409869</v>
      </c>
      <c r="P28" s="2">
        <f t="shared" ca="1" si="9"/>
        <v>0.2534408235971064</v>
      </c>
      <c r="Q28" s="2">
        <f t="shared" ca="1" si="9"/>
        <v>0.25978148273666118</v>
      </c>
      <c r="R28" s="2">
        <f t="shared" ca="1" si="9"/>
        <v>0.26387713481244335</v>
      </c>
      <c r="S28" s="2">
        <f t="shared" ca="1" si="9"/>
        <v>0.22293710409909945</v>
      </c>
      <c r="T28" s="2">
        <f t="shared" ca="1" si="9"/>
        <v>0.24161669444572434</v>
      </c>
      <c r="U28" s="2">
        <f t="shared" ca="1" si="9"/>
        <v>0.28379318761625649</v>
      </c>
      <c r="V28" s="2">
        <f t="shared" ca="1" si="9"/>
        <v>0.20298858313315496</v>
      </c>
      <c r="W28" s="2">
        <f t="shared" ca="1" si="9"/>
        <v>0.28786564844493939</v>
      </c>
      <c r="X28" s="2">
        <f t="shared" ca="1" si="9"/>
        <v>0.20431252000924688</v>
      </c>
      <c r="Y28" s="2">
        <f t="shared" ca="1" si="9"/>
        <v>0.23976388356168571</v>
      </c>
      <c r="Z28" s="2">
        <f t="shared" ca="1" si="9"/>
        <v>0.21597880278753545</v>
      </c>
      <c r="AA28" s="2">
        <f t="shared" ca="1" si="5"/>
        <v>0.21662915063966187</v>
      </c>
      <c r="AB28" s="2">
        <f t="shared" ca="1" si="5"/>
        <v>0.23805980888263559</v>
      </c>
      <c r="AC28" s="2">
        <f t="shared" ca="1" si="5"/>
        <v>0.23507303796362952</v>
      </c>
      <c r="AD28" s="2">
        <f t="shared" ca="1" si="5"/>
        <v>0.28782995936809824</v>
      </c>
      <c r="AE28" s="2">
        <f t="shared" ca="1" si="5"/>
        <v>0.20544580824166514</v>
      </c>
      <c r="AF28" s="2">
        <f t="shared" ca="1" si="5"/>
        <v>0.20469514965908306</v>
      </c>
      <c r="AG28" s="2">
        <f t="shared" ca="1" si="5"/>
        <v>0.2484014557684191</v>
      </c>
      <c r="AH28" s="2">
        <f t="shared" ca="1" si="5"/>
        <v>0.27371227401633136</v>
      </c>
    </row>
    <row r="29" spans="1:34">
      <c r="A29" t="str">
        <f t="shared" si="7"/>
        <v>Maize</v>
      </c>
      <c r="B29" t="str">
        <f t="shared" si="8"/>
        <v>DireDawa</v>
      </c>
      <c r="C29" s="2">
        <f t="shared" ca="1" si="2"/>
        <v>0.21930007999569623</v>
      </c>
      <c r="D29" s="2">
        <f t="shared" ca="1" si="10"/>
        <v>0.29927302221239577</v>
      </c>
      <c r="E29" s="2">
        <f t="shared" ca="1" si="10"/>
        <v>0.28826599878188097</v>
      </c>
      <c r="F29" s="2">
        <f t="shared" ca="1" si="10"/>
        <v>0.22741527368642783</v>
      </c>
      <c r="G29" s="2">
        <f t="shared" ca="1" si="10"/>
        <v>0.24013803246545279</v>
      </c>
      <c r="H29" s="2">
        <f t="shared" ca="1" si="10"/>
        <v>0.28346450904277437</v>
      </c>
      <c r="I29" s="2">
        <f t="shared" ca="1" si="10"/>
        <v>0.29038097179583083</v>
      </c>
      <c r="J29" s="2">
        <f t="shared" ca="1" si="10"/>
        <v>0.23491906789326625</v>
      </c>
      <c r="K29" s="2">
        <f t="shared" ca="1" si="9"/>
        <v>0.22642320348870568</v>
      </c>
      <c r="L29" s="2">
        <f t="shared" ca="1" si="9"/>
        <v>0.21636701465435237</v>
      </c>
      <c r="M29" s="2">
        <f t="shared" ca="1" si="9"/>
        <v>0.29195230608492184</v>
      </c>
      <c r="N29" s="2">
        <f t="shared" ca="1" si="9"/>
        <v>0.22368031746527509</v>
      </c>
      <c r="O29" s="2">
        <f t="shared" ca="1" si="9"/>
        <v>0.21837175627938432</v>
      </c>
      <c r="P29" s="2">
        <f t="shared" ca="1" si="9"/>
        <v>0.23182991482279547</v>
      </c>
      <c r="Q29" s="2">
        <f t="shared" ca="1" si="9"/>
        <v>0.22033617101345368</v>
      </c>
      <c r="R29" s="2">
        <f t="shared" ca="1" si="9"/>
        <v>0.21359722405016043</v>
      </c>
      <c r="S29" s="2">
        <f t="shared" ca="1" si="9"/>
        <v>0.25375270274539424</v>
      </c>
      <c r="T29" s="2">
        <f t="shared" ca="1" si="9"/>
        <v>0.28250824937526098</v>
      </c>
      <c r="U29" s="2">
        <f t="shared" ca="1" si="9"/>
        <v>0.24945408612435796</v>
      </c>
      <c r="V29" s="2">
        <f t="shared" ca="1" si="9"/>
        <v>0.28309046550793165</v>
      </c>
      <c r="W29" s="2">
        <f t="shared" ca="1" si="9"/>
        <v>0.25542477083413195</v>
      </c>
      <c r="X29" s="2">
        <f t="shared" ca="1" si="9"/>
        <v>0.2874655630131781</v>
      </c>
      <c r="Y29" s="2">
        <f t="shared" ca="1" si="9"/>
        <v>0.2715771212093015</v>
      </c>
      <c r="Z29" s="2">
        <f t="shared" ca="1" si="9"/>
        <v>0.20239682480356386</v>
      </c>
      <c r="AA29" s="2">
        <f t="shared" ca="1" si="5"/>
        <v>0.28445295975047541</v>
      </c>
      <c r="AB29" s="2">
        <f t="shared" ca="1" si="5"/>
        <v>0.26899588822307174</v>
      </c>
      <c r="AC29" s="2">
        <f t="shared" ca="1" si="5"/>
        <v>0.28938611416976467</v>
      </c>
      <c r="AD29" s="2">
        <f t="shared" ca="1" si="5"/>
        <v>0.21883204430527703</v>
      </c>
      <c r="AE29" s="2">
        <f t="shared" ca="1" si="5"/>
        <v>0.23504256189712286</v>
      </c>
      <c r="AF29" s="2">
        <f t="shared" ca="1" si="5"/>
        <v>0.21748247804613108</v>
      </c>
      <c r="AG29" s="2">
        <f t="shared" ca="1" si="5"/>
        <v>0.24064194812892797</v>
      </c>
      <c r="AH29" s="2">
        <f t="shared" ca="1" si="5"/>
        <v>0.21486943845937273</v>
      </c>
    </row>
    <row r="30" spans="1:34">
      <c r="A30" t="str">
        <f t="shared" si="7"/>
        <v>Maize</v>
      </c>
      <c r="B30" t="str">
        <f t="shared" si="8"/>
        <v>Gambela</v>
      </c>
      <c r="C30" s="2">
        <f t="shared" ca="1" si="2"/>
        <v>0.23106716954729584</v>
      </c>
      <c r="D30" s="2">
        <f t="shared" ca="1" si="10"/>
        <v>0.22340292467961009</v>
      </c>
      <c r="E30" s="2">
        <f t="shared" ca="1" si="10"/>
        <v>0.23648684431127612</v>
      </c>
      <c r="F30" s="2">
        <f t="shared" ca="1" si="10"/>
        <v>0.21859071736452212</v>
      </c>
      <c r="G30" s="2">
        <f t="shared" ca="1" si="10"/>
        <v>0.25402795277632712</v>
      </c>
      <c r="H30" s="2">
        <f t="shared" ca="1" si="10"/>
        <v>0.28712329664909547</v>
      </c>
      <c r="I30" s="2">
        <f t="shared" ca="1" si="10"/>
        <v>0.25046969920601203</v>
      </c>
      <c r="J30" s="2">
        <f t="shared" ca="1" si="10"/>
        <v>0.20902262088179341</v>
      </c>
      <c r="K30" s="2">
        <f t="shared" ca="1" si="9"/>
        <v>0.26562306785294892</v>
      </c>
      <c r="L30" s="2">
        <f t="shared" ca="1" si="9"/>
        <v>0.21683664090922664</v>
      </c>
      <c r="M30" s="2">
        <f t="shared" ca="1" si="9"/>
        <v>0.22887563895314522</v>
      </c>
      <c r="N30" s="2">
        <f t="shared" ca="1" si="9"/>
        <v>0.25774950161490173</v>
      </c>
      <c r="O30" s="2">
        <f t="shared" ca="1" si="9"/>
        <v>0.20723359441246308</v>
      </c>
      <c r="P30" s="2">
        <f t="shared" ca="1" si="9"/>
        <v>0.2328487071321341</v>
      </c>
      <c r="Q30" s="2">
        <f t="shared" ca="1" si="9"/>
        <v>0.22006856002788147</v>
      </c>
      <c r="R30" s="2">
        <f t="shared" ca="1" si="9"/>
        <v>0.23488773822385517</v>
      </c>
      <c r="S30" s="2">
        <f t="shared" ca="1" si="9"/>
        <v>0.26339151304656661</v>
      </c>
      <c r="T30" s="2">
        <f t="shared" ca="1" si="9"/>
        <v>0.2172853352522825</v>
      </c>
      <c r="U30" s="2">
        <f t="shared" ca="1" si="9"/>
        <v>0.29154104867169389</v>
      </c>
      <c r="V30" s="2">
        <f t="shared" ca="1" si="9"/>
        <v>0.22828397508555884</v>
      </c>
      <c r="W30" s="2">
        <f t="shared" ca="1" si="9"/>
        <v>0.22366661910811875</v>
      </c>
      <c r="X30" s="2">
        <f t="shared" ca="1" si="9"/>
        <v>0.26539488340615769</v>
      </c>
      <c r="Y30" s="2">
        <f t="shared" ca="1" si="9"/>
        <v>0.21186446425900113</v>
      </c>
      <c r="Z30" s="2">
        <f t="shared" ca="1" si="9"/>
        <v>0.20211900979784356</v>
      </c>
      <c r="AA30" s="2">
        <f t="shared" ca="1" si="5"/>
        <v>0.25182274749956685</v>
      </c>
      <c r="AB30" s="2">
        <f t="shared" ca="1" si="5"/>
        <v>0.21002591578570107</v>
      </c>
      <c r="AC30" s="2">
        <f t="shared" ca="1" si="5"/>
        <v>0.27672674325402608</v>
      </c>
      <c r="AD30" s="2">
        <f t="shared" ca="1" si="5"/>
        <v>0.22738372972313353</v>
      </c>
      <c r="AE30" s="2">
        <f t="shared" ca="1" si="5"/>
        <v>0.27354999764985355</v>
      </c>
      <c r="AF30" s="2">
        <f t="shared" ca="1" si="5"/>
        <v>0.25993252095886815</v>
      </c>
      <c r="AG30" s="2">
        <f t="shared" ca="1" si="5"/>
        <v>0.29306008165701686</v>
      </c>
      <c r="AH30" s="2">
        <f t="shared" ca="1" si="5"/>
        <v>0.2162647528826821</v>
      </c>
    </row>
    <row r="31" spans="1:34">
      <c r="A31" t="str">
        <f t="shared" si="7"/>
        <v>Maize</v>
      </c>
      <c r="B31" t="str">
        <f t="shared" si="8"/>
        <v>Harari</v>
      </c>
      <c r="C31" s="2">
        <f t="shared" ca="1" si="2"/>
        <v>0.23906309923410007</v>
      </c>
      <c r="D31" s="2">
        <f t="shared" ca="1" si="10"/>
        <v>0.29699722909809434</v>
      </c>
      <c r="E31" s="2">
        <f t="shared" ca="1" si="10"/>
        <v>0.22554977166680365</v>
      </c>
      <c r="F31" s="2">
        <f t="shared" ca="1" si="10"/>
        <v>0.26851511909777909</v>
      </c>
      <c r="G31" s="2">
        <f t="shared" ca="1" si="10"/>
        <v>0.2377336492738</v>
      </c>
      <c r="H31" s="2">
        <f t="shared" ca="1" si="10"/>
        <v>0.22403572976633224</v>
      </c>
      <c r="I31" s="2">
        <f t="shared" ca="1" si="10"/>
        <v>0.20604947346398098</v>
      </c>
      <c r="J31" s="2">
        <f t="shared" ca="1" si="10"/>
        <v>0.25263145534125786</v>
      </c>
      <c r="K31" s="2">
        <f t="shared" ref="K31:Z40" ca="1" si="11">RAND()*0.1+0.2</f>
        <v>0.23957405899364947</v>
      </c>
      <c r="L31" s="2">
        <f t="shared" ca="1" si="11"/>
        <v>0.29204464601836838</v>
      </c>
      <c r="M31" s="2">
        <f t="shared" ca="1" si="11"/>
        <v>0.26201964984176396</v>
      </c>
      <c r="N31" s="2">
        <f t="shared" ca="1" si="11"/>
        <v>0.2519979528804257</v>
      </c>
      <c r="O31" s="2">
        <f t="shared" ca="1" si="11"/>
        <v>0.20385719387860429</v>
      </c>
      <c r="P31" s="2">
        <f t="shared" ca="1" si="11"/>
        <v>0.2046008919721401</v>
      </c>
      <c r="Q31" s="2">
        <f t="shared" ca="1" si="11"/>
        <v>0.2263731604943657</v>
      </c>
      <c r="R31" s="2">
        <f t="shared" ca="1" si="11"/>
        <v>0.26520692834527893</v>
      </c>
      <c r="S31" s="2">
        <f t="shared" ca="1" si="11"/>
        <v>0.26970695348252355</v>
      </c>
      <c r="T31" s="2">
        <f t="shared" ca="1" si="11"/>
        <v>0.28517784410970426</v>
      </c>
      <c r="U31" s="2">
        <f t="shared" ca="1" si="11"/>
        <v>0.21211888185290839</v>
      </c>
      <c r="V31" s="2">
        <f t="shared" ca="1" si="11"/>
        <v>0.20351272379901658</v>
      </c>
      <c r="W31" s="2">
        <f t="shared" ca="1" si="11"/>
        <v>0.20778533689998574</v>
      </c>
      <c r="X31" s="2">
        <f t="shared" ca="1" si="11"/>
        <v>0.26441413595916308</v>
      </c>
      <c r="Y31" s="2">
        <f t="shared" ca="1" si="11"/>
        <v>0.28199629028145357</v>
      </c>
      <c r="Z31" s="2">
        <f t="shared" ca="1" si="11"/>
        <v>0.25996338441055383</v>
      </c>
      <c r="AA31" s="2">
        <f t="shared" ca="1" si="5"/>
        <v>0.29356188139653322</v>
      </c>
      <c r="AB31" s="2">
        <f t="shared" ca="1" si="5"/>
        <v>0.21617253959324023</v>
      </c>
      <c r="AC31" s="2">
        <f t="shared" ca="1" si="5"/>
        <v>0.21237423809374442</v>
      </c>
      <c r="AD31" s="2">
        <f t="shared" ca="1" si="5"/>
        <v>0.24640669285709224</v>
      </c>
      <c r="AE31" s="2">
        <f t="shared" ca="1" si="5"/>
        <v>0.23151719192335252</v>
      </c>
      <c r="AF31" s="2">
        <f t="shared" ca="1" si="5"/>
        <v>0.22030050347593147</v>
      </c>
      <c r="AG31" s="2">
        <f t="shared" ca="1" si="5"/>
        <v>0.24552881200836849</v>
      </c>
      <c r="AH31" s="2">
        <f t="shared" ca="1" si="5"/>
        <v>0.22727638982474294</v>
      </c>
    </row>
    <row r="32" spans="1:34">
      <c r="A32" t="str">
        <f t="shared" si="7"/>
        <v>Maize</v>
      </c>
      <c r="B32" t="str">
        <f t="shared" si="8"/>
        <v>Oromia</v>
      </c>
      <c r="C32" s="2">
        <f t="shared" ca="1" si="2"/>
        <v>0.21338922345848693</v>
      </c>
      <c r="D32" s="2">
        <f t="shared" ref="D32:J41" ca="1" si="12">RAND()*0.1+0.2</f>
        <v>0.29490537542737383</v>
      </c>
      <c r="E32" s="2">
        <f t="shared" ca="1" si="12"/>
        <v>0.28622340192788587</v>
      </c>
      <c r="F32" s="2">
        <f t="shared" ca="1" si="12"/>
        <v>0.26420383200311992</v>
      </c>
      <c r="G32" s="2">
        <f t="shared" ca="1" si="12"/>
        <v>0.2921140783707134</v>
      </c>
      <c r="H32" s="2">
        <f t="shared" ca="1" si="12"/>
        <v>0.24145987332958699</v>
      </c>
      <c r="I32" s="2">
        <f t="shared" ca="1" si="12"/>
        <v>0.23875873800041503</v>
      </c>
      <c r="J32" s="2">
        <f t="shared" ca="1" si="12"/>
        <v>0.24864852182306965</v>
      </c>
      <c r="K32" s="2">
        <f t="shared" ca="1" si="11"/>
        <v>0.21107052723204092</v>
      </c>
      <c r="L32" s="2">
        <f t="shared" ca="1" si="11"/>
        <v>0.28315519304519282</v>
      </c>
      <c r="M32" s="2">
        <f t="shared" ca="1" si="11"/>
        <v>0.29019378052820571</v>
      </c>
      <c r="N32" s="2">
        <f t="shared" ca="1" si="11"/>
        <v>0.2662714819698232</v>
      </c>
      <c r="O32" s="2">
        <f t="shared" ca="1" si="11"/>
        <v>0.24836618777722647</v>
      </c>
      <c r="P32" s="2">
        <f t="shared" ca="1" si="11"/>
        <v>0.22941134803040636</v>
      </c>
      <c r="Q32" s="2">
        <f t="shared" ca="1" si="11"/>
        <v>0.2278726557064723</v>
      </c>
      <c r="R32" s="2">
        <f t="shared" ca="1" si="11"/>
        <v>0.21913934566607121</v>
      </c>
      <c r="S32" s="2">
        <f t="shared" ca="1" si="11"/>
        <v>0.27241138604250581</v>
      </c>
      <c r="T32" s="2">
        <f t="shared" ca="1" si="11"/>
        <v>0.26923960485755033</v>
      </c>
      <c r="U32" s="2">
        <f t="shared" ca="1" si="11"/>
        <v>0.27689282800883686</v>
      </c>
      <c r="V32" s="2">
        <f t="shared" ca="1" si="11"/>
        <v>0.23296535363434687</v>
      </c>
      <c r="W32" s="2">
        <f t="shared" ca="1" si="11"/>
        <v>0.24270579323069258</v>
      </c>
      <c r="X32" s="2">
        <f t="shared" ca="1" si="11"/>
        <v>0.22357685444222974</v>
      </c>
      <c r="Y32" s="2">
        <f t="shared" ca="1" si="11"/>
        <v>0.23163742183437624</v>
      </c>
      <c r="Z32" s="2">
        <f t="shared" ca="1" si="11"/>
        <v>0.29446975594570862</v>
      </c>
      <c r="AA32" s="2">
        <f t="shared" ca="1" si="5"/>
        <v>0.24400625521254982</v>
      </c>
      <c r="AB32" s="2">
        <f t="shared" ca="1" si="5"/>
        <v>0.22902675935068162</v>
      </c>
      <c r="AC32" s="2">
        <f t="shared" ca="1" si="5"/>
        <v>0.21779918467576304</v>
      </c>
      <c r="AD32" s="2">
        <f t="shared" ca="1" si="5"/>
        <v>0.270993346543834</v>
      </c>
      <c r="AE32" s="2">
        <f t="shared" ca="1" si="5"/>
        <v>0.28224994382052776</v>
      </c>
      <c r="AF32" s="2">
        <f t="shared" ca="1" si="5"/>
        <v>0.23795085312285474</v>
      </c>
      <c r="AG32" s="2">
        <f t="shared" ca="1" si="5"/>
        <v>0.28488717741765118</v>
      </c>
      <c r="AH32" s="2">
        <f t="shared" ca="1" si="5"/>
        <v>0.23659615654750007</v>
      </c>
    </row>
    <row r="33" spans="1:34">
      <c r="A33" t="str">
        <f t="shared" si="7"/>
        <v>Maize</v>
      </c>
      <c r="B33" t="str">
        <f t="shared" si="8"/>
        <v>Somali</v>
      </c>
      <c r="C33" s="2">
        <f t="shared" ca="1" si="2"/>
        <v>0.29477130898800546</v>
      </c>
      <c r="D33" s="2">
        <f t="shared" ca="1" si="12"/>
        <v>0.22928192312675416</v>
      </c>
      <c r="E33" s="2">
        <f t="shared" ca="1" si="12"/>
        <v>0.29698821605082393</v>
      </c>
      <c r="F33" s="2">
        <f t="shared" ca="1" si="12"/>
        <v>0.25073513491347332</v>
      </c>
      <c r="G33" s="2">
        <f t="shared" ca="1" si="12"/>
        <v>0.26792100899818327</v>
      </c>
      <c r="H33" s="2">
        <f t="shared" ca="1" si="12"/>
        <v>0.23716471250452176</v>
      </c>
      <c r="I33" s="2">
        <f t="shared" ca="1" si="12"/>
        <v>0.20203613725026273</v>
      </c>
      <c r="J33" s="2">
        <f t="shared" ca="1" si="12"/>
        <v>0.27215263177700777</v>
      </c>
      <c r="K33" s="2">
        <f t="shared" ca="1" si="11"/>
        <v>0.22123380336852744</v>
      </c>
      <c r="L33" s="2">
        <f t="shared" ca="1" si="11"/>
        <v>0.22899599140880308</v>
      </c>
      <c r="M33" s="2">
        <f t="shared" ca="1" si="11"/>
        <v>0.22064923480056564</v>
      </c>
      <c r="N33" s="2">
        <f t="shared" ca="1" si="11"/>
        <v>0.20501895197123524</v>
      </c>
      <c r="O33" s="2">
        <f t="shared" ca="1" si="11"/>
        <v>0.27366400646721251</v>
      </c>
      <c r="P33" s="2">
        <f t="shared" ca="1" si="11"/>
        <v>0.29791723704896989</v>
      </c>
      <c r="Q33" s="2">
        <f t="shared" ca="1" si="11"/>
        <v>0.27750797458616133</v>
      </c>
      <c r="R33" s="2">
        <f t="shared" ca="1" si="11"/>
        <v>0.28550460740265721</v>
      </c>
      <c r="S33" s="2">
        <f t="shared" ca="1" si="11"/>
        <v>0.23558527156317605</v>
      </c>
      <c r="T33" s="2">
        <f t="shared" ca="1" si="11"/>
        <v>0.25496641876853576</v>
      </c>
      <c r="U33" s="2">
        <f t="shared" ca="1" si="11"/>
        <v>0.29468940006846778</v>
      </c>
      <c r="V33" s="2">
        <f t="shared" ca="1" si="11"/>
        <v>0.20521257399023943</v>
      </c>
      <c r="W33" s="2">
        <f t="shared" ca="1" si="11"/>
        <v>0.22673363974792707</v>
      </c>
      <c r="X33" s="2">
        <f t="shared" ca="1" si="11"/>
        <v>0.21766851032993703</v>
      </c>
      <c r="Y33" s="2">
        <f t="shared" ca="1" si="11"/>
        <v>0.22057264466303253</v>
      </c>
      <c r="Z33" s="2">
        <f t="shared" ca="1" si="11"/>
        <v>0.23511724301692843</v>
      </c>
      <c r="AA33" s="2">
        <f t="shared" ca="1" si="5"/>
        <v>0.24799291107720647</v>
      </c>
      <c r="AB33" s="2">
        <f t="shared" ca="1" si="5"/>
        <v>0.26527765044760249</v>
      </c>
      <c r="AC33" s="2">
        <f t="shared" ca="1" si="5"/>
        <v>0.24062036934444503</v>
      </c>
      <c r="AD33" s="2">
        <f t="shared" ca="1" si="5"/>
        <v>0.207015400037111</v>
      </c>
      <c r="AE33" s="2">
        <f t="shared" ca="1" si="5"/>
        <v>0.26917998101173313</v>
      </c>
      <c r="AF33" s="2">
        <f t="shared" ca="1" si="5"/>
        <v>0.28217732045271177</v>
      </c>
      <c r="AG33" s="2">
        <f t="shared" ca="1" si="5"/>
        <v>0.21972356770933776</v>
      </c>
      <c r="AH33" s="2">
        <f t="shared" ca="1" si="5"/>
        <v>0.26536660761340214</v>
      </c>
    </row>
    <row r="34" spans="1:34">
      <c r="A34" t="str">
        <f t="shared" si="7"/>
        <v>Maize</v>
      </c>
      <c r="B34" t="str">
        <f t="shared" si="8"/>
        <v>SNNPR</v>
      </c>
      <c r="C34" s="2">
        <f t="shared" ca="1" si="2"/>
        <v>0.21068405475006569</v>
      </c>
      <c r="D34" s="2">
        <f t="shared" ca="1" si="12"/>
        <v>0.26338817472935516</v>
      </c>
      <c r="E34" s="2">
        <f t="shared" ca="1" si="12"/>
        <v>0.26359065417982497</v>
      </c>
      <c r="F34" s="2">
        <f t="shared" ca="1" si="12"/>
        <v>0.26853286199012338</v>
      </c>
      <c r="G34" s="2">
        <f t="shared" ca="1" si="12"/>
        <v>0.26548574126115265</v>
      </c>
      <c r="H34" s="2">
        <f t="shared" ca="1" si="12"/>
        <v>0.21790340227468863</v>
      </c>
      <c r="I34" s="2">
        <f t="shared" ca="1" si="12"/>
        <v>0.24451534098133904</v>
      </c>
      <c r="J34" s="2">
        <f t="shared" ca="1" si="12"/>
        <v>0.23863724554491367</v>
      </c>
      <c r="K34" s="2">
        <f t="shared" ca="1" si="11"/>
        <v>0.24859396130154823</v>
      </c>
      <c r="L34" s="2">
        <f t="shared" ca="1" si="11"/>
        <v>0.28321559500893823</v>
      </c>
      <c r="M34" s="2">
        <f t="shared" ca="1" si="11"/>
        <v>0.21071459439987811</v>
      </c>
      <c r="N34" s="2">
        <f t="shared" ca="1" si="11"/>
        <v>0.27874678291087573</v>
      </c>
      <c r="O34" s="2">
        <f t="shared" ca="1" si="11"/>
        <v>0.2803804501184412</v>
      </c>
      <c r="P34" s="2">
        <f t="shared" ca="1" si="11"/>
        <v>0.28796723752350412</v>
      </c>
      <c r="Q34" s="2">
        <f t="shared" ca="1" si="11"/>
        <v>0.28303559988679738</v>
      </c>
      <c r="R34" s="2">
        <f t="shared" ca="1" si="11"/>
        <v>0.28507695072389583</v>
      </c>
      <c r="S34" s="2">
        <f t="shared" ca="1" si="11"/>
        <v>0.26826350690520007</v>
      </c>
      <c r="T34" s="2">
        <f t="shared" ca="1" si="11"/>
        <v>0.2696706551269038</v>
      </c>
      <c r="U34" s="2">
        <f t="shared" ca="1" si="11"/>
        <v>0.24167526787559629</v>
      </c>
      <c r="V34" s="2">
        <f t="shared" ca="1" si="11"/>
        <v>0.23743600764094239</v>
      </c>
      <c r="W34" s="2">
        <f t="shared" ca="1" si="11"/>
        <v>0.26344519643069292</v>
      </c>
      <c r="X34" s="2">
        <f t="shared" ca="1" si="11"/>
        <v>0.2423709943640909</v>
      </c>
      <c r="Y34" s="2">
        <f t="shared" ca="1" si="11"/>
        <v>0.26549657684415651</v>
      </c>
      <c r="Z34" s="2">
        <f t="shared" ca="1" si="11"/>
        <v>0.27626665142786266</v>
      </c>
      <c r="AA34" s="2">
        <f t="shared" ca="1" si="5"/>
        <v>0.24447411656404933</v>
      </c>
      <c r="AB34" s="2">
        <f t="shared" ca="1" si="5"/>
        <v>0.21494460110093386</v>
      </c>
      <c r="AC34" s="2">
        <f t="shared" ca="1" si="5"/>
        <v>0.25597211175171503</v>
      </c>
      <c r="AD34" s="2">
        <f t="shared" ca="1" si="5"/>
        <v>0.22232031293913052</v>
      </c>
      <c r="AE34" s="2">
        <f t="shared" ca="1" si="5"/>
        <v>0.27989379288353589</v>
      </c>
      <c r="AF34" s="2">
        <f t="shared" ca="1" si="5"/>
        <v>0.29397475298657988</v>
      </c>
      <c r="AG34" s="2">
        <f t="shared" ca="1" si="5"/>
        <v>0.21097075762817027</v>
      </c>
      <c r="AH34" s="2">
        <f t="shared" ca="1" si="5"/>
        <v>0.2796729361147024</v>
      </c>
    </row>
    <row r="35" spans="1:34">
      <c r="A35" t="str">
        <f t="shared" si="7"/>
        <v>Maize</v>
      </c>
      <c r="B35" t="str">
        <f t="shared" si="8"/>
        <v>Tigray</v>
      </c>
      <c r="C35" s="2">
        <f t="shared" ref="C35:C52" ca="1" si="13">RAND()*0.1+0.2</f>
        <v>0.2430764920163167</v>
      </c>
      <c r="D35" s="2">
        <f t="shared" ca="1" si="12"/>
        <v>0.22842084234924495</v>
      </c>
      <c r="E35" s="2">
        <f t="shared" ca="1" si="12"/>
        <v>0.207458748421573</v>
      </c>
      <c r="F35" s="2">
        <f t="shared" ca="1" si="12"/>
        <v>0.28739534960757895</v>
      </c>
      <c r="G35" s="2">
        <f t="shared" ca="1" si="12"/>
        <v>0.21428752683948532</v>
      </c>
      <c r="H35" s="2">
        <f t="shared" ca="1" si="12"/>
        <v>0.29037541983226089</v>
      </c>
      <c r="I35" s="2">
        <f t="shared" ca="1" si="12"/>
        <v>0.28521301343325217</v>
      </c>
      <c r="J35" s="2">
        <f t="shared" ca="1" si="12"/>
        <v>0.2853535636116683</v>
      </c>
      <c r="K35" s="2">
        <f t="shared" ca="1" si="11"/>
        <v>0.23421998386487169</v>
      </c>
      <c r="L35" s="2">
        <f t="shared" ca="1" si="11"/>
        <v>0.22040524069810152</v>
      </c>
      <c r="M35" s="2">
        <f t="shared" ca="1" si="11"/>
        <v>0.25657208371206386</v>
      </c>
      <c r="N35" s="2">
        <f t="shared" ca="1" si="11"/>
        <v>0.26160886718859605</v>
      </c>
      <c r="O35" s="2">
        <f t="shared" ca="1" si="11"/>
        <v>0.21081948208289658</v>
      </c>
      <c r="P35" s="2">
        <f t="shared" ca="1" si="11"/>
        <v>0.2020800830344549</v>
      </c>
      <c r="Q35" s="2">
        <f t="shared" ca="1" si="11"/>
        <v>0.20479993741012409</v>
      </c>
      <c r="R35" s="2">
        <f t="shared" ca="1" si="11"/>
        <v>0.23030610133706933</v>
      </c>
      <c r="S35" s="2">
        <f t="shared" ca="1" si="11"/>
        <v>0.2801623459346968</v>
      </c>
      <c r="T35" s="2">
        <f t="shared" ca="1" si="11"/>
        <v>0.20580328912880128</v>
      </c>
      <c r="U35" s="2">
        <f t="shared" ca="1" si="11"/>
        <v>0.23610817533218181</v>
      </c>
      <c r="V35" s="2">
        <f t="shared" ca="1" si="11"/>
        <v>0.21465838160379502</v>
      </c>
      <c r="W35" s="2">
        <f t="shared" ca="1" si="11"/>
        <v>0.27886205479872922</v>
      </c>
      <c r="X35" s="2">
        <f t="shared" ca="1" si="11"/>
        <v>0.23149254982369183</v>
      </c>
      <c r="Y35" s="2">
        <f t="shared" ca="1" si="11"/>
        <v>0.28411163374739151</v>
      </c>
      <c r="Z35" s="2">
        <f t="shared" ca="1" si="11"/>
        <v>0.28558569851385768</v>
      </c>
      <c r="AA35" s="2">
        <f t="shared" ca="1" si="5"/>
        <v>0.25403318546976994</v>
      </c>
      <c r="AB35" s="2">
        <f t="shared" ca="1" si="5"/>
        <v>0.29887760240271083</v>
      </c>
      <c r="AC35" s="2">
        <f t="shared" ca="1" si="5"/>
        <v>0.28131789495902804</v>
      </c>
      <c r="AD35" s="2">
        <f t="shared" ca="1" si="5"/>
        <v>0.2513724332782068</v>
      </c>
      <c r="AE35" s="2">
        <f t="shared" ca="1" si="5"/>
        <v>0.2387333580339713</v>
      </c>
      <c r="AF35" s="2">
        <f t="shared" ca="1" si="5"/>
        <v>0.26388588133371488</v>
      </c>
      <c r="AG35" s="2">
        <f t="shared" ca="1" si="5"/>
        <v>0.27404112195244351</v>
      </c>
      <c r="AH35" s="2">
        <f t="shared" ca="1" si="5"/>
        <v>0.2162101938278487</v>
      </c>
    </row>
    <row r="36" spans="1:34">
      <c r="A36" t="str">
        <f t="shared" si="7"/>
        <v>Lentils</v>
      </c>
      <c r="B36" t="str">
        <f t="shared" si="8"/>
        <v>AddisAbaba</v>
      </c>
      <c r="C36" s="2">
        <f t="shared" ca="1" si="13"/>
        <v>0.22111000025439209</v>
      </c>
      <c r="D36" s="2">
        <f t="shared" ca="1" si="12"/>
        <v>0.23466016233023551</v>
      </c>
      <c r="E36" s="2">
        <f t="shared" ca="1" si="12"/>
        <v>0.24941991494566287</v>
      </c>
      <c r="F36" s="2">
        <f t="shared" ca="1" si="12"/>
        <v>0.27497790709587944</v>
      </c>
      <c r="G36" s="2">
        <f t="shared" ca="1" si="12"/>
        <v>0.20178323972411244</v>
      </c>
      <c r="H36" s="2">
        <f t="shared" ca="1" si="12"/>
        <v>0.26169974927572992</v>
      </c>
      <c r="I36" s="2">
        <f t="shared" ca="1" si="12"/>
        <v>0.20303743075831465</v>
      </c>
      <c r="J36" s="2">
        <f t="shared" ca="1" si="12"/>
        <v>0.27092737624193408</v>
      </c>
      <c r="K36" s="2">
        <f t="shared" ca="1" si="11"/>
        <v>0.26182592345419303</v>
      </c>
      <c r="L36" s="2">
        <f t="shared" ca="1" si="11"/>
        <v>0.26349446977769098</v>
      </c>
      <c r="M36" s="2">
        <f t="shared" ca="1" si="11"/>
        <v>0.2407644093098705</v>
      </c>
      <c r="N36" s="2">
        <f t="shared" ca="1" si="11"/>
        <v>0.23991550604577455</v>
      </c>
      <c r="O36" s="2">
        <f t="shared" ca="1" si="11"/>
        <v>0.25107502034436668</v>
      </c>
      <c r="P36" s="2">
        <f t="shared" ca="1" si="11"/>
        <v>0.24928594605552948</v>
      </c>
      <c r="Q36" s="2">
        <f t="shared" ca="1" si="11"/>
        <v>0.29272855292281447</v>
      </c>
      <c r="R36" s="2">
        <f t="shared" ca="1" si="11"/>
        <v>0.28196500143861908</v>
      </c>
      <c r="S36" s="2">
        <f t="shared" ca="1" si="11"/>
        <v>0.25650788662141571</v>
      </c>
      <c r="T36" s="2">
        <f t="shared" ca="1" si="11"/>
        <v>0.22634902959529349</v>
      </c>
      <c r="U36" s="2">
        <f t="shared" ca="1" si="11"/>
        <v>0.22537209063883656</v>
      </c>
      <c r="V36" s="2">
        <f t="shared" ca="1" si="11"/>
        <v>0.26062524011816635</v>
      </c>
      <c r="W36" s="2">
        <f t="shared" ca="1" si="11"/>
        <v>0.20280191581130994</v>
      </c>
      <c r="X36" s="2">
        <f t="shared" ca="1" si="11"/>
        <v>0.29620444953597308</v>
      </c>
      <c r="Y36" s="2">
        <f t="shared" ca="1" si="11"/>
        <v>0.20105849366679943</v>
      </c>
      <c r="Z36" s="2">
        <f t="shared" ca="1" si="11"/>
        <v>0.23471533282172566</v>
      </c>
      <c r="AA36" s="2">
        <f t="shared" ca="1" si="5"/>
        <v>0.27523581622550619</v>
      </c>
      <c r="AB36" s="2">
        <f t="shared" ca="1" si="5"/>
        <v>0.28492612053057587</v>
      </c>
      <c r="AC36" s="2">
        <f t="shared" ca="1" si="5"/>
        <v>0.21200451404734816</v>
      </c>
      <c r="AD36" s="2">
        <f t="shared" ca="1" si="5"/>
        <v>0.24431497364495422</v>
      </c>
      <c r="AE36" s="2">
        <f t="shared" ca="1" si="5"/>
        <v>0.26910929243867682</v>
      </c>
      <c r="AF36" s="2">
        <f t="shared" ca="1" si="5"/>
        <v>0.22501357687509546</v>
      </c>
      <c r="AG36" s="2">
        <f t="shared" ca="1" si="5"/>
        <v>0.20208397786879959</v>
      </c>
      <c r="AH36" s="2">
        <f t="shared" ca="1" si="5"/>
        <v>0.29624728178613724</v>
      </c>
    </row>
    <row r="37" spans="1:34">
      <c r="A37" t="str">
        <f t="shared" si="7"/>
        <v>Lentils</v>
      </c>
      <c r="B37" t="str">
        <f t="shared" si="8"/>
        <v>Afar</v>
      </c>
      <c r="C37" s="2">
        <f t="shared" ca="1" si="13"/>
        <v>0.27001399647102958</v>
      </c>
      <c r="D37" s="2">
        <f t="shared" ca="1" si="12"/>
        <v>0.27042145229900977</v>
      </c>
      <c r="E37" s="2">
        <f t="shared" ca="1" si="12"/>
        <v>0.24122569779627451</v>
      </c>
      <c r="F37" s="2">
        <f t="shared" ca="1" si="12"/>
        <v>0.25894361840093827</v>
      </c>
      <c r="G37" s="2">
        <f t="shared" ca="1" si="12"/>
        <v>0.21796940884959587</v>
      </c>
      <c r="H37" s="2">
        <f t="shared" ca="1" si="12"/>
        <v>0.21203862033639265</v>
      </c>
      <c r="I37" s="2">
        <f t="shared" ca="1" si="12"/>
        <v>0.21858291041902134</v>
      </c>
      <c r="J37" s="2">
        <f t="shared" ca="1" si="12"/>
        <v>0.2119224356501842</v>
      </c>
      <c r="K37" s="2">
        <f t="shared" ca="1" si="11"/>
        <v>0.27970142097565243</v>
      </c>
      <c r="L37" s="2">
        <f t="shared" ca="1" si="11"/>
        <v>0.21020273671257461</v>
      </c>
      <c r="M37" s="2">
        <f t="shared" ca="1" si="11"/>
        <v>0.27902955389958117</v>
      </c>
      <c r="N37" s="2">
        <f t="shared" ca="1" si="11"/>
        <v>0.21304930891102591</v>
      </c>
      <c r="O37" s="2">
        <f t="shared" ca="1" si="11"/>
        <v>0.22473033880102061</v>
      </c>
      <c r="P37" s="2">
        <f t="shared" ca="1" si="11"/>
        <v>0.23082920024755435</v>
      </c>
      <c r="Q37" s="2">
        <f t="shared" ca="1" si="11"/>
        <v>0.26856980722203472</v>
      </c>
      <c r="R37" s="2">
        <f t="shared" ca="1" si="11"/>
        <v>0.2081794015826044</v>
      </c>
      <c r="S37" s="2">
        <f t="shared" ca="1" si="11"/>
        <v>0.24636390649271547</v>
      </c>
      <c r="T37" s="2">
        <f t="shared" ca="1" si="11"/>
        <v>0.20272804784670456</v>
      </c>
      <c r="U37" s="2">
        <f t="shared" ca="1" si="11"/>
        <v>0.2399111738175328</v>
      </c>
      <c r="V37" s="2">
        <f t="shared" ca="1" si="11"/>
        <v>0.21256779818523505</v>
      </c>
      <c r="W37" s="2">
        <f t="shared" ca="1" si="11"/>
        <v>0.29066660071284262</v>
      </c>
      <c r="X37" s="2">
        <f t="shared" ca="1" si="11"/>
        <v>0.20780919924397817</v>
      </c>
      <c r="Y37" s="2">
        <f t="shared" ca="1" si="11"/>
        <v>0.2307875034377212</v>
      </c>
      <c r="Z37" s="2">
        <f t="shared" ca="1" si="11"/>
        <v>0.29630629427525185</v>
      </c>
      <c r="AA37" s="2">
        <f t="shared" ca="1" si="5"/>
        <v>0.29643742707090753</v>
      </c>
      <c r="AB37" s="2">
        <f t="shared" ca="1" si="5"/>
        <v>0.2946760862294881</v>
      </c>
      <c r="AC37" s="2">
        <f t="shared" ca="1" si="5"/>
        <v>0.25712649299337254</v>
      </c>
      <c r="AD37" s="2">
        <f t="shared" ca="1" si="5"/>
        <v>0.24451306020237959</v>
      </c>
      <c r="AE37" s="2">
        <f t="shared" ca="1" si="5"/>
        <v>0.22606590719242525</v>
      </c>
      <c r="AF37" s="2">
        <f t="shared" ca="1" si="5"/>
        <v>0.2000307402615141</v>
      </c>
      <c r="AG37" s="2">
        <f t="shared" ca="1" si="5"/>
        <v>0.29705100153281488</v>
      </c>
      <c r="AH37" s="2">
        <f t="shared" ca="1" si="5"/>
        <v>0.28216938192325458</v>
      </c>
    </row>
    <row r="38" spans="1:34">
      <c r="A38" t="str">
        <f t="shared" si="7"/>
        <v>Lentils</v>
      </c>
      <c r="B38" t="str">
        <f t="shared" si="8"/>
        <v>Amhara</v>
      </c>
      <c r="C38" s="2">
        <f t="shared" ca="1" si="13"/>
        <v>0.24945077960778089</v>
      </c>
      <c r="D38" s="2">
        <f t="shared" ca="1" si="12"/>
        <v>0.26461541974393732</v>
      </c>
      <c r="E38" s="2">
        <f t="shared" ca="1" si="12"/>
        <v>0.2808222074844835</v>
      </c>
      <c r="F38" s="2">
        <f t="shared" ca="1" si="12"/>
        <v>0.24073353914016124</v>
      </c>
      <c r="G38" s="2">
        <f t="shared" ca="1" si="12"/>
        <v>0.21360673285553361</v>
      </c>
      <c r="H38" s="2">
        <f t="shared" ca="1" si="12"/>
        <v>0.22663389599388051</v>
      </c>
      <c r="I38" s="2">
        <f t="shared" ca="1" si="12"/>
        <v>0.2193949447313282</v>
      </c>
      <c r="J38" s="2">
        <f t="shared" ca="1" si="12"/>
        <v>0.28940112464538137</v>
      </c>
      <c r="K38" s="2">
        <f t="shared" ca="1" si="11"/>
        <v>0.25669945953324319</v>
      </c>
      <c r="L38" s="2">
        <f t="shared" ca="1" si="11"/>
        <v>0.2120505515307069</v>
      </c>
      <c r="M38" s="2">
        <f t="shared" ca="1" si="11"/>
        <v>0.27550657440142728</v>
      </c>
      <c r="N38" s="2">
        <f t="shared" ca="1" si="11"/>
        <v>0.23399753195902848</v>
      </c>
      <c r="O38" s="2">
        <f t="shared" ca="1" si="11"/>
        <v>0.20511145322045043</v>
      </c>
      <c r="P38" s="2">
        <f t="shared" ca="1" si="11"/>
        <v>0.28102363693536053</v>
      </c>
      <c r="Q38" s="2">
        <f t="shared" ca="1" si="11"/>
        <v>0.24520186524076548</v>
      </c>
      <c r="R38" s="2">
        <f t="shared" ca="1" si="11"/>
        <v>0.21351088032888876</v>
      </c>
      <c r="S38" s="2">
        <f t="shared" ca="1" si="11"/>
        <v>0.27925038852044182</v>
      </c>
      <c r="T38" s="2">
        <f t="shared" ca="1" si="11"/>
        <v>0.29335690972041095</v>
      </c>
      <c r="U38" s="2">
        <f t="shared" ca="1" si="11"/>
        <v>0.23003771619141003</v>
      </c>
      <c r="V38" s="2">
        <f t="shared" ca="1" si="11"/>
        <v>0.28113948449037468</v>
      </c>
      <c r="W38" s="2">
        <f t="shared" ca="1" si="11"/>
        <v>0.29575725799077068</v>
      </c>
      <c r="X38" s="2">
        <f t="shared" ca="1" si="11"/>
        <v>0.26698790136970291</v>
      </c>
      <c r="Y38" s="2">
        <f t="shared" ca="1" si="11"/>
        <v>0.27028579157990723</v>
      </c>
      <c r="Z38" s="2">
        <f t="shared" ca="1" si="11"/>
        <v>0.20162868975121415</v>
      </c>
      <c r="AA38" s="2">
        <f t="shared" ca="1" si="5"/>
        <v>0.20124500815726992</v>
      </c>
      <c r="AB38" s="2">
        <f t="shared" ca="1" si="5"/>
        <v>0.23201362913501947</v>
      </c>
      <c r="AC38" s="2">
        <f t="shared" ca="1" si="5"/>
        <v>0.28547807414866005</v>
      </c>
      <c r="AD38" s="2">
        <f t="shared" ca="1" si="5"/>
        <v>0.25450868910646895</v>
      </c>
      <c r="AE38" s="2">
        <f t="shared" ca="1" si="5"/>
        <v>0.29264182115242088</v>
      </c>
      <c r="AF38" s="2">
        <f t="shared" ca="1" si="5"/>
        <v>0.20286469513770208</v>
      </c>
      <c r="AG38" s="2">
        <f t="shared" ca="1" si="5"/>
        <v>0.27957088410474362</v>
      </c>
      <c r="AH38" s="2">
        <f t="shared" ca="1" si="5"/>
        <v>0.21135993449955237</v>
      </c>
    </row>
    <row r="39" spans="1:34">
      <c r="A39" t="str">
        <f t="shared" si="7"/>
        <v>Lentils</v>
      </c>
      <c r="B39" t="str">
        <f t="shared" si="8"/>
        <v>Gumuz</v>
      </c>
      <c r="C39" s="2">
        <f t="shared" ca="1" si="13"/>
        <v>0.20365342383309853</v>
      </c>
      <c r="D39" s="2">
        <f t="shared" ca="1" si="12"/>
        <v>0.28609840337235154</v>
      </c>
      <c r="E39" s="2">
        <f t="shared" ca="1" si="12"/>
        <v>0.26399798138391278</v>
      </c>
      <c r="F39" s="2">
        <f t="shared" ca="1" si="12"/>
        <v>0.27051825423392684</v>
      </c>
      <c r="G39" s="2">
        <f t="shared" ca="1" si="12"/>
        <v>0.2373443032881459</v>
      </c>
      <c r="H39" s="2">
        <f t="shared" ca="1" si="12"/>
        <v>0.25841933472946954</v>
      </c>
      <c r="I39" s="2">
        <f t="shared" ca="1" si="12"/>
        <v>0.27487601925984334</v>
      </c>
      <c r="J39" s="2">
        <f t="shared" ca="1" si="12"/>
        <v>0.21565778723304113</v>
      </c>
      <c r="K39" s="2">
        <f t="shared" ca="1" si="11"/>
        <v>0.28783773779911337</v>
      </c>
      <c r="L39" s="2">
        <f t="shared" ca="1" si="11"/>
        <v>0.28545111809763635</v>
      </c>
      <c r="M39" s="2">
        <f t="shared" ca="1" si="11"/>
        <v>0.29757904181742378</v>
      </c>
      <c r="N39" s="2">
        <f t="shared" ca="1" si="11"/>
        <v>0.22818661130803938</v>
      </c>
      <c r="O39" s="2">
        <f t="shared" ca="1" si="11"/>
        <v>0.29963627820145772</v>
      </c>
      <c r="P39" s="2">
        <f t="shared" ca="1" si="11"/>
        <v>0.26757403564092158</v>
      </c>
      <c r="Q39" s="2">
        <f t="shared" ca="1" si="11"/>
        <v>0.2216294928626005</v>
      </c>
      <c r="R39" s="2">
        <f t="shared" ca="1" si="11"/>
        <v>0.22244524796547888</v>
      </c>
      <c r="S39" s="2">
        <f t="shared" ca="1" si="11"/>
        <v>0.24729179394445572</v>
      </c>
      <c r="T39" s="2">
        <f t="shared" ca="1" si="11"/>
        <v>0.25703522399910822</v>
      </c>
      <c r="U39" s="2">
        <f t="shared" ca="1" si="11"/>
        <v>0.29213036444987428</v>
      </c>
      <c r="V39" s="2">
        <f t="shared" ca="1" si="11"/>
        <v>0.29541266633048041</v>
      </c>
      <c r="W39" s="2">
        <f t="shared" ca="1" si="11"/>
        <v>0.26591752138848024</v>
      </c>
      <c r="X39" s="2">
        <f t="shared" ca="1" si="11"/>
        <v>0.20715272320446457</v>
      </c>
      <c r="Y39" s="2">
        <f t="shared" ca="1" si="11"/>
        <v>0.23960579708076593</v>
      </c>
      <c r="Z39" s="2">
        <f t="shared" ca="1" si="11"/>
        <v>0.26189338308516408</v>
      </c>
      <c r="AA39" s="2">
        <f t="shared" ca="1" si="5"/>
        <v>0.23545237815890677</v>
      </c>
      <c r="AB39" s="2">
        <f t="shared" ca="1" si="5"/>
        <v>0.24524164160801309</v>
      </c>
      <c r="AC39" s="2">
        <f t="shared" ca="1" si="5"/>
        <v>0.29484663715888837</v>
      </c>
      <c r="AD39" s="2">
        <f t="shared" ca="1" si="5"/>
        <v>0.26832771368047365</v>
      </c>
      <c r="AE39" s="2">
        <f t="shared" ca="1" si="5"/>
        <v>0.2559620946365157</v>
      </c>
      <c r="AF39" s="2">
        <f t="shared" ca="1" si="5"/>
        <v>0.25360434099729112</v>
      </c>
      <c r="AG39" s="2">
        <f t="shared" ca="1" si="5"/>
        <v>0.24322540345579072</v>
      </c>
      <c r="AH39" s="2">
        <f t="shared" ca="1" si="5"/>
        <v>0.24121539303289286</v>
      </c>
    </row>
    <row r="40" spans="1:34">
      <c r="A40" t="str">
        <f t="shared" si="7"/>
        <v>Lentils</v>
      </c>
      <c r="B40" t="str">
        <f t="shared" si="8"/>
        <v>DireDawa</v>
      </c>
      <c r="C40" s="2">
        <f t="shared" ca="1" si="13"/>
        <v>0.2567831243784075</v>
      </c>
      <c r="D40" s="2">
        <f t="shared" ca="1" si="12"/>
        <v>0.27995480031764786</v>
      </c>
      <c r="E40" s="2">
        <f t="shared" ca="1" si="12"/>
        <v>0.21959005170302803</v>
      </c>
      <c r="F40" s="2">
        <f t="shared" ca="1" si="12"/>
        <v>0.27405256418984886</v>
      </c>
      <c r="G40" s="2">
        <f t="shared" ca="1" si="12"/>
        <v>0.20896514030821692</v>
      </c>
      <c r="H40" s="2">
        <f t="shared" ca="1" si="12"/>
        <v>0.26501179465607139</v>
      </c>
      <c r="I40" s="2">
        <f t="shared" ca="1" si="12"/>
        <v>0.27901334984118126</v>
      </c>
      <c r="J40" s="2">
        <f t="shared" ca="1" si="12"/>
        <v>0.22664595940222929</v>
      </c>
      <c r="K40" s="2">
        <f t="shared" ca="1" si="11"/>
        <v>0.20311261624263879</v>
      </c>
      <c r="L40" s="2">
        <f t="shared" ca="1" si="11"/>
        <v>0.23362946240145005</v>
      </c>
      <c r="M40" s="2">
        <f t="shared" ca="1" si="11"/>
        <v>0.29490335233364318</v>
      </c>
      <c r="N40" s="2">
        <f t="shared" ca="1" si="11"/>
        <v>0.24319762509017775</v>
      </c>
      <c r="O40" s="2">
        <f t="shared" ca="1" si="11"/>
        <v>0.29704773325835643</v>
      </c>
      <c r="P40" s="2">
        <f t="shared" ca="1" si="11"/>
        <v>0.29584577137338308</v>
      </c>
      <c r="Q40" s="2">
        <f t="shared" ca="1" si="11"/>
        <v>0.28798465470091894</v>
      </c>
      <c r="R40" s="2">
        <f t="shared" ca="1" si="11"/>
        <v>0.23895248089109547</v>
      </c>
      <c r="S40" s="2">
        <f t="shared" ca="1" si="11"/>
        <v>0.25121017585625977</v>
      </c>
      <c r="T40" s="2">
        <f t="shared" ca="1" si="11"/>
        <v>0.25599220343997497</v>
      </c>
      <c r="U40" s="2">
        <f t="shared" ca="1" si="11"/>
        <v>0.22001054397616945</v>
      </c>
      <c r="V40" s="2">
        <f t="shared" ca="1" si="11"/>
        <v>0.25214236770443255</v>
      </c>
      <c r="W40" s="2">
        <f t="shared" ca="1" si="11"/>
        <v>0.28261258013070811</v>
      </c>
      <c r="X40" s="2">
        <f t="shared" ca="1" si="11"/>
        <v>0.29865115276382337</v>
      </c>
      <c r="Y40" s="2">
        <f t="shared" ca="1" si="11"/>
        <v>0.2999063303822988</v>
      </c>
      <c r="Z40" s="2">
        <f t="shared" ca="1" si="11"/>
        <v>0.21790124260935753</v>
      </c>
      <c r="AA40" s="2">
        <f t="shared" ca="1" si="5"/>
        <v>0.23245042820780401</v>
      </c>
      <c r="AB40" s="2">
        <f t="shared" ca="1" si="5"/>
        <v>0.20709794296517478</v>
      </c>
      <c r="AC40" s="2">
        <f t="shared" ca="1" si="5"/>
        <v>0.25647904464174753</v>
      </c>
      <c r="AD40" s="2">
        <f t="shared" ca="1" si="5"/>
        <v>0.27083537472993047</v>
      </c>
      <c r="AE40" s="2">
        <f t="shared" ca="1" si="5"/>
        <v>0.20980777331189565</v>
      </c>
      <c r="AF40" s="2">
        <f t="shared" ca="1" si="5"/>
        <v>0.2735384908639773</v>
      </c>
      <c r="AG40" s="2">
        <f t="shared" ca="1" si="5"/>
        <v>0.26424226113442983</v>
      </c>
      <c r="AH40" s="2">
        <f t="shared" ca="1" si="5"/>
        <v>0.26157606244233939</v>
      </c>
    </row>
    <row r="41" spans="1:34">
      <c r="A41" t="str">
        <f t="shared" si="7"/>
        <v>Lentils</v>
      </c>
      <c r="B41" t="str">
        <f t="shared" si="8"/>
        <v>Gambela</v>
      </c>
      <c r="C41" s="2">
        <f t="shared" ca="1" si="13"/>
        <v>0.2113794231180775</v>
      </c>
      <c r="D41" s="2">
        <f t="shared" ca="1" si="12"/>
        <v>0.24832207242546084</v>
      </c>
      <c r="E41" s="2">
        <f t="shared" ca="1" si="12"/>
        <v>0.26976970948553042</v>
      </c>
      <c r="F41" s="2">
        <f t="shared" ca="1" si="12"/>
        <v>0.20030573549058245</v>
      </c>
      <c r="G41" s="2">
        <f t="shared" ca="1" si="12"/>
        <v>0.26345135039176376</v>
      </c>
      <c r="H41" s="2">
        <f t="shared" ca="1" si="12"/>
        <v>0.21457988074939374</v>
      </c>
      <c r="I41" s="2">
        <f t="shared" ca="1" si="12"/>
        <v>0.28114157939756057</v>
      </c>
      <c r="J41" s="2">
        <f t="shared" ca="1" si="12"/>
        <v>0.23168772295763312</v>
      </c>
      <c r="K41" s="2">
        <f t="shared" ref="K41:Z50" ca="1" si="14">RAND()*0.1+0.2</f>
        <v>0.20665970397084926</v>
      </c>
      <c r="L41" s="2">
        <f t="shared" ca="1" si="14"/>
        <v>0.20605886321003286</v>
      </c>
      <c r="M41" s="2">
        <f t="shared" ca="1" si="14"/>
        <v>0.25988687223648321</v>
      </c>
      <c r="N41" s="2">
        <f t="shared" ca="1" si="14"/>
        <v>0.29341686832530395</v>
      </c>
      <c r="O41" s="2">
        <f t="shared" ca="1" si="14"/>
        <v>0.28823377952301132</v>
      </c>
      <c r="P41" s="2">
        <f t="shared" ca="1" si="14"/>
        <v>0.23457776146617737</v>
      </c>
      <c r="Q41" s="2">
        <f t="shared" ca="1" si="14"/>
        <v>0.27967664936358033</v>
      </c>
      <c r="R41" s="2">
        <f t="shared" ca="1" si="14"/>
        <v>0.21042332090118737</v>
      </c>
      <c r="S41" s="2">
        <f t="shared" ca="1" si="14"/>
        <v>0.23648990723706267</v>
      </c>
      <c r="T41" s="2">
        <f t="shared" ca="1" si="14"/>
        <v>0.21963722693266097</v>
      </c>
      <c r="U41" s="2">
        <f t="shared" ca="1" si="14"/>
        <v>0.27877695234606498</v>
      </c>
      <c r="V41" s="2">
        <f t="shared" ca="1" si="14"/>
        <v>0.20719170395261877</v>
      </c>
      <c r="W41" s="2">
        <f t="shared" ca="1" si="14"/>
        <v>0.28570003475024786</v>
      </c>
      <c r="X41" s="2">
        <f t="shared" ca="1" si="14"/>
        <v>0.25459913038605919</v>
      </c>
      <c r="Y41" s="2">
        <f t="shared" ca="1" si="14"/>
        <v>0.22340902030276999</v>
      </c>
      <c r="Z41" s="2">
        <f t="shared" ca="1" si="14"/>
        <v>0.26485062921870606</v>
      </c>
      <c r="AA41" s="2">
        <f t="shared" ca="1" si="5"/>
        <v>0.20890673746598556</v>
      </c>
      <c r="AB41" s="2">
        <f t="shared" ca="1" si="5"/>
        <v>0.21904796293510384</v>
      </c>
      <c r="AC41" s="2">
        <f t="shared" ca="1" si="5"/>
        <v>0.2128521529193487</v>
      </c>
      <c r="AD41" s="2">
        <f t="shared" ca="1" si="5"/>
        <v>0.26557208894649131</v>
      </c>
      <c r="AE41" s="2">
        <f t="shared" ca="1" si="5"/>
        <v>0.20977171312359028</v>
      </c>
      <c r="AF41" s="2">
        <f t="shared" ca="1" si="5"/>
        <v>0.22079027238161689</v>
      </c>
      <c r="AG41" s="2">
        <f t="shared" ca="1" si="5"/>
        <v>0.24075521107484779</v>
      </c>
      <c r="AH41" s="2">
        <f t="shared" ca="1" si="5"/>
        <v>0.26493271461835244</v>
      </c>
    </row>
    <row r="42" spans="1:34">
      <c r="A42" t="str">
        <f t="shared" si="7"/>
        <v>Lentils</v>
      </c>
      <c r="B42" t="str">
        <f t="shared" si="8"/>
        <v>Harari</v>
      </c>
      <c r="C42" s="2">
        <f t="shared" ca="1" si="13"/>
        <v>0.28804720266364642</v>
      </c>
      <c r="D42" s="2">
        <f t="shared" ref="D42:J52" ca="1" si="15">RAND()*0.1+0.2</f>
        <v>0.26316226032935658</v>
      </c>
      <c r="E42" s="2">
        <f t="shared" ca="1" si="15"/>
        <v>0.26915492084056086</v>
      </c>
      <c r="F42" s="2">
        <f t="shared" ca="1" si="15"/>
        <v>0.29868883934823559</v>
      </c>
      <c r="G42" s="2">
        <f t="shared" ca="1" si="15"/>
        <v>0.22352337340151113</v>
      </c>
      <c r="H42" s="2">
        <f t="shared" ca="1" si="15"/>
        <v>0.26052486445150863</v>
      </c>
      <c r="I42" s="2">
        <f t="shared" ca="1" si="15"/>
        <v>0.23904067138598312</v>
      </c>
      <c r="J42" s="2">
        <f t="shared" ca="1" si="15"/>
        <v>0.26346427888105295</v>
      </c>
      <c r="K42" s="2">
        <f t="shared" ca="1" si="14"/>
        <v>0.24735806820409087</v>
      </c>
      <c r="L42" s="2">
        <f t="shared" ca="1" si="14"/>
        <v>0.2876898455440865</v>
      </c>
      <c r="M42" s="2">
        <f t="shared" ca="1" si="14"/>
        <v>0.20887724905155886</v>
      </c>
      <c r="N42" s="2">
        <f t="shared" ca="1" si="14"/>
        <v>0.23748118122306658</v>
      </c>
      <c r="O42" s="2">
        <f t="shared" ca="1" si="14"/>
        <v>0.29844123867562222</v>
      </c>
      <c r="P42" s="2">
        <f t="shared" ca="1" si="14"/>
        <v>0.28215490241274405</v>
      </c>
      <c r="Q42" s="2">
        <f t="shared" ca="1" si="14"/>
        <v>0.27934664941533027</v>
      </c>
      <c r="R42" s="2">
        <f t="shared" ca="1" si="14"/>
        <v>0.20930421244546077</v>
      </c>
      <c r="S42" s="2">
        <f t="shared" ca="1" si="14"/>
        <v>0.23729016752979715</v>
      </c>
      <c r="T42" s="2">
        <f t="shared" ca="1" si="14"/>
        <v>0.28858321152722277</v>
      </c>
      <c r="U42" s="2">
        <f t="shared" ca="1" si="14"/>
        <v>0.21982185391158718</v>
      </c>
      <c r="V42" s="2">
        <f t="shared" ca="1" si="14"/>
        <v>0.21541762192657982</v>
      </c>
      <c r="W42" s="2">
        <f t="shared" ca="1" si="14"/>
        <v>0.24345695118559443</v>
      </c>
      <c r="X42" s="2">
        <f t="shared" ca="1" si="14"/>
        <v>0.2303154507194754</v>
      </c>
      <c r="Y42" s="2">
        <f t="shared" ca="1" si="14"/>
        <v>0.20505009373279812</v>
      </c>
      <c r="Z42" s="2">
        <f t="shared" ca="1" si="14"/>
        <v>0.20501098686529631</v>
      </c>
      <c r="AA42" s="2">
        <f t="shared" ca="1" si="5"/>
        <v>0.21257016792851313</v>
      </c>
      <c r="AB42" s="2">
        <f t="shared" ca="1" si="5"/>
        <v>0.27147245556936267</v>
      </c>
      <c r="AC42" s="2">
        <f t="shared" ca="1" si="5"/>
        <v>0.27582085878540097</v>
      </c>
      <c r="AD42" s="2">
        <f t="shared" ca="1" si="5"/>
        <v>0.20863782067705092</v>
      </c>
      <c r="AE42" s="2">
        <f t="shared" ca="1" si="5"/>
        <v>0.24409271721439868</v>
      </c>
      <c r="AF42" s="2">
        <f t="shared" ca="1" si="5"/>
        <v>0.23154357466355835</v>
      </c>
      <c r="AG42" s="2">
        <f t="shared" ca="1" si="5"/>
        <v>0.28799854980156303</v>
      </c>
      <c r="AH42" s="2">
        <f t="shared" ref="AH42:AH50" ca="1" si="16">RAND()*0.1+0.2</f>
        <v>0.23074811717470248</v>
      </c>
    </row>
    <row r="43" spans="1:34">
      <c r="A43" t="str">
        <f t="shared" si="7"/>
        <v>Lentils</v>
      </c>
      <c r="B43" t="str">
        <f t="shared" si="8"/>
        <v>Oromia</v>
      </c>
      <c r="C43" s="2">
        <f t="shared" ca="1" si="13"/>
        <v>0.28750879630697862</v>
      </c>
      <c r="D43" s="2">
        <f t="shared" ca="1" si="15"/>
        <v>0.23483244467910872</v>
      </c>
      <c r="E43" s="2">
        <f t="shared" ca="1" si="15"/>
        <v>0.28089662104578261</v>
      </c>
      <c r="F43" s="2">
        <f t="shared" ca="1" si="15"/>
        <v>0.21089475925502799</v>
      </c>
      <c r="G43" s="2">
        <f t="shared" ca="1" si="15"/>
        <v>0.21230489139764383</v>
      </c>
      <c r="H43" s="2">
        <f t="shared" ca="1" si="15"/>
        <v>0.21819814980808716</v>
      </c>
      <c r="I43" s="2">
        <f t="shared" ca="1" si="15"/>
        <v>0.28768953642441436</v>
      </c>
      <c r="J43" s="2">
        <f t="shared" ca="1" si="15"/>
        <v>0.24531345740260602</v>
      </c>
      <c r="K43" s="2">
        <f t="shared" ca="1" si="14"/>
        <v>0.26754894649940852</v>
      </c>
      <c r="L43" s="2">
        <f t="shared" ca="1" si="14"/>
        <v>0.20080369233028547</v>
      </c>
      <c r="M43" s="2">
        <f t="shared" ca="1" si="14"/>
        <v>0.25535099677447942</v>
      </c>
      <c r="N43" s="2">
        <f t="shared" ca="1" si="14"/>
        <v>0.26548826444385804</v>
      </c>
      <c r="O43" s="2">
        <f t="shared" ca="1" si="14"/>
        <v>0.22060087068487264</v>
      </c>
      <c r="P43" s="2">
        <f t="shared" ca="1" si="14"/>
        <v>0.29769901136586036</v>
      </c>
      <c r="Q43" s="2">
        <f t="shared" ca="1" si="14"/>
        <v>0.22450510624423167</v>
      </c>
      <c r="R43" s="2">
        <f t="shared" ca="1" si="14"/>
        <v>0.21124915337326389</v>
      </c>
      <c r="S43" s="2">
        <f t="shared" ca="1" si="14"/>
        <v>0.25484033622898244</v>
      </c>
      <c r="T43" s="2">
        <f t="shared" ca="1" si="14"/>
        <v>0.27701879380330391</v>
      </c>
      <c r="U43" s="2">
        <f t="shared" ca="1" si="14"/>
        <v>0.2031253520008304</v>
      </c>
      <c r="V43" s="2">
        <f t="shared" ca="1" si="14"/>
        <v>0.20879161803454621</v>
      </c>
      <c r="W43" s="2">
        <f t="shared" ca="1" si="14"/>
        <v>0.25273407185107299</v>
      </c>
      <c r="X43" s="2">
        <f t="shared" ca="1" si="14"/>
        <v>0.22943228150622305</v>
      </c>
      <c r="Y43" s="2">
        <f t="shared" ca="1" si="14"/>
        <v>0.27712418922609072</v>
      </c>
      <c r="Z43" s="2">
        <f t="shared" ca="1" si="14"/>
        <v>0.29895616427164251</v>
      </c>
      <c r="AA43" s="2">
        <f t="shared" ref="AA43:AG50" ca="1" si="17">RAND()*0.1+0.2</f>
        <v>0.29314273911170602</v>
      </c>
      <c r="AB43" s="2">
        <f t="shared" ca="1" si="17"/>
        <v>0.26261120519520692</v>
      </c>
      <c r="AC43" s="2">
        <f t="shared" ca="1" si="17"/>
        <v>0.21197141667972508</v>
      </c>
      <c r="AD43" s="2">
        <f t="shared" ca="1" si="17"/>
        <v>0.2311991403584634</v>
      </c>
      <c r="AE43" s="2">
        <f t="shared" ca="1" si="17"/>
        <v>0.26678711642575315</v>
      </c>
      <c r="AF43" s="2">
        <f t="shared" ca="1" si="17"/>
        <v>0.23379709456967684</v>
      </c>
      <c r="AG43" s="2">
        <f t="shared" ca="1" si="17"/>
        <v>0.24318871959283117</v>
      </c>
      <c r="AH43" s="2">
        <f t="shared" ca="1" si="16"/>
        <v>0.26966623873308332</v>
      </c>
    </row>
    <row r="44" spans="1:34">
      <c r="A44" t="str">
        <f t="shared" si="7"/>
        <v>Lentils</v>
      </c>
      <c r="B44" t="str">
        <f t="shared" si="8"/>
        <v>Somali</v>
      </c>
      <c r="C44" s="2">
        <f t="shared" ca="1" si="13"/>
        <v>0.20715405680709764</v>
      </c>
      <c r="D44" s="2">
        <f t="shared" ca="1" si="15"/>
        <v>0.2639738657310195</v>
      </c>
      <c r="E44" s="2">
        <f t="shared" ca="1" si="15"/>
        <v>0.24601629503332989</v>
      </c>
      <c r="F44" s="2">
        <f t="shared" ca="1" si="15"/>
        <v>0.26183640569984851</v>
      </c>
      <c r="G44" s="2">
        <f t="shared" ca="1" si="15"/>
        <v>0.28512156627561935</v>
      </c>
      <c r="H44" s="2">
        <f t="shared" ca="1" si="15"/>
        <v>0.23376434599004306</v>
      </c>
      <c r="I44" s="2">
        <f t="shared" ca="1" si="15"/>
        <v>0.27689186822077994</v>
      </c>
      <c r="J44" s="2">
        <f t="shared" ca="1" si="15"/>
        <v>0.20572393602904235</v>
      </c>
      <c r="K44" s="2">
        <f t="shared" ca="1" si="14"/>
        <v>0.24075805158433491</v>
      </c>
      <c r="L44" s="2">
        <f t="shared" ca="1" si="14"/>
        <v>0.24951726734805993</v>
      </c>
      <c r="M44" s="2">
        <f t="shared" ca="1" si="14"/>
        <v>0.24599105615331623</v>
      </c>
      <c r="N44" s="2">
        <f t="shared" ca="1" si="14"/>
        <v>0.23572058724487688</v>
      </c>
      <c r="O44" s="2">
        <f t="shared" ca="1" si="14"/>
        <v>0.22889113946333209</v>
      </c>
      <c r="P44" s="2">
        <f t="shared" ca="1" si="14"/>
        <v>0.2777577841748245</v>
      </c>
      <c r="Q44" s="2">
        <f t="shared" ca="1" si="14"/>
        <v>0.27414842037482712</v>
      </c>
      <c r="R44" s="2">
        <f t="shared" ca="1" si="14"/>
        <v>0.21666877164453929</v>
      </c>
      <c r="S44" s="2">
        <f t="shared" ca="1" si="14"/>
        <v>0.29771533108295967</v>
      </c>
      <c r="T44" s="2">
        <f t="shared" ca="1" si="14"/>
        <v>0.20672152078918241</v>
      </c>
      <c r="U44" s="2">
        <f t="shared" ca="1" si="14"/>
        <v>0.29914359933125401</v>
      </c>
      <c r="V44" s="2">
        <f t="shared" ca="1" si="14"/>
        <v>0.2132842115329171</v>
      </c>
      <c r="W44" s="2">
        <f t="shared" ca="1" si="14"/>
        <v>0.231287913718873</v>
      </c>
      <c r="X44" s="2">
        <f t="shared" ca="1" si="14"/>
        <v>0.23909149178085878</v>
      </c>
      <c r="Y44" s="2">
        <f t="shared" ca="1" si="14"/>
        <v>0.20688122275631754</v>
      </c>
      <c r="Z44" s="2">
        <f t="shared" ca="1" si="14"/>
        <v>0.22568379172524394</v>
      </c>
      <c r="AA44" s="2">
        <f t="shared" ca="1" si="17"/>
        <v>0.26886860791093919</v>
      </c>
      <c r="AB44" s="2">
        <f t="shared" ca="1" si="17"/>
        <v>0.2662269724299603</v>
      </c>
      <c r="AC44" s="2">
        <f t="shared" ca="1" si="17"/>
        <v>0.22104224937300718</v>
      </c>
      <c r="AD44" s="2">
        <f t="shared" ca="1" si="17"/>
        <v>0.24080233355989117</v>
      </c>
      <c r="AE44" s="2">
        <f t="shared" ca="1" si="17"/>
        <v>0.28298737367067572</v>
      </c>
      <c r="AF44" s="2">
        <f t="shared" ca="1" si="17"/>
        <v>0.29686838749269034</v>
      </c>
      <c r="AG44" s="2">
        <f t="shared" ca="1" si="17"/>
        <v>0.25201680803660481</v>
      </c>
      <c r="AH44" s="2">
        <f t="shared" ca="1" si="16"/>
        <v>0.2077079320236635</v>
      </c>
    </row>
    <row r="45" spans="1:34">
      <c r="A45" t="str">
        <f t="shared" si="7"/>
        <v>Lentils</v>
      </c>
      <c r="B45" t="str">
        <f t="shared" si="8"/>
        <v>SNNPR</v>
      </c>
      <c r="C45" s="2">
        <f t="shared" ca="1" si="13"/>
        <v>0.29790586799818136</v>
      </c>
      <c r="D45" s="2">
        <f t="shared" ca="1" si="15"/>
        <v>0.22565702252632638</v>
      </c>
      <c r="E45" s="2">
        <f t="shared" ca="1" si="15"/>
        <v>0.29637614206296514</v>
      </c>
      <c r="F45" s="2">
        <f t="shared" ca="1" si="15"/>
        <v>0.22940781493435458</v>
      </c>
      <c r="G45" s="2">
        <f t="shared" ca="1" si="15"/>
        <v>0.2608446394310488</v>
      </c>
      <c r="H45" s="2">
        <f t="shared" ca="1" si="15"/>
        <v>0.29850104491443186</v>
      </c>
      <c r="I45" s="2">
        <f t="shared" ca="1" si="15"/>
        <v>0.20255617815789945</v>
      </c>
      <c r="J45" s="2">
        <f t="shared" ca="1" si="15"/>
        <v>0.27888814391276606</v>
      </c>
      <c r="K45" s="2">
        <f t="shared" ca="1" si="14"/>
        <v>0.2793990118719798</v>
      </c>
      <c r="L45" s="2">
        <f t="shared" ca="1" si="14"/>
        <v>0.28179569708197694</v>
      </c>
      <c r="M45" s="2">
        <f t="shared" ca="1" si="14"/>
        <v>0.22540718533941861</v>
      </c>
      <c r="N45" s="2">
        <f t="shared" ca="1" si="14"/>
        <v>0.21988837357066415</v>
      </c>
      <c r="O45" s="2">
        <f t="shared" ca="1" si="14"/>
        <v>0.29777402884868776</v>
      </c>
      <c r="P45" s="2">
        <f t="shared" ca="1" si="14"/>
        <v>0.2201219587786182</v>
      </c>
      <c r="Q45" s="2">
        <f t="shared" ca="1" si="14"/>
        <v>0.25730072820549926</v>
      </c>
      <c r="R45" s="2">
        <f t="shared" ca="1" si="14"/>
        <v>0.27203463437368003</v>
      </c>
      <c r="S45" s="2">
        <f t="shared" ca="1" si="14"/>
        <v>0.27506963323073469</v>
      </c>
      <c r="T45" s="2">
        <f t="shared" ca="1" si="14"/>
        <v>0.25103818432911618</v>
      </c>
      <c r="U45" s="2">
        <f t="shared" ca="1" si="14"/>
        <v>0.20371101009304796</v>
      </c>
      <c r="V45" s="2">
        <f t="shared" ca="1" si="14"/>
        <v>0.24649932013202241</v>
      </c>
      <c r="W45" s="2">
        <f t="shared" ca="1" si="14"/>
        <v>0.2662400540413874</v>
      </c>
      <c r="X45" s="2">
        <f t="shared" ca="1" si="14"/>
        <v>0.28891778470156854</v>
      </c>
      <c r="Y45" s="2">
        <f t="shared" ca="1" si="14"/>
        <v>0.25465230230086711</v>
      </c>
      <c r="Z45" s="2">
        <f t="shared" ca="1" si="14"/>
        <v>0.29090843062088717</v>
      </c>
      <c r="AA45" s="2">
        <f t="shared" ca="1" si="17"/>
        <v>0.23460144341062705</v>
      </c>
      <c r="AB45" s="2">
        <f t="shared" ca="1" si="17"/>
        <v>0.2721746489708492</v>
      </c>
      <c r="AC45" s="2">
        <f t="shared" ca="1" si="17"/>
        <v>0.2909347304741326</v>
      </c>
      <c r="AD45" s="2">
        <f t="shared" ca="1" si="17"/>
        <v>0.23344837876243524</v>
      </c>
      <c r="AE45" s="2">
        <f t="shared" ca="1" si="17"/>
        <v>0.28890718538523946</v>
      </c>
      <c r="AF45" s="2">
        <f t="shared" ca="1" si="17"/>
        <v>0.23569466731905381</v>
      </c>
      <c r="AG45" s="2">
        <f t="shared" ca="1" si="17"/>
        <v>0.26648937260346639</v>
      </c>
      <c r="AH45" s="2">
        <f t="shared" ca="1" si="16"/>
        <v>0.29954342876325019</v>
      </c>
    </row>
    <row r="46" spans="1:34">
      <c r="A46" t="str">
        <f t="shared" ref="A46:A68" si="18">INDEX(Food,MATCH(A35,Food,0)+1)</f>
        <v>Lentils</v>
      </c>
      <c r="B46" t="str">
        <f t="shared" si="8"/>
        <v>Tigray</v>
      </c>
      <c r="C46" s="2">
        <f t="shared" ca="1" si="13"/>
        <v>0.29082084227385258</v>
      </c>
      <c r="D46" s="2">
        <f t="shared" ca="1" si="15"/>
        <v>0.21428506922018831</v>
      </c>
      <c r="E46" s="2">
        <f t="shared" ca="1" si="15"/>
        <v>0.2240031162024276</v>
      </c>
      <c r="F46" s="2">
        <f t="shared" ca="1" si="15"/>
        <v>0.25874781797322588</v>
      </c>
      <c r="G46" s="2">
        <f t="shared" ca="1" si="15"/>
        <v>0.26234326722316353</v>
      </c>
      <c r="H46" s="2">
        <f t="shared" ca="1" si="15"/>
        <v>0.22609006590028474</v>
      </c>
      <c r="I46" s="2">
        <f t="shared" ca="1" si="15"/>
        <v>0.21214052421783738</v>
      </c>
      <c r="J46" s="2">
        <f t="shared" ca="1" si="15"/>
        <v>0.22800071039497316</v>
      </c>
      <c r="K46" s="2">
        <f t="shared" ca="1" si="14"/>
        <v>0.2181487894848369</v>
      </c>
      <c r="L46" s="2">
        <f t="shared" ca="1" si="14"/>
        <v>0.20995834221060916</v>
      </c>
      <c r="M46" s="2">
        <f t="shared" ca="1" si="14"/>
        <v>0.20922129311941212</v>
      </c>
      <c r="N46" s="2">
        <f t="shared" ca="1" si="14"/>
        <v>0.22441669656057134</v>
      </c>
      <c r="O46" s="2">
        <f t="shared" ca="1" si="14"/>
        <v>0.29179847208618181</v>
      </c>
      <c r="P46" s="2">
        <f t="shared" ca="1" si="14"/>
        <v>0.25916022660694438</v>
      </c>
      <c r="Q46" s="2">
        <f t="shared" ca="1" si="14"/>
        <v>0.26095746007079129</v>
      </c>
      <c r="R46" s="2">
        <f t="shared" ca="1" si="14"/>
        <v>0.20928994470508369</v>
      </c>
      <c r="S46" s="2">
        <f t="shared" ca="1" si="14"/>
        <v>0.29034106066004156</v>
      </c>
      <c r="T46" s="2">
        <f t="shared" ca="1" si="14"/>
        <v>0.28813543859362295</v>
      </c>
      <c r="U46" s="2">
        <f t="shared" ca="1" si="14"/>
        <v>0.26839587838623091</v>
      </c>
      <c r="V46" s="2">
        <f t="shared" ca="1" si="14"/>
        <v>0.2681805286732753</v>
      </c>
      <c r="W46" s="2">
        <f t="shared" ca="1" si="14"/>
        <v>0.27322391403006863</v>
      </c>
      <c r="X46" s="2">
        <f t="shared" ca="1" si="14"/>
        <v>0.29997456222141172</v>
      </c>
      <c r="Y46" s="2">
        <f t="shared" ca="1" si="14"/>
        <v>0.21347111241131322</v>
      </c>
      <c r="Z46" s="2">
        <f t="shared" ca="1" si="14"/>
        <v>0.25244633545973838</v>
      </c>
      <c r="AA46" s="2">
        <f t="shared" ca="1" si="17"/>
        <v>0.20533387253734778</v>
      </c>
      <c r="AB46" s="2">
        <f t="shared" ca="1" si="17"/>
        <v>0.2162573962383709</v>
      </c>
      <c r="AC46" s="2">
        <f t="shared" ca="1" si="17"/>
        <v>0.21201808075105086</v>
      </c>
      <c r="AD46" s="2">
        <f t="shared" ca="1" si="17"/>
        <v>0.22937796826514892</v>
      </c>
      <c r="AE46" s="2">
        <f t="shared" ca="1" si="17"/>
        <v>0.21701023258796281</v>
      </c>
      <c r="AF46" s="2">
        <f t="shared" ca="1" si="17"/>
        <v>0.20028329825705746</v>
      </c>
      <c r="AG46" s="2">
        <f t="shared" ca="1" si="17"/>
        <v>0.29752112552658222</v>
      </c>
      <c r="AH46" s="2">
        <f t="shared" ca="1" si="16"/>
        <v>0.26515258793209129</v>
      </c>
    </row>
    <row r="47" spans="1:34">
      <c r="A47" t="str">
        <f t="shared" si="18"/>
        <v>Vegetables</v>
      </c>
      <c r="B47" t="str">
        <f t="shared" si="8"/>
        <v>AddisAbaba</v>
      </c>
      <c r="C47" s="2">
        <f t="shared" ca="1" si="13"/>
        <v>0.26214857042242601</v>
      </c>
      <c r="D47" s="2">
        <f t="shared" ca="1" si="15"/>
        <v>0.25939640375577744</v>
      </c>
      <c r="E47" s="2">
        <f t="shared" ca="1" si="15"/>
        <v>0.23841288460556023</v>
      </c>
      <c r="F47" s="2">
        <f t="shared" ca="1" si="15"/>
        <v>0.29906329519157893</v>
      </c>
      <c r="G47" s="2">
        <f t="shared" ca="1" si="15"/>
        <v>0.26842876982176972</v>
      </c>
      <c r="H47" s="2">
        <f t="shared" ca="1" si="15"/>
        <v>0.20103535932098501</v>
      </c>
      <c r="I47" s="2">
        <f t="shared" ca="1" si="15"/>
        <v>0.20136595735689955</v>
      </c>
      <c r="J47" s="2">
        <f t="shared" ca="1" si="15"/>
        <v>0.27180738852543312</v>
      </c>
      <c r="K47" s="2">
        <f t="shared" ca="1" si="14"/>
        <v>0.26550477254385679</v>
      </c>
      <c r="L47" s="2">
        <f t="shared" ca="1" si="14"/>
        <v>0.20607909477793238</v>
      </c>
      <c r="M47" s="2">
        <f t="shared" ca="1" si="14"/>
        <v>0.20312277649889174</v>
      </c>
      <c r="N47" s="2">
        <f t="shared" ca="1" si="14"/>
        <v>0.24949413048630356</v>
      </c>
      <c r="O47" s="2">
        <f t="shared" ca="1" si="14"/>
        <v>0.25210294609217193</v>
      </c>
      <c r="P47" s="2">
        <f t="shared" ca="1" si="14"/>
        <v>0.28120713156054278</v>
      </c>
      <c r="Q47" s="2">
        <f t="shared" ca="1" si="14"/>
        <v>0.2051671353420938</v>
      </c>
      <c r="R47" s="2">
        <f t="shared" ca="1" si="14"/>
        <v>0.23916821446947847</v>
      </c>
      <c r="S47" s="2">
        <f t="shared" ca="1" si="14"/>
        <v>0.26688640726415658</v>
      </c>
      <c r="T47" s="2">
        <f t="shared" ca="1" si="14"/>
        <v>0.2877108626946826</v>
      </c>
      <c r="U47" s="2">
        <f t="shared" ca="1" si="14"/>
        <v>0.29864281642954743</v>
      </c>
      <c r="V47" s="2">
        <f t="shared" ca="1" si="14"/>
        <v>0.28586731881029515</v>
      </c>
      <c r="W47" s="2">
        <f t="shared" ca="1" si="14"/>
        <v>0.26910528875160122</v>
      </c>
      <c r="X47" s="2">
        <f t="shared" ca="1" si="14"/>
        <v>0.22638523425747983</v>
      </c>
      <c r="Y47" s="2">
        <f t="shared" ca="1" si="14"/>
        <v>0.22669103967115273</v>
      </c>
      <c r="Z47" s="2">
        <f t="shared" ca="1" si="14"/>
        <v>0.21184380491917568</v>
      </c>
      <c r="AA47" s="2">
        <f t="shared" ca="1" si="17"/>
        <v>0.24984378589712924</v>
      </c>
      <c r="AB47" s="2">
        <f t="shared" ca="1" si="17"/>
        <v>0.21401896942148163</v>
      </c>
      <c r="AC47" s="2">
        <f t="shared" ca="1" si="17"/>
        <v>0.22710607655163345</v>
      </c>
      <c r="AD47" s="2">
        <f t="shared" ca="1" si="17"/>
        <v>0.20914924007541413</v>
      </c>
      <c r="AE47" s="2">
        <f t="shared" ca="1" si="17"/>
        <v>0.26246657550341701</v>
      </c>
      <c r="AF47" s="2">
        <f t="shared" ca="1" si="17"/>
        <v>0.2229380944155116</v>
      </c>
      <c r="AG47" s="2">
        <f t="shared" ca="1" si="17"/>
        <v>0.23463549208650863</v>
      </c>
      <c r="AH47" s="2">
        <f t="shared" ca="1" si="16"/>
        <v>0.20089673631399241</v>
      </c>
    </row>
    <row r="48" spans="1:34">
      <c r="A48" t="str">
        <f t="shared" si="18"/>
        <v>Vegetables</v>
      </c>
      <c r="B48" t="str">
        <f t="shared" si="8"/>
        <v>Afar</v>
      </c>
      <c r="C48" s="2">
        <f t="shared" ca="1" si="13"/>
        <v>0.24565851918904186</v>
      </c>
      <c r="D48" s="2">
        <f t="shared" ca="1" si="15"/>
        <v>0.29268883426872905</v>
      </c>
      <c r="E48" s="2">
        <f t="shared" ca="1" si="15"/>
        <v>0.22412096384700825</v>
      </c>
      <c r="F48" s="2">
        <f t="shared" ca="1" si="15"/>
        <v>0.28332961604982632</v>
      </c>
      <c r="G48" s="2">
        <f t="shared" ca="1" si="15"/>
        <v>0.28012985748428543</v>
      </c>
      <c r="H48" s="2">
        <f t="shared" ca="1" si="15"/>
        <v>0.227567664274447</v>
      </c>
      <c r="I48" s="2">
        <f t="shared" ca="1" si="15"/>
        <v>0.22365227328989723</v>
      </c>
      <c r="J48" s="2">
        <f t="shared" ca="1" si="15"/>
        <v>0.2071607239748206</v>
      </c>
      <c r="K48" s="2">
        <f t="shared" ca="1" si="14"/>
        <v>0.20063903215725631</v>
      </c>
      <c r="L48" s="2">
        <f t="shared" ca="1" si="14"/>
        <v>0.27566365232215062</v>
      </c>
      <c r="M48" s="2">
        <f t="shared" ca="1" si="14"/>
        <v>0.27238782974087261</v>
      </c>
      <c r="N48" s="2">
        <f t="shared" ca="1" si="14"/>
        <v>0.24071939906092063</v>
      </c>
      <c r="O48" s="2">
        <f t="shared" ca="1" si="14"/>
        <v>0.2153817246439591</v>
      </c>
      <c r="P48" s="2">
        <f t="shared" ca="1" si="14"/>
        <v>0.27062854829156302</v>
      </c>
      <c r="Q48" s="2">
        <f t="shared" ca="1" si="14"/>
        <v>0.23700111191483089</v>
      </c>
      <c r="R48" s="2">
        <f t="shared" ca="1" si="14"/>
        <v>0.27447538508903735</v>
      </c>
      <c r="S48" s="2">
        <f t="shared" ca="1" si="14"/>
        <v>0.24099889500497024</v>
      </c>
      <c r="T48" s="2">
        <f t="shared" ca="1" si="14"/>
        <v>0.28862707848014207</v>
      </c>
      <c r="U48" s="2">
        <f t="shared" ca="1" si="14"/>
        <v>0.27500248934635768</v>
      </c>
      <c r="V48" s="2">
        <f t="shared" ca="1" si="14"/>
        <v>0.24733468759119492</v>
      </c>
      <c r="W48" s="2">
        <f t="shared" ca="1" si="14"/>
        <v>0.29825317510733818</v>
      </c>
      <c r="X48" s="2">
        <f t="shared" ca="1" si="14"/>
        <v>0.26237837834307298</v>
      </c>
      <c r="Y48" s="2">
        <f t="shared" ca="1" si="14"/>
        <v>0.21074381220342331</v>
      </c>
      <c r="Z48" s="2">
        <f t="shared" ca="1" si="14"/>
        <v>0.2785353413620949</v>
      </c>
      <c r="AA48" s="2">
        <f t="shared" ca="1" si="17"/>
        <v>0.27041396399306505</v>
      </c>
      <c r="AB48" s="2">
        <f t="shared" ca="1" si="17"/>
        <v>0.28437906440322935</v>
      </c>
      <c r="AC48" s="2">
        <f t="shared" ca="1" si="17"/>
        <v>0.26252160205002845</v>
      </c>
      <c r="AD48" s="2">
        <f t="shared" ca="1" si="17"/>
        <v>0.29367958817164364</v>
      </c>
      <c r="AE48" s="2">
        <f t="shared" ca="1" si="17"/>
        <v>0.24672360166696169</v>
      </c>
      <c r="AF48" s="2">
        <f t="shared" ca="1" si="17"/>
        <v>0.23828859564726604</v>
      </c>
      <c r="AG48" s="2">
        <f t="shared" ca="1" si="17"/>
        <v>0.2422216201042095</v>
      </c>
      <c r="AH48" s="2">
        <f t="shared" ca="1" si="16"/>
        <v>0.26979901942204054</v>
      </c>
    </row>
    <row r="49" spans="1:34">
      <c r="A49" t="str">
        <f t="shared" si="18"/>
        <v>Vegetables</v>
      </c>
      <c r="B49" t="str">
        <f t="shared" si="8"/>
        <v>Amhara</v>
      </c>
      <c r="C49" s="2">
        <f t="shared" ca="1" si="13"/>
        <v>0.20839849388864773</v>
      </c>
      <c r="D49" s="2">
        <f t="shared" ca="1" si="15"/>
        <v>0.27988574233040769</v>
      </c>
      <c r="E49" s="2">
        <f t="shared" ca="1" si="15"/>
        <v>0.29479186204581553</v>
      </c>
      <c r="F49" s="2">
        <f t="shared" ca="1" si="15"/>
        <v>0.22532486664326531</v>
      </c>
      <c r="G49" s="2">
        <f t="shared" ca="1" si="15"/>
        <v>0.29634794360816963</v>
      </c>
      <c r="H49" s="2">
        <f t="shared" ca="1" si="15"/>
        <v>0.21107995248252465</v>
      </c>
      <c r="I49" s="2">
        <f t="shared" ca="1" si="15"/>
        <v>0.26728795150842105</v>
      </c>
      <c r="J49" s="2">
        <f t="shared" ca="1" si="15"/>
        <v>0.21519779160731983</v>
      </c>
      <c r="K49" s="2">
        <f t="shared" ca="1" si="14"/>
        <v>0.21810712090407985</v>
      </c>
      <c r="L49" s="2">
        <f t="shared" ca="1" si="14"/>
        <v>0.2358483646405678</v>
      </c>
      <c r="M49" s="2">
        <f t="shared" ca="1" si="14"/>
        <v>0.20361207758642919</v>
      </c>
      <c r="N49" s="2">
        <f t="shared" ca="1" si="14"/>
        <v>0.26874992671271497</v>
      </c>
      <c r="O49" s="2">
        <f t="shared" ca="1" si="14"/>
        <v>0.2629327949928813</v>
      </c>
      <c r="P49" s="2">
        <f t="shared" ca="1" si="14"/>
        <v>0.20991664013761568</v>
      </c>
      <c r="Q49" s="2">
        <f t="shared" ca="1" si="14"/>
        <v>0.27184484334037512</v>
      </c>
      <c r="R49" s="2">
        <f t="shared" ca="1" si="14"/>
        <v>0.25577408554268705</v>
      </c>
      <c r="S49" s="2">
        <f t="shared" ca="1" si="14"/>
        <v>0.23104691054502169</v>
      </c>
      <c r="T49" s="2">
        <f t="shared" ca="1" si="14"/>
        <v>0.23587809228025658</v>
      </c>
      <c r="U49" s="2">
        <f t="shared" ca="1" si="14"/>
        <v>0.25704350880616172</v>
      </c>
      <c r="V49" s="2">
        <f t="shared" ca="1" si="14"/>
        <v>0.20427334750237497</v>
      </c>
      <c r="W49" s="2">
        <f t="shared" ca="1" si="14"/>
        <v>0.28023308641743033</v>
      </c>
      <c r="X49" s="2">
        <f t="shared" ca="1" si="14"/>
        <v>0.25091157274345915</v>
      </c>
      <c r="Y49" s="2">
        <f t="shared" ca="1" si="14"/>
        <v>0.22841832559475014</v>
      </c>
      <c r="Z49" s="2">
        <f t="shared" ca="1" si="14"/>
        <v>0.284599484060306</v>
      </c>
      <c r="AA49" s="2">
        <f t="shared" ca="1" si="17"/>
        <v>0.25451210854608436</v>
      </c>
      <c r="AB49" s="2">
        <f t="shared" ca="1" si="17"/>
        <v>0.20586747510687239</v>
      </c>
      <c r="AC49" s="2">
        <f t="shared" ca="1" si="17"/>
        <v>0.20555939352706534</v>
      </c>
      <c r="AD49" s="2">
        <f t="shared" ca="1" si="17"/>
        <v>0.28574837737567332</v>
      </c>
      <c r="AE49" s="2">
        <f t="shared" ca="1" si="17"/>
        <v>0.23075713868102612</v>
      </c>
      <c r="AF49" s="2">
        <f t="shared" ca="1" si="17"/>
        <v>0.21057966413774867</v>
      </c>
      <c r="AG49" s="2">
        <f t="shared" ca="1" si="17"/>
        <v>0.23819092609796172</v>
      </c>
      <c r="AH49" s="2">
        <f t="shared" ca="1" si="16"/>
        <v>0.20068118149630781</v>
      </c>
    </row>
    <row r="50" spans="1:34">
      <c r="A50" t="str">
        <f t="shared" si="18"/>
        <v>Vegetables</v>
      </c>
      <c r="B50" t="str">
        <f t="shared" si="8"/>
        <v>Gumuz</v>
      </c>
      <c r="C50" s="2">
        <f t="shared" ca="1" si="13"/>
        <v>0.22720767558992927</v>
      </c>
      <c r="D50" s="2">
        <f t="shared" ca="1" si="15"/>
        <v>0.28496134185137389</v>
      </c>
      <c r="E50" s="2">
        <f t="shared" ca="1" si="15"/>
        <v>0.28340194174574607</v>
      </c>
      <c r="F50" s="2">
        <f t="shared" ca="1" si="15"/>
        <v>0.23715515892707886</v>
      </c>
      <c r="G50" s="2">
        <f t="shared" ca="1" si="15"/>
        <v>0.22177277930497594</v>
      </c>
      <c r="H50" s="2">
        <f t="shared" ca="1" si="15"/>
        <v>0.26791060285616253</v>
      </c>
      <c r="I50" s="2">
        <f t="shared" ca="1" si="15"/>
        <v>0.22445403083937535</v>
      </c>
      <c r="J50" s="2">
        <f t="shared" ca="1" si="15"/>
        <v>0.29964890807629752</v>
      </c>
      <c r="K50" s="2">
        <f t="shared" ca="1" si="14"/>
        <v>0.2739019619568514</v>
      </c>
      <c r="L50" s="2">
        <f t="shared" ca="1" si="14"/>
        <v>0.23990741231166579</v>
      </c>
      <c r="M50" s="2">
        <f t="shared" ca="1" si="14"/>
        <v>0.21422871042249797</v>
      </c>
      <c r="N50" s="2">
        <f t="shared" ca="1" si="14"/>
        <v>0.29379086535281052</v>
      </c>
      <c r="O50" s="2">
        <f t="shared" ca="1" si="14"/>
        <v>0.26025713816953833</v>
      </c>
      <c r="P50" s="2">
        <f t="shared" ca="1" si="14"/>
        <v>0.25380557582711322</v>
      </c>
      <c r="Q50" s="2">
        <f t="shared" ca="1" si="14"/>
        <v>0.22363911525042685</v>
      </c>
      <c r="R50" s="2">
        <f t="shared" ca="1" si="14"/>
        <v>0.20038063202868853</v>
      </c>
      <c r="S50" s="2">
        <f t="shared" ca="1" si="14"/>
        <v>0.28154892530904718</v>
      </c>
      <c r="T50" s="2">
        <f t="shared" ca="1" si="14"/>
        <v>0.28497187806559499</v>
      </c>
      <c r="U50" s="2">
        <f t="shared" ca="1" si="14"/>
        <v>0.20201221437637701</v>
      </c>
      <c r="V50" s="2">
        <f t="shared" ca="1" si="14"/>
        <v>0.24513418033623152</v>
      </c>
      <c r="W50" s="2">
        <f t="shared" ca="1" si="14"/>
        <v>0.2293270824136793</v>
      </c>
      <c r="X50" s="2">
        <f t="shared" ca="1" si="14"/>
        <v>0.24740219536094815</v>
      </c>
      <c r="Y50" s="2">
        <f t="shared" ca="1" si="14"/>
        <v>0.27536640396194462</v>
      </c>
      <c r="Z50" s="2">
        <f t="shared" ca="1" si="14"/>
        <v>0.28164013516650477</v>
      </c>
      <c r="AA50" s="2">
        <f t="shared" ca="1" si="17"/>
        <v>0.27088209224420434</v>
      </c>
      <c r="AB50" s="2">
        <f t="shared" ca="1" si="17"/>
        <v>0.20416040456893597</v>
      </c>
      <c r="AC50" s="2">
        <f t="shared" ca="1" si="17"/>
        <v>0.27775638221725762</v>
      </c>
      <c r="AD50" s="2">
        <f t="shared" ca="1" si="17"/>
        <v>0.25854806336494868</v>
      </c>
      <c r="AE50" s="2">
        <f t="shared" ca="1" si="17"/>
        <v>0.20373114679042534</v>
      </c>
      <c r="AF50" s="2">
        <f t="shared" ca="1" si="17"/>
        <v>0.24665890675414137</v>
      </c>
      <c r="AG50" s="2">
        <f t="shared" ca="1" si="17"/>
        <v>0.25745317647178606</v>
      </c>
      <c r="AH50" s="2">
        <f t="shared" ca="1" si="16"/>
        <v>0.23533330595936802</v>
      </c>
    </row>
    <row r="51" spans="1:34">
      <c r="A51" t="str">
        <f t="shared" si="18"/>
        <v>Vegetables</v>
      </c>
      <c r="B51" t="str">
        <f t="shared" si="8"/>
        <v>DireDawa</v>
      </c>
      <c r="C51" s="2">
        <f t="shared" ca="1" si="13"/>
        <v>0.24097949196606155</v>
      </c>
      <c r="D51" s="2">
        <f t="shared" ca="1" si="15"/>
        <v>0.23925417141046085</v>
      </c>
      <c r="E51" s="2">
        <f t="shared" ca="1" si="15"/>
        <v>0.21635521499573873</v>
      </c>
      <c r="F51" s="2">
        <f t="shared" ca="1" si="15"/>
        <v>0.228184517819771</v>
      </c>
      <c r="G51" s="2">
        <f t="shared" ca="1" si="15"/>
        <v>0.25231776513987142</v>
      </c>
      <c r="H51" s="2">
        <f t="shared" ca="1" si="15"/>
        <v>0.23188096887093326</v>
      </c>
      <c r="I51" s="2">
        <f t="shared" ca="1" si="15"/>
        <v>0.21339529121227382</v>
      </c>
      <c r="J51" s="2">
        <f t="shared" ca="1" si="15"/>
        <v>0.24500950084735107</v>
      </c>
      <c r="K51" s="2">
        <f t="shared" ref="K51:Y52" ca="1" si="19">RAND()*0.1+0.2</f>
        <v>0.27909514795759716</v>
      </c>
      <c r="L51" s="2">
        <f t="shared" ca="1" si="19"/>
        <v>0.22968702657825313</v>
      </c>
      <c r="M51" s="2">
        <f t="shared" ca="1" si="19"/>
        <v>0.25185926687622623</v>
      </c>
      <c r="N51" s="2">
        <f t="shared" ca="1" si="19"/>
        <v>0.2109055229607158</v>
      </c>
      <c r="O51" s="2">
        <f t="shared" ca="1" si="19"/>
        <v>0.21135320701639002</v>
      </c>
      <c r="P51" s="2">
        <f t="shared" ca="1" si="19"/>
        <v>0.28833626025507569</v>
      </c>
      <c r="Q51" s="2">
        <f t="shared" ca="1" si="19"/>
        <v>0.25183115676941187</v>
      </c>
      <c r="R51" s="2">
        <f t="shared" ca="1" si="19"/>
        <v>0.27424756916735948</v>
      </c>
      <c r="S51" s="2">
        <f t="shared" ca="1" si="19"/>
        <v>0.23006681646157018</v>
      </c>
      <c r="T51" s="2">
        <f t="shared" ca="1" si="19"/>
        <v>0.21724137432431073</v>
      </c>
      <c r="U51" s="2">
        <f t="shared" ca="1" si="19"/>
        <v>0.28618372142855614</v>
      </c>
      <c r="V51" s="2">
        <f t="shared" ca="1" si="19"/>
        <v>0.22421071402844261</v>
      </c>
      <c r="W51" s="2">
        <f t="shared" ca="1" si="19"/>
        <v>0.22768234454247516</v>
      </c>
      <c r="X51" s="2">
        <f t="shared" ca="1" si="19"/>
        <v>0.29128435832288296</v>
      </c>
      <c r="Y51" s="2">
        <f t="shared" ca="1" si="19"/>
        <v>0.21551297841649247</v>
      </c>
      <c r="Z51" s="2">
        <f t="shared" ref="Z51:AH67" ca="1" si="20">RAND()*0.1+0.2</f>
        <v>0.27688529832950504</v>
      </c>
      <c r="AA51" s="2">
        <f t="shared" ca="1" si="20"/>
        <v>0.27406965247402049</v>
      </c>
      <c r="AB51" s="2">
        <f t="shared" ca="1" si="20"/>
        <v>0.20580115748385855</v>
      </c>
      <c r="AC51" s="2">
        <f t="shared" ca="1" si="20"/>
        <v>0.20027904592082607</v>
      </c>
      <c r="AD51" s="2">
        <f t="shared" ca="1" si="20"/>
        <v>0.29889453962885831</v>
      </c>
      <c r="AE51" s="2">
        <f t="shared" ca="1" si="20"/>
        <v>0.22526621184190757</v>
      </c>
      <c r="AF51" s="2">
        <f t="shared" ca="1" si="20"/>
        <v>0.21887777428558464</v>
      </c>
      <c r="AG51" s="2">
        <f t="shared" ca="1" si="20"/>
        <v>0.24028449594589482</v>
      </c>
      <c r="AH51" s="2">
        <f t="shared" ca="1" si="20"/>
        <v>0.26733801823162279</v>
      </c>
    </row>
    <row r="52" spans="1:34">
      <c r="A52" t="str">
        <f t="shared" si="18"/>
        <v>Vegetables</v>
      </c>
      <c r="B52" t="str">
        <f t="shared" si="8"/>
        <v>Gambela</v>
      </c>
      <c r="C52" s="2">
        <f t="shared" ca="1" si="13"/>
        <v>0.23548598155192721</v>
      </c>
      <c r="D52" s="2">
        <f t="shared" ca="1" si="15"/>
        <v>0.26223351069014278</v>
      </c>
      <c r="E52" s="2">
        <f t="shared" ca="1" si="15"/>
        <v>0.2791066071262126</v>
      </c>
      <c r="F52" s="2">
        <f t="shared" ca="1" si="15"/>
        <v>0.22028435282540118</v>
      </c>
      <c r="G52" s="2">
        <f t="shared" ca="1" si="15"/>
        <v>0.26883103478110337</v>
      </c>
      <c r="H52" s="2">
        <f t="shared" ca="1" si="15"/>
        <v>0.24403744135488478</v>
      </c>
      <c r="I52" s="2">
        <f t="shared" ca="1" si="15"/>
        <v>0.24511711800267255</v>
      </c>
      <c r="J52" s="2">
        <f t="shared" ca="1" si="15"/>
        <v>0.23708736861266</v>
      </c>
      <c r="K52" s="2">
        <f t="shared" ca="1" si="19"/>
        <v>0.23908945254225294</v>
      </c>
      <c r="L52" s="2">
        <f t="shared" ca="1" si="19"/>
        <v>0.2424528190855392</v>
      </c>
      <c r="M52" s="2">
        <f t="shared" ca="1" si="19"/>
        <v>0.29454874139476223</v>
      </c>
      <c r="N52" s="2">
        <f t="shared" ca="1" si="19"/>
        <v>0.20777469450484515</v>
      </c>
      <c r="O52" s="2">
        <f t="shared" ca="1" si="19"/>
        <v>0.2584005640304633</v>
      </c>
      <c r="P52" s="2">
        <f t="shared" ca="1" si="19"/>
        <v>0.21196174887585195</v>
      </c>
      <c r="Q52" s="2">
        <f t="shared" ca="1" si="19"/>
        <v>0.21188910061665475</v>
      </c>
      <c r="R52" s="2">
        <f t="shared" ca="1" si="19"/>
        <v>0.20714244760153036</v>
      </c>
      <c r="S52" s="2">
        <f t="shared" ca="1" si="19"/>
        <v>0.21678910378751873</v>
      </c>
      <c r="T52" s="2">
        <f t="shared" ca="1" si="19"/>
        <v>0.22610407021722273</v>
      </c>
      <c r="U52" s="2">
        <f t="shared" ca="1" si="19"/>
        <v>0.21251562505905028</v>
      </c>
      <c r="V52" s="2">
        <f t="shared" ca="1" si="19"/>
        <v>0.24034023720196729</v>
      </c>
      <c r="W52" s="2">
        <f t="shared" ca="1" si="19"/>
        <v>0.28166061567032807</v>
      </c>
      <c r="X52" s="2">
        <f t="shared" ca="1" si="19"/>
        <v>0.29304771692692433</v>
      </c>
      <c r="Y52" s="2">
        <f t="shared" ca="1" si="19"/>
        <v>0.22641875827237265</v>
      </c>
      <c r="Z52" s="2">
        <f t="shared" ca="1" si="20"/>
        <v>0.21939960990374902</v>
      </c>
      <c r="AA52" s="2">
        <f t="shared" ca="1" si="20"/>
        <v>0.21878817460955599</v>
      </c>
      <c r="AB52" s="2">
        <f t="shared" ca="1" si="20"/>
        <v>0.29781792581478794</v>
      </c>
      <c r="AC52" s="2">
        <f t="shared" ca="1" si="20"/>
        <v>0.23853875498862853</v>
      </c>
      <c r="AD52" s="2">
        <f t="shared" ca="1" si="20"/>
        <v>0.29118108751807908</v>
      </c>
      <c r="AE52" s="2">
        <f t="shared" ca="1" si="20"/>
        <v>0.23620853771271214</v>
      </c>
      <c r="AF52" s="2">
        <f t="shared" ca="1" si="20"/>
        <v>0.28228331852021438</v>
      </c>
      <c r="AG52" s="2">
        <f t="shared" ca="1" si="20"/>
        <v>0.24934519295475222</v>
      </c>
      <c r="AH52" s="2">
        <f t="shared" ca="1" si="20"/>
        <v>0.24383186183889005</v>
      </c>
    </row>
    <row r="53" spans="1:34">
      <c r="A53" t="str">
        <f t="shared" si="18"/>
        <v>Vegetables</v>
      </c>
      <c r="B53" t="str">
        <f t="shared" si="8"/>
        <v>Harari</v>
      </c>
      <c r="C53" s="2">
        <f t="shared" ref="C53:R68" ca="1" si="21">RAND()*0.1+0.2</f>
        <v>0.28926034320847305</v>
      </c>
      <c r="D53" s="2">
        <f t="shared" ca="1" si="21"/>
        <v>0.29019656378863229</v>
      </c>
      <c r="E53" s="2">
        <f t="shared" ca="1" si="21"/>
        <v>0.21239130828737715</v>
      </c>
      <c r="F53" s="2">
        <f t="shared" ca="1" si="21"/>
        <v>0.24734447647069255</v>
      </c>
      <c r="G53" s="2">
        <f t="shared" ca="1" si="21"/>
        <v>0.22992484140369052</v>
      </c>
      <c r="H53" s="2">
        <f t="shared" ca="1" si="21"/>
        <v>0.23867441525403191</v>
      </c>
      <c r="I53" s="2">
        <f t="shared" ca="1" si="21"/>
        <v>0.24555841848441762</v>
      </c>
      <c r="J53" s="2">
        <f t="shared" ca="1" si="21"/>
        <v>0.25901174560990381</v>
      </c>
      <c r="K53" s="2">
        <f t="shared" ca="1" si="21"/>
        <v>0.22945300856876294</v>
      </c>
      <c r="L53" s="2">
        <f t="shared" ca="1" si="21"/>
        <v>0.27001144586419562</v>
      </c>
      <c r="M53" s="2">
        <f t="shared" ca="1" si="21"/>
        <v>0.27090358826470606</v>
      </c>
      <c r="N53" s="2">
        <f t="shared" ca="1" si="21"/>
        <v>0.23508921218647166</v>
      </c>
      <c r="O53" s="2">
        <f t="shared" ca="1" si="21"/>
        <v>0.23239326492756701</v>
      </c>
      <c r="P53" s="2">
        <f t="shared" ca="1" si="21"/>
        <v>0.21379849209006974</v>
      </c>
      <c r="Q53" s="2">
        <f t="shared" ca="1" si="21"/>
        <v>0.27019841312531534</v>
      </c>
      <c r="R53" s="2">
        <f t="shared" ca="1" si="21"/>
        <v>0.26797291773919557</v>
      </c>
      <c r="S53" s="2">
        <f t="shared" ref="S53:Y67" ca="1" si="22">RAND()*0.1+0.2</f>
        <v>0.21775101386590356</v>
      </c>
      <c r="T53" s="2">
        <f t="shared" ca="1" si="22"/>
        <v>0.2582203657495088</v>
      </c>
      <c r="U53" s="2">
        <f t="shared" ca="1" si="22"/>
        <v>0.21916126289977572</v>
      </c>
      <c r="V53" s="2">
        <f t="shared" ca="1" si="22"/>
        <v>0.28052797371913862</v>
      </c>
      <c r="W53" s="2">
        <f t="shared" ca="1" si="22"/>
        <v>0.25185619050254116</v>
      </c>
      <c r="X53" s="2">
        <f t="shared" ca="1" si="22"/>
        <v>0.25205949702625818</v>
      </c>
      <c r="Y53" s="2">
        <f t="shared" ca="1" si="22"/>
        <v>0.25337971292323658</v>
      </c>
      <c r="Z53" s="2">
        <f t="shared" ca="1" si="20"/>
        <v>0.21544935927704539</v>
      </c>
      <c r="AA53" s="2">
        <f t="shared" ca="1" si="20"/>
        <v>0.22015673958263698</v>
      </c>
      <c r="AB53" s="2">
        <f t="shared" ca="1" si="20"/>
        <v>0.29387666705514165</v>
      </c>
      <c r="AC53" s="2">
        <f t="shared" ca="1" si="20"/>
        <v>0.28012704571763758</v>
      </c>
      <c r="AD53" s="2">
        <f t="shared" ca="1" si="20"/>
        <v>0.27036831613031254</v>
      </c>
      <c r="AE53" s="2">
        <f t="shared" ca="1" si="20"/>
        <v>0.2395602268774995</v>
      </c>
      <c r="AF53" s="2">
        <f t="shared" ca="1" si="20"/>
        <v>0.29679768782017663</v>
      </c>
      <c r="AG53" s="2">
        <f t="shared" ca="1" si="20"/>
        <v>0.26992426226187533</v>
      </c>
      <c r="AH53" s="2">
        <f t="shared" ca="1" si="20"/>
        <v>0.26104648682842929</v>
      </c>
    </row>
    <row r="54" spans="1:34">
      <c r="A54" t="str">
        <f t="shared" si="18"/>
        <v>Vegetables</v>
      </c>
      <c r="B54" t="str">
        <f t="shared" si="8"/>
        <v>Oromia</v>
      </c>
      <c r="C54" s="2">
        <f t="shared" ca="1" si="21"/>
        <v>0.29579395508693718</v>
      </c>
      <c r="D54" s="2">
        <f t="shared" ca="1" si="21"/>
        <v>0.26447900924393608</v>
      </c>
      <c r="E54" s="2">
        <f t="shared" ca="1" si="21"/>
        <v>0.23074628521900978</v>
      </c>
      <c r="F54" s="2">
        <f t="shared" ca="1" si="21"/>
        <v>0.24942949444021634</v>
      </c>
      <c r="G54" s="2">
        <f t="shared" ca="1" si="21"/>
        <v>0.24082262070910104</v>
      </c>
      <c r="H54" s="2">
        <f t="shared" ca="1" si="21"/>
        <v>0.2706439434126981</v>
      </c>
      <c r="I54" s="2">
        <f t="shared" ca="1" si="21"/>
        <v>0.23261057609874983</v>
      </c>
      <c r="J54" s="2">
        <f t="shared" ca="1" si="21"/>
        <v>0.27692375300060312</v>
      </c>
      <c r="K54" s="2">
        <f t="shared" ca="1" si="21"/>
        <v>0.25634423131292189</v>
      </c>
      <c r="L54" s="2">
        <f t="shared" ca="1" si="21"/>
        <v>0.25778009651268763</v>
      </c>
      <c r="M54" s="2">
        <f t="shared" ca="1" si="21"/>
        <v>0.28133792269499053</v>
      </c>
      <c r="N54" s="2">
        <f t="shared" ca="1" si="21"/>
        <v>0.28879664557007173</v>
      </c>
      <c r="O54" s="2">
        <f t="shared" ca="1" si="21"/>
        <v>0.223172396133926</v>
      </c>
      <c r="P54" s="2">
        <f t="shared" ca="1" si="21"/>
        <v>0.21919251545122795</v>
      </c>
      <c r="Q54" s="2">
        <f t="shared" ca="1" si="21"/>
        <v>0.21409148550072782</v>
      </c>
      <c r="R54" s="2">
        <f t="shared" ca="1" si="21"/>
        <v>0.26727020939324286</v>
      </c>
      <c r="S54" s="2">
        <f t="shared" ca="1" si="22"/>
        <v>0.21619156881730678</v>
      </c>
      <c r="T54" s="2">
        <f t="shared" ca="1" si="22"/>
        <v>0.20928697461436754</v>
      </c>
      <c r="U54" s="2">
        <f t="shared" ca="1" si="22"/>
        <v>0.29918052773117221</v>
      </c>
      <c r="V54" s="2">
        <f t="shared" ca="1" si="22"/>
        <v>0.20533678668967523</v>
      </c>
      <c r="W54" s="2">
        <f t="shared" ca="1" si="22"/>
        <v>0.28215115343229324</v>
      </c>
      <c r="X54" s="2">
        <f t="shared" ca="1" si="22"/>
        <v>0.2572902546046017</v>
      </c>
      <c r="Y54" s="2">
        <f t="shared" ca="1" si="22"/>
        <v>0.27362992467631331</v>
      </c>
      <c r="Z54" s="2">
        <f t="shared" ca="1" si="20"/>
        <v>0.24468992373628942</v>
      </c>
      <c r="AA54" s="2">
        <f t="shared" ca="1" si="20"/>
        <v>0.28178455128284974</v>
      </c>
      <c r="AB54" s="2">
        <f t="shared" ca="1" si="20"/>
        <v>0.24987949931643413</v>
      </c>
      <c r="AC54" s="2">
        <f t="shared" ca="1" si="20"/>
        <v>0.22135626880849713</v>
      </c>
      <c r="AD54" s="2">
        <f t="shared" ca="1" si="20"/>
        <v>0.27642401375642234</v>
      </c>
      <c r="AE54" s="2">
        <f t="shared" ca="1" si="20"/>
        <v>0.24721775356784109</v>
      </c>
      <c r="AF54" s="2">
        <f t="shared" ca="1" si="20"/>
        <v>0.24597577720065689</v>
      </c>
      <c r="AG54" s="2">
        <f t="shared" ca="1" si="20"/>
        <v>0.23803136049541102</v>
      </c>
      <c r="AH54" s="2">
        <f t="shared" ca="1" si="20"/>
        <v>0.29644561641710943</v>
      </c>
    </row>
    <row r="55" spans="1:34">
      <c r="A55" t="str">
        <f t="shared" si="18"/>
        <v>Vegetables</v>
      </c>
      <c r="B55" t="str">
        <f t="shared" si="8"/>
        <v>Somali</v>
      </c>
      <c r="C55" s="2">
        <f t="shared" ca="1" si="21"/>
        <v>0.25194407642522043</v>
      </c>
      <c r="D55" s="2">
        <f t="shared" ca="1" si="21"/>
        <v>0.2682407675037598</v>
      </c>
      <c r="E55" s="2">
        <f t="shared" ca="1" si="21"/>
        <v>0.26003783288608617</v>
      </c>
      <c r="F55" s="2">
        <f t="shared" ca="1" si="21"/>
        <v>0.23371187535593232</v>
      </c>
      <c r="G55" s="2">
        <f t="shared" ca="1" si="21"/>
        <v>0.21324559265296192</v>
      </c>
      <c r="H55" s="2">
        <f t="shared" ca="1" si="21"/>
        <v>0.21337832306774501</v>
      </c>
      <c r="I55" s="2">
        <f t="shared" ca="1" si="21"/>
        <v>0.2690228236188138</v>
      </c>
      <c r="J55" s="2">
        <f t="shared" ca="1" si="21"/>
        <v>0.23628357998713287</v>
      </c>
      <c r="K55" s="2">
        <f t="shared" ca="1" si="21"/>
        <v>0.28693194029512226</v>
      </c>
      <c r="L55" s="2">
        <f t="shared" ca="1" si="21"/>
        <v>0.23906462582066426</v>
      </c>
      <c r="M55" s="2">
        <f t="shared" ca="1" si="21"/>
        <v>0.20426738345437406</v>
      </c>
      <c r="N55" s="2">
        <f t="shared" ca="1" si="21"/>
        <v>0.2758694270339076</v>
      </c>
      <c r="O55" s="2">
        <f t="shared" ca="1" si="21"/>
        <v>0.23238999427407842</v>
      </c>
      <c r="P55" s="2">
        <f t="shared" ca="1" si="21"/>
        <v>0.264066794743049</v>
      </c>
      <c r="Q55" s="2">
        <f t="shared" ca="1" si="21"/>
        <v>0.21023651928801468</v>
      </c>
      <c r="R55" s="2">
        <f t="shared" ca="1" si="21"/>
        <v>0.27239790712412848</v>
      </c>
      <c r="S55" s="2">
        <f t="shared" ca="1" si="22"/>
        <v>0.22748326923842307</v>
      </c>
      <c r="T55" s="2">
        <f t="shared" ca="1" si="22"/>
        <v>0.2094251509747983</v>
      </c>
      <c r="U55" s="2">
        <f t="shared" ca="1" si="22"/>
        <v>0.22731782095853081</v>
      </c>
      <c r="V55" s="2">
        <f t="shared" ca="1" si="22"/>
        <v>0.27658035452515728</v>
      </c>
      <c r="W55" s="2">
        <f t="shared" ca="1" si="22"/>
        <v>0.22366781344131556</v>
      </c>
      <c r="X55" s="2">
        <f t="shared" ca="1" si="22"/>
        <v>0.23079387870484563</v>
      </c>
      <c r="Y55" s="2">
        <f t="shared" ca="1" si="22"/>
        <v>0.28112034121459756</v>
      </c>
      <c r="Z55" s="2">
        <f t="shared" ca="1" si="20"/>
        <v>0.2842158247753615</v>
      </c>
      <c r="AA55" s="2">
        <f t="shared" ca="1" si="20"/>
        <v>0.24603520010951216</v>
      </c>
      <c r="AB55" s="2">
        <f t="shared" ca="1" si="20"/>
        <v>0.2283780449087236</v>
      </c>
      <c r="AC55" s="2">
        <f t="shared" ca="1" si="20"/>
        <v>0.21142701294264035</v>
      </c>
      <c r="AD55" s="2">
        <f t="shared" ca="1" si="20"/>
        <v>0.2105513713736131</v>
      </c>
      <c r="AE55" s="2">
        <f t="shared" ca="1" si="20"/>
        <v>0.20355871172776863</v>
      </c>
      <c r="AF55" s="2">
        <f t="shared" ca="1" si="20"/>
        <v>0.26430824701402644</v>
      </c>
      <c r="AG55" s="2">
        <f t="shared" ca="1" si="20"/>
        <v>0.25957738471101444</v>
      </c>
      <c r="AH55" s="2">
        <f t="shared" ca="1" si="20"/>
        <v>0.26566485765992831</v>
      </c>
    </row>
    <row r="56" spans="1:34">
      <c r="A56" t="str">
        <f t="shared" si="18"/>
        <v>Vegetables</v>
      </c>
      <c r="B56" t="str">
        <f t="shared" si="8"/>
        <v>SNNPR</v>
      </c>
      <c r="C56" s="2">
        <f t="shared" ca="1" si="21"/>
        <v>0.26320774956212545</v>
      </c>
      <c r="D56" s="2">
        <f t="shared" ca="1" si="21"/>
        <v>0.25725392051493345</v>
      </c>
      <c r="E56" s="2">
        <f t="shared" ca="1" si="21"/>
        <v>0.28314721963634731</v>
      </c>
      <c r="F56" s="2">
        <f t="shared" ca="1" si="21"/>
        <v>0.26342200973145102</v>
      </c>
      <c r="G56" s="2">
        <f t="shared" ca="1" si="21"/>
        <v>0.23939629268222973</v>
      </c>
      <c r="H56" s="2">
        <f t="shared" ca="1" si="21"/>
        <v>0.28825246213032707</v>
      </c>
      <c r="I56" s="2">
        <f t="shared" ca="1" si="21"/>
        <v>0.2239307225914732</v>
      </c>
      <c r="J56" s="2">
        <f t="shared" ca="1" si="21"/>
        <v>0.240760006890918</v>
      </c>
      <c r="K56" s="2">
        <f t="shared" ca="1" si="21"/>
        <v>0.20203952549874085</v>
      </c>
      <c r="L56" s="2">
        <f t="shared" ca="1" si="21"/>
        <v>0.21119092104641324</v>
      </c>
      <c r="M56" s="2">
        <f t="shared" ca="1" si="21"/>
        <v>0.25881949544625815</v>
      </c>
      <c r="N56" s="2">
        <f t="shared" ca="1" si="21"/>
        <v>0.2796444518897504</v>
      </c>
      <c r="O56" s="2">
        <f t="shared" ca="1" si="21"/>
        <v>0.2288015223390146</v>
      </c>
      <c r="P56" s="2">
        <f t="shared" ca="1" si="21"/>
        <v>0.24364270343208644</v>
      </c>
      <c r="Q56" s="2">
        <f t="shared" ca="1" si="21"/>
        <v>0.25412751552154178</v>
      </c>
      <c r="R56" s="2">
        <f t="shared" ca="1" si="21"/>
        <v>0.25579180298175197</v>
      </c>
      <c r="S56" s="2">
        <f t="shared" ca="1" si="22"/>
        <v>0.23355684831690141</v>
      </c>
      <c r="T56" s="2">
        <f t="shared" ca="1" si="22"/>
        <v>0.20299043973398737</v>
      </c>
      <c r="U56" s="2">
        <f t="shared" ca="1" si="22"/>
        <v>0.22184101923095428</v>
      </c>
      <c r="V56" s="2">
        <f t="shared" ca="1" si="22"/>
        <v>0.28501396626299674</v>
      </c>
      <c r="W56" s="2">
        <f t="shared" ca="1" si="22"/>
        <v>0.26840321522502031</v>
      </c>
      <c r="X56" s="2">
        <f t="shared" ca="1" si="22"/>
        <v>0.2795102441251075</v>
      </c>
      <c r="Y56" s="2">
        <f t="shared" ca="1" si="22"/>
        <v>0.23145899012817511</v>
      </c>
      <c r="Z56" s="2">
        <f t="shared" ca="1" si="20"/>
        <v>0.24693918871983361</v>
      </c>
      <c r="AA56" s="2">
        <f t="shared" ca="1" si="20"/>
        <v>0.28822408335725974</v>
      </c>
      <c r="AB56" s="2">
        <f t="shared" ca="1" si="20"/>
        <v>0.2807213422280288</v>
      </c>
      <c r="AC56" s="2">
        <f t="shared" ca="1" si="20"/>
        <v>0.20909612306760542</v>
      </c>
      <c r="AD56" s="2">
        <f t="shared" ca="1" si="20"/>
        <v>0.28891410016934171</v>
      </c>
      <c r="AE56" s="2">
        <f t="shared" ca="1" si="20"/>
        <v>0.26401590371208089</v>
      </c>
      <c r="AF56" s="2">
        <f t="shared" ca="1" si="20"/>
        <v>0.24498511689297292</v>
      </c>
      <c r="AG56" s="2">
        <f t="shared" ca="1" si="20"/>
        <v>0.23913744792974712</v>
      </c>
      <c r="AH56" s="2">
        <f t="shared" ca="1" si="20"/>
        <v>0.21273760070663739</v>
      </c>
    </row>
    <row r="57" spans="1:34">
      <c r="A57" t="str">
        <f t="shared" si="18"/>
        <v>Vegetables</v>
      </c>
      <c r="B57" t="str">
        <f t="shared" si="8"/>
        <v>Tigray</v>
      </c>
      <c r="C57" s="2">
        <f t="shared" ca="1" si="21"/>
        <v>0.22342724511247181</v>
      </c>
      <c r="D57" s="2">
        <f t="shared" ca="1" si="21"/>
        <v>0.20833594606490899</v>
      </c>
      <c r="E57" s="2">
        <f t="shared" ca="1" si="21"/>
        <v>0.25491352400309297</v>
      </c>
      <c r="F57" s="2">
        <f t="shared" ca="1" si="21"/>
        <v>0.23022246690758663</v>
      </c>
      <c r="G57" s="2">
        <f t="shared" ca="1" si="21"/>
        <v>0.22001169765430664</v>
      </c>
      <c r="H57" s="2">
        <f t="shared" ca="1" si="21"/>
        <v>0.28649621780699031</v>
      </c>
      <c r="I57" s="2">
        <f t="shared" ca="1" si="21"/>
        <v>0.23511766207754314</v>
      </c>
      <c r="J57" s="2">
        <f t="shared" ca="1" si="21"/>
        <v>0.26055181661966748</v>
      </c>
      <c r="K57" s="2">
        <f t="shared" ca="1" si="21"/>
        <v>0.26193228036217031</v>
      </c>
      <c r="L57" s="2">
        <f t="shared" ca="1" si="21"/>
        <v>0.26744954894801648</v>
      </c>
      <c r="M57" s="2">
        <f t="shared" ca="1" si="21"/>
        <v>0.22081771324116567</v>
      </c>
      <c r="N57" s="2">
        <f t="shared" ca="1" si="21"/>
        <v>0.28527874505682888</v>
      </c>
      <c r="O57" s="2">
        <f t="shared" ca="1" si="21"/>
        <v>0.22300277019414963</v>
      </c>
      <c r="P57" s="2">
        <f t="shared" ca="1" si="21"/>
        <v>0.2228100550780879</v>
      </c>
      <c r="Q57" s="2">
        <f t="shared" ca="1" si="21"/>
        <v>0.24974255451011579</v>
      </c>
      <c r="R57" s="2">
        <f t="shared" ca="1" si="21"/>
        <v>0.29931206029304375</v>
      </c>
      <c r="S57" s="2">
        <f t="shared" ca="1" si="22"/>
        <v>0.23704887320024243</v>
      </c>
      <c r="T57" s="2">
        <f t="shared" ca="1" si="22"/>
        <v>0.21959266695677604</v>
      </c>
      <c r="U57" s="2">
        <f t="shared" ca="1" si="22"/>
        <v>0.2173368695808704</v>
      </c>
      <c r="V57" s="2">
        <f t="shared" ca="1" si="22"/>
        <v>0.27275260454411848</v>
      </c>
      <c r="W57" s="2">
        <f t="shared" ca="1" si="22"/>
        <v>0.2755379317971543</v>
      </c>
      <c r="X57" s="2">
        <f t="shared" ca="1" si="22"/>
        <v>0.2139340189029251</v>
      </c>
      <c r="Y57" s="2">
        <f t="shared" ca="1" si="22"/>
        <v>0.29732790448103447</v>
      </c>
      <c r="Z57" s="2">
        <f t="shared" ca="1" si="20"/>
        <v>0.28862673439000464</v>
      </c>
      <c r="AA57" s="2">
        <f t="shared" ca="1" si="20"/>
        <v>0.24982821028955582</v>
      </c>
      <c r="AB57" s="2">
        <f t="shared" ca="1" si="20"/>
        <v>0.26182720110622243</v>
      </c>
      <c r="AC57" s="2">
        <f t="shared" ca="1" si="20"/>
        <v>0.28836891309536239</v>
      </c>
      <c r="AD57" s="2">
        <f t="shared" ca="1" si="20"/>
        <v>0.2308969262476766</v>
      </c>
      <c r="AE57" s="2">
        <f t="shared" ca="1" si="20"/>
        <v>0.25717346910384742</v>
      </c>
      <c r="AF57" s="2">
        <f t="shared" ca="1" si="20"/>
        <v>0.28254876565859899</v>
      </c>
      <c r="AG57" s="2">
        <f t="shared" ca="1" si="20"/>
        <v>0.2353482299610406</v>
      </c>
      <c r="AH57" s="2">
        <f t="shared" ca="1" si="20"/>
        <v>0.26947421480728778</v>
      </c>
    </row>
    <row r="58" spans="1:34">
      <c r="A58" t="str">
        <f t="shared" si="18"/>
        <v>Coffee</v>
      </c>
      <c r="B58" t="str">
        <f t="shared" si="8"/>
        <v>AddisAbaba</v>
      </c>
      <c r="C58" s="2">
        <f t="shared" ca="1" si="21"/>
        <v>0.25925183290679643</v>
      </c>
      <c r="D58" s="2">
        <f t="shared" ca="1" si="21"/>
        <v>0.23069443982675053</v>
      </c>
      <c r="E58" s="2">
        <f t="shared" ca="1" si="21"/>
        <v>0.21029991857646288</v>
      </c>
      <c r="F58" s="2">
        <f t="shared" ca="1" si="21"/>
        <v>0.25613132415331685</v>
      </c>
      <c r="G58" s="2">
        <f t="shared" ca="1" si="21"/>
        <v>0.25630275410710118</v>
      </c>
      <c r="H58" s="2">
        <f t="shared" ca="1" si="21"/>
        <v>0.29056619474190792</v>
      </c>
      <c r="I58" s="2">
        <f t="shared" ca="1" si="21"/>
        <v>0.24469620217611293</v>
      </c>
      <c r="J58" s="2">
        <f t="shared" ca="1" si="21"/>
        <v>0.2648807529411476</v>
      </c>
      <c r="K58" s="2">
        <f t="shared" ca="1" si="21"/>
        <v>0.24902845422061046</v>
      </c>
      <c r="L58" s="2">
        <f t="shared" ca="1" si="21"/>
        <v>0.20164715361231536</v>
      </c>
      <c r="M58" s="2">
        <f t="shared" ca="1" si="21"/>
        <v>0.28578415770787891</v>
      </c>
      <c r="N58" s="2">
        <f t="shared" ca="1" si="21"/>
        <v>0.21257115335586965</v>
      </c>
      <c r="O58" s="2">
        <f t="shared" ca="1" si="21"/>
        <v>0.24246822676759366</v>
      </c>
      <c r="P58" s="2">
        <f t="shared" ca="1" si="21"/>
        <v>0.23224864000880291</v>
      </c>
      <c r="Q58" s="2">
        <f t="shared" ca="1" si="21"/>
        <v>0.26795970542777292</v>
      </c>
      <c r="R58" s="2">
        <f t="shared" ca="1" si="21"/>
        <v>0.28316882830784118</v>
      </c>
      <c r="S58" s="2">
        <f t="shared" ca="1" si="22"/>
        <v>0.22602630593263709</v>
      </c>
      <c r="T58" s="2">
        <f t="shared" ca="1" si="22"/>
        <v>0.23239260908632103</v>
      </c>
      <c r="U58" s="2">
        <f t="shared" ca="1" si="22"/>
        <v>0.20822538192148179</v>
      </c>
      <c r="V58" s="2">
        <f t="shared" ca="1" si="22"/>
        <v>0.26773247352044932</v>
      </c>
      <c r="W58" s="2">
        <f t="shared" ca="1" si="22"/>
        <v>0.23132322911924216</v>
      </c>
      <c r="X58" s="2">
        <f t="shared" ca="1" si="22"/>
        <v>0.25365883125319172</v>
      </c>
      <c r="Y58" s="2">
        <f t="shared" ca="1" si="22"/>
        <v>0.20146345615970634</v>
      </c>
      <c r="Z58" s="2">
        <f t="shared" ca="1" si="20"/>
        <v>0.28790864233895674</v>
      </c>
      <c r="AA58" s="2">
        <f t="shared" ca="1" si="20"/>
        <v>0.29656617350977599</v>
      </c>
      <c r="AB58" s="2">
        <f t="shared" ca="1" si="20"/>
        <v>0.24515098148225095</v>
      </c>
      <c r="AC58" s="2">
        <f t="shared" ca="1" si="20"/>
        <v>0.21038064190699518</v>
      </c>
      <c r="AD58" s="2">
        <f t="shared" ca="1" si="20"/>
        <v>0.23075820998530497</v>
      </c>
      <c r="AE58" s="2">
        <f t="shared" ca="1" si="20"/>
        <v>0.27877553817330064</v>
      </c>
      <c r="AF58" s="2">
        <f t="shared" ca="1" si="20"/>
        <v>0.27621534876103065</v>
      </c>
      <c r="AG58" s="2">
        <f t="shared" ca="1" si="20"/>
        <v>0.21000639163570251</v>
      </c>
      <c r="AH58" s="2">
        <f t="shared" ca="1" si="20"/>
        <v>0.25575653798764286</v>
      </c>
    </row>
    <row r="59" spans="1:34">
      <c r="A59" t="str">
        <f t="shared" si="18"/>
        <v>Coffee</v>
      </c>
      <c r="B59" t="str">
        <f t="shared" si="8"/>
        <v>Afar</v>
      </c>
      <c r="C59" s="2">
        <f t="shared" ca="1" si="21"/>
        <v>0.23751758807371129</v>
      </c>
      <c r="D59" s="2">
        <f t="shared" ca="1" si="21"/>
        <v>0.26878322476108996</v>
      </c>
      <c r="E59" s="2">
        <f t="shared" ca="1" si="21"/>
        <v>0.21745565042938755</v>
      </c>
      <c r="F59" s="2">
        <f t="shared" ca="1" si="21"/>
        <v>0.22346165736205814</v>
      </c>
      <c r="G59" s="2">
        <f t="shared" ca="1" si="21"/>
        <v>0.26214548766242651</v>
      </c>
      <c r="H59" s="2">
        <f t="shared" ca="1" si="21"/>
        <v>0.24026518304200162</v>
      </c>
      <c r="I59" s="2">
        <f t="shared" ca="1" si="21"/>
        <v>0.29765928340131381</v>
      </c>
      <c r="J59" s="2">
        <f t="shared" ca="1" si="21"/>
        <v>0.25751452753098836</v>
      </c>
      <c r="K59" s="2">
        <f t="shared" ca="1" si="21"/>
        <v>0.24926582967075553</v>
      </c>
      <c r="L59" s="2">
        <f t="shared" ca="1" si="21"/>
        <v>0.22254782905765375</v>
      </c>
      <c r="M59" s="2">
        <f t="shared" ca="1" si="21"/>
        <v>0.2712691821522667</v>
      </c>
      <c r="N59" s="2">
        <f t="shared" ca="1" si="21"/>
        <v>0.24287764496018682</v>
      </c>
      <c r="O59" s="2">
        <f t="shared" ca="1" si="21"/>
        <v>0.25595287114531295</v>
      </c>
      <c r="P59" s="2">
        <f t="shared" ca="1" si="21"/>
        <v>0.20676991543605</v>
      </c>
      <c r="Q59" s="2">
        <f t="shared" ca="1" si="21"/>
        <v>0.25891197977436714</v>
      </c>
      <c r="R59" s="2">
        <f t="shared" ca="1" si="21"/>
        <v>0.25885129794861206</v>
      </c>
      <c r="S59" s="2">
        <f t="shared" ca="1" si="22"/>
        <v>0.23184281207233126</v>
      </c>
      <c r="T59" s="2">
        <f t="shared" ca="1" si="22"/>
        <v>0.24538118092710112</v>
      </c>
      <c r="U59" s="2">
        <f t="shared" ca="1" si="22"/>
        <v>0.28516095216247761</v>
      </c>
      <c r="V59" s="2">
        <f t="shared" ca="1" si="22"/>
        <v>0.2327630700346521</v>
      </c>
      <c r="W59" s="2">
        <f t="shared" ca="1" si="22"/>
        <v>0.21408006825638526</v>
      </c>
      <c r="X59" s="2">
        <f t="shared" ca="1" si="22"/>
        <v>0.20286802038074009</v>
      </c>
      <c r="Y59" s="2">
        <f t="shared" ca="1" si="22"/>
        <v>0.28338820293187983</v>
      </c>
      <c r="Z59" s="2">
        <f t="shared" ca="1" si="20"/>
        <v>0.29190799791074418</v>
      </c>
      <c r="AA59" s="2">
        <f t="shared" ca="1" si="20"/>
        <v>0.21826321603771401</v>
      </c>
      <c r="AB59" s="2">
        <f t="shared" ca="1" si="20"/>
        <v>0.28503020066392776</v>
      </c>
      <c r="AC59" s="2">
        <f t="shared" ca="1" si="20"/>
        <v>0.2162207718650655</v>
      </c>
      <c r="AD59" s="2">
        <f t="shared" ca="1" si="20"/>
        <v>0.21856942793397266</v>
      </c>
      <c r="AE59" s="2">
        <f t="shared" ca="1" si="20"/>
        <v>0.248563172223635</v>
      </c>
      <c r="AF59" s="2">
        <f t="shared" ca="1" si="20"/>
        <v>0.26454212626710993</v>
      </c>
      <c r="AG59" s="2">
        <f t="shared" ca="1" si="20"/>
        <v>0.22465372940605671</v>
      </c>
      <c r="AH59" s="2">
        <f t="shared" ca="1" si="20"/>
        <v>0.21518762152857518</v>
      </c>
    </row>
    <row r="60" spans="1:34">
      <c r="A60" t="str">
        <f t="shared" si="18"/>
        <v>Coffee</v>
      </c>
      <c r="B60" t="str">
        <f t="shared" si="8"/>
        <v>Amhara</v>
      </c>
      <c r="C60" s="2">
        <f t="shared" ca="1" si="21"/>
        <v>0.21020432999326283</v>
      </c>
      <c r="D60" s="2">
        <f t="shared" ca="1" si="21"/>
        <v>0.22779279024702398</v>
      </c>
      <c r="E60" s="2">
        <f t="shared" ca="1" si="21"/>
        <v>0.29742881286838796</v>
      </c>
      <c r="F60" s="2">
        <f t="shared" ca="1" si="21"/>
        <v>0.22853313859800389</v>
      </c>
      <c r="G60" s="2">
        <f t="shared" ca="1" si="21"/>
        <v>0.29981837475594797</v>
      </c>
      <c r="H60" s="2">
        <f t="shared" ca="1" si="21"/>
        <v>0.24187983236335103</v>
      </c>
      <c r="I60" s="2">
        <f t="shared" ca="1" si="21"/>
        <v>0.29972003267420777</v>
      </c>
      <c r="J60" s="2">
        <f t="shared" ca="1" si="21"/>
        <v>0.27891725914876497</v>
      </c>
      <c r="K60" s="2">
        <f t="shared" ca="1" si="21"/>
        <v>0.22432371403362328</v>
      </c>
      <c r="L60" s="2">
        <f t="shared" ca="1" si="21"/>
        <v>0.20540910298052537</v>
      </c>
      <c r="M60" s="2">
        <f t="shared" ca="1" si="21"/>
        <v>0.23924800777249461</v>
      </c>
      <c r="N60" s="2">
        <f t="shared" ca="1" si="21"/>
        <v>0.28319620471733625</v>
      </c>
      <c r="O60" s="2">
        <f t="shared" ca="1" si="21"/>
        <v>0.28876062282425652</v>
      </c>
      <c r="P60" s="2">
        <f t="shared" ca="1" si="21"/>
        <v>0.27109016119390356</v>
      </c>
      <c r="Q60" s="2">
        <f t="shared" ca="1" si="21"/>
        <v>0.22367576965512692</v>
      </c>
      <c r="R60" s="2">
        <f t="shared" ca="1" si="21"/>
        <v>0.21635246664414515</v>
      </c>
      <c r="S60" s="2">
        <f t="shared" ca="1" si="22"/>
        <v>0.23569657634878119</v>
      </c>
      <c r="T60" s="2">
        <f t="shared" ca="1" si="22"/>
        <v>0.25482969562116958</v>
      </c>
      <c r="U60" s="2">
        <f t="shared" ca="1" si="22"/>
        <v>0.20283451916379119</v>
      </c>
      <c r="V60" s="2">
        <f t="shared" ca="1" si="22"/>
        <v>0.22075320413003713</v>
      </c>
      <c r="W60" s="2">
        <f t="shared" ca="1" si="22"/>
        <v>0.28975705208643743</v>
      </c>
      <c r="X60" s="2">
        <f t="shared" ca="1" si="22"/>
        <v>0.29580501441277929</v>
      </c>
      <c r="Y60" s="2">
        <f t="shared" ca="1" si="22"/>
        <v>0.27599142989976294</v>
      </c>
      <c r="Z60" s="2">
        <f t="shared" ca="1" si="20"/>
        <v>0.22932375374397507</v>
      </c>
      <c r="AA60" s="2">
        <f t="shared" ca="1" si="20"/>
        <v>0.25328921642528202</v>
      </c>
      <c r="AB60" s="2">
        <f t="shared" ca="1" si="20"/>
        <v>0.29634407377896743</v>
      </c>
      <c r="AC60" s="2">
        <f t="shared" ca="1" si="20"/>
        <v>0.29153397379183027</v>
      </c>
      <c r="AD60" s="2">
        <f t="shared" ca="1" si="20"/>
        <v>0.21262774051667313</v>
      </c>
      <c r="AE60" s="2">
        <f t="shared" ca="1" si="20"/>
        <v>0.23094443219101377</v>
      </c>
      <c r="AF60" s="2">
        <f t="shared" ca="1" si="20"/>
        <v>0.24319932479086398</v>
      </c>
      <c r="AG60" s="2">
        <f t="shared" ca="1" si="20"/>
        <v>0.25332118632230699</v>
      </c>
      <c r="AH60" s="2">
        <f t="shared" ca="1" si="20"/>
        <v>0.27412211881831661</v>
      </c>
    </row>
    <row r="61" spans="1:34">
      <c r="A61" t="str">
        <f t="shared" si="18"/>
        <v>Coffee</v>
      </c>
      <c r="B61" t="str">
        <f t="shared" si="8"/>
        <v>Gumuz</v>
      </c>
      <c r="C61" s="2">
        <f t="shared" ca="1" si="21"/>
        <v>0.29328056418942966</v>
      </c>
      <c r="D61" s="2">
        <f t="shared" ca="1" si="21"/>
        <v>0.28039251446695812</v>
      </c>
      <c r="E61" s="2">
        <f t="shared" ca="1" si="21"/>
        <v>0.20045734033995707</v>
      </c>
      <c r="F61" s="2">
        <f t="shared" ca="1" si="21"/>
        <v>0.24782411254820208</v>
      </c>
      <c r="G61" s="2">
        <f t="shared" ca="1" si="21"/>
        <v>0.25623118665164013</v>
      </c>
      <c r="H61" s="2">
        <f t="shared" ca="1" si="21"/>
        <v>0.26538806763999268</v>
      </c>
      <c r="I61" s="2">
        <f t="shared" ca="1" si="21"/>
        <v>0.24020292881108696</v>
      </c>
      <c r="J61" s="2">
        <f t="shared" ca="1" si="21"/>
        <v>0.2966029564092712</v>
      </c>
      <c r="K61" s="2">
        <f t="shared" ca="1" si="21"/>
        <v>0.29213039346200587</v>
      </c>
      <c r="L61" s="2">
        <f t="shared" ca="1" si="21"/>
        <v>0.21707081975191619</v>
      </c>
      <c r="M61" s="2">
        <f t="shared" ca="1" si="21"/>
        <v>0.2418296136792954</v>
      </c>
      <c r="N61" s="2">
        <f t="shared" ca="1" si="21"/>
        <v>0.26018672022347672</v>
      </c>
      <c r="O61" s="2">
        <f t="shared" ca="1" si="21"/>
        <v>0.21733795744801759</v>
      </c>
      <c r="P61" s="2">
        <f t="shared" ca="1" si="21"/>
        <v>0.27654270609573917</v>
      </c>
      <c r="Q61" s="2">
        <f t="shared" ca="1" si="21"/>
        <v>0.223967286940947</v>
      </c>
      <c r="R61" s="2">
        <f t="shared" ca="1" si="21"/>
        <v>0.23130881938785558</v>
      </c>
      <c r="S61" s="2">
        <f t="shared" ca="1" si="22"/>
        <v>0.20679813790676826</v>
      </c>
      <c r="T61" s="2">
        <f t="shared" ca="1" si="22"/>
        <v>0.26058067440240801</v>
      </c>
      <c r="U61" s="2">
        <f t="shared" ca="1" si="22"/>
        <v>0.26966792618083796</v>
      </c>
      <c r="V61" s="2">
        <f t="shared" ca="1" si="22"/>
        <v>0.28209663364846349</v>
      </c>
      <c r="W61" s="2">
        <f t="shared" ca="1" si="22"/>
        <v>0.26085613236628907</v>
      </c>
      <c r="X61" s="2">
        <f t="shared" ca="1" si="22"/>
        <v>0.22963095864127861</v>
      </c>
      <c r="Y61" s="2">
        <f t="shared" ca="1" si="22"/>
        <v>0.2937962823446798</v>
      </c>
      <c r="Z61" s="2">
        <f t="shared" ca="1" si="20"/>
        <v>0.20280059081550514</v>
      </c>
      <c r="AA61" s="2">
        <f t="shared" ca="1" si="20"/>
        <v>0.21597106650323114</v>
      </c>
      <c r="AB61" s="2">
        <f t="shared" ca="1" si="20"/>
        <v>0.28104517373763799</v>
      </c>
      <c r="AC61" s="2">
        <f t="shared" ca="1" si="20"/>
        <v>0.22370597032240824</v>
      </c>
      <c r="AD61" s="2">
        <f t="shared" ca="1" si="20"/>
        <v>0.20695420475255449</v>
      </c>
      <c r="AE61" s="2">
        <f t="shared" ca="1" si="20"/>
        <v>0.24940705339324851</v>
      </c>
      <c r="AF61" s="2">
        <f t="shared" ca="1" si="20"/>
        <v>0.23665561549250766</v>
      </c>
      <c r="AG61" s="2">
        <f t="shared" ca="1" si="20"/>
        <v>0.21146224580946354</v>
      </c>
      <c r="AH61" s="2">
        <f t="shared" ca="1" si="20"/>
        <v>0.25670206106592158</v>
      </c>
    </row>
    <row r="62" spans="1:34">
      <c r="A62" t="str">
        <f t="shared" si="18"/>
        <v>Coffee</v>
      </c>
      <c r="B62" t="str">
        <f t="shared" si="8"/>
        <v>DireDawa</v>
      </c>
      <c r="C62" s="2">
        <f t="shared" ca="1" si="21"/>
        <v>0.28871418989217834</v>
      </c>
      <c r="D62" s="2">
        <f t="shared" ca="1" si="21"/>
        <v>0.20365560945779013</v>
      </c>
      <c r="E62" s="2">
        <f t="shared" ca="1" si="21"/>
        <v>0.27645059073202144</v>
      </c>
      <c r="F62" s="2">
        <f t="shared" ca="1" si="21"/>
        <v>0.2312679475745428</v>
      </c>
      <c r="G62" s="2">
        <f t="shared" ca="1" si="21"/>
        <v>0.24992857336704191</v>
      </c>
      <c r="H62" s="2">
        <f t="shared" ca="1" si="21"/>
        <v>0.25860759254189497</v>
      </c>
      <c r="I62" s="2">
        <f t="shared" ca="1" si="21"/>
        <v>0.28857148561275459</v>
      </c>
      <c r="J62" s="2">
        <f t="shared" ca="1" si="21"/>
        <v>0.25818452610036868</v>
      </c>
      <c r="K62" s="2">
        <f t="shared" ca="1" si="21"/>
        <v>0.27311612234409299</v>
      </c>
      <c r="L62" s="2">
        <f t="shared" ca="1" si="21"/>
        <v>0.28421890361197794</v>
      </c>
      <c r="M62" s="2">
        <f t="shared" ca="1" si="21"/>
        <v>0.29301890333794378</v>
      </c>
      <c r="N62" s="2">
        <f t="shared" ca="1" si="21"/>
        <v>0.26348402650055025</v>
      </c>
      <c r="O62" s="2">
        <f t="shared" ca="1" si="21"/>
        <v>0.28212304502737129</v>
      </c>
      <c r="P62" s="2">
        <f t="shared" ca="1" si="21"/>
        <v>0.20249472747302213</v>
      </c>
      <c r="Q62" s="2">
        <f t="shared" ca="1" si="21"/>
        <v>0.22228891468144019</v>
      </c>
      <c r="R62" s="2">
        <f t="shared" ca="1" si="21"/>
        <v>0.26112198233901024</v>
      </c>
      <c r="S62" s="2">
        <f t="shared" ca="1" si="22"/>
        <v>0.25070610642732877</v>
      </c>
      <c r="T62" s="2">
        <f t="shared" ca="1" si="22"/>
        <v>0.26689864718934875</v>
      </c>
      <c r="U62" s="2">
        <f t="shared" ca="1" si="22"/>
        <v>0.20258118787365315</v>
      </c>
      <c r="V62" s="2">
        <f t="shared" ca="1" si="22"/>
        <v>0.24786443832993824</v>
      </c>
      <c r="W62" s="2">
        <f t="shared" ca="1" si="22"/>
        <v>0.20463661176355197</v>
      </c>
      <c r="X62" s="2">
        <f t="shared" ca="1" si="22"/>
        <v>0.22706172109310957</v>
      </c>
      <c r="Y62" s="2">
        <f t="shared" ca="1" si="22"/>
        <v>0.22408980937792672</v>
      </c>
      <c r="Z62" s="2">
        <f t="shared" ca="1" si="20"/>
        <v>0.29315708954555519</v>
      </c>
      <c r="AA62" s="2">
        <f t="shared" ca="1" si="20"/>
        <v>0.24210219048979739</v>
      </c>
      <c r="AB62" s="2">
        <f t="shared" ca="1" si="20"/>
        <v>0.25354056634229755</v>
      </c>
      <c r="AC62" s="2">
        <f t="shared" ca="1" si="20"/>
        <v>0.2821399193639772</v>
      </c>
      <c r="AD62" s="2">
        <f t="shared" ca="1" si="20"/>
        <v>0.29465102123888415</v>
      </c>
      <c r="AE62" s="2">
        <f t="shared" ca="1" si="20"/>
        <v>0.27087306652136739</v>
      </c>
      <c r="AF62" s="2">
        <f t="shared" ca="1" si="20"/>
        <v>0.21304267403672691</v>
      </c>
      <c r="AG62" s="2">
        <f t="shared" ca="1" si="20"/>
        <v>0.20804558718506436</v>
      </c>
      <c r="AH62" s="2">
        <f t="shared" ca="1" si="20"/>
        <v>0.27773993797818786</v>
      </c>
    </row>
    <row r="63" spans="1:34">
      <c r="A63" t="str">
        <f t="shared" si="18"/>
        <v>Coffee</v>
      </c>
      <c r="B63" t="str">
        <f t="shared" si="8"/>
        <v>Gambela</v>
      </c>
      <c r="C63" s="2">
        <f t="shared" ca="1" si="21"/>
        <v>0.2684455933427487</v>
      </c>
      <c r="D63" s="2">
        <f t="shared" ca="1" si="21"/>
        <v>0.20791279197264875</v>
      </c>
      <c r="E63" s="2">
        <f t="shared" ca="1" si="21"/>
        <v>0.21929724721113483</v>
      </c>
      <c r="F63" s="2">
        <f t="shared" ca="1" si="21"/>
        <v>0.25174819460182674</v>
      </c>
      <c r="G63" s="2">
        <f t="shared" ca="1" si="21"/>
        <v>0.207774340935133</v>
      </c>
      <c r="H63" s="2">
        <f t="shared" ca="1" si="21"/>
        <v>0.23519399451930825</v>
      </c>
      <c r="I63" s="2">
        <f t="shared" ca="1" si="21"/>
        <v>0.29247320951794209</v>
      </c>
      <c r="J63" s="2">
        <f t="shared" ca="1" si="21"/>
        <v>0.28048714958579035</v>
      </c>
      <c r="K63" s="2">
        <f t="shared" ca="1" si="21"/>
        <v>0.2341916777768891</v>
      </c>
      <c r="L63" s="2">
        <f t="shared" ca="1" si="21"/>
        <v>0.21279319809142785</v>
      </c>
      <c r="M63" s="2">
        <f t="shared" ca="1" si="21"/>
        <v>0.20661379374690511</v>
      </c>
      <c r="N63" s="2">
        <f t="shared" ca="1" si="21"/>
        <v>0.23423653416659279</v>
      </c>
      <c r="O63" s="2">
        <f t="shared" ca="1" si="21"/>
        <v>0.26056511472786159</v>
      </c>
      <c r="P63" s="2">
        <f t="shared" ca="1" si="21"/>
        <v>0.28989617539355328</v>
      </c>
      <c r="Q63" s="2">
        <f t="shared" ca="1" si="21"/>
        <v>0.2244795414390337</v>
      </c>
      <c r="R63" s="2">
        <f t="shared" ca="1" si="21"/>
        <v>0.26099462362587666</v>
      </c>
      <c r="S63" s="2">
        <f t="shared" ca="1" si="22"/>
        <v>0.22644310088070194</v>
      </c>
      <c r="T63" s="2">
        <f t="shared" ca="1" si="22"/>
        <v>0.24403272482424743</v>
      </c>
      <c r="U63" s="2">
        <f t="shared" ca="1" si="22"/>
        <v>0.28500539560011678</v>
      </c>
      <c r="V63" s="2">
        <f t="shared" ca="1" si="22"/>
        <v>0.21698652728260956</v>
      </c>
      <c r="W63" s="2">
        <f t="shared" ca="1" si="22"/>
        <v>0.23996096202183298</v>
      </c>
      <c r="X63" s="2">
        <f t="shared" ca="1" si="22"/>
        <v>0.21382262644992683</v>
      </c>
      <c r="Y63" s="2">
        <f t="shared" ca="1" si="22"/>
        <v>0.22011664949612422</v>
      </c>
      <c r="Z63" s="2">
        <f t="shared" ca="1" si="20"/>
        <v>0.26016858685375732</v>
      </c>
      <c r="AA63" s="2">
        <f t="shared" ca="1" si="20"/>
        <v>0.2121590405723332</v>
      </c>
      <c r="AB63" s="2">
        <f t="shared" ca="1" si="20"/>
        <v>0.21656300507920379</v>
      </c>
      <c r="AC63" s="2">
        <f t="shared" ca="1" si="20"/>
        <v>0.29727995250572292</v>
      </c>
      <c r="AD63" s="2">
        <f t="shared" ca="1" si="20"/>
        <v>0.23908800706820543</v>
      </c>
      <c r="AE63" s="2">
        <f t="shared" ca="1" si="20"/>
        <v>0.25546887479763192</v>
      </c>
      <c r="AF63" s="2">
        <f t="shared" ca="1" si="20"/>
        <v>0.28604283112595219</v>
      </c>
      <c r="AG63" s="2">
        <f t="shared" ca="1" si="20"/>
        <v>0.24128041434984909</v>
      </c>
      <c r="AH63" s="2">
        <f t="shared" ca="1" si="20"/>
        <v>0.21169619787154664</v>
      </c>
    </row>
    <row r="64" spans="1:34">
      <c r="A64" t="str">
        <f t="shared" si="18"/>
        <v>Coffee</v>
      </c>
      <c r="B64" t="str">
        <f t="shared" si="8"/>
        <v>Harari</v>
      </c>
      <c r="C64" s="2">
        <f t="shared" ca="1" si="21"/>
        <v>0.29230742433597134</v>
      </c>
      <c r="D64" s="2">
        <f t="shared" ca="1" si="21"/>
        <v>0.20653700547756959</v>
      </c>
      <c r="E64" s="2">
        <f t="shared" ca="1" si="21"/>
        <v>0.29678548235220548</v>
      </c>
      <c r="F64" s="2">
        <f t="shared" ca="1" si="21"/>
        <v>0.22819601374934728</v>
      </c>
      <c r="G64" s="2">
        <f t="shared" ca="1" si="21"/>
        <v>0.24372816498480804</v>
      </c>
      <c r="H64" s="2">
        <f t="shared" ca="1" si="21"/>
        <v>0.28433330461377271</v>
      </c>
      <c r="I64" s="2">
        <f t="shared" ca="1" si="21"/>
        <v>0.2101742605824089</v>
      </c>
      <c r="J64" s="2">
        <f t="shared" ca="1" si="21"/>
        <v>0.24557354171222151</v>
      </c>
      <c r="K64" s="2">
        <f t="shared" ca="1" si="21"/>
        <v>0.22393595178151132</v>
      </c>
      <c r="L64" s="2">
        <f t="shared" ca="1" si="21"/>
        <v>0.2160267206656373</v>
      </c>
      <c r="M64" s="2">
        <f t="shared" ca="1" si="21"/>
        <v>0.26694573893174439</v>
      </c>
      <c r="N64" s="2">
        <f t="shared" ca="1" si="21"/>
        <v>0.2835112993302174</v>
      </c>
      <c r="O64" s="2">
        <f t="shared" ca="1" si="21"/>
        <v>0.24568549809406298</v>
      </c>
      <c r="P64" s="2">
        <f t="shared" ca="1" si="21"/>
        <v>0.22288093334858738</v>
      </c>
      <c r="Q64" s="2">
        <f t="shared" ca="1" si="21"/>
        <v>0.23714609073268217</v>
      </c>
      <c r="R64" s="2">
        <f t="shared" ca="1" si="21"/>
        <v>0.2460586941223325</v>
      </c>
      <c r="S64" s="2">
        <f t="shared" ca="1" si="22"/>
        <v>0.21128431709908102</v>
      </c>
      <c r="T64" s="2">
        <f t="shared" ca="1" si="22"/>
        <v>0.24255298268655409</v>
      </c>
      <c r="U64" s="2">
        <f t="shared" ca="1" si="22"/>
        <v>0.29098952750128887</v>
      </c>
      <c r="V64" s="2">
        <f t="shared" ca="1" si="22"/>
        <v>0.20510557355451473</v>
      </c>
      <c r="W64" s="2">
        <f t="shared" ca="1" si="22"/>
        <v>0.29526713154715561</v>
      </c>
      <c r="X64" s="2">
        <f t="shared" ca="1" si="22"/>
        <v>0.23500579911934508</v>
      </c>
      <c r="Y64" s="2">
        <f t="shared" ca="1" si="22"/>
        <v>0.29098880421488227</v>
      </c>
      <c r="Z64" s="2">
        <f t="shared" ca="1" si="20"/>
        <v>0.2493204702093991</v>
      </c>
      <c r="AA64" s="2">
        <f t="shared" ca="1" si="20"/>
        <v>0.27000528808947016</v>
      </c>
      <c r="AB64" s="2">
        <f t="shared" ca="1" si="20"/>
        <v>0.28038647808513129</v>
      </c>
      <c r="AC64" s="2">
        <f t="shared" ca="1" si="20"/>
        <v>0.20479174458097604</v>
      </c>
      <c r="AD64" s="2">
        <f t="shared" ca="1" si="20"/>
        <v>0.23796924888743792</v>
      </c>
      <c r="AE64" s="2">
        <f t="shared" ca="1" si="20"/>
        <v>0.27007609796894239</v>
      </c>
      <c r="AF64" s="2">
        <f t="shared" ca="1" si="20"/>
        <v>0.27858335327607509</v>
      </c>
      <c r="AG64" s="2">
        <f t="shared" ca="1" si="20"/>
        <v>0.29981589584852503</v>
      </c>
      <c r="AH64" s="2">
        <f t="shared" ca="1" si="20"/>
        <v>0.20724457137377084</v>
      </c>
    </row>
    <row r="65" spans="1:34">
      <c r="A65" t="str">
        <f t="shared" si="18"/>
        <v>Coffee</v>
      </c>
      <c r="B65" t="str">
        <f t="shared" si="8"/>
        <v>Oromia</v>
      </c>
      <c r="C65" s="2">
        <f t="shared" ca="1" si="21"/>
        <v>0.21793122766846085</v>
      </c>
      <c r="D65" s="2">
        <f t="shared" ca="1" si="21"/>
        <v>0.29565329489085629</v>
      </c>
      <c r="E65" s="2">
        <f t="shared" ca="1" si="21"/>
        <v>0.22246192970264841</v>
      </c>
      <c r="F65" s="2">
        <f t="shared" ca="1" si="21"/>
        <v>0.23958632109580291</v>
      </c>
      <c r="G65" s="2">
        <f t="shared" ca="1" si="21"/>
        <v>0.21458337644693717</v>
      </c>
      <c r="H65" s="2">
        <f t="shared" ca="1" si="21"/>
        <v>0.26604066546208333</v>
      </c>
      <c r="I65" s="2">
        <f t="shared" ca="1" si="21"/>
        <v>0.26235893502758706</v>
      </c>
      <c r="J65" s="2">
        <f t="shared" ca="1" si="21"/>
        <v>0.24956166291098444</v>
      </c>
      <c r="K65" s="2">
        <f t="shared" ca="1" si="21"/>
        <v>0.28610382634454201</v>
      </c>
      <c r="L65" s="2">
        <f t="shared" ca="1" si="21"/>
        <v>0.20671726372687915</v>
      </c>
      <c r="M65" s="2">
        <f t="shared" ca="1" si="21"/>
        <v>0.23235145540772412</v>
      </c>
      <c r="N65" s="2">
        <f t="shared" ca="1" si="21"/>
        <v>0.24748681249267743</v>
      </c>
      <c r="O65" s="2">
        <f t="shared" ca="1" si="21"/>
        <v>0.270829255386419</v>
      </c>
      <c r="P65" s="2">
        <f t="shared" ca="1" si="21"/>
        <v>0.23795217832499049</v>
      </c>
      <c r="Q65" s="2">
        <f t="shared" ca="1" si="21"/>
        <v>0.26100764208156202</v>
      </c>
      <c r="R65" s="2">
        <f t="shared" ca="1" si="21"/>
        <v>0.26776995122396235</v>
      </c>
      <c r="S65" s="2">
        <f t="shared" ca="1" si="22"/>
        <v>0.26010713101665756</v>
      </c>
      <c r="T65" s="2">
        <f t="shared" ca="1" si="22"/>
        <v>0.25293135379242604</v>
      </c>
      <c r="U65" s="2">
        <f t="shared" ca="1" si="22"/>
        <v>0.26289284419396486</v>
      </c>
      <c r="V65" s="2">
        <f t="shared" ca="1" si="22"/>
        <v>0.25563452523783364</v>
      </c>
      <c r="W65" s="2">
        <f t="shared" ca="1" si="22"/>
        <v>0.21755530855613947</v>
      </c>
      <c r="X65" s="2">
        <f t="shared" ca="1" si="22"/>
        <v>0.25097945247159881</v>
      </c>
      <c r="Y65" s="2">
        <f t="shared" ca="1" si="22"/>
        <v>0.24480486148371489</v>
      </c>
      <c r="Z65" s="2">
        <f t="shared" ca="1" si="20"/>
        <v>0.2726689855985498</v>
      </c>
      <c r="AA65" s="2">
        <f t="shared" ca="1" si="20"/>
        <v>0.27178494337182751</v>
      </c>
      <c r="AB65" s="2">
        <f t="shared" ca="1" si="20"/>
        <v>0.26766460335434483</v>
      </c>
      <c r="AC65" s="2">
        <f t="shared" ca="1" si="20"/>
        <v>0.29986752688134005</v>
      </c>
      <c r="AD65" s="2">
        <f t="shared" ca="1" si="20"/>
        <v>0.29357880415499843</v>
      </c>
      <c r="AE65" s="2">
        <f t="shared" ca="1" si="20"/>
        <v>0.21211233721459885</v>
      </c>
      <c r="AF65" s="2">
        <f t="shared" ca="1" si="20"/>
        <v>0.26050506039406712</v>
      </c>
      <c r="AG65" s="2">
        <f t="shared" ca="1" si="20"/>
        <v>0.21827827415524736</v>
      </c>
      <c r="AH65" s="2">
        <f t="shared" ca="1" si="20"/>
        <v>0.26689453980701577</v>
      </c>
    </row>
    <row r="66" spans="1:34">
      <c r="A66" t="str">
        <f t="shared" si="18"/>
        <v>Coffee</v>
      </c>
      <c r="B66" t="str">
        <f t="shared" si="8"/>
        <v>Somali</v>
      </c>
      <c r="C66" s="2">
        <f t="shared" ca="1" si="21"/>
        <v>0.21341714423952773</v>
      </c>
      <c r="D66" s="2">
        <f t="shared" ca="1" si="21"/>
        <v>0.22075674262133144</v>
      </c>
      <c r="E66" s="2">
        <f t="shared" ca="1" si="21"/>
        <v>0.22974036269139886</v>
      </c>
      <c r="F66" s="2">
        <f t="shared" ca="1" si="21"/>
        <v>0.20008617162802064</v>
      </c>
      <c r="G66" s="2">
        <f t="shared" ca="1" si="21"/>
        <v>0.20931368025911284</v>
      </c>
      <c r="H66" s="2">
        <f t="shared" ca="1" si="21"/>
        <v>0.22382547066144126</v>
      </c>
      <c r="I66" s="2">
        <f t="shared" ca="1" si="21"/>
        <v>0.28398177050698731</v>
      </c>
      <c r="J66" s="2">
        <f t="shared" ca="1" si="21"/>
        <v>0.21837409657567314</v>
      </c>
      <c r="K66" s="2">
        <f t="shared" ca="1" si="21"/>
        <v>0.24547091193332141</v>
      </c>
      <c r="L66" s="2">
        <f t="shared" ca="1" si="21"/>
        <v>0.2636728342598777</v>
      </c>
      <c r="M66" s="2">
        <f t="shared" ca="1" si="21"/>
        <v>0.25879341665271283</v>
      </c>
      <c r="N66" s="2">
        <f t="shared" ca="1" si="21"/>
        <v>0.29052399648182969</v>
      </c>
      <c r="O66" s="2">
        <f t="shared" ca="1" si="21"/>
        <v>0.20385085812968479</v>
      </c>
      <c r="P66" s="2">
        <f t="shared" ca="1" si="21"/>
        <v>0.28892395210930882</v>
      </c>
      <c r="Q66" s="2">
        <f t="shared" ca="1" si="21"/>
        <v>0.2591227834181824</v>
      </c>
      <c r="R66" s="2">
        <f t="shared" ca="1" si="21"/>
        <v>0.26119528881723381</v>
      </c>
      <c r="S66" s="2">
        <f t="shared" ca="1" si="22"/>
        <v>0.2160749333359418</v>
      </c>
      <c r="T66" s="2">
        <f t="shared" ca="1" si="22"/>
        <v>0.21183763321154153</v>
      </c>
      <c r="U66" s="2">
        <f t="shared" ca="1" si="22"/>
        <v>0.25455563828998756</v>
      </c>
      <c r="V66" s="2">
        <f t="shared" ca="1" si="22"/>
        <v>0.22083967839822216</v>
      </c>
      <c r="W66" s="2">
        <f t="shared" ca="1" si="22"/>
        <v>0.27355479536932703</v>
      </c>
      <c r="X66" s="2">
        <f t="shared" ca="1" si="22"/>
        <v>0.28318617007636099</v>
      </c>
      <c r="Y66" s="2">
        <f t="shared" ca="1" si="22"/>
        <v>0.20772244847167839</v>
      </c>
      <c r="Z66" s="2">
        <f t="shared" ca="1" si="20"/>
        <v>0.28247100218699639</v>
      </c>
      <c r="AA66" s="2">
        <f t="shared" ca="1" si="20"/>
        <v>0.26809253604898065</v>
      </c>
      <c r="AB66" s="2">
        <f t="shared" ca="1" si="20"/>
        <v>0.21026285224848384</v>
      </c>
      <c r="AC66" s="2">
        <f t="shared" ca="1" si="20"/>
        <v>0.2426467554616307</v>
      </c>
      <c r="AD66" s="2">
        <f t="shared" ca="1" si="20"/>
        <v>0.28793942582002607</v>
      </c>
      <c r="AE66" s="2">
        <f t="shared" ca="1" si="20"/>
        <v>0.24056677424008063</v>
      </c>
      <c r="AF66" s="2">
        <f t="shared" ca="1" si="20"/>
        <v>0.28517630838683727</v>
      </c>
      <c r="AG66" s="2">
        <f t="shared" ca="1" si="20"/>
        <v>0.29470145827652999</v>
      </c>
      <c r="AH66" s="2">
        <f t="shared" ca="1" si="20"/>
        <v>0.22564486906276238</v>
      </c>
    </row>
    <row r="67" spans="1:34">
      <c r="A67" t="str">
        <f t="shared" si="18"/>
        <v>Coffee</v>
      </c>
      <c r="B67" t="str">
        <f t="shared" si="8"/>
        <v>SNNPR</v>
      </c>
      <c r="C67" s="2">
        <f t="shared" ca="1" si="21"/>
        <v>0.29684316075211697</v>
      </c>
      <c r="D67" s="2">
        <f t="shared" ca="1" si="21"/>
        <v>0.25609296986921348</v>
      </c>
      <c r="E67" s="2">
        <f t="shared" ca="1" si="21"/>
        <v>0.22588919171949018</v>
      </c>
      <c r="F67" s="2">
        <f t="shared" ca="1" si="21"/>
        <v>0.2889390866385787</v>
      </c>
      <c r="G67" s="2">
        <f t="shared" ca="1" si="21"/>
        <v>0.22383632114051666</v>
      </c>
      <c r="H67" s="2">
        <f t="shared" ca="1" si="21"/>
        <v>0.25808973117479306</v>
      </c>
      <c r="I67" s="2">
        <f t="shared" ca="1" si="21"/>
        <v>0.22791158714096485</v>
      </c>
      <c r="J67" s="2">
        <f t="shared" ca="1" si="21"/>
        <v>0.27360728011740865</v>
      </c>
      <c r="K67" s="2">
        <f t="shared" ca="1" si="21"/>
        <v>0.24804682601359426</v>
      </c>
      <c r="L67" s="2">
        <f t="shared" ca="1" si="21"/>
        <v>0.28862626010963605</v>
      </c>
      <c r="M67" s="2">
        <f t="shared" ca="1" si="21"/>
        <v>0.20824495687380026</v>
      </c>
      <c r="N67" s="2">
        <f t="shared" ca="1" si="21"/>
        <v>0.21072548335649216</v>
      </c>
      <c r="O67" s="2">
        <f t="shared" ca="1" si="21"/>
        <v>0.26951840225574025</v>
      </c>
      <c r="P67" s="2">
        <f t="shared" ca="1" si="21"/>
        <v>0.24984232358578401</v>
      </c>
      <c r="Q67" s="2">
        <f t="shared" ca="1" si="21"/>
        <v>0.2904250686491095</v>
      </c>
      <c r="R67" s="2">
        <f t="shared" ca="1" si="21"/>
        <v>0.20284926308286355</v>
      </c>
      <c r="S67" s="2">
        <f t="shared" ca="1" si="22"/>
        <v>0.2036501728065053</v>
      </c>
      <c r="T67" s="2">
        <f t="shared" ca="1" si="22"/>
        <v>0.2942538460648495</v>
      </c>
      <c r="U67" s="2">
        <f t="shared" ca="1" si="22"/>
        <v>0.29300786693742642</v>
      </c>
      <c r="V67" s="2">
        <f t="shared" ca="1" si="22"/>
        <v>0.22433479386873739</v>
      </c>
      <c r="W67" s="2">
        <f t="shared" ca="1" si="22"/>
        <v>0.25106203638484653</v>
      </c>
      <c r="X67" s="2">
        <f t="shared" ca="1" si="22"/>
        <v>0.28175876176676157</v>
      </c>
      <c r="Y67" s="2">
        <f t="shared" ca="1" si="22"/>
        <v>0.27660408678730636</v>
      </c>
      <c r="Z67" s="2">
        <f t="shared" ca="1" si="20"/>
        <v>0.21180943767771684</v>
      </c>
      <c r="AA67" s="2">
        <f t="shared" ca="1" si="20"/>
        <v>0.29519297112081899</v>
      </c>
      <c r="AB67" s="2">
        <f t="shared" ca="1" si="20"/>
        <v>0.23045668183359569</v>
      </c>
      <c r="AC67" s="2">
        <f t="shared" ca="1" si="20"/>
        <v>0.23628122231995666</v>
      </c>
      <c r="AD67" s="2">
        <f t="shared" ca="1" si="20"/>
        <v>0.28132869920618719</v>
      </c>
      <c r="AE67" s="2">
        <f t="shared" ca="1" si="20"/>
        <v>0.24204982660576052</v>
      </c>
      <c r="AF67" s="2">
        <f t="shared" ca="1" si="20"/>
        <v>0.25523321054091319</v>
      </c>
      <c r="AG67" s="2">
        <f t="shared" ca="1" si="20"/>
        <v>0.22605825384138467</v>
      </c>
      <c r="AH67" s="2">
        <f t="shared" ca="1" si="20"/>
        <v>0.26461876488534591</v>
      </c>
    </row>
    <row r="68" spans="1:34">
      <c r="A68" t="str">
        <f t="shared" si="18"/>
        <v>Coffee</v>
      </c>
      <c r="B68" t="str">
        <f t="shared" si="8"/>
        <v>Tigray</v>
      </c>
      <c r="C68" s="2">
        <f t="shared" ca="1" si="21"/>
        <v>0.2570392665282818</v>
      </c>
      <c r="D68" s="2">
        <f t="shared" ca="1" si="21"/>
        <v>0.22176871227871162</v>
      </c>
      <c r="E68" s="2">
        <f t="shared" ca="1" si="21"/>
        <v>0.21882371434819714</v>
      </c>
      <c r="F68" s="2">
        <f t="shared" ca="1" si="21"/>
        <v>0.29284950589973902</v>
      </c>
      <c r="G68" s="2">
        <f t="shared" ca="1" si="21"/>
        <v>0.26639124426439548</v>
      </c>
      <c r="H68" s="2">
        <f t="shared" ca="1" si="21"/>
        <v>0.21734545347760417</v>
      </c>
      <c r="I68" s="2">
        <f t="shared" ca="1" si="21"/>
        <v>0.25312391460604622</v>
      </c>
      <c r="J68" s="2">
        <f t="shared" ca="1" si="21"/>
        <v>0.29137915463769182</v>
      </c>
      <c r="K68" s="2">
        <f t="shared" ca="1" si="21"/>
        <v>0.26380252303659035</v>
      </c>
      <c r="L68" s="2">
        <f t="shared" ca="1" si="21"/>
        <v>0.2299152607809157</v>
      </c>
      <c r="M68" s="2">
        <f t="shared" ca="1" si="21"/>
        <v>0.23779112022709264</v>
      </c>
      <c r="N68" s="2">
        <f t="shared" ca="1" si="21"/>
        <v>0.24386720972505266</v>
      </c>
      <c r="O68" s="2">
        <f t="shared" ca="1" si="21"/>
        <v>0.22217366282522316</v>
      </c>
      <c r="P68" s="2">
        <f t="shared" ca="1" si="21"/>
        <v>0.21385043909274881</v>
      </c>
      <c r="Q68" s="2">
        <f t="shared" ca="1" si="21"/>
        <v>0.23153293859733048</v>
      </c>
      <c r="R68" s="2">
        <f t="shared" ref="R68:AH68" ca="1" si="23">RAND()*0.1+0.2</f>
        <v>0.21167745979469388</v>
      </c>
      <c r="S68" s="2">
        <f t="shared" ca="1" si="23"/>
        <v>0.23619858285580253</v>
      </c>
      <c r="T68" s="2">
        <f t="shared" ca="1" si="23"/>
        <v>0.24109099445048807</v>
      </c>
      <c r="U68" s="2">
        <f t="shared" ca="1" si="23"/>
        <v>0.20025917302659749</v>
      </c>
      <c r="V68" s="2">
        <f t="shared" ca="1" si="23"/>
        <v>0.2668038040929902</v>
      </c>
      <c r="W68" s="2">
        <f t="shared" ca="1" si="23"/>
        <v>0.27208859946524816</v>
      </c>
      <c r="X68" s="2">
        <f t="shared" ca="1" si="23"/>
        <v>0.22753379945588209</v>
      </c>
      <c r="Y68" s="2">
        <f t="shared" ca="1" si="23"/>
        <v>0.25361963923984271</v>
      </c>
      <c r="Z68" s="2">
        <f t="shared" ca="1" si="23"/>
        <v>0.21793354913561883</v>
      </c>
      <c r="AA68" s="2">
        <f t="shared" ca="1" si="23"/>
        <v>0.25673557017605636</v>
      </c>
      <c r="AB68" s="2">
        <f t="shared" ca="1" si="23"/>
        <v>0.20631746485895508</v>
      </c>
      <c r="AC68" s="2">
        <f t="shared" ca="1" si="23"/>
        <v>0.26811617161079593</v>
      </c>
      <c r="AD68" s="2">
        <f t="shared" ca="1" si="23"/>
        <v>0.2403523080247536</v>
      </c>
      <c r="AE68" s="2">
        <f t="shared" ca="1" si="23"/>
        <v>0.28017308132737112</v>
      </c>
      <c r="AF68" s="2">
        <f t="shared" ca="1" si="23"/>
        <v>0.21991490109356929</v>
      </c>
      <c r="AG68" s="2">
        <f t="shared" ca="1" si="23"/>
        <v>0.24720532458545977</v>
      </c>
      <c r="AH68" s="2">
        <f t="shared" ca="1" si="23"/>
        <v>0.25752762923123712</v>
      </c>
    </row>
  </sheetData>
  <pageMargins left="0.75" right="0.75" top="1" bottom="1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H68"/>
  <sheetViews>
    <sheetView zoomScale="85" zoomScaleNormal="85" workbookViewId="0">
      <selection activeCell="C3" sqref="C3:D30"/>
    </sheetView>
  </sheetViews>
  <sheetFormatPr defaultColWidth="8.875" defaultRowHeight="15.75"/>
  <cols>
    <col min="1" max="1" width="10.125" bestFit="1" customWidth="1"/>
    <col min="2" max="2" width="10.625" bestFit="1" customWidth="1"/>
  </cols>
  <sheetData>
    <row r="1" spans="1:34">
      <c r="C1">
        <v>2015</v>
      </c>
      <c r="D1">
        <v>2015</v>
      </c>
      <c r="E1">
        <f>C1+1</f>
        <v>2016</v>
      </c>
      <c r="F1">
        <f t="shared" ref="F1:AH1" si="0">D1+1</f>
        <v>2016</v>
      </c>
      <c r="G1">
        <f t="shared" si="0"/>
        <v>2017</v>
      </c>
      <c r="H1">
        <f t="shared" si="0"/>
        <v>2017</v>
      </c>
      <c r="I1">
        <f t="shared" si="0"/>
        <v>2018</v>
      </c>
      <c r="J1">
        <f t="shared" si="0"/>
        <v>2018</v>
      </c>
      <c r="K1">
        <f t="shared" si="0"/>
        <v>2019</v>
      </c>
      <c r="L1">
        <f t="shared" si="0"/>
        <v>2019</v>
      </c>
      <c r="M1">
        <f t="shared" si="0"/>
        <v>2020</v>
      </c>
      <c r="N1">
        <f t="shared" si="0"/>
        <v>2020</v>
      </c>
      <c r="O1">
        <f t="shared" si="0"/>
        <v>2021</v>
      </c>
      <c r="P1">
        <f t="shared" si="0"/>
        <v>2021</v>
      </c>
      <c r="Q1">
        <f t="shared" si="0"/>
        <v>2022</v>
      </c>
      <c r="R1">
        <f t="shared" si="0"/>
        <v>2022</v>
      </c>
      <c r="S1">
        <f t="shared" si="0"/>
        <v>2023</v>
      </c>
      <c r="T1">
        <f t="shared" si="0"/>
        <v>2023</v>
      </c>
      <c r="U1">
        <f t="shared" si="0"/>
        <v>2024</v>
      </c>
      <c r="V1">
        <f t="shared" si="0"/>
        <v>2024</v>
      </c>
      <c r="W1">
        <f t="shared" si="0"/>
        <v>2025</v>
      </c>
      <c r="X1">
        <f t="shared" si="0"/>
        <v>2025</v>
      </c>
      <c r="Y1">
        <f t="shared" si="0"/>
        <v>2026</v>
      </c>
      <c r="Z1">
        <f t="shared" si="0"/>
        <v>2026</v>
      </c>
      <c r="AA1">
        <f t="shared" si="0"/>
        <v>2027</v>
      </c>
      <c r="AB1">
        <f t="shared" si="0"/>
        <v>2027</v>
      </c>
      <c r="AC1">
        <f t="shared" si="0"/>
        <v>2028</v>
      </c>
      <c r="AD1">
        <f t="shared" si="0"/>
        <v>2028</v>
      </c>
      <c r="AE1">
        <f t="shared" si="0"/>
        <v>2029</v>
      </c>
      <c r="AF1">
        <f t="shared" si="0"/>
        <v>2029</v>
      </c>
      <c r="AG1">
        <f t="shared" si="0"/>
        <v>2030</v>
      </c>
      <c r="AH1">
        <f t="shared" si="0"/>
        <v>2030</v>
      </c>
    </row>
    <row r="2" spans="1:34">
      <c r="C2" t="str">
        <f t="array" ref="C2:D2">TRANSPOSE(Seasons)</f>
        <v>Belg</v>
      </c>
      <c r="D2" t="str">
        <v>Kremt</v>
      </c>
      <c r="E2" t="str">
        <f>C2</f>
        <v>Belg</v>
      </c>
      <c r="F2" t="str">
        <f t="shared" ref="F2:AH2" si="1">D2</f>
        <v>Kremt</v>
      </c>
      <c r="G2" t="str">
        <f t="shared" si="1"/>
        <v>Belg</v>
      </c>
      <c r="H2" t="str">
        <f t="shared" si="1"/>
        <v>Kremt</v>
      </c>
      <c r="I2" t="str">
        <f t="shared" si="1"/>
        <v>Belg</v>
      </c>
      <c r="J2" t="str">
        <f t="shared" si="1"/>
        <v>Kremt</v>
      </c>
      <c r="K2" t="str">
        <f t="shared" si="1"/>
        <v>Belg</v>
      </c>
      <c r="L2" t="str">
        <f t="shared" si="1"/>
        <v>Kremt</v>
      </c>
      <c r="M2" t="str">
        <f t="shared" si="1"/>
        <v>Belg</v>
      </c>
      <c r="N2" t="str">
        <f t="shared" si="1"/>
        <v>Kremt</v>
      </c>
      <c r="O2" t="str">
        <f t="shared" si="1"/>
        <v>Belg</v>
      </c>
      <c r="P2" t="str">
        <f t="shared" si="1"/>
        <v>Kremt</v>
      </c>
      <c r="Q2" t="str">
        <f t="shared" si="1"/>
        <v>Belg</v>
      </c>
      <c r="R2" t="str">
        <f t="shared" si="1"/>
        <v>Kremt</v>
      </c>
      <c r="S2" t="str">
        <f t="shared" si="1"/>
        <v>Belg</v>
      </c>
      <c r="T2" t="str">
        <f t="shared" si="1"/>
        <v>Kremt</v>
      </c>
      <c r="U2" t="str">
        <f t="shared" si="1"/>
        <v>Belg</v>
      </c>
      <c r="V2" t="str">
        <f t="shared" si="1"/>
        <v>Kremt</v>
      </c>
      <c r="W2" t="str">
        <f t="shared" si="1"/>
        <v>Belg</v>
      </c>
      <c r="X2" t="str">
        <f t="shared" si="1"/>
        <v>Kremt</v>
      </c>
      <c r="Y2" t="str">
        <f t="shared" si="1"/>
        <v>Belg</v>
      </c>
      <c r="Z2" t="str">
        <f t="shared" si="1"/>
        <v>Kremt</v>
      </c>
      <c r="AA2" t="str">
        <f t="shared" si="1"/>
        <v>Belg</v>
      </c>
      <c r="AB2" t="str">
        <f t="shared" si="1"/>
        <v>Kremt</v>
      </c>
      <c r="AC2" t="str">
        <f t="shared" si="1"/>
        <v>Belg</v>
      </c>
      <c r="AD2" t="str">
        <f t="shared" si="1"/>
        <v>Kremt</v>
      </c>
      <c r="AE2" t="str">
        <f t="shared" si="1"/>
        <v>Belg</v>
      </c>
      <c r="AF2" t="str">
        <f t="shared" si="1"/>
        <v>Kremt</v>
      </c>
      <c r="AG2" t="str">
        <f t="shared" si="1"/>
        <v>Belg</v>
      </c>
      <c r="AH2" t="str">
        <f t="shared" si="1"/>
        <v>Kremt</v>
      </c>
    </row>
    <row r="3" spans="1:34">
      <c r="A3" t="str">
        <f>sets!$H$3</f>
        <v>Teff</v>
      </c>
      <c r="B3" t="str">
        <f t="array" ref="B3:B13">Nodes</f>
        <v>AddisAbaba</v>
      </c>
      <c r="C3" s="2">
        <f ca="1">(RAND()*0.1+0.2)*100</f>
        <v>22.950462727587396</v>
      </c>
      <c r="D3" s="2">
        <f t="shared" ref="D3:AH11" ca="1" si="2">(RAND()*0.1+0.2)*100</f>
        <v>27.622961517571987</v>
      </c>
      <c r="E3" s="2">
        <f t="shared" ca="1" si="2"/>
        <v>28.097972578572882</v>
      </c>
      <c r="F3" s="2">
        <f t="shared" ca="1" si="2"/>
        <v>23.117361014691355</v>
      </c>
      <c r="G3" s="2">
        <f t="shared" ca="1" si="2"/>
        <v>22.238071684681255</v>
      </c>
      <c r="H3" s="2">
        <f t="shared" ca="1" si="2"/>
        <v>21.7938633133274</v>
      </c>
      <c r="I3" s="2">
        <f t="shared" ca="1" si="2"/>
        <v>25.994461151476123</v>
      </c>
      <c r="J3" s="2">
        <f t="shared" ca="1" si="2"/>
        <v>24.826876979698081</v>
      </c>
      <c r="K3" s="2">
        <f t="shared" ca="1" si="2"/>
        <v>22.316288613499069</v>
      </c>
      <c r="L3" s="2">
        <f t="shared" ca="1" si="2"/>
        <v>24.08231015176359</v>
      </c>
      <c r="M3" s="2">
        <f t="shared" ca="1" si="2"/>
        <v>25.079446470570943</v>
      </c>
      <c r="N3" s="2">
        <f t="shared" ca="1" si="2"/>
        <v>22.318603733879758</v>
      </c>
      <c r="O3" s="2">
        <f t="shared" ca="1" si="2"/>
        <v>25.520371237190918</v>
      </c>
      <c r="P3" s="2">
        <f t="shared" ca="1" si="2"/>
        <v>27.172460392502252</v>
      </c>
      <c r="Q3" s="2">
        <f t="shared" ca="1" si="2"/>
        <v>27.17766010126801</v>
      </c>
      <c r="R3" s="2">
        <f t="shared" ca="1" si="2"/>
        <v>26.925722612969356</v>
      </c>
      <c r="S3" s="2">
        <f t="shared" ca="1" si="2"/>
        <v>20.577961093429231</v>
      </c>
      <c r="T3" s="2">
        <f t="shared" ca="1" si="2"/>
        <v>20.243035968982547</v>
      </c>
      <c r="U3" s="2">
        <f t="shared" ca="1" si="2"/>
        <v>27.451364164680182</v>
      </c>
      <c r="V3" s="2">
        <f t="shared" ca="1" si="2"/>
        <v>23.961019626895997</v>
      </c>
      <c r="W3" s="2">
        <f t="shared" ca="1" si="2"/>
        <v>24.347856477604974</v>
      </c>
      <c r="X3" s="2">
        <f t="shared" ca="1" si="2"/>
        <v>28.472657664116756</v>
      </c>
      <c r="Y3" s="2">
        <f t="shared" ca="1" si="2"/>
        <v>20.128437507797678</v>
      </c>
      <c r="Z3" s="2">
        <f t="shared" ca="1" si="2"/>
        <v>23.729039280691929</v>
      </c>
      <c r="AA3" s="2">
        <f t="shared" ca="1" si="2"/>
        <v>27.22021270525503</v>
      </c>
      <c r="AB3" s="2">
        <f t="shared" ca="1" si="2"/>
        <v>24.893786650870403</v>
      </c>
      <c r="AC3" s="2">
        <f t="shared" ca="1" si="2"/>
        <v>22.789881051928603</v>
      </c>
      <c r="AD3" s="2">
        <f t="shared" ca="1" si="2"/>
        <v>27.591614991828145</v>
      </c>
      <c r="AE3" s="2">
        <f t="shared" ca="1" si="2"/>
        <v>21.837170281010604</v>
      </c>
      <c r="AF3" s="2">
        <f t="shared" ca="1" si="2"/>
        <v>29.084816574566553</v>
      </c>
      <c r="AG3" s="2">
        <f t="shared" ca="1" si="2"/>
        <v>22.261407286971558</v>
      </c>
      <c r="AH3" s="2">
        <f t="shared" ca="1" si="2"/>
        <v>26.511353748037926</v>
      </c>
    </row>
    <row r="4" spans="1:34">
      <c r="A4" t="str">
        <f>sets!$H$3</f>
        <v>Teff</v>
      </c>
      <c r="B4" t="str">
        <v>Afar</v>
      </c>
      <c r="C4" s="2">
        <f t="shared" ref="C4:R27" ca="1" si="3">(RAND()*0.1+0.2)*100</f>
        <v>27.295991239529638</v>
      </c>
      <c r="D4" s="2">
        <f t="shared" ca="1" si="2"/>
        <v>24.242536864597774</v>
      </c>
      <c r="E4" s="2">
        <f t="shared" ca="1" si="2"/>
        <v>28.204055349289082</v>
      </c>
      <c r="F4" s="2">
        <f t="shared" ca="1" si="2"/>
        <v>29.126817865431409</v>
      </c>
      <c r="G4" s="2">
        <f t="shared" ca="1" si="2"/>
        <v>24.429076065328843</v>
      </c>
      <c r="H4" s="2">
        <f t="shared" ca="1" si="2"/>
        <v>20.92620057667818</v>
      </c>
      <c r="I4" s="2">
        <f t="shared" ca="1" si="2"/>
        <v>24.032800711088736</v>
      </c>
      <c r="J4" s="2">
        <f t="shared" ca="1" si="2"/>
        <v>24.988967984047594</v>
      </c>
      <c r="K4" s="2">
        <f t="shared" ca="1" si="2"/>
        <v>26.128009368261207</v>
      </c>
      <c r="L4" s="2">
        <f t="shared" ca="1" si="2"/>
        <v>29.708157671201839</v>
      </c>
      <c r="M4" s="2">
        <f t="shared" ca="1" si="2"/>
        <v>23.15681111129798</v>
      </c>
      <c r="N4" s="2">
        <f t="shared" ca="1" si="2"/>
        <v>29.946566158682508</v>
      </c>
      <c r="O4" s="2">
        <f t="shared" ca="1" si="2"/>
        <v>29.372970469024374</v>
      </c>
      <c r="P4" s="2">
        <f t="shared" ca="1" si="2"/>
        <v>23.075006739683779</v>
      </c>
      <c r="Q4" s="2">
        <f t="shared" ca="1" si="2"/>
        <v>29.435656101933105</v>
      </c>
      <c r="R4" s="2">
        <f t="shared" ca="1" si="2"/>
        <v>27.756745485463181</v>
      </c>
      <c r="S4" s="2">
        <f t="shared" ca="1" si="2"/>
        <v>28.377796850457827</v>
      </c>
      <c r="T4" s="2">
        <f t="shared" ca="1" si="2"/>
        <v>25.711513950263921</v>
      </c>
      <c r="U4" s="2">
        <f t="shared" ca="1" si="2"/>
        <v>29.374073687909025</v>
      </c>
      <c r="V4" s="2">
        <f t="shared" ca="1" si="2"/>
        <v>22.834934905142678</v>
      </c>
      <c r="W4" s="2">
        <f t="shared" ca="1" si="2"/>
        <v>27.91028762203246</v>
      </c>
      <c r="X4" s="2">
        <f t="shared" ca="1" si="2"/>
        <v>23.320841298596399</v>
      </c>
      <c r="Y4" s="2">
        <f t="shared" ca="1" si="2"/>
        <v>23.299644680528171</v>
      </c>
      <c r="Z4" s="2">
        <f t="shared" ca="1" si="2"/>
        <v>27.90727601942929</v>
      </c>
      <c r="AA4" s="2">
        <f t="shared" ca="1" si="2"/>
        <v>23.194058720363014</v>
      </c>
      <c r="AB4" s="2">
        <f t="shared" ca="1" si="2"/>
        <v>23.381303455121135</v>
      </c>
      <c r="AC4" s="2">
        <f t="shared" ca="1" si="2"/>
        <v>22.426733219637551</v>
      </c>
      <c r="AD4" s="2">
        <f t="shared" ca="1" si="2"/>
        <v>20.776562592460689</v>
      </c>
      <c r="AE4" s="2">
        <f t="shared" ca="1" si="2"/>
        <v>21.671827724546034</v>
      </c>
      <c r="AF4" s="2">
        <f t="shared" ca="1" si="2"/>
        <v>27.545418346117152</v>
      </c>
      <c r="AG4" s="2">
        <f t="shared" ca="1" si="2"/>
        <v>24.543088265177957</v>
      </c>
      <c r="AH4" s="2">
        <f t="shared" ca="1" si="2"/>
        <v>23.806286522372673</v>
      </c>
    </row>
    <row r="5" spans="1:34">
      <c r="A5" t="str">
        <f>sets!$H$3</f>
        <v>Teff</v>
      </c>
      <c r="B5" t="str">
        <v>Amhara</v>
      </c>
      <c r="C5" s="2">
        <f t="shared" ca="1" si="3"/>
        <v>24.864742398791996</v>
      </c>
      <c r="D5" s="2">
        <f t="shared" ca="1" si="2"/>
        <v>26.961726721876527</v>
      </c>
      <c r="E5" s="2">
        <f t="shared" ca="1" si="2"/>
        <v>27.060948159658782</v>
      </c>
      <c r="F5" s="2">
        <f t="shared" ca="1" si="2"/>
        <v>28.611708323957156</v>
      </c>
      <c r="G5" s="2">
        <f t="shared" ca="1" si="2"/>
        <v>26.630811382769721</v>
      </c>
      <c r="H5" s="2">
        <f t="shared" ca="1" si="2"/>
        <v>20.593651538691649</v>
      </c>
      <c r="I5" s="2">
        <f t="shared" ca="1" si="2"/>
        <v>29.002016242011919</v>
      </c>
      <c r="J5" s="2">
        <f t="shared" ca="1" si="2"/>
        <v>23.288695071327265</v>
      </c>
      <c r="K5" s="2">
        <f t="shared" ca="1" si="2"/>
        <v>20.593790562687737</v>
      </c>
      <c r="L5" s="2">
        <f t="shared" ca="1" si="2"/>
        <v>28.911409781441304</v>
      </c>
      <c r="M5" s="2">
        <f t="shared" ca="1" si="2"/>
        <v>26.014178723382582</v>
      </c>
      <c r="N5" s="2">
        <f t="shared" ca="1" si="2"/>
        <v>27.192756195479088</v>
      </c>
      <c r="O5" s="2">
        <f t="shared" ca="1" si="2"/>
        <v>24.660129807772769</v>
      </c>
      <c r="P5" s="2">
        <f t="shared" ca="1" si="2"/>
        <v>20.893113426554816</v>
      </c>
      <c r="Q5" s="2">
        <f t="shared" ca="1" si="2"/>
        <v>23.963014952390267</v>
      </c>
      <c r="R5" s="2">
        <f t="shared" ca="1" si="2"/>
        <v>22.216994983576402</v>
      </c>
      <c r="S5" s="2">
        <f t="shared" ca="1" si="2"/>
        <v>28.079983010683684</v>
      </c>
      <c r="T5" s="2">
        <f t="shared" ca="1" si="2"/>
        <v>22.812946468467601</v>
      </c>
      <c r="U5" s="2">
        <f t="shared" ca="1" si="2"/>
        <v>25.680163564349705</v>
      </c>
      <c r="V5" s="2">
        <f t="shared" ca="1" si="2"/>
        <v>21.006411589663664</v>
      </c>
      <c r="W5" s="2">
        <f t="shared" ca="1" si="2"/>
        <v>29.268553178327757</v>
      </c>
      <c r="X5" s="2">
        <f t="shared" ca="1" si="2"/>
        <v>27.35677799889849</v>
      </c>
      <c r="Y5" s="2">
        <f t="shared" ca="1" si="2"/>
        <v>29.200177348972005</v>
      </c>
      <c r="Z5" s="2">
        <f t="shared" ca="1" si="2"/>
        <v>25.179108228965962</v>
      </c>
      <c r="AA5" s="2">
        <f t="shared" ca="1" si="2"/>
        <v>20.156977323314955</v>
      </c>
      <c r="AB5" s="2">
        <f t="shared" ca="1" si="2"/>
        <v>24.829335759839459</v>
      </c>
      <c r="AC5" s="2">
        <f t="shared" ca="1" si="2"/>
        <v>25.275794241913307</v>
      </c>
      <c r="AD5" s="2">
        <f t="shared" ca="1" si="2"/>
        <v>23.230869650093044</v>
      </c>
      <c r="AE5" s="2">
        <f t="shared" ca="1" si="2"/>
        <v>27.774590909815068</v>
      </c>
      <c r="AF5" s="2">
        <f t="shared" ca="1" si="2"/>
        <v>29.005081698085032</v>
      </c>
      <c r="AG5" s="2">
        <f t="shared" ca="1" si="2"/>
        <v>21.20992628353601</v>
      </c>
      <c r="AH5" s="2">
        <f t="shared" ca="1" si="2"/>
        <v>22.716908642409045</v>
      </c>
    </row>
    <row r="6" spans="1:34">
      <c r="A6" t="str">
        <f>sets!$H$3</f>
        <v>Teff</v>
      </c>
      <c r="B6" t="str">
        <v>Gumuz</v>
      </c>
      <c r="C6" s="2">
        <f t="shared" ca="1" si="3"/>
        <v>20.052058200277468</v>
      </c>
      <c r="D6" s="2">
        <f t="shared" ca="1" si="2"/>
        <v>29.626968420334983</v>
      </c>
      <c r="E6" s="2">
        <f t="shared" ca="1" si="2"/>
        <v>29.410460507089038</v>
      </c>
      <c r="F6" s="2">
        <f t="shared" ca="1" si="2"/>
        <v>29.095344877012234</v>
      </c>
      <c r="G6" s="2">
        <f t="shared" ca="1" si="2"/>
        <v>29.620499776696953</v>
      </c>
      <c r="H6" s="2">
        <f t="shared" ca="1" si="2"/>
        <v>24.172499381862337</v>
      </c>
      <c r="I6" s="2">
        <f t="shared" ca="1" si="2"/>
        <v>28.80748894570031</v>
      </c>
      <c r="J6" s="2">
        <f t="shared" ca="1" si="2"/>
        <v>29.337044168962141</v>
      </c>
      <c r="K6" s="2">
        <f t="shared" ca="1" si="2"/>
        <v>22.600139318865896</v>
      </c>
      <c r="L6" s="2">
        <f t="shared" ca="1" si="2"/>
        <v>23.300364621251646</v>
      </c>
      <c r="M6" s="2">
        <f t="shared" ca="1" si="2"/>
        <v>20.919346941778411</v>
      </c>
      <c r="N6" s="2">
        <f t="shared" ca="1" si="2"/>
        <v>27.9938635603989</v>
      </c>
      <c r="O6" s="2">
        <f t="shared" ca="1" si="2"/>
        <v>20.380605052872465</v>
      </c>
      <c r="P6" s="2">
        <f t="shared" ca="1" si="2"/>
        <v>25.117888174530044</v>
      </c>
      <c r="Q6" s="2">
        <f t="shared" ca="1" si="2"/>
        <v>21.133624849999745</v>
      </c>
      <c r="R6" s="2">
        <f t="shared" ca="1" si="2"/>
        <v>28.884583936117547</v>
      </c>
      <c r="S6" s="2">
        <f t="shared" ca="1" si="2"/>
        <v>23.618850376102696</v>
      </c>
      <c r="T6" s="2">
        <f t="shared" ca="1" si="2"/>
        <v>23.132251882320947</v>
      </c>
      <c r="U6" s="2">
        <f t="shared" ca="1" si="2"/>
        <v>21.682727912275187</v>
      </c>
      <c r="V6" s="2">
        <f t="shared" ca="1" si="2"/>
        <v>20.672020030015098</v>
      </c>
      <c r="W6" s="2">
        <f t="shared" ca="1" si="2"/>
        <v>26.034488269275496</v>
      </c>
      <c r="X6" s="2">
        <f t="shared" ca="1" si="2"/>
        <v>28.794999838358148</v>
      </c>
      <c r="Y6" s="2">
        <f t="shared" ca="1" si="2"/>
        <v>20.654039499226705</v>
      </c>
      <c r="Z6" s="2">
        <f t="shared" ca="1" si="2"/>
        <v>26.62584590269703</v>
      </c>
      <c r="AA6" s="2">
        <f t="shared" ca="1" si="2"/>
        <v>20.410084561307702</v>
      </c>
      <c r="AB6" s="2">
        <f t="shared" ca="1" si="2"/>
        <v>29.281060434359311</v>
      </c>
      <c r="AC6" s="2">
        <f t="shared" ca="1" si="2"/>
        <v>27.144709178711512</v>
      </c>
      <c r="AD6" s="2">
        <f t="shared" ca="1" si="2"/>
        <v>23.016949207118497</v>
      </c>
      <c r="AE6" s="2">
        <f t="shared" ca="1" si="2"/>
        <v>28.793181111161964</v>
      </c>
      <c r="AF6" s="2">
        <f t="shared" ca="1" si="2"/>
        <v>22.120614480159936</v>
      </c>
      <c r="AG6" s="2">
        <f t="shared" ca="1" si="2"/>
        <v>24.135724761532849</v>
      </c>
      <c r="AH6" s="2">
        <f t="shared" ca="1" si="2"/>
        <v>23.167426005484739</v>
      </c>
    </row>
    <row r="7" spans="1:34">
      <c r="A7" t="str">
        <f>sets!$H$3</f>
        <v>Teff</v>
      </c>
      <c r="B7" t="str">
        <v>DireDawa</v>
      </c>
      <c r="C7" s="2">
        <f t="shared" ca="1" si="3"/>
        <v>23.31730191424953</v>
      </c>
      <c r="D7" s="2">
        <f t="shared" ca="1" si="2"/>
        <v>22.261346557014676</v>
      </c>
      <c r="E7" s="2">
        <f t="shared" ca="1" si="2"/>
        <v>20.007024033970879</v>
      </c>
      <c r="F7" s="2">
        <f t="shared" ca="1" si="2"/>
        <v>22.520427258837216</v>
      </c>
      <c r="G7" s="2">
        <f t="shared" ca="1" si="2"/>
        <v>28.853237986534385</v>
      </c>
      <c r="H7" s="2">
        <f t="shared" ca="1" si="2"/>
        <v>29.463029633447992</v>
      </c>
      <c r="I7" s="2">
        <f t="shared" ca="1" si="2"/>
        <v>22.31455032626782</v>
      </c>
      <c r="J7" s="2">
        <f t="shared" ca="1" si="2"/>
        <v>21.60372752842569</v>
      </c>
      <c r="K7" s="2">
        <f t="shared" ca="1" si="2"/>
        <v>29.083517306855917</v>
      </c>
      <c r="L7" s="2">
        <f t="shared" ca="1" si="2"/>
        <v>21.3371573868307</v>
      </c>
      <c r="M7" s="2">
        <f t="shared" ca="1" si="2"/>
        <v>22.065209517536342</v>
      </c>
      <c r="N7" s="2">
        <f t="shared" ca="1" si="2"/>
        <v>29.229968091422165</v>
      </c>
      <c r="O7" s="2">
        <f t="shared" ca="1" si="2"/>
        <v>22.292190251897754</v>
      </c>
      <c r="P7" s="2">
        <f t="shared" ca="1" si="2"/>
        <v>29.316619509841573</v>
      </c>
      <c r="Q7" s="2">
        <f t="shared" ca="1" si="2"/>
        <v>26.091938077020636</v>
      </c>
      <c r="R7" s="2">
        <f t="shared" ca="1" si="2"/>
        <v>22.646574339448435</v>
      </c>
      <c r="S7" s="2">
        <f t="shared" ca="1" si="2"/>
        <v>23.307223499315636</v>
      </c>
      <c r="T7" s="2">
        <f t="shared" ca="1" si="2"/>
        <v>21.264331734709149</v>
      </c>
      <c r="U7" s="2">
        <f t="shared" ca="1" si="2"/>
        <v>25.029662293590317</v>
      </c>
      <c r="V7" s="2">
        <f t="shared" ca="1" si="2"/>
        <v>28.378146743363867</v>
      </c>
      <c r="W7" s="2">
        <f t="shared" ca="1" si="2"/>
        <v>24.581837402121543</v>
      </c>
      <c r="X7" s="2">
        <f t="shared" ca="1" si="2"/>
        <v>20.488144650343227</v>
      </c>
      <c r="Y7" s="2">
        <f t="shared" ca="1" si="2"/>
        <v>26.999537060727651</v>
      </c>
      <c r="Z7" s="2">
        <f t="shared" ca="1" si="2"/>
        <v>28.236567748625259</v>
      </c>
      <c r="AA7" s="2">
        <f t="shared" ca="1" si="2"/>
        <v>22.385014653165737</v>
      </c>
      <c r="AB7" s="2">
        <f t="shared" ca="1" si="2"/>
        <v>23.353091230533938</v>
      </c>
      <c r="AC7" s="2">
        <f t="shared" ca="1" si="2"/>
        <v>26.767933534617139</v>
      </c>
      <c r="AD7" s="2">
        <f t="shared" ca="1" si="2"/>
        <v>25.966907477205737</v>
      </c>
      <c r="AE7" s="2">
        <f t="shared" ca="1" si="2"/>
        <v>29.238992751813502</v>
      </c>
      <c r="AF7" s="2">
        <f t="shared" ca="1" si="2"/>
        <v>27.495263493063117</v>
      </c>
      <c r="AG7" s="2">
        <f t="shared" ca="1" si="2"/>
        <v>26.725041002536909</v>
      </c>
      <c r="AH7" s="2">
        <f t="shared" ca="1" si="2"/>
        <v>27.773373853858462</v>
      </c>
    </row>
    <row r="8" spans="1:34">
      <c r="A8" t="str">
        <f>sets!$H$3</f>
        <v>Teff</v>
      </c>
      <c r="B8" t="str">
        <v>Gambela</v>
      </c>
      <c r="C8" s="2">
        <f t="shared" ca="1" si="3"/>
        <v>29.371661791068181</v>
      </c>
      <c r="D8" s="2">
        <f t="shared" ca="1" si="2"/>
        <v>20.093032851783011</v>
      </c>
      <c r="E8" s="2">
        <f t="shared" ca="1" si="2"/>
        <v>27.027609743838791</v>
      </c>
      <c r="F8" s="2">
        <f t="shared" ca="1" si="2"/>
        <v>27.002826063331526</v>
      </c>
      <c r="G8" s="2">
        <f t="shared" ca="1" si="2"/>
        <v>22.599508681725272</v>
      </c>
      <c r="H8" s="2">
        <f t="shared" ca="1" si="2"/>
        <v>27.27648295615484</v>
      </c>
      <c r="I8" s="2">
        <f t="shared" ca="1" si="2"/>
        <v>25.033188206642549</v>
      </c>
      <c r="J8" s="2">
        <f t="shared" ca="1" si="2"/>
        <v>26.900794287741412</v>
      </c>
      <c r="K8" s="2">
        <f t="shared" ca="1" si="2"/>
        <v>25.492532399343027</v>
      </c>
      <c r="L8" s="2">
        <f t="shared" ca="1" si="2"/>
        <v>20.299473230271012</v>
      </c>
      <c r="M8" s="2">
        <f t="shared" ca="1" si="2"/>
        <v>26.832135420244143</v>
      </c>
      <c r="N8" s="2">
        <f t="shared" ca="1" si="2"/>
        <v>23.156686469425015</v>
      </c>
      <c r="O8" s="2">
        <f t="shared" ca="1" si="2"/>
        <v>23.709222597309328</v>
      </c>
      <c r="P8" s="2">
        <f t="shared" ca="1" si="2"/>
        <v>20.068965119436733</v>
      </c>
      <c r="Q8" s="2">
        <f t="shared" ca="1" si="2"/>
        <v>22.276267260444857</v>
      </c>
      <c r="R8" s="2">
        <f t="shared" ca="1" si="2"/>
        <v>22.885663142723015</v>
      </c>
      <c r="S8" s="2">
        <f t="shared" ca="1" si="2"/>
        <v>22.387037123607481</v>
      </c>
      <c r="T8" s="2">
        <f t="shared" ca="1" si="2"/>
        <v>23.676102471054854</v>
      </c>
      <c r="U8" s="2">
        <f t="shared" ca="1" si="2"/>
        <v>20.753881621915379</v>
      </c>
      <c r="V8" s="2">
        <f t="shared" ca="1" si="2"/>
        <v>21.382416673357962</v>
      </c>
      <c r="W8" s="2">
        <f t="shared" ca="1" si="2"/>
        <v>24.938107041862768</v>
      </c>
      <c r="X8" s="2">
        <f t="shared" ca="1" si="2"/>
        <v>22.253319865679831</v>
      </c>
      <c r="Y8" s="2">
        <f t="shared" ca="1" si="2"/>
        <v>27.965310610239836</v>
      </c>
      <c r="Z8" s="2">
        <f t="shared" ca="1" si="2"/>
        <v>21.261868036448625</v>
      </c>
      <c r="AA8" s="2">
        <f t="shared" ca="1" si="2"/>
        <v>27.010270562068644</v>
      </c>
      <c r="AB8" s="2">
        <f t="shared" ca="1" si="2"/>
        <v>21.755144567095485</v>
      </c>
      <c r="AC8" s="2">
        <f t="shared" ca="1" si="2"/>
        <v>23.929634229472509</v>
      </c>
      <c r="AD8" s="2">
        <f t="shared" ca="1" si="2"/>
        <v>21.668905944902079</v>
      </c>
      <c r="AE8" s="2">
        <f t="shared" ca="1" si="2"/>
        <v>20.504664971162796</v>
      </c>
      <c r="AF8" s="2">
        <f t="shared" ca="1" si="2"/>
        <v>22.481106957874029</v>
      </c>
      <c r="AG8" s="2">
        <f t="shared" ca="1" si="2"/>
        <v>28.995915099130276</v>
      </c>
      <c r="AH8" s="2">
        <f t="shared" ca="1" si="2"/>
        <v>27.534288252959943</v>
      </c>
    </row>
    <row r="9" spans="1:34">
      <c r="A9" t="str">
        <f>sets!$H$3</f>
        <v>Teff</v>
      </c>
      <c r="B9" t="str">
        <v>Harari</v>
      </c>
      <c r="C9" s="2">
        <f t="shared" ca="1" si="3"/>
        <v>23.630643632471674</v>
      </c>
      <c r="D9" s="2">
        <f t="shared" ca="1" si="2"/>
        <v>24.856726080789944</v>
      </c>
      <c r="E9" s="2">
        <f t="shared" ca="1" si="2"/>
        <v>24.692849481232813</v>
      </c>
      <c r="F9" s="2">
        <f t="shared" ca="1" si="2"/>
        <v>20.16347294436855</v>
      </c>
      <c r="G9" s="2">
        <f t="shared" ca="1" si="2"/>
        <v>23.525756500844658</v>
      </c>
      <c r="H9" s="2">
        <f t="shared" ca="1" si="2"/>
        <v>24.212474011633773</v>
      </c>
      <c r="I9" s="2">
        <f t="shared" ca="1" si="2"/>
        <v>28.298811207841425</v>
      </c>
      <c r="J9" s="2">
        <f t="shared" ca="1" si="2"/>
        <v>22.292976099814034</v>
      </c>
      <c r="K9" s="2">
        <f t="shared" ca="1" si="2"/>
        <v>24.73943873039023</v>
      </c>
      <c r="L9" s="2">
        <f t="shared" ca="1" si="2"/>
        <v>26.124000188407457</v>
      </c>
      <c r="M9" s="2">
        <f t="shared" ca="1" si="2"/>
        <v>29.259561385247178</v>
      </c>
      <c r="N9" s="2">
        <f t="shared" ca="1" si="2"/>
        <v>24.537383254168358</v>
      </c>
      <c r="O9" s="2">
        <f t="shared" ca="1" si="2"/>
        <v>29.23113216376348</v>
      </c>
      <c r="P9" s="2">
        <f t="shared" ca="1" si="2"/>
        <v>28.719645368826384</v>
      </c>
      <c r="Q9" s="2">
        <f t="shared" ca="1" si="2"/>
        <v>23.968921388601977</v>
      </c>
      <c r="R9" s="2">
        <f t="shared" ca="1" si="2"/>
        <v>21.201006348000128</v>
      </c>
      <c r="S9" s="2">
        <f t="shared" ca="1" si="2"/>
        <v>26.538466538981652</v>
      </c>
      <c r="T9" s="2">
        <f t="shared" ca="1" si="2"/>
        <v>21.487974479750307</v>
      </c>
      <c r="U9" s="2">
        <f t="shared" ca="1" si="2"/>
        <v>21.946815921427778</v>
      </c>
      <c r="V9" s="2">
        <f t="shared" ca="1" si="2"/>
        <v>21.515526678679926</v>
      </c>
      <c r="W9" s="2">
        <f t="shared" ca="1" si="2"/>
        <v>28.938094136280817</v>
      </c>
      <c r="X9" s="2">
        <f t="shared" ca="1" si="2"/>
        <v>28.15827894584616</v>
      </c>
      <c r="Y9" s="2">
        <f t="shared" ca="1" si="2"/>
        <v>24.284209371451901</v>
      </c>
      <c r="Z9" s="2">
        <f t="shared" ca="1" si="2"/>
        <v>26.472808888052533</v>
      </c>
      <c r="AA9" s="2">
        <f t="shared" ca="1" si="2"/>
        <v>25.045823271654644</v>
      </c>
      <c r="AB9" s="2">
        <f t="shared" ca="1" si="2"/>
        <v>27.477117169067768</v>
      </c>
      <c r="AC9" s="2">
        <f t="shared" ca="1" si="2"/>
        <v>21.752376428157145</v>
      </c>
      <c r="AD9" s="2">
        <f t="shared" ca="1" si="2"/>
        <v>25.500235044378201</v>
      </c>
      <c r="AE9" s="2">
        <f t="shared" ca="1" si="2"/>
        <v>29.676272490532984</v>
      </c>
      <c r="AF9" s="2">
        <f t="shared" ca="1" si="2"/>
        <v>26.13792475371206</v>
      </c>
      <c r="AG9" s="2">
        <f t="shared" ca="1" si="2"/>
        <v>28.199966285696032</v>
      </c>
      <c r="AH9" s="2">
        <f t="shared" ca="1" si="2"/>
        <v>25.68339840865027</v>
      </c>
    </row>
    <row r="10" spans="1:34">
      <c r="A10" t="str">
        <f>sets!$H$3</f>
        <v>Teff</v>
      </c>
      <c r="B10" t="str">
        <v>Oromia</v>
      </c>
      <c r="C10" s="2">
        <f t="shared" ca="1" si="3"/>
        <v>26.833339600302995</v>
      </c>
      <c r="D10" s="2">
        <f t="shared" ca="1" si="2"/>
        <v>25.835035242806743</v>
      </c>
      <c r="E10" s="2">
        <f t="shared" ca="1" si="2"/>
        <v>22.887199715443902</v>
      </c>
      <c r="F10" s="2">
        <f t="shared" ca="1" si="2"/>
        <v>21.91459971997671</v>
      </c>
      <c r="G10" s="2">
        <f t="shared" ca="1" si="2"/>
        <v>21.770946402477353</v>
      </c>
      <c r="H10" s="2">
        <f t="shared" ca="1" si="2"/>
        <v>22.870267094443427</v>
      </c>
      <c r="I10" s="2">
        <f t="shared" ca="1" si="2"/>
        <v>26.90793838712241</v>
      </c>
      <c r="J10" s="2">
        <f t="shared" ca="1" si="2"/>
        <v>29.242528750190171</v>
      </c>
      <c r="K10" s="2">
        <f t="shared" ca="1" si="2"/>
        <v>27.585694188586452</v>
      </c>
      <c r="L10" s="2">
        <f t="shared" ca="1" si="2"/>
        <v>29.350386700307098</v>
      </c>
      <c r="M10" s="2">
        <f t="shared" ca="1" si="2"/>
        <v>29.851430935742812</v>
      </c>
      <c r="N10" s="2">
        <f t="shared" ca="1" si="2"/>
        <v>28.650088094153496</v>
      </c>
      <c r="O10" s="2">
        <f t="shared" ca="1" si="2"/>
        <v>21.914060338347962</v>
      </c>
      <c r="P10" s="2">
        <f t="shared" ca="1" si="2"/>
        <v>27.357907196988872</v>
      </c>
      <c r="Q10" s="2">
        <f t="shared" ca="1" si="2"/>
        <v>26.598920741825459</v>
      </c>
      <c r="R10" s="2">
        <f t="shared" ca="1" si="2"/>
        <v>20.73375826122226</v>
      </c>
      <c r="S10" s="2">
        <f t="shared" ca="1" si="2"/>
        <v>21.186706605318889</v>
      </c>
      <c r="T10" s="2">
        <f t="shared" ca="1" si="2"/>
        <v>26.942418641305601</v>
      </c>
      <c r="U10" s="2">
        <f t="shared" ca="1" si="2"/>
        <v>21.565846182992438</v>
      </c>
      <c r="V10" s="2">
        <f t="shared" ca="1" si="2"/>
        <v>24.40611525170263</v>
      </c>
      <c r="W10" s="2">
        <f t="shared" ca="1" si="2"/>
        <v>26.185266069605319</v>
      </c>
      <c r="X10" s="2">
        <f t="shared" ca="1" si="2"/>
        <v>28.889935955129097</v>
      </c>
      <c r="Y10" s="2">
        <f t="shared" ca="1" si="2"/>
        <v>25.865501340266704</v>
      </c>
      <c r="Z10" s="2">
        <f t="shared" ca="1" si="2"/>
        <v>27.295638584417581</v>
      </c>
      <c r="AA10" s="2">
        <f t="shared" ca="1" si="2"/>
        <v>26.761835928734723</v>
      </c>
      <c r="AB10" s="2">
        <f t="shared" ca="1" si="2"/>
        <v>29.311381209046822</v>
      </c>
      <c r="AC10" s="2">
        <f t="shared" ca="1" si="2"/>
        <v>22.92770988644952</v>
      </c>
      <c r="AD10" s="2">
        <f t="shared" ca="1" si="2"/>
        <v>22.825766066298051</v>
      </c>
      <c r="AE10" s="2">
        <f t="shared" ca="1" si="2"/>
        <v>21.692118321128561</v>
      </c>
      <c r="AF10" s="2">
        <f t="shared" ca="1" si="2"/>
        <v>21.853902610307781</v>
      </c>
      <c r="AG10" s="2">
        <f t="shared" ca="1" si="2"/>
        <v>27.845989358331536</v>
      </c>
      <c r="AH10" s="2">
        <f t="shared" ca="1" si="2"/>
        <v>25.86749605402165</v>
      </c>
    </row>
    <row r="11" spans="1:34">
      <c r="A11" t="str">
        <f>sets!$H$3</f>
        <v>Teff</v>
      </c>
      <c r="B11" t="str">
        <v>Somali</v>
      </c>
      <c r="C11" s="2">
        <f t="shared" ca="1" si="3"/>
        <v>26.601385378137532</v>
      </c>
      <c r="D11" s="2">
        <f t="shared" ca="1" si="2"/>
        <v>29.303895710122163</v>
      </c>
      <c r="E11" s="2">
        <f t="shared" ca="1" si="2"/>
        <v>20.797602505233581</v>
      </c>
      <c r="F11" s="2">
        <f t="shared" ca="1" si="2"/>
        <v>20.173906912028333</v>
      </c>
      <c r="G11" s="2">
        <f t="shared" ca="1" si="2"/>
        <v>21.853823473090067</v>
      </c>
      <c r="H11" s="2">
        <f t="shared" ca="1" si="2"/>
        <v>21.024890214636493</v>
      </c>
      <c r="I11" s="2">
        <f t="shared" ca="1" si="2"/>
        <v>23.805747419909615</v>
      </c>
      <c r="J11" s="2">
        <f t="shared" ca="1" si="2"/>
        <v>23.213708230421989</v>
      </c>
      <c r="K11" s="2">
        <f t="shared" ref="K11:Z42" ca="1" si="4">(RAND()*0.1+0.2)*100</f>
        <v>29.327242279229271</v>
      </c>
      <c r="L11" s="2">
        <f t="shared" ca="1" si="4"/>
        <v>27.516449460804477</v>
      </c>
      <c r="M11" s="2">
        <f t="shared" ca="1" si="4"/>
        <v>28.402860453300949</v>
      </c>
      <c r="N11" s="2">
        <f t="shared" ca="1" si="4"/>
        <v>23.692311999305868</v>
      </c>
      <c r="O11" s="2">
        <f t="shared" ca="1" si="4"/>
        <v>24.082821448577207</v>
      </c>
      <c r="P11" s="2">
        <f t="shared" ca="1" si="4"/>
        <v>23.084760291624473</v>
      </c>
      <c r="Q11" s="2">
        <f t="shared" ca="1" si="4"/>
        <v>26.408059530839584</v>
      </c>
      <c r="R11" s="2">
        <f t="shared" ca="1" si="4"/>
        <v>22.553626399491865</v>
      </c>
      <c r="S11" s="2">
        <f t="shared" ca="1" si="4"/>
        <v>24.927439905014811</v>
      </c>
      <c r="T11" s="2">
        <f t="shared" ca="1" si="4"/>
        <v>24.685408810588839</v>
      </c>
      <c r="U11" s="2">
        <f t="shared" ca="1" si="4"/>
        <v>26.991373754435433</v>
      </c>
      <c r="V11" s="2">
        <f t="shared" ca="1" si="4"/>
        <v>27.71940951146108</v>
      </c>
      <c r="W11" s="2">
        <f t="shared" ca="1" si="4"/>
        <v>21.654793045080229</v>
      </c>
      <c r="X11" s="2">
        <f t="shared" ca="1" si="4"/>
        <v>28.266828797046315</v>
      </c>
      <c r="Y11" s="2">
        <f t="shared" ca="1" si="4"/>
        <v>27.970975308555033</v>
      </c>
      <c r="Z11" s="2">
        <f t="shared" ca="1" si="4"/>
        <v>22.616635419459563</v>
      </c>
      <c r="AA11" s="2">
        <f t="shared" ref="AA11:AH42" ca="1" si="5">(RAND()*0.1+0.2)*100</f>
        <v>28.705664661380769</v>
      </c>
      <c r="AB11" s="2">
        <f t="shared" ca="1" si="5"/>
        <v>29.502612277647845</v>
      </c>
      <c r="AC11" s="2">
        <f t="shared" ca="1" si="5"/>
        <v>26.392063525980213</v>
      </c>
      <c r="AD11" s="2">
        <f t="shared" ca="1" si="5"/>
        <v>21.278944450371807</v>
      </c>
      <c r="AE11" s="2">
        <f t="shared" ca="1" si="5"/>
        <v>23.718511603218211</v>
      </c>
      <c r="AF11" s="2">
        <f t="shared" ca="1" si="5"/>
        <v>28.616498996301477</v>
      </c>
      <c r="AG11" s="2">
        <f t="shared" ca="1" si="5"/>
        <v>21.950018139811199</v>
      </c>
      <c r="AH11" s="2">
        <f t="shared" ca="1" si="5"/>
        <v>28.819281917371242</v>
      </c>
    </row>
    <row r="12" spans="1:34">
      <c r="A12" t="str">
        <f>sets!$H$3</f>
        <v>Teff</v>
      </c>
      <c r="B12" t="str">
        <v>SNNPR</v>
      </c>
      <c r="C12" s="2">
        <f t="shared" ca="1" si="3"/>
        <v>20.61194145557231</v>
      </c>
      <c r="D12" s="2">
        <f t="shared" ca="1" si="3"/>
        <v>20.852147879253263</v>
      </c>
      <c r="E12" s="2">
        <f t="shared" ca="1" si="3"/>
        <v>24.242119396860929</v>
      </c>
      <c r="F12" s="2">
        <f t="shared" ca="1" si="3"/>
        <v>24.63778061594849</v>
      </c>
      <c r="G12" s="2">
        <f t="shared" ca="1" si="3"/>
        <v>25.848838469658482</v>
      </c>
      <c r="H12" s="2">
        <f t="shared" ca="1" si="3"/>
        <v>26.759539540152943</v>
      </c>
      <c r="I12" s="2">
        <f t="shared" ca="1" si="3"/>
        <v>24.030623257886976</v>
      </c>
      <c r="J12" s="2">
        <f t="shared" ca="1" si="3"/>
        <v>24.541736897071434</v>
      </c>
      <c r="K12" s="2">
        <f t="shared" ca="1" si="3"/>
        <v>23.461625178963079</v>
      </c>
      <c r="L12" s="2">
        <f t="shared" ca="1" si="3"/>
        <v>22.15564219779008</v>
      </c>
      <c r="M12" s="2">
        <f t="shared" ca="1" si="3"/>
        <v>26.57615122668301</v>
      </c>
      <c r="N12" s="2">
        <f t="shared" ca="1" si="3"/>
        <v>28.762014991219388</v>
      </c>
      <c r="O12" s="2">
        <f t="shared" ca="1" si="3"/>
        <v>23.440386648163553</v>
      </c>
      <c r="P12" s="2">
        <f t="shared" ca="1" si="3"/>
        <v>20.888685910068656</v>
      </c>
      <c r="Q12" s="2">
        <f t="shared" ca="1" si="3"/>
        <v>28.408372168536488</v>
      </c>
      <c r="R12" s="2">
        <f t="shared" ca="1" si="3"/>
        <v>20.77972894290367</v>
      </c>
      <c r="S12" s="2">
        <f t="shared" ca="1" si="4"/>
        <v>28.741052824492641</v>
      </c>
      <c r="T12" s="2">
        <f t="shared" ca="1" si="4"/>
        <v>24.414107422457217</v>
      </c>
      <c r="U12" s="2">
        <f t="shared" ca="1" si="4"/>
        <v>24.458557087421667</v>
      </c>
      <c r="V12" s="2">
        <f t="shared" ca="1" si="4"/>
        <v>22.077344306358977</v>
      </c>
      <c r="W12" s="2">
        <f t="shared" ca="1" si="4"/>
        <v>21.595360404698567</v>
      </c>
      <c r="X12" s="2">
        <f t="shared" ca="1" si="4"/>
        <v>27.557456863398421</v>
      </c>
      <c r="Y12" s="2">
        <f t="shared" ca="1" si="4"/>
        <v>21.104959817770812</v>
      </c>
      <c r="Z12" s="2">
        <f t="shared" ca="1" si="4"/>
        <v>21.503483251094661</v>
      </c>
      <c r="AA12" s="2">
        <f t="shared" ca="1" si="5"/>
        <v>28.943704826662998</v>
      </c>
      <c r="AB12" s="2">
        <f t="shared" ca="1" si="5"/>
        <v>20.735904091861062</v>
      </c>
      <c r="AC12" s="2">
        <f t="shared" ca="1" si="5"/>
        <v>26.586223920932195</v>
      </c>
      <c r="AD12" s="2">
        <f t="shared" ca="1" si="5"/>
        <v>29.189577962538955</v>
      </c>
      <c r="AE12" s="2">
        <f t="shared" ca="1" si="5"/>
        <v>25.363151924621079</v>
      </c>
      <c r="AF12" s="2">
        <f t="shared" ca="1" si="5"/>
        <v>20.091439713440629</v>
      </c>
      <c r="AG12" s="2">
        <f t="shared" ca="1" si="5"/>
        <v>24.898299989941936</v>
      </c>
      <c r="AH12" s="2">
        <f t="shared" ca="1" si="5"/>
        <v>21.37252526838132</v>
      </c>
    </row>
    <row r="13" spans="1:34">
      <c r="A13" t="str">
        <f>sets!$H$3</f>
        <v>Teff</v>
      </c>
      <c r="B13" t="str">
        <v>Tigray</v>
      </c>
      <c r="C13" s="2">
        <f t="shared" ca="1" si="3"/>
        <v>20.335249532747842</v>
      </c>
      <c r="D13" s="2">
        <f t="shared" ca="1" si="3"/>
        <v>27.565978167474071</v>
      </c>
      <c r="E13" s="2">
        <f t="shared" ca="1" si="3"/>
        <v>26.21112602203749</v>
      </c>
      <c r="F13" s="2">
        <f t="shared" ca="1" si="3"/>
        <v>20.592663792690807</v>
      </c>
      <c r="G13" s="2">
        <f t="shared" ca="1" si="3"/>
        <v>20.548335304548342</v>
      </c>
      <c r="H13" s="2">
        <f t="shared" ca="1" si="3"/>
        <v>27.279199970243173</v>
      </c>
      <c r="I13" s="2">
        <f t="shared" ca="1" si="3"/>
        <v>24.277302510230285</v>
      </c>
      <c r="J13" s="2">
        <f t="shared" ca="1" si="3"/>
        <v>29.754324139796999</v>
      </c>
      <c r="K13" s="2">
        <f t="shared" ca="1" si="3"/>
        <v>24.964566730842229</v>
      </c>
      <c r="L13" s="2">
        <f t="shared" ca="1" si="3"/>
        <v>25.237407074189406</v>
      </c>
      <c r="M13" s="2">
        <f t="shared" ca="1" si="3"/>
        <v>21.619233057433796</v>
      </c>
      <c r="N13" s="2">
        <f t="shared" ca="1" si="3"/>
        <v>21.753421290618274</v>
      </c>
      <c r="O13" s="2">
        <f t="shared" ca="1" si="3"/>
        <v>29.893866102693227</v>
      </c>
      <c r="P13" s="2">
        <f t="shared" ca="1" si="3"/>
        <v>26.663552005430091</v>
      </c>
      <c r="Q13" s="2">
        <f t="shared" ca="1" si="3"/>
        <v>20.001037434158707</v>
      </c>
      <c r="R13" s="2">
        <f t="shared" ca="1" si="3"/>
        <v>28.882302904925332</v>
      </c>
      <c r="S13" s="2">
        <f t="shared" ca="1" si="4"/>
        <v>20.62186649507402</v>
      </c>
      <c r="T13" s="2">
        <f t="shared" ca="1" si="4"/>
        <v>28.188453164576206</v>
      </c>
      <c r="U13" s="2">
        <f t="shared" ca="1" si="4"/>
        <v>27.575147678111666</v>
      </c>
      <c r="V13" s="2">
        <f t="shared" ca="1" si="4"/>
        <v>28.609774143730714</v>
      </c>
      <c r="W13" s="2">
        <f t="shared" ca="1" si="4"/>
        <v>27.228775313387267</v>
      </c>
      <c r="X13" s="2">
        <f t="shared" ca="1" si="4"/>
        <v>26.910571759983505</v>
      </c>
      <c r="Y13" s="2">
        <f t="shared" ca="1" si="4"/>
        <v>24.050156671330956</v>
      </c>
      <c r="Z13" s="2">
        <f t="shared" ca="1" si="4"/>
        <v>26.937356833179351</v>
      </c>
      <c r="AA13" s="2">
        <f t="shared" ca="1" si="5"/>
        <v>26.166277027886341</v>
      </c>
      <c r="AB13" s="2">
        <f t="shared" ca="1" si="5"/>
        <v>28.751484225391678</v>
      </c>
      <c r="AC13" s="2">
        <f t="shared" ca="1" si="5"/>
        <v>29.16161213612919</v>
      </c>
      <c r="AD13" s="2">
        <f t="shared" ca="1" si="5"/>
        <v>23.903417152761179</v>
      </c>
      <c r="AE13" s="2">
        <f t="shared" ca="1" si="5"/>
        <v>23.24104942320912</v>
      </c>
      <c r="AF13" s="2">
        <f t="shared" ca="1" si="5"/>
        <v>25.135482648744805</v>
      </c>
      <c r="AG13" s="2">
        <f t="shared" ca="1" si="5"/>
        <v>21.898599809702912</v>
      </c>
      <c r="AH13" s="2">
        <f t="shared" ca="1" si="5"/>
        <v>25.68972864971056</v>
      </c>
    </row>
    <row r="14" spans="1:34">
      <c r="A14" t="str">
        <f t="shared" ref="A14:A68" si="6">INDEX(Food,MATCH(A3,Food,0)+1)</f>
        <v>Sorghum</v>
      </c>
      <c r="B14" t="str">
        <f>B3</f>
        <v>AddisAbaba</v>
      </c>
      <c r="C14" s="2">
        <f t="shared" ca="1" si="3"/>
        <v>29.563851910075662</v>
      </c>
      <c r="D14" s="2">
        <f t="shared" ca="1" si="3"/>
        <v>23.249022081384314</v>
      </c>
      <c r="E14" s="2">
        <f t="shared" ca="1" si="3"/>
        <v>20.444190041973741</v>
      </c>
      <c r="F14" s="2">
        <f t="shared" ca="1" si="3"/>
        <v>29.670364913049813</v>
      </c>
      <c r="G14" s="2">
        <f t="shared" ca="1" si="3"/>
        <v>24.773424951008348</v>
      </c>
      <c r="H14" s="2">
        <f t="shared" ca="1" si="3"/>
        <v>26.863317646143951</v>
      </c>
      <c r="I14" s="2">
        <f t="shared" ca="1" si="3"/>
        <v>20.017950059490094</v>
      </c>
      <c r="J14" s="2">
        <f t="shared" ca="1" si="3"/>
        <v>21.494149752618409</v>
      </c>
      <c r="K14" s="2">
        <f t="shared" ca="1" si="3"/>
        <v>24.359366874515313</v>
      </c>
      <c r="L14" s="2">
        <f t="shared" ca="1" si="3"/>
        <v>27.618264844217283</v>
      </c>
      <c r="M14" s="2">
        <f t="shared" ca="1" si="3"/>
        <v>20.945476513926945</v>
      </c>
      <c r="N14" s="2">
        <f t="shared" ca="1" si="3"/>
        <v>29.477561844521166</v>
      </c>
      <c r="O14" s="2">
        <f t="shared" ca="1" si="3"/>
        <v>20.206796344286097</v>
      </c>
      <c r="P14" s="2">
        <f t="shared" ca="1" si="3"/>
        <v>29.390110343796426</v>
      </c>
      <c r="Q14" s="2">
        <f t="shared" ca="1" si="3"/>
        <v>23.378285159996175</v>
      </c>
      <c r="R14" s="2">
        <f t="shared" ca="1" si="3"/>
        <v>21.765646121757506</v>
      </c>
      <c r="S14" s="2">
        <f t="shared" ca="1" si="4"/>
        <v>24.662650987249879</v>
      </c>
      <c r="T14" s="2">
        <f t="shared" ca="1" si="4"/>
        <v>28.839958686082522</v>
      </c>
      <c r="U14" s="2">
        <f t="shared" ca="1" si="4"/>
        <v>24.486993949386036</v>
      </c>
      <c r="V14" s="2">
        <f t="shared" ca="1" si="4"/>
        <v>29.850285132946862</v>
      </c>
      <c r="W14" s="2">
        <f t="shared" ca="1" si="4"/>
        <v>26.206898341764045</v>
      </c>
      <c r="X14" s="2">
        <f t="shared" ca="1" si="4"/>
        <v>26.370388653786026</v>
      </c>
      <c r="Y14" s="2">
        <f t="shared" ca="1" si="4"/>
        <v>20.352805490020227</v>
      </c>
      <c r="Z14" s="2">
        <f t="shared" ca="1" si="4"/>
        <v>27.085530408696297</v>
      </c>
      <c r="AA14" s="2">
        <f t="shared" ca="1" si="5"/>
        <v>20.265388210697388</v>
      </c>
      <c r="AB14" s="2">
        <f t="shared" ca="1" si="5"/>
        <v>23.981533426253716</v>
      </c>
      <c r="AC14" s="2">
        <f t="shared" ca="1" si="5"/>
        <v>28.172614541651814</v>
      </c>
      <c r="AD14" s="2">
        <f t="shared" ca="1" si="5"/>
        <v>29.132207075437389</v>
      </c>
      <c r="AE14" s="2">
        <f t="shared" ca="1" si="5"/>
        <v>29.330180345349898</v>
      </c>
      <c r="AF14" s="2">
        <f t="shared" ca="1" si="5"/>
        <v>21.761832591262024</v>
      </c>
      <c r="AG14" s="2">
        <f t="shared" ca="1" si="5"/>
        <v>24.024568386297084</v>
      </c>
      <c r="AH14" s="2">
        <f t="shared" ca="1" si="5"/>
        <v>27.225913849162573</v>
      </c>
    </row>
    <row r="15" spans="1:34">
      <c r="A15" t="str">
        <f t="shared" si="6"/>
        <v>Sorghum</v>
      </c>
      <c r="B15" t="str">
        <f t="shared" ref="B15:B68" si="7">B4</f>
        <v>Afar</v>
      </c>
      <c r="C15" s="2">
        <f t="shared" ca="1" si="3"/>
        <v>26.474093698636409</v>
      </c>
      <c r="D15" s="2">
        <f t="shared" ca="1" si="3"/>
        <v>26.603013964212753</v>
      </c>
      <c r="E15" s="2">
        <f t="shared" ca="1" si="3"/>
        <v>27.005603439430104</v>
      </c>
      <c r="F15" s="2">
        <f t="shared" ca="1" si="3"/>
        <v>28.642492281374793</v>
      </c>
      <c r="G15" s="2">
        <f t="shared" ca="1" si="3"/>
        <v>29.657026447935142</v>
      </c>
      <c r="H15" s="2">
        <f t="shared" ca="1" si="3"/>
        <v>25.480359048411337</v>
      </c>
      <c r="I15" s="2">
        <f t="shared" ca="1" si="3"/>
        <v>23.156369859232058</v>
      </c>
      <c r="J15" s="2">
        <f t="shared" ca="1" si="3"/>
        <v>26.133425978492042</v>
      </c>
      <c r="K15" s="2">
        <f t="shared" ca="1" si="3"/>
        <v>26.848054079081248</v>
      </c>
      <c r="L15" s="2">
        <f t="shared" ca="1" si="3"/>
        <v>22.08042320364731</v>
      </c>
      <c r="M15" s="2">
        <f t="shared" ca="1" si="3"/>
        <v>29.554080849887328</v>
      </c>
      <c r="N15" s="2">
        <f t="shared" ca="1" si="3"/>
        <v>23.809699752688655</v>
      </c>
      <c r="O15" s="2">
        <f t="shared" ca="1" si="3"/>
        <v>24.334185106179067</v>
      </c>
      <c r="P15" s="2">
        <f t="shared" ca="1" si="3"/>
        <v>21.709933022774567</v>
      </c>
      <c r="Q15" s="2">
        <f t="shared" ca="1" si="3"/>
        <v>21.454195599328671</v>
      </c>
      <c r="R15" s="2">
        <f t="shared" ca="1" si="3"/>
        <v>22.174777784369034</v>
      </c>
      <c r="S15" s="2">
        <f t="shared" ca="1" si="4"/>
        <v>26.126807475030251</v>
      </c>
      <c r="T15" s="2">
        <f t="shared" ca="1" si="4"/>
        <v>28.319655439193113</v>
      </c>
      <c r="U15" s="2">
        <f t="shared" ca="1" si="4"/>
        <v>25.79513437601544</v>
      </c>
      <c r="V15" s="2">
        <f t="shared" ca="1" si="4"/>
        <v>29.525200311833711</v>
      </c>
      <c r="W15" s="2">
        <f t="shared" ca="1" si="4"/>
        <v>21.425071479136275</v>
      </c>
      <c r="X15" s="2">
        <f t="shared" ca="1" si="4"/>
        <v>24.080110464325848</v>
      </c>
      <c r="Y15" s="2">
        <f t="shared" ca="1" si="4"/>
        <v>20.416842051825519</v>
      </c>
      <c r="Z15" s="2">
        <f t="shared" ca="1" si="4"/>
        <v>23.926384241608098</v>
      </c>
      <c r="AA15" s="2">
        <f t="shared" ca="1" si="5"/>
        <v>29.110151733195632</v>
      </c>
      <c r="AB15" s="2">
        <f t="shared" ca="1" si="5"/>
        <v>22.693092494344079</v>
      </c>
      <c r="AC15" s="2">
        <f t="shared" ca="1" si="5"/>
        <v>20.067512215315013</v>
      </c>
      <c r="AD15" s="2">
        <f t="shared" ca="1" si="5"/>
        <v>23.126833151535727</v>
      </c>
      <c r="AE15" s="2">
        <f t="shared" ca="1" si="5"/>
        <v>21.16479804276533</v>
      </c>
      <c r="AF15" s="2">
        <f t="shared" ca="1" si="5"/>
        <v>20.624949377802011</v>
      </c>
      <c r="AG15" s="2">
        <f t="shared" ca="1" si="5"/>
        <v>27.893435459891787</v>
      </c>
      <c r="AH15" s="2">
        <f t="shared" ca="1" si="5"/>
        <v>28.425047379795487</v>
      </c>
    </row>
    <row r="16" spans="1:34">
      <c r="A16" t="str">
        <f t="shared" si="6"/>
        <v>Sorghum</v>
      </c>
      <c r="B16" t="str">
        <f t="shared" si="7"/>
        <v>Amhara</v>
      </c>
      <c r="C16" s="2">
        <f t="shared" ca="1" si="3"/>
        <v>24.592010359889724</v>
      </c>
      <c r="D16" s="2">
        <f t="shared" ca="1" si="3"/>
        <v>22.842092654547823</v>
      </c>
      <c r="E16" s="2">
        <f t="shared" ca="1" si="3"/>
        <v>25.497157277853322</v>
      </c>
      <c r="F16" s="2">
        <f t="shared" ca="1" si="3"/>
        <v>28.017006117788267</v>
      </c>
      <c r="G16" s="2">
        <f t="shared" ca="1" si="3"/>
        <v>25.480402236612626</v>
      </c>
      <c r="H16" s="2">
        <f t="shared" ca="1" si="3"/>
        <v>22.804165582298317</v>
      </c>
      <c r="I16" s="2">
        <f t="shared" ca="1" si="3"/>
        <v>24.169997652742296</v>
      </c>
      <c r="J16" s="2">
        <f t="shared" ca="1" si="3"/>
        <v>22.709997274145032</v>
      </c>
      <c r="K16" s="2">
        <f t="shared" ca="1" si="3"/>
        <v>27.575170830732965</v>
      </c>
      <c r="L16" s="2">
        <f t="shared" ca="1" si="3"/>
        <v>22.86283325107965</v>
      </c>
      <c r="M16" s="2">
        <f t="shared" ca="1" si="3"/>
        <v>29.91616423450467</v>
      </c>
      <c r="N16" s="2">
        <f t="shared" ca="1" si="3"/>
        <v>20.061161089667181</v>
      </c>
      <c r="O16" s="2">
        <f t="shared" ca="1" si="3"/>
        <v>21.608134648138627</v>
      </c>
      <c r="P16" s="2">
        <f t="shared" ca="1" si="3"/>
        <v>29.239855503476853</v>
      </c>
      <c r="Q16" s="2">
        <f t="shared" ca="1" si="3"/>
        <v>25.02717378096413</v>
      </c>
      <c r="R16" s="2">
        <f t="shared" ca="1" si="3"/>
        <v>28.029833354093892</v>
      </c>
      <c r="S16" s="2">
        <f t="shared" ca="1" si="4"/>
        <v>29.715153942759542</v>
      </c>
      <c r="T16" s="2">
        <f t="shared" ca="1" si="4"/>
        <v>25.525964207699829</v>
      </c>
      <c r="U16" s="2">
        <f t="shared" ca="1" si="4"/>
        <v>25.197919559710929</v>
      </c>
      <c r="V16" s="2">
        <f t="shared" ca="1" si="4"/>
        <v>22.575150672172121</v>
      </c>
      <c r="W16" s="2">
        <f t="shared" ca="1" si="4"/>
        <v>28.662007269207823</v>
      </c>
      <c r="X16" s="2">
        <f t="shared" ca="1" si="4"/>
        <v>28.611650327927929</v>
      </c>
      <c r="Y16" s="2">
        <f t="shared" ca="1" si="4"/>
        <v>24.228328880991704</v>
      </c>
      <c r="Z16" s="2">
        <f t="shared" ca="1" si="4"/>
        <v>21.921926151697207</v>
      </c>
      <c r="AA16" s="2">
        <f t="shared" ca="1" si="5"/>
        <v>21.94108826293547</v>
      </c>
      <c r="AB16" s="2">
        <f t="shared" ca="1" si="5"/>
        <v>26.425954810219711</v>
      </c>
      <c r="AC16" s="2">
        <f t="shared" ca="1" si="5"/>
        <v>27.972293397005121</v>
      </c>
      <c r="AD16" s="2">
        <f t="shared" ca="1" si="5"/>
        <v>26.462522497933904</v>
      </c>
      <c r="AE16" s="2">
        <f t="shared" ca="1" si="5"/>
        <v>24.445121198120102</v>
      </c>
      <c r="AF16" s="2">
        <f t="shared" ca="1" si="5"/>
        <v>24.350760434759973</v>
      </c>
      <c r="AG16" s="2">
        <f t="shared" ca="1" si="5"/>
        <v>26.70336120881338</v>
      </c>
      <c r="AH16" s="2">
        <f t="shared" ca="1" si="5"/>
        <v>27.330836152921822</v>
      </c>
    </row>
    <row r="17" spans="1:34">
      <c r="A17" t="str">
        <f t="shared" si="6"/>
        <v>Sorghum</v>
      </c>
      <c r="B17" t="str">
        <f t="shared" si="7"/>
        <v>Gumuz</v>
      </c>
      <c r="C17" s="2">
        <f t="shared" ca="1" si="3"/>
        <v>27.185608358181739</v>
      </c>
      <c r="D17" s="2">
        <f t="shared" ca="1" si="3"/>
        <v>23.587573977029063</v>
      </c>
      <c r="E17" s="2">
        <f t="shared" ca="1" si="3"/>
        <v>28.460572319206211</v>
      </c>
      <c r="F17" s="2">
        <f t="shared" ca="1" si="3"/>
        <v>21.687298453841539</v>
      </c>
      <c r="G17" s="2">
        <f t="shared" ca="1" si="3"/>
        <v>29.96851419436663</v>
      </c>
      <c r="H17" s="2">
        <f t="shared" ca="1" si="3"/>
        <v>25.545218890233485</v>
      </c>
      <c r="I17" s="2">
        <f t="shared" ca="1" si="3"/>
        <v>20.543994756676213</v>
      </c>
      <c r="J17" s="2">
        <f t="shared" ca="1" si="3"/>
        <v>28.555161264479</v>
      </c>
      <c r="K17" s="2">
        <f t="shared" ca="1" si="3"/>
        <v>26.070569815172174</v>
      </c>
      <c r="L17" s="2">
        <f t="shared" ca="1" si="3"/>
        <v>29.876183181333616</v>
      </c>
      <c r="M17" s="2">
        <f t="shared" ca="1" si="3"/>
        <v>28.770164936265992</v>
      </c>
      <c r="N17" s="2">
        <f t="shared" ca="1" si="3"/>
        <v>21.874928637406835</v>
      </c>
      <c r="O17" s="2">
        <f t="shared" ca="1" si="3"/>
        <v>26.032203521010377</v>
      </c>
      <c r="P17" s="2">
        <f t="shared" ca="1" si="3"/>
        <v>24.922264152022247</v>
      </c>
      <c r="Q17" s="2">
        <f t="shared" ca="1" si="3"/>
        <v>22.387094120164114</v>
      </c>
      <c r="R17" s="2">
        <f t="shared" ca="1" si="3"/>
        <v>20.666479545759866</v>
      </c>
      <c r="S17" s="2">
        <f t="shared" ca="1" si="4"/>
        <v>27.596126682054717</v>
      </c>
      <c r="T17" s="2">
        <f t="shared" ca="1" si="4"/>
        <v>20.733803444966593</v>
      </c>
      <c r="U17" s="2">
        <f t="shared" ca="1" si="4"/>
        <v>20.949318489956074</v>
      </c>
      <c r="V17" s="2">
        <f t="shared" ca="1" si="4"/>
        <v>25.576508602108326</v>
      </c>
      <c r="W17" s="2">
        <f t="shared" ca="1" si="4"/>
        <v>24.600090588368893</v>
      </c>
      <c r="X17" s="2">
        <f t="shared" ca="1" si="4"/>
        <v>25.725137244056796</v>
      </c>
      <c r="Y17" s="2">
        <f t="shared" ca="1" si="4"/>
        <v>20.235932290487447</v>
      </c>
      <c r="Z17" s="2">
        <f t="shared" ca="1" si="4"/>
        <v>21.627716015320352</v>
      </c>
      <c r="AA17" s="2">
        <f t="shared" ca="1" si="5"/>
        <v>27.932845954057349</v>
      </c>
      <c r="AB17" s="2">
        <f t="shared" ca="1" si="5"/>
        <v>26.424581424550418</v>
      </c>
      <c r="AC17" s="2">
        <f t="shared" ca="1" si="5"/>
        <v>29.479694320654431</v>
      </c>
      <c r="AD17" s="2">
        <f t="shared" ca="1" si="5"/>
        <v>20.277411400064043</v>
      </c>
      <c r="AE17" s="2">
        <f t="shared" ca="1" si="5"/>
        <v>25.135737496793965</v>
      </c>
      <c r="AF17" s="2">
        <f t="shared" ca="1" si="5"/>
        <v>28.258482503091674</v>
      </c>
      <c r="AG17" s="2">
        <f t="shared" ca="1" si="5"/>
        <v>29.607874567414711</v>
      </c>
      <c r="AH17" s="2">
        <f t="shared" ca="1" si="5"/>
        <v>20.799748812212719</v>
      </c>
    </row>
    <row r="18" spans="1:34">
      <c r="A18" t="str">
        <f t="shared" si="6"/>
        <v>Sorghum</v>
      </c>
      <c r="B18" t="str">
        <f t="shared" si="7"/>
        <v>DireDawa</v>
      </c>
      <c r="C18" s="2">
        <f t="shared" ca="1" si="3"/>
        <v>26.372560018016681</v>
      </c>
      <c r="D18" s="2">
        <f t="shared" ca="1" si="3"/>
        <v>24.724991280413487</v>
      </c>
      <c r="E18" s="2">
        <f t="shared" ca="1" si="3"/>
        <v>26.084152903564821</v>
      </c>
      <c r="F18" s="2">
        <f t="shared" ca="1" si="3"/>
        <v>28.030229595537833</v>
      </c>
      <c r="G18" s="2">
        <f t="shared" ca="1" si="3"/>
        <v>25.613580679352133</v>
      </c>
      <c r="H18" s="2">
        <f t="shared" ca="1" si="3"/>
        <v>24.719756626086575</v>
      </c>
      <c r="I18" s="2">
        <f t="shared" ca="1" si="3"/>
        <v>20.965606318521324</v>
      </c>
      <c r="J18" s="2">
        <f t="shared" ca="1" si="3"/>
        <v>25.070761418523386</v>
      </c>
      <c r="K18" s="2">
        <f t="shared" ca="1" si="3"/>
        <v>22.77229489530389</v>
      </c>
      <c r="L18" s="2">
        <f t="shared" ca="1" si="3"/>
        <v>20.317956992220509</v>
      </c>
      <c r="M18" s="2">
        <f t="shared" ca="1" si="3"/>
        <v>24.360103922828731</v>
      </c>
      <c r="N18" s="2">
        <f t="shared" ca="1" si="3"/>
        <v>20.743655718535987</v>
      </c>
      <c r="O18" s="2">
        <f t="shared" ca="1" si="3"/>
        <v>25.472256008450913</v>
      </c>
      <c r="P18" s="2">
        <f t="shared" ca="1" si="3"/>
        <v>23.328019954832623</v>
      </c>
      <c r="Q18" s="2">
        <f t="shared" ca="1" si="3"/>
        <v>23.762579666034313</v>
      </c>
      <c r="R18" s="2">
        <f t="shared" ca="1" si="3"/>
        <v>27.017910264941335</v>
      </c>
      <c r="S18" s="2">
        <f t="shared" ca="1" si="4"/>
        <v>22.740257208462676</v>
      </c>
      <c r="T18" s="2">
        <f t="shared" ca="1" si="4"/>
        <v>23.159834596688036</v>
      </c>
      <c r="U18" s="2">
        <f t="shared" ca="1" si="4"/>
        <v>27.227766505676048</v>
      </c>
      <c r="V18" s="2">
        <f t="shared" ca="1" si="4"/>
        <v>27.674912417905485</v>
      </c>
      <c r="W18" s="2">
        <f t="shared" ca="1" si="4"/>
        <v>24.407359192713272</v>
      </c>
      <c r="X18" s="2">
        <f t="shared" ca="1" si="4"/>
        <v>27.226818290039212</v>
      </c>
      <c r="Y18" s="2">
        <f t="shared" ca="1" si="4"/>
        <v>24.107411513360905</v>
      </c>
      <c r="Z18" s="2">
        <f t="shared" ca="1" si="4"/>
        <v>28.501940080451298</v>
      </c>
      <c r="AA18" s="2">
        <f t="shared" ca="1" si="5"/>
        <v>22.596264726094358</v>
      </c>
      <c r="AB18" s="2">
        <f t="shared" ca="1" si="5"/>
        <v>22.488246433464511</v>
      </c>
      <c r="AC18" s="2">
        <f t="shared" ca="1" si="5"/>
        <v>22.291639578964926</v>
      </c>
      <c r="AD18" s="2">
        <f t="shared" ca="1" si="5"/>
        <v>27.313301193958317</v>
      </c>
      <c r="AE18" s="2">
        <f t="shared" ca="1" si="5"/>
        <v>29.458763413298804</v>
      </c>
      <c r="AF18" s="2">
        <f t="shared" ca="1" si="5"/>
        <v>23.685936510981261</v>
      </c>
      <c r="AG18" s="2">
        <f t="shared" ca="1" si="5"/>
        <v>22.174470056896638</v>
      </c>
      <c r="AH18" s="2">
        <f t="shared" ca="1" si="5"/>
        <v>22.013188394208242</v>
      </c>
    </row>
    <row r="19" spans="1:34">
      <c r="A19" t="str">
        <f t="shared" si="6"/>
        <v>Sorghum</v>
      </c>
      <c r="B19" t="str">
        <f t="shared" si="7"/>
        <v>Gambela</v>
      </c>
      <c r="C19" s="2">
        <f t="shared" ca="1" si="3"/>
        <v>25.117925949951868</v>
      </c>
      <c r="D19" s="2">
        <f t="shared" ca="1" si="3"/>
        <v>29.194868680297866</v>
      </c>
      <c r="E19" s="2">
        <f t="shared" ca="1" si="3"/>
        <v>27.166776815908474</v>
      </c>
      <c r="F19" s="2">
        <f t="shared" ca="1" si="3"/>
        <v>22.482109026109072</v>
      </c>
      <c r="G19" s="2">
        <f t="shared" ca="1" si="3"/>
        <v>25.871490833518894</v>
      </c>
      <c r="H19" s="2">
        <f t="shared" ca="1" si="3"/>
        <v>27.826934333309765</v>
      </c>
      <c r="I19" s="2">
        <f t="shared" ca="1" si="3"/>
        <v>29.008763175780274</v>
      </c>
      <c r="J19" s="2">
        <f t="shared" ca="1" si="3"/>
        <v>29.61855254677916</v>
      </c>
      <c r="K19" s="2">
        <f t="shared" ca="1" si="3"/>
        <v>22.222075039844764</v>
      </c>
      <c r="L19" s="2">
        <f t="shared" ca="1" si="3"/>
        <v>28.635837849279323</v>
      </c>
      <c r="M19" s="2">
        <f t="shared" ca="1" si="3"/>
        <v>21.340064297321408</v>
      </c>
      <c r="N19" s="2">
        <f t="shared" ca="1" si="3"/>
        <v>29.160225015637799</v>
      </c>
      <c r="O19" s="2">
        <f t="shared" ca="1" si="3"/>
        <v>21.322396803348749</v>
      </c>
      <c r="P19" s="2">
        <f t="shared" ca="1" si="3"/>
        <v>23.308322478669265</v>
      </c>
      <c r="Q19" s="2">
        <f t="shared" ca="1" si="3"/>
        <v>24.806975846243205</v>
      </c>
      <c r="R19" s="2">
        <f t="shared" ca="1" si="3"/>
        <v>29.891455375977692</v>
      </c>
      <c r="S19" s="2">
        <f t="shared" ca="1" si="4"/>
        <v>27.774297227753248</v>
      </c>
      <c r="T19" s="2">
        <f t="shared" ca="1" si="4"/>
        <v>27.910638973676626</v>
      </c>
      <c r="U19" s="2">
        <f t="shared" ca="1" si="4"/>
        <v>24.142493998331211</v>
      </c>
      <c r="V19" s="2">
        <f t="shared" ca="1" si="4"/>
        <v>26.409712854197743</v>
      </c>
      <c r="W19" s="2">
        <f t="shared" ca="1" si="4"/>
        <v>24.475569735130378</v>
      </c>
      <c r="X19" s="2">
        <f t="shared" ca="1" si="4"/>
        <v>20.159253130849834</v>
      </c>
      <c r="Y19" s="2">
        <f t="shared" ca="1" si="4"/>
        <v>22.073511967571385</v>
      </c>
      <c r="Z19" s="2">
        <f t="shared" ca="1" si="4"/>
        <v>21.153944668494152</v>
      </c>
      <c r="AA19" s="2">
        <f t="shared" ca="1" si="5"/>
        <v>21.777235321088465</v>
      </c>
      <c r="AB19" s="2">
        <f t="shared" ca="1" si="5"/>
        <v>20.939300387825202</v>
      </c>
      <c r="AC19" s="2">
        <f t="shared" ca="1" si="5"/>
        <v>27.677992909372385</v>
      </c>
      <c r="AD19" s="2">
        <f t="shared" ca="1" si="5"/>
        <v>27.888072737937307</v>
      </c>
      <c r="AE19" s="2">
        <f t="shared" ca="1" si="5"/>
        <v>25.148091392617999</v>
      </c>
      <c r="AF19" s="2">
        <f t="shared" ca="1" si="5"/>
        <v>26.927491744761273</v>
      </c>
      <c r="AG19" s="2">
        <f t="shared" ca="1" si="5"/>
        <v>20.388481853523803</v>
      </c>
      <c r="AH19" s="2">
        <f t="shared" ca="1" si="5"/>
        <v>26.681446733159113</v>
      </c>
    </row>
    <row r="20" spans="1:34">
      <c r="A20" t="str">
        <f t="shared" si="6"/>
        <v>Sorghum</v>
      </c>
      <c r="B20" t="str">
        <f t="shared" si="7"/>
        <v>Harari</v>
      </c>
      <c r="C20" s="2">
        <f t="shared" ca="1" si="3"/>
        <v>23.95329712984692</v>
      </c>
      <c r="D20" s="2">
        <f t="shared" ca="1" si="3"/>
        <v>29.097466344261015</v>
      </c>
      <c r="E20" s="2">
        <f t="shared" ca="1" si="3"/>
        <v>22.283808705410401</v>
      </c>
      <c r="F20" s="2">
        <f t="shared" ca="1" si="3"/>
        <v>28.438295180001454</v>
      </c>
      <c r="G20" s="2">
        <f t="shared" ca="1" si="3"/>
        <v>27.261187652316671</v>
      </c>
      <c r="H20" s="2">
        <f t="shared" ca="1" si="3"/>
        <v>28.850924717414383</v>
      </c>
      <c r="I20" s="2">
        <f t="shared" ca="1" si="3"/>
        <v>20.97952255209659</v>
      </c>
      <c r="J20" s="2">
        <f t="shared" ca="1" si="3"/>
        <v>25.280970400386142</v>
      </c>
      <c r="K20" s="2">
        <f t="shared" ca="1" si="3"/>
        <v>20.777892186558375</v>
      </c>
      <c r="L20" s="2">
        <f t="shared" ca="1" si="3"/>
        <v>21.42984339938365</v>
      </c>
      <c r="M20" s="2">
        <f t="shared" ca="1" si="3"/>
        <v>20.007946182740604</v>
      </c>
      <c r="N20" s="2">
        <f t="shared" ca="1" si="3"/>
        <v>27.639038480474426</v>
      </c>
      <c r="O20" s="2">
        <f t="shared" ca="1" si="3"/>
        <v>22.546193557164713</v>
      </c>
      <c r="P20" s="2">
        <f t="shared" ca="1" si="3"/>
        <v>22.924199573553228</v>
      </c>
      <c r="Q20" s="2">
        <f t="shared" ca="1" si="3"/>
        <v>21.348269974751453</v>
      </c>
      <c r="R20" s="2">
        <f t="shared" ca="1" si="3"/>
        <v>25.467734081699788</v>
      </c>
      <c r="S20" s="2">
        <f t="shared" ca="1" si="4"/>
        <v>24.91554313188783</v>
      </c>
      <c r="T20" s="2">
        <f t="shared" ca="1" si="4"/>
        <v>27.877412865543182</v>
      </c>
      <c r="U20" s="2">
        <f t="shared" ca="1" si="4"/>
        <v>24.068723879599293</v>
      </c>
      <c r="V20" s="2">
        <f t="shared" ca="1" si="4"/>
        <v>27.393450086473791</v>
      </c>
      <c r="W20" s="2">
        <f t="shared" ca="1" si="4"/>
        <v>23.719164898574533</v>
      </c>
      <c r="X20" s="2">
        <f t="shared" ca="1" si="4"/>
        <v>23.847272087595417</v>
      </c>
      <c r="Y20" s="2">
        <f t="shared" ca="1" si="4"/>
        <v>21.540254061308197</v>
      </c>
      <c r="Z20" s="2">
        <f t="shared" ca="1" si="4"/>
        <v>28.121049488665118</v>
      </c>
      <c r="AA20" s="2">
        <f t="shared" ca="1" si="5"/>
        <v>21.37021519586132</v>
      </c>
      <c r="AB20" s="2">
        <f t="shared" ca="1" si="5"/>
        <v>20.564458822600791</v>
      </c>
      <c r="AC20" s="2">
        <f t="shared" ca="1" si="5"/>
        <v>25.797948923441506</v>
      </c>
      <c r="AD20" s="2">
        <f t="shared" ca="1" si="5"/>
        <v>27.905045450316408</v>
      </c>
      <c r="AE20" s="2">
        <f t="shared" ca="1" si="5"/>
        <v>28.394136830953009</v>
      </c>
      <c r="AF20" s="2">
        <f t="shared" ca="1" si="5"/>
        <v>26.920222446503157</v>
      </c>
      <c r="AG20" s="2">
        <f t="shared" ca="1" si="5"/>
        <v>23.665037914771503</v>
      </c>
      <c r="AH20" s="2">
        <f t="shared" ca="1" si="5"/>
        <v>25.712428266745498</v>
      </c>
    </row>
    <row r="21" spans="1:34">
      <c r="A21" t="str">
        <f t="shared" si="6"/>
        <v>Sorghum</v>
      </c>
      <c r="B21" t="str">
        <f t="shared" si="7"/>
        <v>Oromia</v>
      </c>
      <c r="C21" s="2">
        <f t="shared" ca="1" si="3"/>
        <v>26.315557832455966</v>
      </c>
      <c r="D21" s="2">
        <f t="shared" ca="1" si="3"/>
        <v>28.478336029552093</v>
      </c>
      <c r="E21" s="2">
        <f t="shared" ca="1" si="3"/>
        <v>23.911568634663695</v>
      </c>
      <c r="F21" s="2">
        <f t="shared" ca="1" si="3"/>
        <v>24.030796056650502</v>
      </c>
      <c r="G21" s="2">
        <f t="shared" ca="1" si="3"/>
        <v>24.652251966364112</v>
      </c>
      <c r="H21" s="2">
        <f t="shared" ca="1" si="3"/>
        <v>25.491018318408265</v>
      </c>
      <c r="I21" s="2">
        <f t="shared" ca="1" si="3"/>
        <v>29.521921722867873</v>
      </c>
      <c r="J21" s="2">
        <f t="shared" ca="1" si="3"/>
        <v>27.441301007660613</v>
      </c>
      <c r="K21" s="2">
        <f t="shared" ca="1" si="3"/>
        <v>22.68820172097525</v>
      </c>
      <c r="L21" s="2">
        <f t="shared" ca="1" si="3"/>
        <v>22.338066409289528</v>
      </c>
      <c r="M21" s="2">
        <f t="shared" ca="1" si="3"/>
        <v>27.407624153876103</v>
      </c>
      <c r="N21" s="2">
        <f t="shared" ca="1" si="3"/>
        <v>28.868374102135778</v>
      </c>
      <c r="O21" s="2">
        <f t="shared" ca="1" si="3"/>
        <v>26.576716738950807</v>
      </c>
      <c r="P21" s="2">
        <f t="shared" ca="1" si="3"/>
        <v>24.098066605617419</v>
      </c>
      <c r="Q21" s="2">
        <f t="shared" ca="1" si="3"/>
        <v>28.957949055544379</v>
      </c>
      <c r="R21" s="2">
        <f t="shared" ca="1" si="3"/>
        <v>28.890921709877741</v>
      </c>
      <c r="S21" s="2">
        <f t="shared" ca="1" si="4"/>
        <v>27.578357155224541</v>
      </c>
      <c r="T21" s="2">
        <f t="shared" ca="1" si="4"/>
        <v>25.748729178900824</v>
      </c>
      <c r="U21" s="2">
        <f t="shared" ca="1" si="4"/>
        <v>28.835159839907121</v>
      </c>
      <c r="V21" s="2">
        <f t="shared" ca="1" si="4"/>
        <v>26.395598112143791</v>
      </c>
      <c r="W21" s="2">
        <f t="shared" ca="1" si="4"/>
        <v>27.37237499807269</v>
      </c>
      <c r="X21" s="2">
        <f t="shared" ca="1" si="4"/>
        <v>28.175334484864806</v>
      </c>
      <c r="Y21" s="2">
        <f t="shared" ca="1" si="4"/>
        <v>29.290319531357156</v>
      </c>
      <c r="Z21" s="2">
        <f t="shared" ca="1" si="4"/>
        <v>22.997361941290389</v>
      </c>
      <c r="AA21" s="2">
        <f t="shared" ca="1" si="5"/>
        <v>21.903693272578273</v>
      </c>
      <c r="AB21" s="2">
        <f t="shared" ca="1" si="5"/>
        <v>25.448483367926357</v>
      </c>
      <c r="AC21" s="2">
        <f t="shared" ca="1" si="5"/>
        <v>26.340140999668591</v>
      </c>
      <c r="AD21" s="2">
        <f t="shared" ca="1" si="5"/>
        <v>23.419880126222715</v>
      </c>
      <c r="AE21" s="2">
        <f t="shared" ca="1" si="5"/>
        <v>28.989316817126976</v>
      </c>
      <c r="AF21" s="2">
        <f t="shared" ca="1" si="5"/>
        <v>29.136124603852942</v>
      </c>
      <c r="AG21" s="2">
        <f t="shared" ca="1" si="5"/>
        <v>26.970445472665833</v>
      </c>
      <c r="AH21" s="2">
        <f t="shared" ca="1" si="5"/>
        <v>29.20135140651108</v>
      </c>
    </row>
    <row r="22" spans="1:34">
      <c r="A22" t="str">
        <f t="shared" si="6"/>
        <v>Sorghum</v>
      </c>
      <c r="B22" t="str">
        <f t="shared" si="7"/>
        <v>Somali</v>
      </c>
      <c r="C22" s="2">
        <f t="shared" ca="1" si="3"/>
        <v>21.832186746804304</v>
      </c>
      <c r="D22" s="2">
        <f t="shared" ca="1" si="3"/>
        <v>28.667958647431558</v>
      </c>
      <c r="E22" s="2">
        <f t="shared" ca="1" si="3"/>
        <v>20.802124906192969</v>
      </c>
      <c r="F22" s="2">
        <f t="shared" ca="1" si="3"/>
        <v>22.372376094573042</v>
      </c>
      <c r="G22" s="2">
        <f t="shared" ca="1" si="3"/>
        <v>24.843504943386495</v>
      </c>
      <c r="H22" s="2">
        <f t="shared" ca="1" si="3"/>
        <v>27.118643865463188</v>
      </c>
      <c r="I22" s="2">
        <f t="shared" ca="1" si="3"/>
        <v>23.415273209504555</v>
      </c>
      <c r="J22" s="2">
        <f t="shared" ca="1" si="3"/>
        <v>20.987142132263507</v>
      </c>
      <c r="K22" s="2">
        <f t="shared" ca="1" si="3"/>
        <v>28.928738422340881</v>
      </c>
      <c r="L22" s="2">
        <f t="shared" ca="1" si="3"/>
        <v>29.096436017928994</v>
      </c>
      <c r="M22" s="2">
        <f t="shared" ca="1" si="3"/>
        <v>20.121502044325183</v>
      </c>
      <c r="N22" s="2">
        <f t="shared" ca="1" si="3"/>
        <v>29.907502658528028</v>
      </c>
      <c r="O22" s="2">
        <f t="shared" ca="1" si="3"/>
        <v>26.229153311335196</v>
      </c>
      <c r="P22" s="2">
        <f t="shared" ca="1" si="3"/>
        <v>26.722014746363627</v>
      </c>
      <c r="Q22" s="2">
        <f t="shared" ca="1" si="3"/>
        <v>26.358977727644316</v>
      </c>
      <c r="R22" s="2">
        <f t="shared" ca="1" si="3"/>
        <v>21.054904049585097</v>
      </c>
      <c r="S22" s="2">
        <f t="shared" ca="1" si="4"/>
        <v>24.901351515471749</v>
      </c>
      <c r="T22" s="2">
        <f t="shared" ca="1" si="4"/>
        <v>23.126372919303932</v>
      </c>
      <c r="U22" s="2">
        <f t="shared" ca="1" si="4"/>
        <v>29.737174616731398</v>
      </c>
      <c r="V22" s="2">
        <f t="shared" ca="1" si="4"/>
        <v>22.622112833464168</v>
      </c>
      <c r="W22" s="2">
        <f t="shared" ca="1" si="4"/>
        <v>20.226763965868432</v>
      </c>
      <c r="X22" s="2">
        <f t="shared" ca="1" si="4"/>
        <v>24.863169747344365</v>
      </c>
      <c r="Y22" s="2">
        <f t="shared" ca="1" si="4"/>
        <v>23.541457826447143</v>
      </c>
      <c r="Z22" s="2">
        <f t="shared" ca="1" si="4"/>
        <v>20.801482335990119</v>
      </c>
      <c r="AA22" s="2">
        <f t="shared" ca="1" si="5"/>
        <v>29.421361105774412</v>
      </c>
      <c r="AB22" s="2">
        <f t="shared" ca="1" si="5"/>
        <v>20.690900780960149</v>
      </c>
      <c r="AC22" s="2">
        <f t="shared" ca="1" si="5"/>
        <v>21.384946517129677</v>
      </c>
      <c r="AD22" s="2">
        <f t="shared" ca="1" si="5"/>
        <v>23.238771375519423</v>
      </c>
      <c r="AE22" s="2">
        <f t="shared" ca="1" si="5"/>
        <v>22.393261401329699</v>
      </c>
      <c r="AF22" s="2">
        <f t="shared" ca="1" si="5"/>
        <v>27.262467822403529</v>
      </c>
      <c r="AG22" s="2">
        <f t="shared" ca="1" si="5"/>
        <v>22.187208582587818</v>
      </c>
      <c r="AH22" s="2">
        <f t="shared" ca="1" si="5"/>
        <v>22.522099322227575</v>
      </c>
    </row>
    <row r="23" spans="1:34">
      <c r="A23" t="str">
        <f t="shared" si="6"/>
        <v>Sorghum</v>
      </c>
      <c r="B23" t="str">
        <f t="shared" si="7"/>
        <v>SNNPR</v>
      </c>
      <c r="C23" s="2">
        <f t="shared" ca="1" si="3"/>
        <v>23.295843150848139</v>
      </c>
      <c r="D23" s="2">
        <f t="shared" ca="1" si="3"/>
        <v>23.21804825801695</v>
      </c>
      <c r="E23" s="2">
        <f t="shared" ca="1" si="3"/>
        <v>21.189655225729986</v>
      </c>
      <c r="F23" s="2">
        <f t="shared" ca="1" si="3"/>
        <v>24.083887785165391</v>
      </c>
      <c r="G23" s="2">
        <f t="shared" ca="1" si="3"/>
        <v>23.176639739616654</v>
      </c>
      <c r="H23" s="2">
        <f t="shared" ca="1" si="3"/>
        <v>24.123932399822095</v>
      </c>
      <c r="I23" s="2">
        <f t="shared" ca="1" si="3"/>
        <v>26.156694263511852</v>
      </c>
      <c r="J23" s="2">
        <f t="shared" ca="1" si="3"/>
        <v>29.910014487429663</v>
      </c>
      <c r="K23" s="2">
        <f t="shared" ca="1" si="3"/>
        <v>26.07965708445618</v>
      </c>
      <c r="L23" s="2">
        <f t="shared" ca="1" si="3"/>
        <v>26.490190696501827</v>
      </c>
      <c r="M23" s="2">
        <f t="shared" ca="1" si="3"/>
        <v>22.355640635068632</v>
      </c>
      <c r="N23" s="2">
        <f t="shared" ca="1" si="3"/>
        <v>24.707293279254252</v>
      </c>
      <c r="O23" s="2">
        <f t="shared" ca="1" si="3"/>
        <v>26.180385811876256</v>
      </c>
      <c r="P23" s="2">
        <f t="shared" ca="1" si="3"/>
        <v>26.065658243014589</v>
      </c>
      <c r="Q23" s="2">
        <f t="shared" ca="1" si="3"/>
        <v>22.194536753510274</v>
      </c>
      <c r="R23" s="2">
        <f t="shared" ca="1" si="3"/>
        <v>27.508253497833522</v>
      </c>
      <c r="S23" s="2">
        <f t="shared" ca="1" si="4"/>
        <v>21.167816541588735</v>
      </c>
      <c r="T23" s="2">
        <f t="shared" ca="1" si="4"/>
        <v>22.89706957103359</v>
      </c>
      <c r="U23" s="2">
        <f t="shared" ca="1" si="4"/>
        <v>26.367249434841391</v>
      </c>
      <c r="V23" s="2">
        <f t="shared" ca="1" si="4"/>
        <v>24.845381082022588</v>
      </c>
      <c r="W23" s="2">
        <f t="shared" ca="1" si="4"/>
        <v>20.076507897068847</v>
      </c>
      <c r="X23" s="2">
        <f t="shared" ca="1" si="4"/>
        <v>25.679930103941238</v>
      </c>
      <c r="Y23" s="2">
        <f t="shared" ca="1" si="4"/>
        <v>23.058818084444091</v>
      </c>
      <c r="Z23" s="2">
        <f t="shared" ca="1" si="4"/>
        <v>22.378285667064659</v>
      </c>
      <c r="AA23" s="2">
        <f t="shared" ca="1" si="5"/>
        <v>22.537334999466754</v>
      </c>
      <c r="AB23" s="2">
        <f t="shared" ca="1" si="5"/>
        <v>26.232512539509319</v>
      </c>
      <c r="AC23" s="2">
        <f t="shared" ca="1" si="5"/>
        <v>29.187265738041486</v>
      </c>
      <c r="AD23" s="2">
        <f t="shared" ca="1" si="5"/>
        <v>26.862116441632722</v>
      </c>
      <c r="AE23" s="2">
        <f t="shared" ca="1" si="5"/>
        <v>23.475706403926779</v>
      </c>
      <c r="AF23" s="2">
        <f t="shared" ca="1" si="5"/>
        <v>26.583590753584748</v>
      </c>
      <c r="AG23" s="2">
        <f t="shared" ca="1" si="5"/>
        <v>20.414032660113865</v>
      </c>
      <c r="AH23" s="2">
        <f t="shared" ca="1" si="5"/>
        <v>25.585696502962897</v>
      </c>
    </row>
    <row r="24" spans="1:34">
      <c r="A24" t="str">
        <f t="shared" si="6"/>
        <v>Sorghum</v>
      </c>
      <c r="B24" t="str">
        <f t="shared" si="7"/>
        <v>Tigray</v>
      </c>
      <c r="C24" s="2">
        <f t="shared" ca="1" si="3"/>
        <v>28.392903553600803</v>
      </c>
      <c r="D24" s="2">
        <f t="shared" ca="1" si="3"/>
        <v>23.380187038384538</v>
      </c>
      <c r="E24" s="2">
        <f t="shared" ca="1" si="3"/>
        <v>29.309532216493249</v>
      </c>
      <c r="F24" s="2">
        <f t="shared" ca="1" si="3"/>
        <v>20.57832613333769</v>
      </c>
      <c r="G24" s="2">
        <f t="shared" ca="1" si="3"/>
        <v>29.929254537878318</v>
      </c>
      <c r="H24" s="2">
        <f t="shared" ca="1" si="3"/>
        <v>29.694812632162737</v>
      </c>
      <c r="I24" s="2">
        <f t="shared" ca="1" si="3"/>
        <v>26.922106597820378</v>
      </c>
      <c r="J24" s="2">
        <f t="shared" ca="1" si="3"/>
        <v>27.045395171980672</v>
      </c>
      <c r="K24" s="2">
        <f t="shared" ca="1" si="3"/>
        <v>20.792329907550254</v>
      </c>
      <c r="L24" s="2">
        <f t="shared" ca="1" si="3"/>
        <v>21.445251878793215</v>
      </c>
      <c r="M24" s="2">
        <f t="shared" ca="1" si="3"/>
        <v>29.261509500722276</v>
      </c>
      <c r="N24" s="2">
        <f t="shared" ca="1" si="3"/>
        <v>20.449775688691812</v>
      </c>
      <c r="O24" s="2">
        <f t="shared" ca="1" si="3"/>
        <v>26.109735130798327</v>
      </c>
      <c r="P24" s="2">
        <f t="shared" ca="1" si="3"/>
        <v>28.53113760596025</v>
      </c>
      <c r="Q24" s="2">
        <f t="shared" ca="1" si="3"/>
        <v>28.528821299592032</v>
      </c>
      <c r="R24" s="2">
        <f t="shared" ca="1" si="3"/>
        <v>25.807304247378639</v>
      </c>
      <c r="S24" s="2">
        <f t="shared" ca="1" si="4"/>
        <v>22.015412417332776</v>
      </c>
      <c r="T24" s="2">
        <f t="shared" ca="1" si="4"/>
        <v>24.215951365514034</v>
      </c>
      <c r="U24" s="2">
        <f t="shared" ca="1" si="4"/>
        <v>24.985547477023022</v>
      </c>
      <c r="V24" s="2">
        <f t="shared" ca="1" si="4"/>
        <v>21.022621598268014</v>
      </c>
      <c r="W24" s="2">
        <f t="shared" ca="1" si="4"/>
        <v>23.877091317530002</v>
      </c>
      <c r="X24" s="2">
        <f t="shared" ca="1" si="4"/>
        <v>23.250508905639137</v>
      </c>
      <c r="Y24" s="2">
        <f t="shared" ca="1" si="4"/>
        <v>28.938047937516664</v>
      </c>
      <c r="Z24" s="2">
        <f t="shared" ca="1" si="4"/>
        <v>20.595661165485762</v>
      </c>
      <c r="AA24" s="2">
        <f t="shared" ca="1" si="5"/>
        <v>28.682192679423501</v>
      </c>
      <c r="AB24" s="2">
        <f t="shared" ca="1" si="5"/>
        <v>28.29984779222136</v>
      </c>
      <c r="AC24" s="2">
        <f t="shared" ca="1" si="5"/>
        <v>24.877335903648294</v>
      </c>
      <c r="AD24" s="2">
        <f t="shared" ca="1" si="5"/>
        <v>27.282605049678711</v>
      </c>
      <c r="AE24" s="2">
        <f t="shared" ca="1" si="5"/>
        <v>26.280162462596934</v>
      </c>
      <c r="AF24" s="2">
        <f t="shared" ca="1" si="5"/>
        <v>22.662301287305432</v>
      </c>
      <c r="AG24" s="2">
        <f t="shared" ca="1" si="5"/>
        <v>22.201422192136565</v>
      </c>
      <c r="AH24" s="2">
        <f t="shared" ca="1" si="5"/>
        <v>28.305987235761986</v>
      </c>
    </row>
    <row r="25" spans="1:34">
      <c r="A25" t="str">
        <f t="shared" si="6"/>
        <v>Maize</v>
      </c>
      <c r="B25" t="str">
        <f t="shared" si="7"/>
        <v>AddisAbaba</v>
      </c>
      <c r="C25" s="2">
        <f t="shared" ca="1" si="3"/>
        <v>28.246185703670758</v>
      </c>
      <c r="D25" s="2">
        <f t="shared" ca="1" si="3"/>
        <v>23.630451174965188</v>
      </c>
      <c r="E25" s="2">
        <f t="shared" ca="1" si="3"/>
        <v>27.470988712007475</v>
      </c>
      <c r="F25" s="2">
        <f t="shared" ca="1" si="3"/>
        <v>22.808298298835844</v>
      </c>
      <c r="G25" s="2">
        <f t="shared" ca="1" si="3"/>
        <v>27.299482941867399</v>
      </c>
      <c r="H25" s="2">
        <f t="shared" ca="1" si="3"/>
        <v>21.999209279364276</v>
      </c>
      <c r="I25" s="2">
        <f t="shared" ca="1" si="3"/>
        <v>22.906746287789517</v>
      </c>
      <c r="J25" s="2">
        <f t="shared" ca="1" si="3"/>
        <v>26.68878104918339</v>
      </c>
      <c r="K25" s="2">
        <f t="shared" ca="1" si="3"/>
        <v>25.05356841029166</v>
      </c>
      <c r="L25" s="2">
        <f t="shared" ca="1" si="3"/>
        <v>21.803678447749196</v>
      </c>
      <c r="M25" s="2">
        <f t="shared" ca="1" si="3"/>
        <v>27.395446083810825</v>
      </c>
      <c r="N25" s="2">
        <f t="shared" ca="1" si="3"/>
        <v>23.428181616369741</v>
      </c>
      <c r="O25" s="2">
        <f t="shared" ca="1" si="3"/>
        <v>27.798859526851</v>
      </c>
      <c r="P25" s="2">
        <f t="shared" ca="1" si="3"/>
        <v>28.825076894399633</v>
      </c>
      <c r="Q25" s="2">
        <f t="shared" ca="1" si="3"/>
        <v>28.424629312286825</v>
      </c>
      <c r="R25" s="2">
        <f t="shared" ca="1" si="3"/>
        <v>29.973782706536873</v>
      </c>
      <c r="S25" s="2">
        <f t="shared" ca="1" si="4"/>
        <v>29.072438767355841</v>
      </c>
      <c r="T25" s="2">
        <f t="shared" ca="1" si="4"/>
        <v>25.193270290357262</v>
      </c>
      <c r="U25" s="2">
        <f t="shared" ca="1" si="4"/>
        <v>24.214989629331484</v>
      </c>
      <c r="V25" s="2">
        <f t="shared" ca="1" si="4"/>
        <v>28.294363866732514</v>
      </c>
      <c r="W25" s="2">
        <f t="shared" ca="1" si="4"/>
        <v>27.773415742054887</v>
      </c>
      <c r="X25" s="2">
        <f t="shared" ca="1" si="4"/>
        <v>21.84115155092335</v>
      </c>
      <c r="Y25" s="2">
        <f t="shared" ca="1" si="4"/>
        <v>24.433248687481353</v>
      </c>
      <c r="Z25" s="2">
        <f t="shared" ca="1" si="4"/>
        <v>27.762916925156112</v>
      </c>
      <c r="AA25" s="2">
        <f t="shared" ca="1" si="5"/>
        <v>23.10426873842847</v>
      </c>
      <c r="AB25" s="2">
        <f t="shared" ca="1" si="5"/>
        <v>20.06812750834499</v>
      </c>
      <c r="AC25" s="2">
        <f t="shared" ca="1" si="5"/>
        <v>20.795146513130913</v>
      </c>
      <c r="AD25" s="2">
        <f t="shared" ca="1" si="5"/>
        <v>20.708134778040133</v>
      </c>
      <c r="AE25" s="2">
        <f t="shared" ca="1" si="5"/>
        <v>29.993281336693922</v>
      </c>
      <c r="AF25" s="2">
        <f t="shared" ca="1" si="5"/>
        <v>29.934474233447695</v>
      </c>
      <c r="AG25" s="2">
        <f t="shared" ca="1" si="5"/>
        <v>23.263812776298625</v>
      </c>
      <c r="AH25" s="2">
        <f t="shared" ca="1" si="5"/>
        <v>22.816186114274231</v>
      </c>
    </row>
    <row r="26" spans="1:34">
      <c r="A26" t="str">
        <f t="shared" si="6"/>
        <v>Maize</v>
      </c>
      <c r="B26" t="str">
        <f t="shared" si="7"/>
        <v>Afar</v>
      </c>
      <c r="C26" s="2">
        <f t="shared" ca="1" si="3"/>
        <v>21.896098619901096</v>
      </c>
      <c r="D26" s="2">
        <f t="shared" ca="1" si="3"/>
        <v>22.296509400922137</v>
      </c>
      <c r="E26" s="2">
        <f t="shared" ca="1" si="3"/>
        <v>21.996259041281672</v>
      </c>
      <c r="F26" s="2">
        <f t="shared" ca="1" si="3"/>
        <v>27.934820929184955</v>
      </c>
      <c r="G26" s="2">
        <f t="shared" ca="1" si="3"/>
        <v>26.696408431989198</v>
      </c>
      <c r="H26" s="2">
        <f t="shared" ca="1" si="3"/>
        <v>20.255553600349295</v>
      </c>
      <c r="I26" s="2">
        <f t="shared" ca="1" si="3"/>
        <v>21.69159737766498</v>
      </c>
      <c r="J26" s="2">
        <f t="shared" ca="1" si="3"/>
        <v>22.937495367306106</v>
      </c>
      <c r="K26" s="2">
        <f t="shared" ca="1" si="3"/>
        <v>29.595158263884848</v>
      </c>
      <c r="L26" s="2">
        <f t="shared" ca="1" si="3"/>
        <v>27.484176771995145</v>
      </c>
      <c r="M26" s="2">
        <f t="shared" ca="1" si="3"/>
        <v>24.390072608965824</v>
      </c>
      <c r="N26" s="2">
        <f t="shared" ca="1" si="3"/>
        <v>26.339705151015558</v>
      </c>
      <c r="O26" s="2">
        <f t="shared" ca="1" si="3"/>
        <v>28.545212600442561</v>
      </c>
      <c r="P26" s="2">
        <f t="shared" ca="1" si="3"/>
        <v>24.284954310050384</v>
      </c>
      <c r="Q26" s="2">
        <f t="shared" ca="1" si="3"/>
        <v>21.667081837975083</v>
      </c>
      <c r="R26" s="2">
        <f t="shared" ca="1" si="3"/>
        <v>22.445159617794623</v>
      </c>
      <c r="S26" s="2">
        <f t="shared" ca="1" si="4"/>
        <v>27.381857520285706</v>
      </c>
      <c r="T26" s="2">
        <f t="shared" ca="1" si="4"/>
        <v>21.589013843622052</v>
      </c>
      <c r="U26" s="2">
        <f t="shared" ca="1" si="4"/>
        <v>28.631635677177229</v>
      </c>
      <c r="V26" s="2">
        <f t="shared" ca="1" si="4"/>
        <v>20.735457262853053</v>
      </c>
      <c r="W26" s="2">
        <f t="shared" ca="1" si="4"/>
        <v>22.305831822042517</v>
      </c>
      <c r="X26" s="2">
        <f t="shared" ca="1" si="4"/>
        <v>21.781822560804159</v>
      </c>
      <c r="Y26" s="2">
        <f t="shared" ca="1" si="4"/>
        <v>24.187132546404627</v>
      </c>
      <c r="Z26" s="2">
        <f t="shared" ca="1" si="4"/>
        <v>27.725797276153365</v>
      </c>
      <c r="AA26" s="2">
        <f t="shared" ca="1" si="5"/>
        <v>27.077147897967723</v>
      </c>
      <c r="AB26" s="2">
        <f t="shared" ca="1" si="5"/>
        <v>27.105213124632378</v>
      </c>
      <c r="AC26" s="2">
        <f t="shared" ca="1" si="5"/>
        <v>23.908588858425777</v>
      </c>
      <c r="AD26" s="2">
        <f t="shared" ca="1" si="5"/>
        <v>29.122217265016925</v>
      </c>
      <c r="AE26" s="2">
        <f t="shared" ca="1" si="5"/>
        <v>23.501284084797579</v>
      </c>
      <c r="AF26" s="2">
        <f t="shared" ca="1" si="5"/>
        <v>21.950524390005206</v>
      </c>
      <c r="AG26" s="2">
        <f t="shared" ca="1" si="5"/>
        <v>26.25676079224824</v>
      </c>
      <c r="AH26" s="2">
        <f t="shared" ca="1" si="5"/>
        <v>26.57351608706907</v>
      </c>
    </row>
    <row r="27" spans="1:34">
      <c r="A27" t="str">
        <f t="shared" si="6"/>
        <v>Maize</v>
      </c>
      <c r="B27" t="str">
        <f t="shared" si="7"/>
        <v>Amhara</v>
      </c>
      <c r="C27" s="2">
        <f t="shared" ca="1" si="3"/>
        <v>24.728630580202111</v>
      </c>
      <c r="D27" s="2">
        <f t="shared" ca="1" si="3"/>
        <v>25.57670796099541</v>
      </c>
      <c r="E27" s="2">
        <f t="shared" ca="1" si="3"/>
        <v>29.297164586184373</v>
      </c>
      <c r="F27" s="2">
        <f t="shared" ca="1" si="3"/>
        <v>29.777778927369035</v>
      </c>
      <c r="G27" s="2">
        <f t="shared" ca="1" si="3"/>
        <v>23.757595462421488</v>
      </c>
      <c r="H27" s="2">
        <f t="shared" ca="1" si="3"/>
        <v>25.122320122048375</v>
      </c>
      <c r="I27" s="2">
        <f t="shared" ca="1" si="3"/>
        <v>28.238681310949648</v>
      </c>
      <c r="J27" s="2">
        <f t="shared" ref="J27:Y42" ca="1" si="8">(RAND()*0.1+0.2)*100</f>
        <v>27.200628337795152</v>
      </c>
      <c r="K27" s="2">
        <f t="shared" ca="1" si="8"/>
        <v>22.415556135210224</v>
      </c>
      <c r="L27" s="2">
        <f t="shared" ca="1" si="8"/>
        <v>22.969865011357278</v>
      </c>
      <c r="M27" s="2">
        <f t="shared" ca="1" si="8"/>
        <v>25.960739702755099</v>
      </c>
      <c r="N27" s="2">
        <f t="shared" ca="1" si="8"/>
        <v>22.736581856978315</v>
      </c>
      <c r="O27" s="2">
        <f t="shared" ca="1" si="8"/>
        <v>26.679685764901024</v>
      </c>
      <c r="P27" s="2">
        <f t="shared" ca="1" si="8"/>
        <v>21.426434096542046</v>
      </c>
      <c r="Q27" s="2">
        <f t="shared" ca="1" si="8"/>
        <v>23.713077553226324</v>
      </c>
      <c r="R27" s="2">
        <f t="shared" ca="1" si="8"/>
        <v>23.689875946739395</v>
      </c>
      <c r="S27" s="2">
        <f t="shared" ca="1" si="8"/>
        <v>29.045136522215003</v>
      </c>
      <c r="T27" s="2">
        <f t="shared" ca="1" si="8"/>
        <v>24.619173065826509</v>
      </c>
      <c r="U27" s="2">
        <f t="shared" ca="1" si="8"/>
        <v>28.717313585122806</v>
      </c>
      <c r="V27" s="2">
        <f t="shared" ca="1" si="8"/>
        <v>24.266217341429904</v>
      </c>
      <c r="W27" s="2">
        <f t="shared" ca="1" si="8"/>
        <v>26.201613819411662</v>
      </c>
      <c r="X27" s="2">
        <f t="shared" ca="1" si="8"/>
        <v>22.508699937961136</v>
      </c>
      <c r="Y27" s="2">
        <f t="shared" ca="1" si="8"/>
        <v>20.918538662150528</v>
      </c>
      <c r="Z27" s="2">
        <f t="shared" ca="1" si="4"/>
        <v>26.925114180351549</v>
      </c>
      <c r="AA27" s="2">
        <f t="shared" ca="1" si="5"/>
        <v>23.405764657291396</v>
      </c>
      <c r="AB27" s="2">
        <f t="shared" ca="1" si="5"/>
        <v>25.327175698317454</v>
      </c>
      <c r="AC27" s="2">
        <f t="shared" ca="1" si="5"/>
        <v>26.253375749231783</v>
      </c>
      <c r="AD27" s="2">
        <f t="shared" ca="1" si="5"/>
        <v>22.459725851306565</v>
      </c>
      <c r="AE27" s="2">
        <f t="shared" ca="1" si="5"/>
        <v>25.788984958901395</v>
      </c>
      <c r="AF27" s="2">
        <f t="shared" ca="1" si="5"/>
        <v>29.176002589498999</v>
      </c>
      <c r="AG27" s="2">
        <f t="shared" ca="1" si="5"/>
        <v>20.789572005373099</v>
      </c>
      <c r="AH27" s="2">
        <f t="shared" ca="1" si="5"/>
        <v>21.499914758890963</v>
      </c>
    </row>
    <row r="28" spans="1:34">
      <c r="A28" t="str">
        <f t="shared" si="6"/>
        <v>Maize</v>
      </c>
      <c r="B28" t="str">
        <f t="shared" si="7"/>
        <v>Gumuz</v>
      </c>
      <c r="C28" s="2">
        <f t="shared" ref="C28:R52" ca="1" si="9">(RAND()*0.1+0.2)*100</f>
        <v>24.84758969614181</v>
      </c>
      <c r="D28" s="2">
        <f t="shared" ca="1" si="9"/>
        <v>21.027511451478979</v>
      </c>
      <c r="E28" s="2">
        <f t="shared" ca="1" si="9"/>
        <v>24.843114062037014</v>
      </c>
      <c r="F28" s="2">
        <f t="shared" ca="1" si="9"/>
        <v>29.92867073603075</v>
      </c>
      <c r="G28" s="2">
        <f t="shared" ca="1" si="9"/>
        <v>28.673825237741781</v>
      </c>
      <c r="H28" s="2">
        <f t="shared" ca="1" si="9"/>
        <v>21.768077413768349</v>
      </c>
      <c r="I28" s="2">
        <f t="shared" ca="1" si="9"/>
        <v>27.276571213660887</v>
      </c>
      <c r="J28" s="2">
        <f t="shared" ca="1" si="9"/>
        <v>22.451667236354599</v>
      </c>
      <c r="K28" s="2">
        <f t="shared" ca="1" si="9"/>
        <v>28.324476652432871</v>
      </c>
      <c r="L28" s="2">
        <f t="shared" ca="1" si="9"/>
        <v>24.911846699940572</v>
      </c>
      <c r="M28" s="2">
        <f t="shared" ca="1" si="9"/>
        <v>29.484014748116614</v>
      </c>
      <c r="N28" s="2">
        <f t="shared" ca="1" si="9"/>
        <v>22.55104413062935</v>
      </c>
      <c r="O28" s="2">
        <f t="shared" ca="1" si="9"/>
        <v>23.64382476580829</v>
      </c>
      <c r="P28" s="2">
        <f t="shared" ca="1" si="9"/>
        <v>24.745549567842907</v>
      </c>
      <c r="Q28" s="2">
        <f t="shared" ca="1" si="9"/>
        <v>21.329765381341041</v>
      </c>
      <c r="R28" s="2">
        <f t="shared" ca="1" si="9"/>
        <v>25.437221561985339</v>
      </c>
      <c r="S28" s="2">
        <f t="shared" ca="1" si="8"/>
        <v>22.561960181942055</v>
      </c>
      <c r="T28" s="2">
        <f t="shared" ca="1" si="8"/>
        <v>26.825392878778011</v>
      </c>
      <c r="U28" s="2">
        <f t="shared" ca="1" si="8"/>
        <v>26.920082137010514</v>
      </c>
      <c r="V28" s="2">
        <f t="shared" ca="1" si="8"/>
        <v>20.444231701623959</v>
      </c>
      <c r="W28" s="2">
        <f t="shared" ca="1" si="8"/>
        <v>20.448959603997203</v>
      </c>
      <c r="X28" s="2">
        <f t="shared" ca="1" si="8"/>
        <v>27.383554664959775</v>
      </c>
      <c r="Y28" s="2">
        <f t="shared" ca="1" si="8"/>
        <v>21.495543926722128</v>
      </c>
      <c r="Z28" s="2">
        <f t="shared" ca="1" si="4"/>
        <v>21.88433062805867</v>
      </c>
      <c r="AA28" s="2">
        <f t="shared" ca="1" si="5"/>
        <v>28.031190282638779</v>
      </c>
      <c r="AB28" s="2">
        <f t="shared" ca="1" si="5"/>
        <v>25.270291451295911</v>
      </c>
      <c r="AC28" s="2">
        <f t="shared" ca="1" si="5"/>
        <v>21.910444680908643</v>
      </c>
      <c r="AD28" s="2">
        <f t="shared" ca="1" si="5"/>
        <v>27.41663979228078</v>
      </c>
      <c r="AE28" s="2">
        <f t="shared" ca="1" si="5"/>
        <v>20.852145790056159</v>
      </c>
      <c r="AF28" s="2">
        <f t="shared" ca="1" si="5"/>
        <v>26.089045768414611</v>
      </c>
      <c r="AG28" s="2">
        <f t="shared" ca="1" si="5"/>
        <v>22.530416940787799</v>
      </c>
      <c r="AH28" s="2">
        <f t="shared" ca="1" si="5"/>
        <v>20.891880121499408</v>
      </c>
    </row>
    <row r="29" spans="1:34">
      <c r="A29" t="str">
        <f t="shared" si="6"/>
        <v>Maize</v>
      </c>
      <c r="B29" t="str">
        <f t="shared" si="7"/>
        <v>DireDawa</v>
      </c>
      <c r="C29" s="2">
        <f t="shared" ca="1" si="9"/>
        <v>27.773223214266903</v>
      </c>
      <c r="D29" s="2">
        <f t="shared" ca="1" si="9"/>
        <v>24.353380366119222</v>
      </c>
      <c r="E29" s="2">
        <f t="shared" ca="1" si="9"/>
        <v>22.544934040718601</v>
      </c>
      <c r="F29" s="2">
        <f t="shared" ca="1" si="9"/>
        <v>21.926272252746497</v>
      </c>
      <c r="G29" s="2">
        <f t="shared" ca="1" si="9"/>
        <v>21.925123515195676</v>
      </c>
      <c r="H29" s="2">
        <f t="shared" ca="1" si="9"/>
        <v>20.684467679094098</v>
      </c>
      <c r="I29" s="2">
        <f t="shared" ca="1" si="9"/>
        <v>24.797209997047077</v>
      </c>
      <c r="J29" s="2">
        <f t="shared" ca="1" si="9"/>
        <v>24.287189391380188</v>
      </c>
      <c r="K29" s="2">
        <f t="shared" ca="1" si="9"/>
        <v>27.802506271370653</v>
      </c>
      <c r="L29" s="2">
        <f t="shared" ca="1" si="9"/>
        <v>27.007864631022034</v>
      </c>
      <c r="M29" s="2">
        <f t="shared" ca="1" si="9"/>
        <v>22.644552324474223</v>
      </c>
      <c r="N29" s="2">
        <f t="shared" ca="1" si="9"/>
        <v>28.361917452410886</v>
      </c>
      <c r="O29" s="2">
        <f t="shared" ca="1" si="9"/>
        <v>22.594168724447776</v>
      </c>
      <c r="P29" s="2">
        <f t="shared" ca="1" si="9"/>
        <v>20.555722461825471</v>
      </c>
      <c r="Q29" s="2">
        <f t="shared" ca="1" si="9"/>
        <v>22.99450824955127</v>
      </c>
      <c r="R29" s="2">
        <f t="shared" ca="1" si="9"/>
        <v>24.309053385173936</v>
      </c>
      <c r="S29" s="2">
        <f t="shared" ca="1" si="8"/>
        <v>21.684820523459202</v>
      </c>
      <c r="T29" s="2">
        <f t="shared" ca="1" si="8"/>
        <v>20.091620795031115</v>
      </c>
      <c r="U29" s="2">
        <f t="shared" ca="1" si="8"/>
        <v>20.237408071368481</v>
      </c>
      <c r="V29" s="2">
        <f t="shared" ca="1" si="8"/>
        <v>22.301035651570579</v>
      </c>
      <c r="W29" s="2">
        <f t="shared" ca="1" si="8"/>
        <v>27.361794229441617</v>
      </c>
      <c r="X29" s="2">
        <f t="shared" ca="1" si="8"/>
        <v>21.482136482887633</v>
      </c>
      <c r="Y29" s="2">
        <f t="shared" ca="1" si="8"/>
        <v>20.0346546795435</v>
      </c>
      <c r="Z29" s="2">
        <f t="shared" ca="1" si="4"/>
        <v>20.128888193939641</v>
      </c>
      <c r="AA29" s="2">
        <f t="shared" ca="1" si="5"/>
        <v>20.700958272859157</v>
      </c>
      <c r="AB29" s="2">
        <f t="shared" ca="1" si="5"/>
        <v>25.083013655596886</v>
      </c>
      <c r="AC29" s="2">
        <f t="shared" ca="1" si="5"/>
        <v>27.644873194314812</v>
      </c>
      <c r="AD29" s="2">
        <f t="shared" ca="1" si="5"/>
        <v>28.130839674167945</v>
      </c>
      <c r="AE29" s="2">
        <f t="shared" ca="1" si="5"/>
        <v>20.550517515005346</v>
      </c>
      <c r="AF29" s="2">
        <f t="shared" ca="1" si="5"/>
        <v>28.953325948545011</v>
      </c>
      <c r="AG29" s="2">
        <f t="shared" ca="1" si="5"/>
        <v>29.256763659011092</v>
      </c>
      <c r="AH29" s="2">
        <f t="shared" ca="1" si="5"/>
        <v>27.769021088984491</v>
      </c>
    </row>
    <row r="30" spans="1:34">
      <c r="A30" t="str">
        <f t="shared" si="6"/>
        <v>Maize</v>
      </c>
      <c r="B30" t="str">
        <f t="shared" si="7"/>
        <v>Gambela</v>
      </c>
      <c r="C30" s="2">
        <f t="shared" ca="1" si="9"/>
        <v>21.208329856381368</v>
      </c>
      <c r="D30" s="2">
        <f t="shared" ca="1" si="9"/>
        <v>28.081616339390898</v>
      </c>
      <c r="E30" s="2">
        <f t="shared" ca="1" si="9"/>
        <v>24.762081659543828</v>
      </c>
      <c r="F30" s="2">
        <f t="shared" ca="1" si="9"/>
        <v>22.472657856766233</v>
      </c>
      <c r="G30" s="2">
        <f t="shared" ca="1" si="9"/>
        <v>22.142228111053484</v>
      </c>
      <c r="H30" s="2">
        <f t="shared" ca="1" si="9"/>
        <v>29.27647360305593</v>
      </c>
      <c r="I30" s="2">
        <f t="shared" ca="1" si="9"/>
        <v>29.988500826323982</v>
      </c>
      <c r="J30" s="2">
        <f t="shared" ca="1" si="9"/>
        <v>28.934233936916741</v>
      </c>
      <c r="K30" s="2">
        <f t="shared" ca="1" si="9"/>
        <v>23.515605766510795</v>
      </c>
      <c r="L30" s="2">
        <f t="shared" ca="1" si="9"/>
        <v>25.689226155401379</v>
      </c>
      <c r="M30" s="2">
        <f t="shared" ca="1" si="9"/>
        <v>21.923405002351647</v>
      </c>
      <c r="N30" s="2">
        <f t="shared" ca="1" si="9"/>
        <v>20.760509762266345</v>
      </c>
      <c r="O30" s="2">
        <f t="shared" ca="1" si="9"/>
        <v>28.719282539706875</v>
      </c>
      <c r="P30" s="2">
        <f t="shared" ca="1" si="9"/>
        <v>23.226181871736571</v>
      </c>
      <c r="Q30" s="2">
        <f t="shared" ca="1" si="9"/>
        <v>20.813841733913591</v>
      </c>
      <c r="R30" s="2">
        <f t="shared" ca="1" si="9"/>
        <v>29.468611473861685</v>
      </c>
      <c r="S30" s="2">
        <f t="shared" ca="1" si="8"/>
        <v>21.897458100950672</v>
      </c>
      <c r="T30" s="2">
        <f t="shared" ca="1" si="8"/>
        <v>26.808914740003182</v>
      </c>
      <c r="U30" s="2">
        <f t="shared" ca="1" si="8"/>
        <v>20.823362201311944</v>
      </c>
      <c r="V30" s="2">
        <f t="shared" ca="1" si="8"/>
        <v>21.950271561647437</v>
      </c>
      <c r="W30" s="2">
        <f t="shared" ca="1" si="8"/>
        <v>25.682138920003876</v>
      </c>
      <c r="X30" s="2">
        <f t="shared" ca="1" si="8"/>
        <v>21.440667295170773</v>
      </c>
      <c r="Y30" s="2">
        <f t="shared" ca="1" si="8"/>
        <v>21.764242890294224</v>
      </c>
      <c r="Z30" s="2">
        <f t="shared" ca="1" si="4"/>
        <v>28.273561949610453</v>
      </c>
      <c r="AA30" s="2">
        <f t="shared" ca="1" si="5"/>
        <v>20.466384232354756</v>
      </c>
      <c r="AB30" s="2">
        <f t="shared" ca="1" si="5"/>
        <v>23.85530726457478</v>
      </c>
      <c r="AC30" s="2">
        <f t="shared" ca="1" si="5"/>
        <v>23.39032479415188</v>
      </c>
      <c r="AD30" s="2">
        <f t="shared" ca="1" si="5"/>
        <v>29.851403308643064</v>
      </c>
      <c r="AE30" s="2">
        <f t="shared" ca="1" si="5"/>
        <v>29.564550404030161</v>
      </c>
      <c r="AF30" s="2">
        <f t="shared" ca="1" si="5"/>
        <v>28.584258623090648</v>
      </c>
      <c r="AG30" s="2">
        <f t="shared" ca="1" si="5"/>
        <v>28.58947163611759</v>
      </c>
      <c r="AH30" s="2">
        <f t="shared" ca="1" si="5"/>
        <v>27.184528655885753</v>
      </c>
    </row>
    <row r="31" spans="1:34">
      <c r="A31" t="str">
        <f t="shared" si="6"/>
        <v>Maize</v>
      </c>
      <c r="B31" t="str">
        <f t="shared" si="7"/>
        <v>Harari</v>
      </c>
      <c r="C31" s="2">
        <f t="shared" ca="1" si="9"/>
        <v>20.886979100539389</v>
      </c>
      <c r="D31" s="2">
        <f t="shared" ca="1" si="9"/>
        <v>22.188733763623283</v>
      </c>
      <c r="E31" s="2">
        <f t="shared" ca="1" si="9"/>
        <v>27.287232734469661</v>
      </c>
      <c r="F31" s="2">
        <f t="shared" ca="1" si="9"/>
        <v>28.822570349635857</v>
      </c>
      <c r="G31" s="2">
        <f t="shared" ca="1" si="9"/>
        <v>25.797618459439665</v>
      </c>
      <c r="H31" s="2">
        <f t="shared" ca="1" si="9"/>
        <v>23.038566851680294</v>
      </c>
      <c r="I31" s="2">
        <f t="shared" ca="1" si="9"/>
        <v>27.810510728836512</v>
      </c>
      <c r="J31" s="2">
        <f t="shared" ca="1" si="9"/>
        <v>21.19203819886533</v>
      </c>
      <c r="K31" s="2">
        <f t="shared" ca="1" si="9"/>
        <v>20.964424033343615</v>
      </c>
      <c r="L31" s="2">
        <f t="shared" ca="1" si="9"/>
        <v>23.768587781489185</v>
      </c>
      <c r="M31" s="2">
        <f t="shared" ca="1" si="9"/>
        <v>22.923223546292874</v>
      </c>
      <c r="N31" s="2">
        <f t="shared" ca="1" si="9"/>
        <v>28.06275525793469</v>
      </c>
      <c r="O31" s="2">
        <f t="shared" ca="1" si="9"/>
        <v>27.577132094494079</v>
      </c>
      <c r="P31" s="2">
        <f t="shared" ca="1" si="9"/>
        <v>24.830777712678387</v>
      </c>
      <c r="Q31" s="2">
        <f t="shared" ca="1" si="9"/>
        <v>22.595730202572277</v>
      </c>
      <c r="R31" s="2">
        <f t="shared" ca="1" si="9"/>
        <v>29.080998193039033</v>
      </c>
      <c r="S31" s="2">
        <f t="shared" ca="1" si="8"/>
        <v>28.4509870742719</v>
      </c>
      <c r="T31" s="2">
        <f t="shared" ca="1" si="8"/>
        <v>20.805743433226034</v>
      </c>
      <c r="U31" s="2">
        <f t="shared" ca="1" si="8"/>
        <v>20.697633401082147</v>
      </c>
      <c r="V31" s="2">
        <f t="shared" ca="1" si="8"/>
        <v>26.537669585846825</v>
      </c>
      <c r="W31" s="2">
        <f t="shared" ca="1" si="8"/>
        <v>27.43727461773323</v>
      </c>
      <c r="X31" s="2">
        <f t="shared" ca="1" si="8"/>
        <v>25.951863071934422</v>
      </c>
      <c r="Y31" s="2">
        <f t="shared" ca="1" si="8"/>
        <v>20.794895176044271</v>
      </c>
      <c r="Z31" s="2">
        <f t="shared" ca="1" si="4"/>
        <v>27.120497986635804</v>
      </c>
      <c r="AA31" s="2">
        <f t="shared" ca="1" si="5"/>
        <v>22.969299688700072</v>
      </c>
      <c r="AB31" s="2">
        <f t="shared" ca="1" si="5"/>
        <v>21.812972099413859</v>
      </c>
      <c r="AC31" s="2">
        <f t="shared" ca="1" si="5"/>
        <v>22.646793030999245</v>
      </c>
      <c r="AD31" s="2">
        <f t="shared" ca="1" si="5"/>
        <v>22.662650785250165</v>
      </c>
      <c r="AE31" s="2">
        <f t="shared" ca="1" si="5"/>
        <v>29.763810904753029</v>
      </c>
      <c r="AF31" s="2">
        <f t="shared" ca="1" si="5"/>
        <v>23.19426461138508</v>
      </c>
      <c r="AG31" s="2">
        <f t="shared" ca="1" si="5"/>
        <v>29.970356562879719</v>
      </c>
      <c r="AH31" s="2">
        <f t="shared" ca="1" si="5"/>
        <v>24.584062125197008</v>
      </c>
    </row>
    <row r="32" spans="1:34">
      <c r="A32" t="str">
        <f t="shared" si="6"/>
        <v>Maize</v>
      </c>
      <c r="B32" t="str">
        <f t="shared" si="7"/>
        <v>Oromia</v>
      </c>
      <c r="C32" s="2">
        <f t="shared" ca="1" si="9"/>
        <v>28.290245041778128</v>
      </c>
      <c r="D32" s="2">
        <f t="shared" ca="1" si="9"/>
        <v>20.529669355450739</v>
      </c>
      <c r="E32" s="2">
        <f t="shared" ca="1" si="9"/>
        <v>28.896055592908077</v>
      </c>
      <c r="F32" s="2">
        <f t="shared" ca="1" si="9"/>
        <v>21.908710034589788</v>
      </c>
      <c r="G32" s="2">
        <f t="shared" ca="1" si="9"/>
        <v>27.19205363886762</v>
      </c>
      <c r="H32" s="2">
        <f t="shared" ca="1" si="9"/>
        <v>23.958424998650919</v>
      </c>
      <c r="I32" s="2">
        <f t="shared" ca="1" si="9"/>
        <v>24.898596371258368</v>
      </c>
      <c r="J32" s="2">
        <f t="shared" ca="1" si="9"/>
        <v>29.042816338460526</v>
      </c>
      <c r="K32" s="2">
        <f t="shared" ca="1" si="9"/>
        <v>29.004302047100989</v>
      </c>
      <c r="L32" s="2">
        <f t="shared" ca="1" si="9"/>
        <v>21.194213024894093</v>
      </c>
      <c r="M32" s="2">
        <f t="shared" ca="1" si="9"/>
        <v>22.790055213699841</v>
      </c>
      <c r="N32" s="2">
        <f t="shared" ca="1" si="9"/>
        <v>22.071256856691765</v>
      </c>
      <c r="O32" s="2">
        <f t="shared" ca="1" si="9"/>
        <v>28.767733804290106</v>
      </c>
      <c r="P32" s="2">
        <f t="shared" ca="1" si="9"/>
        <v>21.234162197208022</v>
      </c>
      <c r="Q32" s="2">
        <f t="shared" ca="1" si="9"/>
        <v>29.798421783632289</v>
      </c>
      <c r="R32" s="2">
        <f t="shared" ca="1" si="9"/>
        <v>20.943365060081536</v>
      </c>
      <c r="S32" s="2">
        <f t="shared" ca="1" si="8"/>
        <v>20.427386158847209</v>
      </c>
      <c r="T32" s="2">
        <f t="shared" ca="1" si="8"/>
        <v>21.38296989220386</v>
      </c>
      <c r="U32" s="2">
        <f t="shared" ca="1" si="8"/>
        <v>21.323312676736901</v>
      </c>
      <c r="V32" s="2">
        <f t="shared" ca="1" si="8"/>
        <v>26.561419966966902</v>
      </c>
      <c r="W32" s="2">
        <f t="shared" ca="1" si="8"/>
        <v>26.625260829885921</v>
      </c>
      <c r="X32" s="2">
        <f t="shared" ca="1" si="8"/>
        <v>29.544436559423037</v>
      </c>
      <c r="Y32" s="2">
        <f t="shared" ca="1" si="8"/>
        <v>29.536630844850254</v>
      </c>
      <c r="Z32" s="2">
        <f t="shared" ca="1" si="4"/>
        <v>21.591145620057883</v>
      </c>
      <c r="AA32" s="2">
        <f t="shared" ca="1" si="5"/>
        <v>22.005827695375814</v>
      </c>
      <c r="AB32" s="2">
        <f t="shared" ca="1" si="5"/>
        <v>24.152820351753153</v>
      </c>
      <c r="AC32" s="2">
        <f t="shared" ca="1" si="5"/>
        <v>26.923474003428467</v>
      </c>
      <c r="AD32" s="2">
        <f t="shared" ca="1" si="5"/>
        <v>28.458704005557994</v>
      </c>
      <c r="AE32" s="2">
        <f t="shared" ca="1" si="5"/>
        <v>26.391183472072992</v>
      </c>
      <c r="AF32" s="2">
        <f t="shared" ca="1" si="5"/>
        <v>28.209625173903262</v>
      </c>
      <c r="AG32" s="2">
        <f t="shared" ca="1" si="5"/>
        <v>20.337547440175598</v>
      </c>
      <c r="AH32" s="2">
        <f t="shared" ca="1" si="5"/>
        <v>27.34345472765391</v>
      </c>
    </row>
    <row r="33" spans="1:34">
      <c r="A33" t="str">
        <f t="shared" si="6"/>
        <v>Maize</v>
      </c>
      <c r="B33" t="str">
        <f t="shared" si="7"/>
        <v>Somali</v>
      </c>
      <c r="C33" s="2">
        <f t="shared" ca="1" si="9"/>
        <v>28.231738113233305</v>
      </c>
      <c r="D33" s="2">
        <f t="shared" ca="1" si="9"/>
        <v>25.378544019078475</v>
      </c>
      <c r="E33" s="2">
        <f t="shared" ca="1" si="9"/>
        <v>26.767419981533941</v>
      </c>
      <c r="F33" s="2">
        <f t="shared" ca="1" si="9"/>
        <v>21.66176619939494</v>
      </c>
      <c r="G33" s="2">
        <f t="shared" ca="1" si="9"/>
        <v>21.10807652283254</v>
      </c>
      <c r="H33" s="2">
        <f t="shared" ca="1" si="9"/>
        <v>22.989052423537348</v>
      </c>
      <c r="I33" s="2">
        <f t="shared" ca="1" si="9"/>
        <v>22.084139763005584</v>
      </c>
      <c r="J33" s="2">
        <f t="shared" ca="1" si="9"/>
        <v>20.686900766330126</v>
      </c>
      <c r="K33" s="2">
        <f t="shared" ca="1" si="9"/>
        <v>20.915704080325561</v>
      </c>
      <c r="L33" s="2">
        <f t="shared" ca="1" si="9"/>
        <v>27.507608762723102</v>
      </c>
      <c r="M33" s="2">
        <f t="shared" ca="1" si="9"/>
        <v>28.882064798938899</v>
      </c>
      <c r="N33" s="2">
        <f t="shared" ca="1" si="9"/>
        <v>22.433513912801065</v>
      </c>
      <c r="O33" s="2">
        <f t="shared" ca="1" si="9"/>
        <v>22.67670584245143</v>
      </c>
      <c r="P33" s="2">
        <f t="shared" ca="1" si="9"/>
        <v>23.426160931916122</v>
      </c>
      <c r="Q33" s="2">
        <f t="shared" ca="1" si="9"/>
        <v>20.080401097621849</v>
      </c>
      <c r="R33" s="2">
        <f t="shared" ca="1" si="9"/>
        <v>27.9475904975634</v>
      </c>
      <c r="S33" s="2">
        <f t="shared" ca="1" si="8"/>
        <v>23.095718208181029</v>
      </c>
      <c r="T33" s="2">
        <f t="shared" ca="1" si="8"/>
        <v>27.560545862718993</v>
      </c>
      <c r="U33" s="2">
        <f t="shared" ca="1" si="8"/>
        <v>21.810089578436585</v>
      </c>
      <c r="V33" s="2">
        <f t="shared" ca="1" si="8"/>
        <v>27.020633206303902</v>
      </c>
      <c r="W33" s="2">
        <f t="shared" ca="1" si="8"/>
        <v>27.876133280640246</v>
      </c>
      <c r="X33" s="2">
        <f t="shared" ca="1" si="8"/>
        <v>26.956147030640903</v>
      </c>
      <c r="Y33" s="2">
        <f t="shared" ca="1" si="8"/>
        <v>23.996083986926386</v>
      </c>
      <c r="Z33" s="2">
        <f t="shared" ca="1" si="4"/>
        <v>23.221301709589053</v>
      </c>
      <c r="AA33" s="2">
        <f t="shared" ca="1" si="5"/>
        <v>26.681528422991324</v>
      </c>
      <c r="AB33" s="2">
        <f t="shared" ca="1" si="5"/>
        <v>21.597299703176159</v>
      </c>
      <c r="AC33" s="2">
        <f t="shared" ca="1" si="5"/>
        <v>25.98942321355797</v>
      </c>
      <c r="AD33" s="2">
        <f t="shared" ca="1" si="5"/>
        <v>22.419212902375051</v>
      </c>
      <c r="AE33" s="2">
        <f t="shared" ca="1" si="5"/>
        <v>26.44219241830562</v>
      </c>
      <c r="AF33" s="2">
        <f t="shared" ca="1" si="5"/>
        <v>21.889843898239725</v>
      </c>
      <c r="AG33" s="2">
        <f t="shared" ca="1" si="5"/>
        <v>27.603959867696055</v>
      </c>
      <c r="AH33" s="2">
        <f t="shared" ca="1" si="5"/>
        <v>29.995726669029189</v>
      </c>
    </row>
    <row r="34" spans="1:34">
      <c r="A34" t="str">
        <f t="shared" si="6"/>
        <v>Maize</v>
      </c>
      <c r="B34" t="str">
        <f t="shared" si="7"/>
        <v>SNNPR</v>
      </c>
      <c r="C34" s="2">
        <f t="shared" ca="1" si="9"/>
        <v>20.659852713136182</v>
      </c>
      <c r="D34" s="2">
        <f t="shared" ca="1" si="9"/>
        <v>21.925317473298495</v>
      </c>
      <c r="E34" s="2">
        <f t="shared" ca="1" si="9"/>
        <v>21.831726166718166</v>
      </c>
      <c r="F34" s="2">
        <f t="shared" ca="1" si="9"/>
        <v>24.464296246198948</v>
      </c>
      <c r="G34" s="2">
        <f t="shared" ca="1" si="9"/>
        <v>28.459565926687276</v>
      </c>
      <c r="H34" s="2">
        <f t="shared" ca="1" si="9"/>
        <v>23.188230658268296</v>
      </c>
      <c r="I34" s="2">
        <f t="shared" ca="1" si="9"/>
        <v>24.071716640657016</v>
      </c>
      <c r="J34" s="2">
        <f t="shared" ca="1" si="9"/>
        <v>27.45011842187402</v>
      </c>
      <c r="K34" s="2">
        <f t="shared" ca="1" si="9"/>
        <v>28.185137698623407</v>
      </c>
      <c r="L34" s="2">
        <f t="shared" ca="1" si="9"/>
        <v>20.511695961298685</v>
      </c>
      <c r="M34" s="2">
        <f t="shared" ca="1" si="9"/>
        <v>28.637602804120586</v>
      </c>
      <c r="N34" s="2">
        <f t="shared" ca="1" si="9"/>
        <v>27.722517596374885</v>
      </c>
      <c r="O34" s="2">
        <f t="shared" ca="1" si="9"/>
        <v>25.949597583894146</v>
      </c>
      <c r="P34" s="2">
        <f t="shared" ca="1" si="9"/>
        <v>23.916262973413261</v>
      </c>
      <c r="Q34" s="2">
        <f t="shared" ca="1" si="9"/>
        <v>22.43402575161587</v>
      </c>
      <c r="R34" s="2">
        <f t="shared" ca="1" si="9"/>
        <v>29.769582272825279</v>
      </c>
      <c r="S34" s="2">
        <f t="shared" ca="1" si="8"/>
        <v>22.100396017393976</v>
      </c>
      <c r="T34" s="2">
        <f t="shared" ca="1" si="8"/>
        <v>22.250445664233695</v>
      </c>
      <c r="U34" s="2">
        <f t="shared" ca="1" si="8"/>
        <v>25.720880283602231</v>
      </c>
      <c r="V34" s="2">
        <f t="shared" ca="1" si="8"/>
        <v>20.126689840880267</v>
      </c>
      <c r="W34" s="2">
        <f t="shared" ca="1" si="8"/>
        <v>24.948167007937823</v>
      </c>
      <c r="X34" s="2">
        <f t="shared" ca="1" si="8"/>
        <v>24.89222257992833</v>
      </c>
      <c r="Y34" s="2">
        <f t="shared" ca="1" si="8"/>
        <v>23.756300285875266</v>
      </c>
      <c r="Z34" s="2">
        <f t="shared" ca="1" si="4"/>
        <v>22.088845000178033</v>
      </c>
      <c r="AA34" s="2">
        <f t="shared" ca="1" si="5"/>
        <v>27.32996126577223</v>
      </c>
      <c r="AB34" s="2">
        <f t="shared" ca="1" si="5"/>
        <v>27.775985526597779</v>
      </c>
      <c r="AC34" s="2">
        <f t="shared" ca="1" si="5"/>
        <v>20.054975591996914</v>
      </c>
      <c r="AD34" s="2">
        <f t="shared" ca="1" si="5"/>
        <v>25.101776647106895</v>
      </c>
      <c r="AE34" s="2">
        <f t="shared" ca="1" si="5"/>
        <v>21.898695349310334</v>
      </c>
      <c r="AF34" s="2">
        <f t="shared" ca="1" si="5"/>
        <v>28.463885575316915</v>
      </c>
      <c r="AG34" s="2">
        <f t="shared" ca="1" si="5"/>
        <v>22.030574007725601</v>
      </c>
      <c r="AH34" s="2">
        <f t="shared" ca="1" si="5"/>
        <v>25.986168810181887</v>
      </c>
    </row>
    <row r="35" spans="1:34">
      <c r="A35" t="str">
        <f t="shared" si="6"/>
        <v>Maize</v>
      </c>
      <c r="B35" t="str">
        <f t="shared" si="7"/>
        <v>Tigray</v>
      </c>
      <c r="C35" s="2">
        <f t="shared" ca="1" si="9"/>
        <v>28.706217184683481</v>
      </c>
      <c r="D35" s="2">
        <f t="shared" ca="1" si="9"/>
        <v>22.531268242008526</v>
      </c>
      <c r="E35" s="2">
        <f t="shared" ca="1" si="9"/>
        <v>24.533170899965064</v>
      </c>
      <c r="F35" s="2">
        <f t="shared" ca="1" si="9"/>
        <v>29.672638960228998</v>
      </c>
      <c r="G35" s="2">
        <f t="shared" ca="1" si="9"/>
        <v>20.319397486070589</v>
      </c>
      <c r="H35" s="2">
        <f t="shared" ca="1" si="9"/>
        <v>24.053140022331018</v>
      </c>
      <c r="I35" s="2">
        <f t="shared" ca="1" si="9"/>
        <v>20.5680920388034</v>
      </c>
      <c r="J35" s="2">
        <f t="shared" ca="1" si="9"/>
        <v>28.793105026111576</v>
      </c>
      <c r="K35" s="2">
        <f t="shared" ca="1" si="9"/>
        <v>24.679018250577666</v>
      </c>
      <c r="L35" s="2">
        <f t="shared" ca="1" si="9"/>
        <v>23.608015598758207</v>
      </c>
      <c r="M35" s="2">
        <f t="shared" ca="1" si="9"/>
        <v>26.066178648428206</v>
      </c>
      <c r="N35" s="2">
        <f t="shared" ca="1" si="9"/>
        <v>23.466144174732825</v>
      </c>
      <c r="O35" s="2">
        <f t="shared" ca="1" si="9"/>
        <v>28.156532072651519</v>
      </c>
      <c r="P35" s="2">
        <f t="shared" ca="1" si="9"/>
        <v>25.190389207328863</v>
      </c>
      <c r="Q35" s="2">
        <f t="shared" ca="1" si="9"/>
        <v>23.73228664373498</v>
      </c>
      <c r="R35" s="2">
        <f t="shared" ca="1" si="9"/>
        <v>21.497479854123235</v>
      </c>
      <c r="S35" s="2">
        <f t="shared" ca="1" si="8"/>
        <v>26.471008071891543</v>
      </c>
      <c r="T35" s="2">
        <f t="shared" ca="1" si="8"/>
        <v>20.474058623547506</v>
      </c>
      <c r="U35" s="2">
        <f t="shared" ca="1" si="8"/>
        <v>22.00885461613732</v>
      </c>
      <c r="V35" s="2">
        <f t="shared" ca="1" si="8"/>
        <v>25.060076038331598</v>
      </c>
      <c r="W35" s="2">
        <f t="shared" ca="1" si="8"/>
        <v>27.523555500322967</v>
      </c>
      <c r="X35" s="2">
        <f t="shared" ca="1" si="8"/>
        <v>25.029113093633164</v>
      </c>
      <c r="Y35" s="2">
        <f t="shared" ca="1" si="8"/>
        <v>20.3994696174355</v>
      </c>
      <c r="Z35" s="2">
        <f t="shared" ca="1" si="4"/>
        <v>22.647015951941693</v>
      </c>
      <c r="AA35" s="2">
        <f t="shared" ca="1" si="5"/>
        <v>29.359761839515091</v>
      </c>
      <c r="AB35" s="2">
        <f t="shared" ca="1" si="5"/>
        <v>26.690039895148864</v>
      </c>
      <c r="AC35" s="2">
        <f t="shared" ca="1" si="5"/>
        <v>23.850943240293393</v>
      </c>
      <c r="AD35" s="2">
        <f t="shared" ca="1" si="5"/>
        <v>24.699787170283546</v>
      </c>
      <c r="AE35" s="2">
        <f t="shared" ca="1" si="5"/>
        <v>25.408339036692272</v>
      </c>
      <c r="AF35" s="2">
        <f t="shared" ca="1" si="5"/>
        <v>23.846887489485923</v>
      </c>
      <c r="AG35" s="2">
        <f t="shared" ca="1" si="5"/>
        <v>29.785206442389338</v>
      </c>
      <c r="AH35" s="2">
        <f t="shared" ca="1" si="5"/>
        <v>21.896931723865361</v>
      </c>
    </row>
    <row r="36" spans="1:34">
      <c r="A36" t="str">
        <f t="shared" si="6"/>
        <v>Lentils</v>
      </c>
      <c r="B36" t="str">
        <f t="shared" si="7"/>
        <v>AddisAbaba</v>
      </c>
      <c r="C36" s="2">
        <f t="shared" ca="1" si="9"/>
        <v>25.448433645195788</v>
      </c>
      <c r="D36" s="2">
        <f t="shared" ca="1" si="9"/>
        <v>28.707739711070541</v>
      </c>
      <c r="E36" s="2">
        <f t="shared" ca="1" si="9"/>
        <v>21.154879822875124</v>
      </c>
      <c r="F36" s="2">
        <f t="shared" ca="1" si="9"/>
        <v>22.995651132967065</v>
      </c>
      <c r="G36" s="2">
        <f t="shared" ca="1" si="9"/>
        <v>27.455703623313397</v>
      </c>
      <c r="H36" s="2">
        <f t="shared" ca="1" si="9"/>
        <v>26.895914707393061</v>
      </c>
      <c r="I36" s="2">
        <f t="shared" ca="1" si="9"/>
        <v>23.61773086686205</v>
      </c>
      <c r="J36" s="2">
        <f t="shared" ca="1" si="9"/>
        <v>21.886709189369803</v>
      </c>
      <c r="K36" s="2">
        <f t="shared" ca="1" si="9"/>
        <v>23.249184237759682</v>
      </c>
      <c r="L36" s="2">
        <f t="shared" ca="1" si="9"/>
        <v>20.73270458785198</v>
      </c>
      <c r="M36" s="2">
        <f t="shared" ca="1" si="9"/>
        <v>29.238141918359101</v>
      </c>
      <c r="N36" s="2">
        <f t="shared" ca="1" si="9"/>
        <v>27.894371558739341</v>
      </c>
      <c r="O36" s="2">
        <f t="shared" ca="1" si="9"/>
        <v>23.036484572187941</v>
      </c>
      <c r="P36" s="2">
        <f t="shared" ca="1" si="9"/>
        <v>22.241096912268937</v>
      </c>
      <c r="Q36" s="2">
        <f t="shared" ca="1" si="9"/>
        <v>24.056148247378545</v>
      </c>
      <c r="R36" s="2">
        <f t="shared" ca="1" si="9"/>
        <v>24.988228538246116</v>
      </c>
      <c r="S36" s="2">
        <f t="shared" ca="1" si="8"/>
        <v>27.119369359470667</v>
      </c>
      <c r="T36" s="2">
        <f t="shared" ca="1" si="8"/>
        <v>25.664139055832287</v>
      </c>
      <c r="U36" s="2">
        <f t="shared" ca="1" si="8"/>
        <v>29.899457274649997</v>
      </c>
      <c r="V36" s="2">
        <f t="shared" ca="1" si="8"/>
        <v>21.513027258108114</v>
      </c>
      <c r="W36" s="2">
        <f t="shared" ca="1" si="8"/>
        <v>23.736714118884585</v>
      </c>
      <c r="X36" s="2">
        <f t="shared" ca="1" si="8"/>
        <v>26.06841009676635</v>
      </c>
      <c r="Y36" s="2">
        <f t="shared" ca="1" si="8"/>
        <v>29.588915453023144</v>
      </c>
      <c r="Z36" s="2">
        <f t="shared" ca="1" si="4"/>
        <v>22.694639567478919</v>
      </c>
      <c r="AA36" s="2">
        <f t="shared" ca="1" si="5"/>
        <v>27.95764139994894</v>
      </c>
      <c r="AB36" s="2">
        <f t="shared" ca="1" si="5"/>
        <v>26.396657357596286</v>
      </c>
      <c r="AC36" s="2">
        <f t="shared" ca="1" si="5"/>
        <v>28.939060721455089</v>
      </c>
      <c r="AD36" s="2">
        <f t="shared" ca="1" si="5"/>
        <v>26.747544723147609</v>
      </c>
      <c r="AE36" s="2">
        <f t="shared" ca="1" si="5"/>
        <v>24.546843699344976</v>
      </c>
      <c r="AF36" s="2">
        <f t="shared" ca="1" si="5"/>
        <v>22.662860033068199</v>
      </c>
      <c r="AG36" s="2">
        <f t="shared" ca="1" si="5"/>
        <v>21.719957349140817</v>
      </c>
      <c r="AH36" s="2">
        <f t="shared" ca="1" si="5"/>
        <v>23.840578488895598</v>
      </c>
    </row>
    <row r="37" spans="1:34">
      <c r="A37" t="str">
        <f t="shared" si="6"/>
        <v>Lentils</v>
      </c>
      <c r="B37" t="str">
        <f t="shared" si="7"/>
        <v>Afar</v>
      </c>
      <c r="C37" s="2">
        <f t="shared" ca="1" si="9"/>
        <v>27.411410820176219</v>
      </c>
      <c r="D37" s="2">
        <f t="shared" ca="1" si="9"/>
        <v>29.432002075964892</v>
      </c>
      <c r="E37" s="2">
        <f t="shared" ca="1" si="9"/>
        <v>21.998552971498359</v>
      </c>
      <c r="F37" s="2">
        <f t="shared" ca="1" si="9"/>
        <v>23.704329612126141</v>
      </c>
      <c r="G37" s="2">
        <f t="shared" ca="1" si="9"/>
        <v>25.718576375893353</v>
      </c>
      <c r="H37" s="2">
        <f t="shared" ca="1" si="9"/>
        <v>25.354790806841486</v>
      </c>
      <c r="I37" s="2">
        <f t="shared" ca="1" si="9"/>
        <v>26.439009652465028</v>
      </c>
      <c r="J37" s="2">
        <f t="shared" ca="1" si="9"/>
        <v>26.927271767905776</v>
      </c>
      <c r="K37" s="2">
        <f t="shared" ca="1" si="9"/>
        <v>27.803951989493903</v>
      </c>
      <c r="L37" s="2">
        <f t="shared" ca="1" si="9"/>
        <v>20.930195127919777</v>
      </c>
      <c r="M37" s="2">
        <f t="shared" ca="1" si="9"/>
        <v>23.956577039364241</v>
      </c>
      <c r="N37" s="2">
        <f t="shared" ca="1" si="9"/>
        <v>22.409013068250591</v>
      </c>
      <c r="O37" s="2">
        <f t="shared" ca="1" si="9"/>
        <v>24.985998891127135</v>
      </c>
      <c r="P37" s="2">
        <f t="shared" ca="1" si="9"/>
        <v>21.370275836311794</v>
      </c>
      <c r="Q37" s="2">
        <f t="shared" ca="1" si="9"/>
        <v>25.355199431380427</v>
      </c>
      <c r="R37" s="2">
        <f t="shared" ca="1" si="9"/>
        <v>29.498274849493615</v>
      </c>
      <c r="S37" s="2">
        <f t="shared" ca="1" si="8"/>
        <v>26.36620015963187</v>
      </c>
      <c r="T37" s="2">
        <f t="shared" ca="1" si="8"/>
        <v>20.28011747925806</v>
      </c>
      <c r="U37" s="2">
        <f t="shared" ca="1" si="8"/>
        <v>24.708671740143668</v>
      </c>
      <c r="V37" s="2">
        <f t="shared" ca="1" si="8"/>
        <v>26.943821093039926</v>
      </c>
      <c r="W37" s="2">
        <f t="shared" ca="1" si="8"/>
        <v>28.91480400610812</v>
      </c>
      <c r="X37" s="2">
        <f t="shared" ca="1" si="8"/>
        <v>25.968946282740564</v>
      </c>
      <c r="Y37" s="2">
        <f t="shared" ca="1" si="8"/>
        <v>24.909374442761617</v>
      </c>
      <c r="Z37" s="2">
        <f t="shared" ca="1" si="4"/>
        <v>22.235629952708621</v>
      </c>
      <c r="AA37" s="2">
        <f t="shared" ca="1" si="5"/>
        <v>24.190423081787031</v>
      </c>
      <c r="AB37" s="2">
        <f t="shared" ca="1" si="5"/>
        <v>26.728184878581008</v>
      </c>
      <c r="AC37" s="2">
        <f t="shared" ca="1" si="5"/>
        <v>29.970952556029417</v>
      </c>
      <c r="AD37" s="2">
        <f t="shared" ca="1" si="5"/>
        <v>27.78686038228642</v>
      </c>
      <c r="AE37" s="2">
        <f t="shared" ca="1" si="5"/>
        <v>26.762458357363521</v>
      </c>
      <c r="AF37" s="2">
        <f t="shared" ca="1" si="5"/>
        <v>25.522434145240435</v>
      </c>
      <c r="AG37" s="2">
        <f t="shared" ca="1" si="5"/>
        <v>23.494083475557812</v>
      </c>
      <c r="AH37" s="2">
        <f t="shared" ca="1" si="5"/>
        <v>22.485737360927907</v>
      </c>
    </row>
    <row r="38" spans="1:34">
      <c r="A38" t="str">
        <f t="shared" si="6"/>
        <v>Lentils</v>
      </c>
      <c r="B38" t="str">
        <f t="shared" si="7"/>
        <v>Amhara</v>
      </c>
      <c r="C38" s="2">
        <f t="shared" ca="1" si="9"/>
        <v>22.996496457181596</v>
      </c>
      <c r="D38" s="2">
        <f t="shared" ca="1" si="9"/>
        <v>22.589846118946422</v>
      </c>
      <c r="E38" s="2">
        <f t="shared" ca="1" si="9"/>
        <v>24.242233412207455</v>
      </c>
      <c r="F38" s="2">
        <f t="shared" ca="1" si="9"/>
        <v>24.466356558829187</v>
      </c>
      <c r="G38" s="2">
        <f t="shared" ca="1" si="9"/>
        <v>27.912070687748958</v>
      </c>
      <c r="H38" s="2">
        <f t="shared" ca="1" si="9"/>
        <v>23.530989811872661</v>
      </c>
      <c r="I38" s="2">
        <f t="shared" ca="1" si="9"/>
        <v>21.867143079136603</v>
      </c>
      <c r="J38" s="2">
        <f t="shared" ca="1" si="9"/>
        <v>28.897375972601147</v>
      </c>
      <c r="K38" s="2">
        <f t="shared" ca="1" si="9"/>
        <v>26.756008811882566</v>
      </c>
      <c r="L38" s="2">
        <f t="shared" ca="1" si="9"/>
        <v>25.31330168849318</v>
      </c>
      <c r="M38" s="2">
        <f t="shared" ca="1" si="9"/>
        <v>25.93239867304813</v>
      </c>
      <c r="N38" s="2">
        <f t="shared" ca="1" si="9"/>
        <v>26.784573915572917</v>
      </c>
      <c r="O38" s="2">
        <f t="shared" ca="1" si="9"/>
        <v>27.340886773932137</v>
      </c>
      <c r="P38" s="2">
        <f t="shared" ca="1" si="9"/>
        <v>23.772859594062172</v>
      </c>
      <c r="Q38" s="2">
        <f t="shared" ca="1" si="9"/>
        <v>20.694133747178071</v>
      </c>
      <c r="R38" s="2">
        <f t="shared" ca="1" si="9"/>
        <v>28.241264564911262</v>
      </c>
      <c r="S38" s="2">
        <f t="shared" ca="1" si="8"/>
        <v>20.007303780201248</v>
      </c>
      <c r="T38" s="2">
        <f t="shared" ca="1" si="8"/>
        <v>24.662756323368729</v>
      </c>
      <c r="U38" s="2">
        <f t="shared" ca="1" si="8"/>
        <v>24.938734471257927</v>
      </c>
      <c r="V38" s="2">
        <f t="shared" ca="1" si="8"/>
        <v>28.060026640314135</v>
      </c>
      <c r="W38" s="2">
        <f t="shared" ca="1" si="8"/>
        <v>22.967343868774929</v>
      </c>
      <c r="X38" s="2">
        <f t="shared" ca="1" si="8"/>
        <v>27.486265593936732</v>
      </c>
      <c r="Y38" s="2">
        <f t="shared" ca="1" si="8"/>
        <v>21.29447063379147</v>
      </c>
      <c r="Z38" s="2">
        <f t="shared" ca="1" si="4"/>
        <v>22.468256005753105</v>
      </c>
      <c r="AA38" s="2">
        <f t="shared" ca="1" si="5"/>
        <v>26.076090762163101</v>
      </c>
      <c r="AB38" s="2">
        <f t="shared" ca="1" si="5"/>
        <v>26.511650371427407</v>
      </c>
      <c r="AC38" s="2">
        <f t="shared" ca="1" si="5"/>
        <v>20.739835004745139</v>
      </c>
      <c r="AD38" s="2">
        <f t="shared" ca="1" si="5"/>
        <v>24.649775490507047</v>
      </c>
      <c r="AE38" s="2">
        <f t="shared" ca="1" si="5"/>
        <v>22.813094823108813</v>
      </c>
      <c r="AF38" s="2">
        <f t="shared" ca="1" si="5"/>
        <v>23.143981950251508</v>
      </c>
      <c r="AG38" s="2">
        <f t="shared" ca="1" si="5"/>
        <v>23.715152988204178</v>
      </c>
      <c r="AH38" s="2">
        <f t="shared" ca="1" si="5"/>
        <v>29.571685685996467</v>
      </c>
    </row>
    <row r="39" spans="1:34">
      <c r="A39" t="str">
        <f t="shared" si="6"/>
        <v>Lentils</v>
      </c>
      <c r="B39" t="str">
        <f t="shared" si="7"/>
        <v>Gumuz</v>
      </c>
      <c r="C39" s="2">
        <f t="shared" ca="1" si="9"/>
        <v>22.751987811773162</v>
      </c>
      <c r="D39" s="2">
        <f t="shared" ca="1" si="9"/>
        <v>23.551182658204102</v>
      </c>
      <c r="E39" s="2">
        <f t="shared" ca="1" si="9"/>
        <v>26.106974922720749</v>
      </c>
      <c r="F39" s="2">
        <f t="shared" ca="1" si="9"/>
        <v>21.167986696014928</v>
      </c>
      <c r="G39" s="2">
        <f t="shared" ca="1" si="9"/>
        <v>20.96578785171987</v>
      </c>
      <c r="H39" s="2">
        <f t="shared" ca="1" si="9"/>
        <v>28.926120403537009</v>
      </c>
      <c r="I39" s="2">
        <f t="shared" ca="1" si="9"/>
        <v>25.31287801360666</v>
      </c>
      <c r="J39" s="2">
        <f t="shared" ca="1" si="9"/>
        <v>28.182586536792499</v>
      </c>
      <c r="K39" s="2">
        <f t="shared" ca="1" si="9"/>
        <v>26.593476720937542</v>
      </c>
      <c r="L39" s="2">
        <f t="shared" ca="1" si="9"/>
        <v>21.925906211216557</v>
      </c>
      <c r="M39" s="2">
        <f t="shared" ca="1" si="9"/>
        <v>20.901664047709424</v>
      </c>
      <c r="N39" s="2">
        <f t="shared" ca="1" si="9"/>
        <v>23.423121939126734</v>
      </c>
      <c r="O39" s="2">
        <f t="shared" ca="1" si="9"/>
        <v>25.77414201295667</v>
      </c>
      <c r="P39" s="2">
        <f t="shared" ca="1" si="9"/>
        <v>28.518646553334271</v>
      </c>
      <c r="Q39" s="2">
        <f t="shared" ca="1" si="9"/>
        <v>21.561409529451165</v>
      </c>
      <c r="R39" s="2">
        <f t="shared" ca="1" si="9"/>
        <v>20.270371563606123</v>
      </c>
      <c r="S39" s="2">
        <f t="shared" ca="1" si="8"/>
        <v>20.142889666383017</v>
      </c>
      <c r="T39" s="2">
        <f t="shared" ca="1" si="8"/>
        <v>23.691219556666226</v>
      </c>
      <c r="U39" s="2">
        <f t="shared" ca="1" si="8"/>
        <v>29.994774247354496</v>
      </c>
      <c r="V39" s="2">
        <f t="shared" ca="1" si="8"/>
        <v>26.934406981712279</v>
      </c>
      <c r="W39" s="2">
        <f t="shared" ca="1" si="8"/>
        <v>23.555154318791736</v>
      </c>
      <c r="X39" s="2">
        <f t="shared" ca="1" si="8"/>
        <v>27.084013032124528</v>
      </c>
      <c r="Y39" s="2">
        <f t="shared" ca="1" si="8"/>
        <v>25.35463190063837</v>
      </c>
      <c r="Z39" s="2">
        <f t="shared" ca="1" si="4"/>
        <v>22.272642736295278</v>
      </c>
      <c r="AA39" s="2">
        <f t="shared" ca="1" si="5"/>
        <v>24.431399462480012</v>
      </c>
      <c r="AB39" s="2">
        <f t="shared" ca="1" si="5"/>
        <v>21.733024112003818</v>
      </c>
      <c r="AC39" s="2">
        <f t="shared" ca="1" si="5"/>
        <v>26.571911769528146</v>
      </c>
      <c r="AD39" s="2">
        <f t="shared" ca="1" si="5"/>
        <v>20.57243886409908</v>
      </c>
      <c r="AE39" s="2">
        <f t="shared" ca="1" si="5"/>
        <v>27.914885240745662</v>
      </c>
      <c r="AF39" s="2">
        <f t="shared" ca="1" si="5"/>
        <v>23.213128296852176</v>
      </c>
      <c r="AG39" s="2">
        <f t="shared" ca="1" si="5"/>
        <v>24.474124554739475</v>
      </c>
      <c r="AH39" s="2">
        <f t="shared" ca="1" si="5"/>
        <v>25.416410266802181</v>
      </c>
    </row>
    <row r="40" spans="1:34">
      <c r="A40" t="str">
        <f t="shared" si="6"/>
        <v>Lentils</v>
      </c>
      <c r="B40" t="str">
        <f t="shared" si="7"/>
        <v>DireDawa</v>
      </c>
      <c r="C40" s="2">
        <f t="shared" ca="1" si="9"/>
        <v>27.778998169749581</v>
      </c>
      <c r="D40" s="2">
        <f t="shared" ca="1" si="9"/>
        <v>24.214870875263742</v>
      </c>
      <c r="E40" s="2">
        <f t="shared" ca="1" si="9"/>
        <v>23.642646904967961</v>
      </c>
      <c r="F40" s="2">
        <f t="shared" ca="1" si="9"/>
        <v>25.378216142999648</v>
      </c>
      <c r="G40" s="2">
        <f t="shared" ca="1" si="9"/>
        <v>23.858025561365302</v>
      </c>
      <c r="H40" s="2">
        <f t="shared" ca="1" si="9"/>
        <v>29.693876374652312</v>
      </c>
      <c r="I40" s="2">
        <f t="shared" ca="1" si="9"/>
        <v>27.887133362909012</v>
      </c>
      <c r="J40" s="2">
        <f t="shared" ca="1" si="9"/>
        <v>26.441062096535088</v>
      </c>
      <c r="K40" s="2">
        <f t="shared" ca="1" si="9"/>
        <v>21.909871395823433</v>
      </c>
      <c r="L40" s="2">
        <f t="shared" ca="1" si="9"/>
        <v>25.543067819539583</v>
      </c>
      <c r="M40" s="2">
        <f t="shared" ca="1" si="9"/>
        <v>22.343660766932853</v>
      </c>
      <c r="N40" s="2">
        <f t="shared" ca="1" si="9"/>
        <v>25.16985462272449</v>
      </c>
      <c r="O40" s="2">
        <f t="shared" ca="1" si="9"/>
        <v>27.710293044567415</v>
      </c>
      <c r="P40" s="2">
        <f t="shared" ca="1" si="9"/>
        <v>26.605015874093553</v>
      </c>
      <c r="Q40" s="2">
        <f t="shared" ca="1" si="9"/>
        <v>27.697751828657225</v>
      </c>
      <c r="R40" s="2">
        <f t="shared" ca="1" si="9"/>
        <v>24.799058981520176</v>
      </c>
      <c r="S40" s="2">
        <f t="shared" ca="1" si="8"/>
        <v>26.798025996106823</v>
      </c>
      <c r="T40" s="2">
        <f t="shared" ca="1" si="8"/>
        <v>29.453586243141604</v>
      </c>
      <c r="U40" s="2">
        <f t="shared" ca="1" si="8"/>
        <v>26.351641371678404</v>
      </c>
      <c r="V40" s="2">
        <f t="shared" ca="1" si="8"/>
        <v>24.473814682415419</v>
      </c>
      <c r="W40" s="2">
        <f t="shared" ca="1" si="8"/>
        <v>23.386029546141696</v>
      </c>
      <c r="X40" s="2">
        <f t="shared" ca="1" si="8"/>
        <v>28.870205205705751</v>
      </c>
      <c r="Y40" s="2">
        <f t="shared" ca="1" si="8"/>
        <v>29.860721584785004</v>
      </c>
      <c r="Z40" s="2">
        <f t="shared" ca="1" si="4"/>
        <v>22.032642011614406</v>
      </c>
      <c r="AA40" s="2">
        <f t="shared" ca="1" si="5"/>
        <v>26.632733508175683</v>
      </c>
      <c r="AB40" s="2">
        <f t="shared" ca="1" si="5"/>
        <v>28.035284466360594</v>
      </c>
      <c r="AC40" s="2">
        <f t="shared" ca="1" si="5"/>
        <v>24.217696459311743</v>
      </c>
      <c r="AD40" s="2">
        <f t="shared" ca="1" si="5"/>
        <v>26.785377556868518</v>
      </c>
      <c r="AE40" s="2">
        <f t="shared" ca="1" si="5"/>
        <v>23.423629061316401</v>
      </c>
      <c r="AF40" s="2">
        <f t="shared" ca="1" si="5"/>
        <v>21.686562947718873</v>
      </c>
      <c r="AG40" s="2">
        <f t="shared" ca="1" si="5"/>
        <v>24.806872896209128</v>
      </c>
      <c r="AH40" s="2">
        <f t="shared" ca="1" si="5"/>
        <v>26.967763433545151</v>
      </c>
    </row>
    <row r="41" spans="1:34">
      <c r="A41" t="str">
        <f t="shared" si="6"/>
        <v>Lentils</v>
      </c>
      <c r="B41" t="str">
        <f t="shared" si="7"/>
        <v>Gambela</v>
      </c>
      <c r="C41" s="2">
        <f t="shared" ca="1" si="9"/>
        <v>21.523853529765546</v>
      </c>
      <c r="D41" s="2">
        <f t="shared" ca="1" si="9"/>
        <v>24.224445969972521</v>
      </c>
      <c r="E41" s="2">
        <f t="shared" ca="1" si="9"/>
        <v>28.123207712184357</v>
      </c>
      <c r="F41" s="2">
        <f t="shared" ca="1" si="9"/>
        <v>20.241107384400316</v>
      </c>
      <c r="G41" s="2">
        <f t="shared" ca="1" si="9"/>
        <v>29.278160015042715</v>
      </c>
      <c r="H41" s="2">
        <f t="shared" ca="1" si="9"/>
        <v>21.145439826470934</v>
      </c>
      <c r="I41" s="2">
        <f t="shared" ca="1" si="9"/>
        <v>24.858460413955385</v>
      </c>
      <c r="J41" s="2">
        <f t="shared" ca="1" si="9"/>
        <v>21.656807939182301</v>
      </c>
      <c r="K41" s="2">
        <f t="shared" ca="1" si="9"/>
        <v>23.145224889430221</v>
      </c>
      <c r="L41" s="2">
        <f t="shared" ca="1" si="9"/>
        <v>20.166627328424102</v>
      </c>
      <c r="M41" s="2">
        <f t="shared" ca="1" si="9"/>
        <v>26.750480161922734</v>
      </c>
      <c r="N41" s="2">
        <f t="shared" ca="1" si="9"/>
        <v>25.507854965976613</v>
      </c>
      <c r="O41" s="2">
        <f t="shared" ca="1" si="9"/>
        <v>21.151327543295903</v>
      </c>
      <c r="P41" s="2">
        <f t="shared" ca="1" si="9"/>
        <v>27.60010822352595</v>
      </c>
      <c r="Q41" s="2">
        <f t="shared" ca="1" si="9"/>
        <v>28.040174550868251</v>
      </c>
      <c r="R41" s="2">
        <f t="shared" ca="1" si="9"/>
        <v>26.615158324304662</v>
      </c>
      <c r="S41" s="2">
        <f t="shared" ca="1" si="8"/>
        <v>25.797831890700053</v>
      </c>
      <c r="T41" s="2">
        <f t="shared" ca="1" si="8"/>
        <v>26.038767149445341</v>
      </c>
      <c r="U41" s="2">
        <f t="shared" ca="1" si="8"/>
        <v>23.296017646291858</v>
      </c>
      <c r="V41" s="2">
        <f t="shared" ca="1" si="8"/>
        <v>28.165834598248402</v>
      </c>
      <c r="W41" s="2">
        <f t="shared" ca="1" si="8"/>
        <v>25.785060728893839</v>
      </c>
      <c r="X41" s="2">
        <f t="shared" ca="1" si="8"/>
        <v>20.9074682293673</v>
      </c>
      <c r="Y41" s="2">
        <f t="shared" ca="1" si="8"/>
        <v>21.592384837274675</v>
      </c>
      <c r="Z41" s="2">
        <f t="shared" ca="1" si="4"/>
        <v>23.049968861627544</v>
      </c>
      <c r="AA41" s="2">
        <f t="shared" ca="1" si="5"/>
        <v>29.644606523286864</v>
      </c>
      <c r="AB41" s="2">
        <f t="shared" ca="1" si="5"/>
        <v>22.664484962539174</v>
      </c>
      <c r="AC41" s="2">
        <f t="shared" ca="1" si="5"/>
        <v>24.008012878427252</v>
      </c>
      <c r="AD41" s="2">
        <f t="shared" ca="1" si="5"/>
        <v>24.925982707285758</v>
      </c>
      <c r="AE41" s="2">
        <f t="shared" ca="1" si="5"/>
        <v>26.84986556756262</v>
      </c>
      <c r="AF41" s="2">
        <f t="shared" ca="1" si="5"/>
        <v>28.899282748632082</v>
      </c>
      <c r="AG41" s="2">
        <f t="shared" ca="1" si="5"/>
        <v>25.548543937080481</v>
      </c>
      <c r="AH41" s="2">
        <f t="shared" ca="1" si="5"/>
        <v>24.176153040363328</v>
      </c>
    </row>
    <row r="42" spans="1:34">
      <c r="A42" t="str">
        <f t="shared" si="6"/>
        <v>Lentils</v>
      </c>
      <c r="B42" t="str">
        <f t="shared" si="7"/>
        <v>Harari</v>
      </c>
      <c r="C42" s="2">
        <f t="shared" ca="1" si="9"/>
        <v>22.390914997545568</v>
      </c>
      <c r="D42" s="2">
        <f t="shared" ca="1" si="9"/>
        <v>23.845811972747519</v>
      </c>
      <c r="E42" s="2">
        <f t="shared" ca="1" si="9"/>
        <v>22.209670104509811</v>
      </c>
      <c r="F42" s="2">
        <f t="shared" ca="1" si="9"/>
        <v>29.508853796198526</v>
      </c>
      <c r="G42" s="2">
        <f t="shared" ca="1" si="9"/>
        <v>26.331409711470972</v>
      </c>
      <c r="H42" s="2">
        <f t="shared" ca="1" si="9"/>
        <v>27.274928442385978</v>
      </c>
      <c r="I42" s="2">
        <f t="shared" ca="1" si="9"/>
        <v>23.434381493253831</v>
      </c>
      <c r="J42" s="2">
        <f t="shared" ca="1" si="9"/>
        <v>26.585662375410934</v>
      </c>
      <c r="K42" s="2">
        <f t="shared" ca="1" si="9"/>
        <v>25.456484394797268</v>
      </c>
      <c r="L42" s="2">
        <f t="shared" ca="1" si="9"/>
        <v>21.643357896204989</v>
      </c>
      <c r="M42" s="2">
        <f t="shared" ca="1" si="9"/>
        <v>29.276766148338773</v>
      </c>
      <c r="N42" s="2">
        <f t="shared" ca="1" si="9"/>
        <v>26.064278577470201</v>
      </c>
      <c r="O42" s="2">
        <f t="shared" ca="1" si="9"/>
        <v>22.995791344135657</v>
      </c>
      <c r="P42" s="2">
        <f t="shared" ca="1" si="9"/>
        <v>22.205984152874354</v>
      </c>
      <c r="Q42" s="2">
        <f t="shared" ca="1" si="9"/>
        <v>27.168292300529707</v>
      </c>
      <c r="R42" s="2">
        <f t="shared" ca="1" si="9"/>
        <v>21.939290627616565</v>
      </c>
      <c r="S42" s="2">
        <f t="shared" ca="1" si="8"/>
        <v>29.882584329076366</v>
      </c>
      <c r="T42" s="2">
        <f t="shared" ca="1" si="8"/>
        <v>20.067484926772</v>
      </c>
      <c r="U42" s="2">
        <f t="shared" ca="1" si="8"/>
        <v>22.332324592896441</v>
      </c>
      <c r="V42" s="2">
        <f t="shared" ca="1" si="8"/>
        <v>21.543273921869606</v>
      </c>
      <c r="W42" s="2">
        <f t="shared" ca="1" si="8"/>
        <v>25.639231529980393</v>
      </c>
      <c r="X42" s="2">
        <f t="shared" ca="1" si="8"/>
        <v>25.334664656700774</v>
      </c>
      <c r="Y42" s="2">
        <f t="shared" ca="1" si="8"/>
        <v>25.537276332355429</v>
      </c>
      <c r="Z42" s="2">
        <f t="shared" ca="1" si="4"/>
        <v>23.2902553623742</v>
      </c>
      <c r="AA42" s="2">
        <f t="shared" ca="1" si="5"/>
        <v>21.808333390358705</v>
      </c>
      <c r="AB42" s="2">
        <f t="shared" ca="1" si="5"/>
        <v>23.540409167907161</v>
      </c>
      <c r="AC42" s="2">
        <f t="shared" ca="1" si="5"/>
        <v>20.629963248239708</v>
      </c>
      <c r="AD42" s="2">
        <f t="shared" ca="1" si="5"/>
        <v>25.443992725156868</v>
      </c>
      <c r="AE42" s="2">
        <f t="shared" ca="1" si="5"/>
        <v>23.727230371832707</v>
      </c>
      <c r="AF42" s="2">
        <f t="shared" ca="1" si="5"/>
        <v>22.905664192235761</v>
      </c>
      <c r="AG42" s="2">
        <f t="shared" ca="1" si="5"/>
        <v>28.740265984517265</v>
      </c>
      <c r="AH42" s="2">
        <f t="shared" ref="D42:AH51" ca="1" si="10">(RAND()*0.1+0.2)*100</f>
        <v>26.324262763404505</v>
      </c>
    </row>
    <row r="43" spans="1:34">
      <c r="A43" t="str">
        <f t="shared" si="6"/>
        <v>Lentils</v>
      </c>
      <c r="B43" t="str">
        <f t="shared" si="7"/>
        <v>Oromia</v>
      </c>
      <c r="C43" s="2">
        <f t="shared" ca="1" si="9"/>
        <v>28.755490561784363</v>
      </c>
      <c r="D43" s="2">
        <f t="shared" ca="1" si="10"/>
        <v>21.250241787568449</v>
      </c>
      <c r="E43" s="2">
        <f t="shared" ca="1" si="10"/>
        <v>29.443763908282101</v>
      </c>
      <c r="F43" s="2">
        <f t="shared" ca="1" si="10"/>
        <v>22.045643078853754</v>
      </c>
      <c r="G43" s="2">
        <f t="shared" ca="1" si="10"/>
        <v>27.797572695191203</v>
      </c>
      <c r="H43" s="2">
        <f t="shared" ca="1" si="10"/>
        <v>20.813628403180005</v>
      </c>
      <c r="I43" s="2">
        <f t="shared" ca="1" si="10"/>
        <v>23.737322663039954</v>
      </c>
      <c r="J43" s="2">
        <f t="shared" ca="1" si="10"/>
        <v>29.245861911268761</v>
      </c>
      <c r="K43" s="2">
        <f t="shared" ca="1" si="10"/>
        <v>26.241936123586473</v>
      </c>
      <c r="L43" s="2">
        <f t="shared" ca="1" si="10"/>
        <v>22.634264744160593</v>
      </c>
      <c r="M43" s="2">
        <f t="shared" ca="1" si="10"/>
        <v>21.418418441946152</v>
      </c>
      <c r="N43" s="2">
        <f t="shared" ca="1" si="10"/>
        <v>25.414509378139439</v>
      </c>
      <c r="O43" s="2">
        <f t="shared" ca="1" si="10"/>
        <v>23.893056245608467</v>
      </c>
      <c r="P43" s="2">
        <f t="shared" ca="1" si="10"/>
        <v>20.808588277489971</v>
      </c>
      <c r="Q43" s="2">
        <f t="shared" ca="1" si="10"/>
        <v>24.632254018472644</v>
      </c>
      <c r="R43" s="2">
        <f t="shared" ca="1" si="10"/>
        <v>29.378820917069991</v>
      </c>
      <c r="S43" s="2">
        <f t="shared" ca="1" si="10"/>
        <v>29.019144941155616</v>
      </c>
      <c r="T43" s="2">
        <f t="shared" ca="1" si="10"/>
        <v>24.582595129889668</v>
      </c>
      <c r="U43" s="2">
        <f t="shared" ca="1" si="10"/>
        <v>23.572781736791061</v>
      </c>
      <c r="V43" s="2">
        <f t="shared" ca="1" si="10"/>
        <v>22.926678278278576</v>
      </c>
      <c r="W43" s="2">
        <f t="shared" ca="1" si="10"/>
        <v>23.484036567169646</v>
      </c>
      <c r="X43" s="2">
        <f t="shared" ca="1" si="10"/>
        <v>22.024309186148137</v>
      </c>
      <c r="Y43" s="2">
        <f t="shared" ca="1" si="10"/>
        <v>26.465177265576123</v>
      </c>
      <c r="Z43" s="2">
        <f t="shared" ca="1" si="10"/>
        <v>25.62242951914584</v>
      </c>
      <c r="AA43" s="2">
        <f t="shared" ca="1" si="10"/>
        <v>28.445021178889697</v>
      </c>
      <c r="AB43" s="2">
        <f t="shared" ca="1" si="10"/>
        <v>25.195417724820512</v>
      </c>
      <c r="AC43" s="2">
        <f t="shared" ca="1" si="10"/>
        <v>20.84849236816245</v>
      </c>
      <c r="AD43" s="2">
        <f t="shared" ca="1" si="10"/>
        <v>28.019150767143557</v>
      </c>
      <c r="AE43" s="2">
        <f t="shared" ca="1" si="10"/>
        <v>21.967660471496121</v>
      </c>
      <c r="AF43" s="2">
        <f t="shared" ca="1" si="10"/>
        <v>25.862303311742181</v>
      </c>
      <c r="AG43" s="2">
        <f t="shared" ca="1" si="10"/>
        <v>29.472137157550431</v>
      </c>
      <c r="AH43" s="2">
        <f t="shared" ca="1" si="10"/>
        <v>28.41770894171195</v>
      </c>
    </row>
    <row r="44" spans="1:34">
      <c r="A44" t="str">
        <f t="shared" si="6"/>
        <v>Lentils</v>
      </c>
      <c r="B44" t="str">
        <f t="shared" si="7"/>
        <v>Somali</v>
      </c>
      <c r="C44" s="2">
        <f t="shared" ca="1" si="9"/>
        <v>26.119828403399502</v>
      </c>
      <c r="D44" s="2">
        <f t="shared" ca="1" si="10"/>
        <v>23.316939097818366</v>
      </c>
      <c r="E44" s="2">
        <f t="shared" ca="1" si="10"/>
        <v>20.832719240987693</v>
      </c>
      <c r="F44" s="2">
        <f t="shared" ca="1" si="10"/>
        <v>24.321726292658841</v>
      </c>
      <c r="G44" s="2">
        <f t="shared" ca="1" si="10"/>
        <v>28.428736831101002</v>
      </c>
      <c r="H44" s="2">
        <f t="shared" ca="1" si="10"/>
        <v>22.77671779087245</v>
      </c>
      <c r="I44" s="2">
        <f t="shared" ca="1" si="10"/>
        <v>24.768742138738624</v>
      </c>
      <c r="J44" s="2">
        <f t="shared" ca="1" si="10"/>
        <v>29.153183728519817</v>
      </c>
      <c r="K44" s="2">
        <f t="shared" ca="1" si="10"/>
        <v>23.404666822479179</v>
      </c>
      <c r="L44" s="2">
        <f t="shared" ca="1" si="10"/>
        <v>29.520913967236385</v>
      </c>
      <c r="M44" s="2">
        <f t="shared" ca="1" si="10"/>
        <v>26.092886800115643</v>
      </c>
      <c r="N44" s="2">
        <f t="shared" ca="1" si="10"/>
        <v>20.958722289608168</v>
      </c>
      <c r="O44" s="2">
        <f t="shared" ca="1" si="10"/>
        <v>20.344661526538822</v>
      </c>
      <c r="P44" s="2">
        <f t="shared" ca="1" si="10"/>
        <v>24.498576042952873</v>
      </c>
      <c r="Q44" s="2">
        <f t="shared" ca="1" si="10"/>
        <v>22.1553636801629</v>
      </c>
      <c r="R44" s="2">
        <f t="shared" ca="1" si="10"/>
        <v>24.4218770341718</v>
      </c>
      <c r="S44" s="2">
        <f t="shared" ca="1" si="10"/>
        <v>26.888635969617681</v>
      </c>
      <c r="T44" s="2">
        <f t="shared" ca="1" si="10"/>
        <v>29.30152487731635</v>
      </c>
      <c r="U44" s="2">
        <f t="shared" ca="1" si="10"/>
        <v>23.147098760289524</v>
      </c>
      <c r="V44" s="2">
        <f t="shared" ca="1" si="10"/>
        <v>25.512623258156513</v>
      </c>
      <c r="W44" s="2">
        <f t="shared" ca="1" si="10"/>
        <v>23.069601598005974</v>
      </c>
      <c r="X44" s="2">
        <f t="shared" ca="1" si="10"/>
        <v>22.080055650329513</v>
      </c>
      <c r="Y44" s="2">
        <f t="shared" ca="1" si="10"/>
        <v>22.5895384033402</v>
      </c>
      <c r="Z44" s="2">
        <f t="shared" ca="1" si="10"/>
        <v>27.8095645981169</v>
      </c>
      <c r="AA44" s="2">
        <f t="shared" ca="1" si="10"/>
        <v>21.711276442818811</v>
      </c>
      <c r="AB44" s="2">
        <f t="shared" ca="1" si="10"/>
        <v>20.369129924043904</v>
      </c>
      <c r="AC44" s="2">
        <f t="shared" ca="1" si="10"/>
        <v>25.575308998272767</v>
      </c>
      <c r="AD44" s="2">
        <f t="shared" ca="1" si="10"/>
        <v>20.425912888816253</v>
      </c>
      <c r="AE44" s="2">
        <f t="shared" ca="1" si="10"/>
        <v>28.060879476253213</v>
      </c>
      <c r="AF44" s="2">
        <f t="shared" ca="1" si="10"/>
        <v>28.961254807337898</v>
      </c>
      <c r="AG44" s="2">
        <f t="shared" ca="1" si="10"/>
        <v>25.973234993408091</v>
      </c>
      <c r="AH44" s="2">
        <f t="shared" ca="1" si="10"/>
        <v>29.955975526052654</v>
      </c>
    </row>
    <row r="45" spans="1:34">
      <c r="A45" t="str">
        <f t="shared" si="6"/>
        <v>Lentils</v>
      </c>
      <c r="B45" t="str">
        <f t="shared" si="7"/>
        <v>SNNPR</v>
      </c>
      <c r="C45" s="2">
        <f t="shared" ca="1" si="9"/>
        <v>21.444988576670159</v>
      </c>
      <c r="D45" s="2">
        <f t="shared" ca="1" si="10"/>
        <v>20.773964735809976</v>
      </c>
      <c r="E45" s="2">
        <f t="shared" ca="1" si="10"/>
        <v>20.219298050364365</v>
      </c>
      <c r="F45" s="2">
        <f t="shared" ca="1" si="10"/>
        <v>20.153847601030979</v>
      </c>
      <c r="G45" s="2">
        <f t="shared" ca="1" si="10"/>
        <v>29.982695882636527</v>
      </c>
      <c r="H45" s="2">
        <f t="shared" ca="1" si="10"/>
        <v>28.083587938319997</v>
      </c>
      <c r="I45" s="2">
        <f t="shared" ca="1" si="10"/>
        <v>29.560441455550212</v>
      </c>
      <c r="J45" s="2">
        <f t="shared" ca="1" si="10"/>
        <v>21.129993439248704</v>
      </c>
      <c r="K45" s="2">
        <f t="shared" ca="1" si="10"/>
        <v>25.721122547521151</v>
      </c>
      <c r="L45" s="2">
        <f t="shared" ca="1" si="10"/>
        <v>28.846394087622286</v>
      </c>
      <c r="M45" s="2">
        <f t="shared" ca="1" si="10"/>
        <v>24.602565586990064</v>
      </c>
      <c r="N45" s="2">
        <f t="shared" ca="1" si="10"/>
        <v>22.049164244747651</v>
      </c>
      <c r="O45" s="2">
        <f t="shared" ca="1" si="10"/>
        <v>21.334177844101724</v>
      </c>
      <c r="P45" s="2">
        <f t="shared" ca="1" si="10"/>
        <v>26.798909514473035</v>
      </c>
      <c r="Q45" s="2">
        <f t="shared" ca="1" si="10"/>
        <v>23.282064140655823</v>
      </c>
      <c r="R45" s="2">
        <f t="shared" ca="1" si="10"/>
        <v>26.794240981935019</v>
      </c>
      <c r="S45" s="2">
        <f t="shared" ca="1" si="10"/>
        <v>29.067795238322724</v>
      </c>
      <c r="T45" s="2">
        <f t="shared" ca="1" si="10"/>
        <v>26.984301965802153</v>
      </c>
      <c r="U45" s="2">
        <f t="shared" ca="1" si="10"/>
        <v>25.69759608725073</v>
      </c>
      <c r="V45" s="2">
        <f t="shared" ca="1" si="10"/>
        <v>27.80310897524944</v>
      </c>
      <c r="W45" s="2">
        <f t="shared" ca="1" si="10"/>
        <v>28.776039570417328</v>
      </c>
      <c r="X45" s="2">
        <f t="shared" ca="1" si="10"/>
        <v>29.39996860416295</v>
      </c>
      <c r="Y45" s="2">
        <f t="shared" ca="1" si="10"/>
        <v>29.869225714139048</v>
      </c>
      <c r="Z45" s="2">
        <f t="shared" ca="1" si="10"/>
        <v>20.320489857784864</v>
      </c>
      <c r="AA45" s="2">
        <f t="shared" ca="1" si="10"/>
        <v>24.181374149671207</v>
      </c>
      <c r="AB45" s="2">
        <f t="shared" ca="1" si="10"/>
        <v>21.600232704897522</v>
      </c>
      <c r="AC45" s="2">
        <f t="shared" ca="1" si="10"/>
        <v>22.744971308561883</v>
      </c>
      <c r="AD45" s="2">
        <f t="shared" ca="1" si="10"/>
        <v>20.359760084576202</v>
      </c>
      <c r="AE45" s="2">
        <f t="shared" ca="1" si="10"/>
        <v>21.645143614146136</v>
      </c>
      <c r="AF45" s="2">
        <f t="shared" ca="1" si="10"/>
        <v>27.676558155183457</v>
      </c>
      <c r="AG45" s="2">
        <f t="shared" ca="1" si="10"/>
        <v>29.888822351291385</v>
      </c>
      <c r="AH45" s="2">
        <f t="shared" ca="1" si="10"/>
        <v>25.934968982713329</v>
      </c>
    </row>
    <row r="46" spans="1:34">
      <c r="A46" t="str">
        <f t="shared" si="6"/>
        <v>Lentils</v>
      </c>
      <c r="B46" t="str">
        <f t="shared" si="7"/>
        <v>Tigray</v>
      </c>
      <c r="C46" s="2">
        <f t="shared" ca="1" si="9"/>
        <v>23.296426162938204</v>
      </c>
      <c r="D46" s="2">
        <f t="shared" ca="1" si="10"/>
        <v>24.540171934069722</v>
      </c>
      <c r="E46" s="2">
        <f t="shared" ca="1" si="10"/>
        <v>27.553095484301693</v>
      </c>
      <c r="F46" s="2">
        <f t="shared" ca="1" si="10"/>
        <v>23.600410940274752</v>
      </c>
      <c r="G46" s="2">
        <f t="shared" ca="1" si="10"/>
        <v>22.32802390049935</v>
      </c>
      <c r="H46" s="2">
        <f t="shared" ca="1" si="10"/>
        <v>29.18483372634212</v>
      </c>
      <c r="I46" s="2">
        <f t="shared" ca="1" si="10"/>
        <v>21.494111928557217</v>
      </c>
      <c r="J46" s="2">
        <f t="shared" ca="1" si="10"/>
        <v>20.935097454992913</v>
      </c>
      <c r="K46" s="2">
        <f t="shared" ca="1" si="10"/>
        <v>20.252938219284893</v>
      </c>
      <c r="L46" s="2">
        <f t="shared" ca="1" si="10"/>
        <v>28.830392971023354</v>
      </c>
      <c r="M46" s="2">
        <f t="shared" ca="1" si="10"/>
        <v>26.161456220728084</v>
      </c>
      <c r="N46" s="2">
        <f t="shared" ca="1" si="10"/>
        <v>24.266526817611808</v>
      </c>
      <c r="O46" s="2">
        <f t="shared" ca="1" si="10"/>
        <v>26.613798468886294</v>
      </c>
      <c r="P46" s="2">
        <f t="shared" ca="1" si="10"/>
        <v>27.649602293001568</v>
      </c>
      <c r="Q46" s="2">
        <f t="shared" ca="1" si="10"/>
        <v>23.18660008515447</v>
      </c>
      <c r="R46" s="2">
        <f t="shared" ca="1" si="10"/>
        <v>27.409930490071787</v>
      </c>
      <c r="S46" s="2">
        <f t="shared" ca="1" si="10"/>
        <v>25.32152219197188</v>
      </c>
      <c r="T46" s="2">
        <f t="shared" ca="1" si="10"/>
        <v>28.868204131330522</v>
      </c>
      <c r="U46" s="2">
        <f t="shared" ca="1" si="10"/>
        <v>28.925992738743179</v>
      </c>
      <c r="V46" s="2">
        <f t="shared" ca="1" si="10"/>
        <v>24.460619400100143</v>
      </c>
      <c r="W46" s="2">
        <f t="shared" ca="1" si="10"/>
        <v>23.0839456468393</v>
      </c>
      <c r="X46" s="2">
        <f t="shared" ca="1" si="10"/>
        <v>28.859435352813168</v>
      </c>
      <c r="Y46" s="2">
        <f t="shared" ca="1" si="10"/>
        <v>21.713774237407367</v>
      </c>
      <c r="Z46" s="2">
        <f t="shared" ca="1" si="10"/>
        <v>28.909384673948612</v>
      </c>
      <c r="AA46" s="2">
        <f t="shared" ca="1" si="10"/>
        <v>22.076237159454521</v>
      </c>
      <c r="AB46" s="2">
        <f t="shared" ca="1" si="10"/>
        <v>24.653326335218761</v>
      </c>
      <c r="AC46" s="2">
        <f t="shared" ca="1" si="10"/>
        <v>22.624879215582681</v>
      </c>
      <c r="AD46" s="2">
        <f t="shared" ca="1" si="10"/>
        <v>25.735369402021789</v>
      </c>
      <c r="AE46" s="2">
        <f t="shared" ca="1" si="10"/>
        <v>24.996689511004924</v>
      </c>
      <c r="AF46" s="2">
        <f t="shared" ca="1" si="10"/>
        <v>29.124842306423858</v>
      </c>
      <c r="AG46" s="2">
        <f t="shared" ca="1" si="10"/>
        <v>28.828682544486632</v>
      </c>
      <c r="AH46" s="2">
        <f t="shared" ca="1" si="10"/>
        <v>20.642409258139921</v>
      </c>
    </row>
    <row r="47" spans="1:34">
      <c r="A47" t="str">
        <f t="shared" si="6"/>
        <v>Vegetables</v>
      </c>
      <c r="B47" t="str">
        <f t="shared" si="7"/>
        <v>AddisAbaba</v>
      </c>
      <c r="C47" s="2">
        <f t="shared" ca="1" si="9"/>
        <v>24.239598778467069</v>
      </c>
      <c r="D47" s="2">
        <f t="shared" ca="1" si="10"/>
        <v>27.483953922893566</v>
      </c>
      <c r="E47" s="2">
        <f t="shared" ca="1" si="10"/>
        <v>21.161424394564179</v>
      </c>
      <c r="F47" s="2">
        <f t="shared" ca="1" si="10"/>
        <v>21.398329118552063</v>
      </c>
      <c r="G47" s="2">
        <f t="shared" ca="1" si="10"/>
        <v>24.221630714281904</v>
      </c>
      <c r="H47" s="2">
        <f t="shared" ca="1" si="10"/>
        <v>23.916856073248034</v>
      </c>
      <c r="I47" s="2">
        <f t="shared" ca="1" si="10"/>
        <v>28.670038739419269</v>
      </c>
      <c r="J47" s="2">
        <f t="shared" ca="1" si="10"/>
        <v>22.836517655003444</v>
      </c>
      <c r="K47" s="2">
        <f t="shared" ca="1" si="10"/>
        <v>27.557301764645313</v>
      </c>
      <c r="L47" s="2">
        <f t="shared" ca="1" si="10"/>
        <v>20.711846361151835</v>
      </c>
      <c r="M47" s="2">
        <f t="shared" ca="1" si="10"/>
        <v>21.252310102517409</v>
      </c>
      <c r="N47" s="2">
        <f t="shared" ca="1" si="10"/>
        <v>27.973156378903486</v>
      </c>
      <c r="O47" s="2">
        <f t="shared" ca="1" si="10"/>
        <v>29.344540603283718</v>
      </c>
      <c r="P47" s="2">
        <f t="shared" ca="1" si="10"/>
        <v>27.110754126972829</v>
      </c>
      <c r="Q47" s="2">
        <f t="shared" ca="1" si="10"/>
        <v>26.722547412009224</v>
      </c>
      <c r="R47" s="2">
        <f t="shared" ca="1" si="10"/>
        <v>25.63125621504944</v>
      </c>
      <c r="S47" s="2">
        <f t="shared" ca="1" si="10"/>
        <v>20.870270984678811</v>
      </c>
      <c r="T47" s="2">
        <f t="shared" ca="1" si="10"/>
        <v>22.071735133894478</v>
      </c>
      <c r="U47" s="2">
        <f t="shared" ca="1" si="10"/>
        <v>25.003995971257126</v>
      </c>
      <c r="V47" s="2">
        <f t="shared" ca="1" si="10"/>
        <v>23.834973123821797</v>
      </c>
      <c r="W47" s="2">
        <f t="shared" ca="1" si="10"/>
        <v>25.598269378632565</v>
      </c>
      <c r="X47" s="2">
        <f t="shared" ca="1" si="10"/>
        <v>20.355158180635666</v>
      </c>
      <c r="Y47" s="2">
        <f t="shared" ca="1" si="10"/>
        <v>24.344348378243545</v>
      </c>
      <c r="Z47" s="2">
        <f t="shared" ca="1" si="10"/>
        <v>26.931748266669871</v>
      </c>
      <c r="AA47" s="2">
        <f t="shared" ca="1" si="10"/>
        <v>20.207817549617335</v>
      </c>
      <c r="AB47" s="2">
        <f t="shared" ca="1" si="10"/>
        <v>23.068544611439883</v>
      </c>
      <c r="AC47" s="2">
        <f t="shared" ca="1" si="10"/>
        <v>21.355405238207204</v>
      </c>
      <c r="AD47" s="2">
        <f t="shared" ca="1" si="10"/>
        <v>20.593969736580348</v>
      </c>
      <c r="AE47" s="2">
        <f t="shared" ca="1" si="10"/>
        <v>22.768501572105329</v>
      </c>
      <c r="AF47" s="2">
        <f t="shared" ca="1" si="10"/>
        <v>21.508580768611004</v>
      </c>
      <c r="AG47" s="2">
        <f t="shared" ca="1" si="10"/>
        <v>21.442962381011444</v>
      </c>
      <c r="AH47" s="2">
        <f t="shared" ca="1" si="10"/>
        <v>21.033008006530792</v>
      </c>
    </row>
    <row r="48" spans="1:34">
      <c r="A48" t="str">
        <f t="shared" si="6"/>
        <v>Vegetables</v>
      </c>
      <c r="B48" t="str">
        <f t="shared" si="7"/>
        <v>Afar</v>
      </c>
      <c r="C48" s="2">
        <f t="shared" ca="1" si="9"/>
        <v>26.134561231497184</v>
      </c>
      <c r="D48" s="2">
        <f t="shared" ca="1" si="10"/>
        <v>22.495275800185059</v>
      </c>
      <c r="E48" s="2">
        <f t="shared" ca="1" si="10"/>
        <v>23.949672838201522</v>
      </c>
      <c r="F48" s="2">
        <f t="shared" ca="1" si="10"/>
        <v>20.336957797461494</v>
      </c>
      <c r="G48" s="2">
        <f t="shared" ca="1" si="10"/>
        <v>20.892546403842907</v>
      </c>
      <c r="H48" s="2">
        <f t="shared" ca="1" si="10"/>
        <v>24.832912212315208</v>
      </c>
      <c r="I48" s="2">
        <f t="shared" ca="1" si="10"/>
        <v>29.641369113385874</v>
      </c>
      <c r="J48" s="2">
        <f t="shared" ca="1" si="10"/>
        <v>27.83512191862545</v>
      </c>
      <c r="K48" s="2">
        <f t="shared" ca="1" si="10"/>
        <v>26.114664415728516</v>
      </c>
      <c r="L48" s="2">
        <f t="shared" ca="1" si="10"/>
        <v>25.434081854877196</v>
      </c>
      <c r="M48" s="2">
        <f t="shared" ca="1" si="10"/>
        <v>25.126577809468053</v>
      </c>
      <c r="N48" s="2">
        <f t="shared" ca="1" si="10"/>
        <v>27.664790310923813</v>
      </c>
      <c r="O48" s="2">
        <f t="shared" ca="1" si="10"/>
        <v>20.839019929408053</v>
      </c>
      <c r="P48" s="2">
        <f t="shared" ca="1" si="10"/>
        <v>21.860265714317784</v>
      </c>
      <c r="Q48" s="2">
        <f t="shared" ca="1" si="10"/>
        <v>29.525897913420156</v>
      </c>
      <c r="R48" s="2">
        <f t="shared" ca="1" si="10"/>
        <v>29.280456510229914</v>
      </c>
      <c r="S48" s="2">
        <f t="shared" ca="1" si="10"/>
        <v>25.272385745946803</v>
      </c>
      <c r="T48" s="2">
        <f t="shared" ca="1" si="10"/>
        <v>25.320658965030301</v>
      </c>
      <c r="U48" s="2">
        <f t="shared" ca="1" si="10"/>
        <v>25.306224589444998</v>
      </c>
      <c r="V48" s="2">
        <f t="shared" ca="1" si="10"/>
        <v>29.830280607149422</v>
      </c>
      <c r="W48" s="2">
        <f t="shared" ca="1" si="10"/>
        <v>20.187818745111002</v>
      </c>
      <c r="X48" s="2">
        <f t="shared" ca="1" si="10"/>
        <v>27.816007564488849</v>
      </c>
      <c r="Y48" s="2">
        <f t="shared" ca="1" si="10"/>
        <v>27.608115734771843</v>
      </c>
      <c r="Z48" s="2">
        <f t="shared" ca="1" si="10"/>
        <v>23.92744357627442</v>
      </c>
      <c r="AA48" s="2">
        <f t="shared" ca="1" si="10"/>
        <v>22.910186240578142</v>
      </c>
      <c r="AB48" s="2">
        <f t="shared" ca="1" si="10"/>
        <v>26.08470017311485</v>
      </c>
      <c r="AC48" s="2">
        <f t="shared" ca="1" si="10"/>
        <v>26.733680734190173</v>
      </c>
      <c r="AD48" s="2">
        <f t="shared" ca="1" si="10"/>
        <v>29.153674438469711</v>
      </c>
      <c r="AE48" s="2">
        <f t="shared" ca="1" si="10"/>
        <v>27.799558278604046</v>
      </c>
      <c r="AF48" s="2">
        <f t="shared" ca="1" si="10"/>
        <v>20.414907264991321</v>
      </c>
      <c r="AG48" s="2">
        <f t="shared" ca="1" si="10"/>
        <v>27.976047882271455</v>
      </c>
      <c r="AH48" s="2">
        <f t="shared" ca="1" si="10"/>
        <v>21.158200878085388</v>
      </c>
    </row>
    <row r="49" spans="1:34">
      <c r="A49" t="str">
        <f t="shared" si="6"/>
        <v>Vegetables</v>
      </c>
      <c r="B49" t="str">
        <f t="shared" si="7"/>
        <v>Amhara</v>
      </c>
      <c r="C49" s="2">
        <f t="shared" ca="1" si="9"/>
        <v>27.225650142544161</v>
      </c>
      <c r="D49" s="2">
        <f t="shared" ca="1" si="10"/>
        <v>21.352020167253468</v>
      </c>
      <c r="E49" s="2">
        <f t="shared" ca="1" si="10"/>
        <v>22.382470925854893</v>
      </c>
      <c r="F49" s="2">
        <f t="shared" ca="1" si="10"/>
        <v>26.687506704607632</v>
      </c>
      <c r="G49" s="2">
        <f t="shared" ca="1" si="10"/>
        <v>26.122017935998631</v>
      </c>
      <c r="H49" s="2">
        <f t="shared" ca="1" si="10"/>
        <v>24.299627433788025</v>
      </c>
      <c r="I49" s="2">
        <f t="shared" ca="1" si="10"/>
        <v>23.025055731213286</v>
      </c>
      <c r="J49" s="2">
        <f t="shared" ca="1" si="10"/>
        <v>25.462140333784173</v>
      </c>
      <c r="K49" s="2">
        <f t="shared" ca="1" si="10"/>
        <v>24.672943735345886</v>
      </c>
      <c r="L49" s="2">
        <f t="shared" ca="1" si="10"/>
        <v>24.906462556469439</v>
      </c>
      <c r="M49" s="2">
        <f t="shared" ca="1" si="10"/>
        <v>28.909340908070675</v>
      </c>
      <c r="N49" s="2">
        <f t="shared" ca="1" si="10"/>
        <v>29.183627538136271</v>
      </c>
      <c r="O49" s="2">
        <f t="shared" ca="1" si="10"/>
        <v>29.105999290561847</v>
      </c>
      <c r="P49" s="2">
        <f t="shared" ca="1" si="10"/>
        <v>21.062099234084396</v>
      </c>
      <c r="Q49" s="2">
        <f t="shared" ca="1" si="10"/>
        <v>27.713236548990583</v>
      </c>
      <c r="R49" s="2">
        <f t="shared" ca="1" si="10"/>
        <v>22.377811374140528</v>
      </c>
      <c r="S49" s="2">
        <f t="shared" ca="1" si="10"/>
        <v>21.363060878733123</v>
      </c>
      <c r="T49" s="2">
        <f t="shared" ca="1" si="10"/>
        <v>23.722264368589666</v>
      </c>
      <c r="U49" s="2">
        <f t="shared" ca="1" si="10"/>
        <v>28.104827734173433</v>
      </c>
      <c r="V49" s="2">
        <f t="shared" ca="1" si="10"/>
        <v>21.310503443647345</v>
      </c>
      <c r="W49" s="2">
        <f t="shared" ca="1" si="10"/>
        <v>27.868908194996244</v>
      </c>
      <c r="X49" s="2">
        <f t="shared" ca="1" si="10"/>
        <v>26.002014608854473</v>
      </c>
      <c r="Y49" s="2">
        <f t="shared" ca="1" si="10"/>
        <v>29.705363590077987</v>
      </c>
      <c r="Z49" s="2">
        <f t="shared" ca="1" si="10"/>
        <v>23.704000213313421</v>
      </c>
      <c r="AA49" s="2">
        <f t="shared" ca="1" si="10"/>
        <v>28.527310791792708</v>
      </c>
      <c r="AB49" s="2">
        <f t="shared" ca="1" si="10"/>
        <v>29.707084960669768</v>
      </c>
      <c r="AC49" s="2">
        <f t="shared" ca="1" si="10"/>
        <v>23.266934511932128</v>
      </c>
      <c r="AD49" s="2">
        <f t="shared" ca="1" si="10"/>
        <v>29.271968563889462</v>
      </c>
      <c r="AE49" s="2">
        <f t="shared" ca="1" si="10"/>
        <v>20.293107274799041</v>
      </c>
      <c r="AF49" s="2">
        <f t="shared" ca="1" si="10"/>
        <v>26.771745376239743</v>
      </c>
      <c r="AG49" s="2">
        <f t="shared" ca="1" si="10"/>
        <v>20.596791610463701</v>
      </c>
      <c r="AH49" s="2">
        <f t="shared" ca="1" si="10"/>
        <v>23.775001932708381</v>
      </c>
    </row>
    <row r="50" spans="1:34">
      <c r="A50" t="str">
        <f t="shared" si="6"/>
        <v>Vegetables</v>
      </c>
      <c r="B50" t="str">
        <f t="shared" si="7"/>
        <v>Gumuz</v>
      </c>
      <c r="C50" s="2">
        <f t="shared" ca="1" si="9"/>
        <v>28.03715667294847</v>
      </c>
      <c r="D50" s="2">
        <f t="shared" ca="1" si="10"/>
        <v>22.742413807225329</v>
      </c>
      <c r="E50" s="2">
        <f t="shared" ca="1" si="10"/>
        <v>25.070647371941728</v>
      </c>
      <c r="F50" s="2">
        <f t="shared" ca="1" si="10"/>
        <v>24.159906198070868</v>
      </c>
      <c r="G50" s="2">
        <f t="shared" ca="1" si="10"/>
        <v>29.869829508080649</v>
      </c>
      <c r="H50" s="2">
        <f t="shared" ca="1" si="10"/>
        <v>24.637031234821986</v>
      </c>
      <c r="I50" s="2">
        <f t="shared" ca="1" si="10"/>
        <v>29.607130115329511</v>
      </c>
      <c r="J50" s="2">
        <f t="shared" ca="1" si="10"/>
        <v>20.73335816132419</v>
      </c>
      <c r="K50" s="2">
        <f t="shared" ca="1" si="10"/>
        <v>29.788842128264875</v>
      </c>
      <c r="L50" s="2">
        <f t="shared" ca="1" si="10"/>
        <v>29.11428552899158</v>
      </c>
      <c r="M50" s="2">
        <f t="shared" ca="1" si="10"/>
        <v>27.028584039521675</v>
      </c>
      <c r="N50" s="2">
        <f t="shared" ca="1" si="10"/>
        <v>29.294655502700014</v>
      </c>
      <c r="O50" s="2">
        <f t="shared" ca="1" si="10"/>
        <v>22.65671974367439</v>
      </c>
      <c r="P50" s="2">
        <f t="shared" ca="1" si="10"/>
        <v>29.194402710932188</v>
      </c>
      <c r="Q50" s="2">
        <f t="shared" ca="1" si="10"/>
        <v>26.871304174328792</v>
      </c>
      <c r="R50" s="2">
        <f t="shared" ca="1" si="10"/>
        <v>24.83989524967151</v>
      </c>
      <c r="S50" s="2">
        <f t="shared" ca="1" si="10"/>
        <v>25.759220863138061</v>
      </c>
      <c r="T50" s="2">
        <f t="shared" ca="1" si="10"/>
        <v>28.866606774280967</v>
      </c>
      <c r="U50" s="2">
        <f t="shared" ca="1" si="10"/>
        <v>24.787404788995641</v>
      </c>
      <c r="V50" s="2">
        <f t="shared" ca="1" si="10"/>
        <v>23.463428105681569</v>
      </c>
      <c r="W50" s="2">
        <f t="shared" ca="1" si="10"/>
        <v>26.115778157905332</v>
      </c>
      <c r="X50" s="2">
        <f t="shared" ca="1" si="10"/>
        <v>22.379686749035088</v>
      </c>
      <c r="Y50" s="2">
        <f t="shared" ca="1" si="10"/>
        <v>22.035249944546422</v>
      </c>
      <c r="Z50" s="2">
        <f t="shared" ca="1" si="10"/>
        <v>24.536910877269076</v>
      </c>
      <c r="AA50" s="2">
        <f t="shared" ca="1" si="10"/>
        <v>28.45063467207461</v>
      </c>
      <c r="AB50" s="2">
        <f t="shared" ca="1" si="10"/>
        <v>24.874162396066989</v>
      </c>
      <c r="AC50" s="2">
        <f t="shared" ca="1" si="10"/>
        <v>24.664133976498785</v>
      </c>
      <c r="AD50" s="2">
        <f t="shared" ca="1" si="10"/>
        <v>26.190052277204956</v>
      </c>
      <c r="AE50" s="2">
        <f t="shared" ca="1" si="10"/>
        <v>22.446120332716657</v>
      </c>
      <c r="AF50" s="2">
        <f t="shared" ca="1" si="10"/>
        <v>29.09662747458535</v>
      </c>
      <c r="AG50" s="2">
        <f t="shared" ca="1" si="10"/>
        <v>29.657199256860633</v>
      </c>
      <c r="AH50" s="2">
        <f t="shared" ca="1" si="10"/>
        <v>28.972083560049128</v>
      </c>
    </row>
    <row r="51" spans="1:34">
      <c r="A51" t="str">
        <f t="shared" si="6"/>
        <v>Vegetables</v>
      </c>
      <c r="B51" t="str">
        <f t="shared" si="7"/>
        <v>DireDawa</v>
      </c>
      <c r="C51" s="2">
        <f t="shared" ca="1" si="9"/>
        <v>25.151539918441955</v>
      </c>
      <c r="D51" s="2">
        <f t="shared" ca="1" si="10"/>
        <v>24.928120565455824</v>
      </c>
      <c r="E51" s="2">
        <f t="shared" ca="1" si="10"/>
        <v>25.716896735691876</v>
      </c>
      <c r="F51" s="2">
        <f t="shared" ca="1" si="10"/>
        <v>21.492524782310706</v>
      </c>
      <c r="G51" s="2">
        <f t="shared" ca="1" si="10"/>
        <v>20.735552878874586</v>
      </c>
      <c r="H51" s="2">
        <f t="shared" ca="1" si="10"/>
        <v>28.628940802078507</v>
      </c>
      <c r="I51" s="2">
        <f t="shared" ca="1" si="10"/>
        <v>29.902881401341308</v>
      </c>
      <c r="J51" s="2">
        <f t="shared" ref="J51:Y67" ca="1" si="11">(RAND()*0.1+0.2)*100</f>
        <v>26.955916508699772</v>
      </c>
      <c r="K51" s="2">
        <f t="shared" ca="1" si="11"/>
        <v>27.00348478691425</v>
      </c>
      <c r="L51" s="2">
        <f t="shared" ca="1" si="11"/>
        <v>23.737477051103799</v>
      </c>
      <c r="M51" s="2">
        <f t="shared" ca="1" si="11"/>
        <v>28.397352175989699</v>
      </c>
      <c r="N51" s="2">
        <f t="shared" ca="1" si="11"/>
        <v>26.821426477223405</v>
      </c>
      <c r="O51" s="2">
        <f t="shared" ca="1" si="11"/>
        <v>23.945299075992281</v>
      </c>
      <c r="P51" s="2">
        <f t="shared" ca="1" si="11"/>
        <v>23.958260261054011</v>
      </c>
      <c r="Q51" s="2">
        <f t="shared" ca="1" si="11"/>
        <v>23.677088465503861</v>
      </c>
      <c r="R51" s="2">
        <f t="shared" ca="1" si="11"/>
        <v>27.648075522228133</v>
      </c>
      <c r="S51" s="2">
        <f t="shared" ca="1" si="11"/>
        <v>29.26258322693112</v>
      </c>
      <c r="T51" s="2">
        <f t="shared" ca="1" si="11"/>
        <v>27.886942402243299</v>
      </c>
      <c r="U51" s="2">
        <f t="shared" ca="1" si="11"/>
        <v>28.794081882198675</v>
      </c>
      <c r="V51" s="2">
        <f t="shared" ca="1" si="11"/>
        <v>24.792772848265209</v>
      </c>
      <c r="W51" s="2">
        <f t="shared" ca="1" si="11"/>
        <v>24.986040945754816</v>
      </c>
      <c r="X51" s="2">
        <f t="shared" ca="1" si="11"/>
        <v>28.905641640611446</v>
      </c>
      <c r="Y51" s="2">
        <f t="shared" ca="1" si="11"/>
        <v>26.810389780428558</v>
      </c>
      <c r="Z51" s="2">
        <f t="shared" ref="Z51:AH67" ca="1" si="12">(RAND()*0.1+0.2)*100</f>
        <v>29.695984935721281</v>
      </c>
      <c r="AA51" s="2">
        <f t="shared" ca="1" si="12"/>
        <v>29.368992383482389</v>
      </c>
      <c r="AB51" s="2">
        <f t="shared" ca="1" si="12"/>
        <v>25.622039664606213</v>
      </c>
      <c r="AC51" s="2">
        <f t="shared" ca="1" si="12"/>
        <v>20.182545770583637</v>
      </c>
      <c r="AD51" s="2">
        <f t="shared" ca="1" si="12"/>
        <v>22.247053588754873</v>
      </c>
      <c r="AE51" s="2">
        <f t="shared" ca="1" si="12"/>
        <v>21.112026441260429</v>
      </c>
      <c r="AF51" s="2">
        <f t="shared" ca="1" si="12"/>
        <v>24.116568759840508</v>
      </c>
      <c r="AG51" s="2">
        <f t="shared" ca="1" si="12"/>
        <v>20.783391778126624</v>
      </c>
      <c r="AH51" s="2">
        <f t="shared" ca="1" si="12"/>
        <v>20.272713824580674</v>
      </c>
    </row>
    <row r="52" spans="1:34">
      <c r="A52" t="str">
        <f t="shared" si="6"/>
        <v>Vegetables</v>
      </c>
      <c r="B52" t="str">
        <f t="shared" si="7"/>
        <v>Gambela</v>
      </c>
      <c r="C52" s="2">
        <f t="shared" ca="1" si="9"/>
        <v>22.698275389351085</v>
      </c>
      <c r="D52" s="2">
        <f t="shared" ca="1" si="9"/>
        <v>26.188192488055961</v>
      </c>
      <c r="E52" s="2">
        <f t="shared" ca="1" si="9"/>
        <v>20.08020688920935</v>
      </c>
      <c r="F52" s="2">
        <f t="shared" ca="1" si="9"/>
        <v>21.326161048687275</v>
      </c>
      <c r="G52" s="2">
        <f t="shared" ca="1" si="9"/>
        <v>27.046964313979029</v>
      </c>
      <c r="H52" s="2">
        <f t="shared" ca="1" si="9"/>
        <v>25.9474333231685</v>
      </c>
      <c r="I52" s="2">
        <f t="shared" ref="I52:X67" ca="1" si="13">(RAND()*0.1+0.2)*100</f>
        <v>29.697443827641028</v>
      </c>
      <c r="J52" s="2">
        <f t="shared" ca="1" si="13"/>
        <v>22.816631776766162</v>
      </c>
      <c r="K52" s="2">
        <f t="shared" ca="1" si="13"/>
        <v>28.163319529494736</v>
      </c>
      <c r="L52" s="2">
        <f t="shared" ca="1" si="13"/>
        <v>29.604673987973484</v>
      </c>
      <c r="M52" s="2">
        <f t="shared" ca="1" si="13"/>
        <v>22.69324881847243</v>
      </c>
      <c r="N52" s="2">
        <f t="shared" ca="1" si="13"/>
        <v>29.705283038022444</v>
      </c>
      <c r="O52" s="2">
        <f t="shared" ca="1" si="13"/>
        <v>20.339266904942171</v>
      </c>
      <c r="P52" s="2">
        <f t="shared" ca="1" si="13"/>
        <v>26.816642147888665</v>
      </c>
      <c r="Q52" s="2">
        <f t="shared" ca="1" si="13"/>
        <v>20.942564002396018</v>
      </c>
      <c r="R52" s="2">
        <f t="shared" ca="1" si="13"/>
        <v>26.627622233761706</v>
      </c>
      <c r="S52" s="2">
        <f t="shared" ca="1" si="13"/>
        <v>20.736801647528587</v>
      </c>
      <c r="T52" s="2">
        <f t="shared" ca="1" si="13"/>
        <v>26.349444694842827</v>
      </c>
      <c r="U52" s="2">
        <f t="shared" ca="1" si="13"/>
        <v>25.646619770440626</v>
      </c>
      <c r="V52" s="2">
        <f t="shared" ca="1" si="13"/>
        <v>21.247163808383583</v>
      </c>
      <c r="W52" s="2">
        <f t="shared" ca="1" si="13"/>
        <v>21.43352972399256</v>
      </c>
      <c r="X52" s="2">
        <f t="shared" ca="1" si="13"/>
        <v>23.415395163707451</v>
      </c>
      <c r="Y52" s="2">
        <f t="shared" ca="1" si="11"/>
        <v>26.273828830433683</v>
      </c>
      <c r="Z52" s="2">
        <f t="shared" ca="1" si="12"/>
        <v>20.781584022056688</v>
      </c>
      <c r="AA52" s="2">
        <f t="shared" ca="1" si="12"/>
        <v>24.193502743843514</v>
      </c>
      <c r="AB52" s="2">
        <f t="shared" ca="1" si="12"/>
        <v>28.112863004316175</v>
      </c>
      <c r="AC52" s="2">
        <f t="shared" ca="1" si="12"/>
        <v>20.279220301766269</v>
      </c>
      <c r="AD52" s="2">
        <f t="shared" ca="1" si="12"/>
        <v>21.577949498324443</v>
      </c>
      <c r="AE52" s="2">
        <f t="shared" ca="1" si="12"/>
        <v>21.347725940486374</v>
      </c>
      <c r="AF52" s="2">
        <f t="shared" ca="1" si="12"/>
        <v>20.36706072784061</v>
      </c>
      <c r="AG52" s="2">
        <f t="shared" ca="1" si="12"/>
        <v>24.044443530727097</v>
      </c>
      <c r="AH52" s="2">
        <f t="shared" ca="1" si="12"/>
        <v>20.129958396276272</v>
      </c>
    </row>
    <row r="53" spans="1:34">
      <c r="A53" t="str">
        <f t="shared" si="6"/>
        <v>Vegetables</v>
      </c>
      <c r="B53" t="str">
        <f t="shared" si="7"/>
        <v>Harari</v>
      </c>
      <c r="C53" s="2">
        <f t="shared" ref="C53:R68" ca="1" si="14">(RAND()*0.1+0.2)*100</f>
        <v>25.581210695250505</v>
      </c>
      <c r="D53" s="2">
        <f t="shared" ca="1" si="14"/>
        <v>29.656936290783996</v>
      </c>
      <c r="E53" s="2">
        <f t="shared" ca="1" si="14"/>
        <v>21.900518872179809</v>
      </c>
      <c r="F53" s="2">
        <f t="shared" ca="1" si="14"/>
        <v>29.909854617278853</v>
      </c>
      <c r="G53" s="2">
        <f t="shared" ca="1" si="14"/>
        <v>20.836302096523141</v>
      </c>
      <c r="H53" s="2">
        <f t="shared" ca="1" si="14"/>
        <v>22.14685695855923</v>
      </c>
      <c r="I53" s="2">
        <f t="shared" ca="1" si="14"/>
        <v>25.184292239724158</v>
      </c>
      <c r="J53" s="2">
        <f t="shared" ca="1" si="14"/>
        <v>22.961094261714244</v>
      </c>
      <c r="K53" s="2">
        <f t="shared" ca="1" si="14"/>
        <v>28.776871209239886</v>
      </c>
      <c r="L53" s="2">
        <f t="shared" ca="1" si="14"/>
        <v>25.484440320140145</v>
      </c>
      <c r="M53" s="2">
        <f t="shared" ca="1" si="14"/>
        <v>25.681552901779359</v>
      </c>
      <c r="N53" s="2">
        <f t="shared" ca="1" si="14"/>
        <v>25.935224350173225</v>
      </c>
      <c r="O53" s="2">
        <f t="shared" ca="1" si="14"/>
        <v>28.684424034705593</v>
      </c>
      <c r="P53" s="2">
        <f t="shared" ca="1" si="14"/>
        <v>29.793632493083422</v>
      </c>
      <c r="Q53" s="2">
        <f t="shared" ca="1" si="14"/>
        <v>21.739142596655697</v>
      </c>
      <c r="R53" s="2">
        <f t="shared" ca="1" si="14"/>
        <v>23.353015565401737</v>
      </c>
      <c r="S53" s="2">
        <f t="shared" ca="1" si="13"/>
        <v>29.629596126405765</v>
      </c>
      <c r="T53" s="2">
        <f t="shared" ca="1" si="13"/>
        <v>22.440586370216963</v>
      </c>
      <c r="U53" s="2">
        <f t="shared" ca="1" si="13"/>
        <v>20.503473298868869</v>
      </c>
      <c r="V53" s="2">
        <f t="shared" ca="1" si="13"/>
        <v>21.241587819252722</v>
      </c>
      <c r="W53" s="2">
        <f t="shared" ca="1" si="13"/>
        <v>26.358404863141793</v>
      </c>
      <c r="X53" s="2">
        <f t="shared" ca="1" si="13"/>
        <v>28.642964188515151</v>
      </c>
      <c r="Y53" s="2">
        <f t="shared" ca="1" si="11"/>
        <v>29.44646065228088</v>
      </c>
      <c r="Z53" s="2">
        <f t="shared" ca="1" si="12"/>
        <v>25.040166605286284</v>
      </c>
      <c r="AA53" s="2">
        <f t="shared" ca="1" si="12"/>
        <v>22.006786405368477</v>
      </c>
      <c r="AB53" s="2">
        <f t="shared" ca="1" si="12"/>
        <v>29.194960415340788</v>
      </c>
      <c r="AC53" s="2">
        <f t="shared" ca="1" si="12"/>
        <v>22.987390978647049</v>
      </c>
      <c r="AD53" s="2">
        <f t="shared" ca="1" si="12"/>
        <v>21.210372449960861</v>
      </c>
      <c r="AE53" s="2">
        <f t="shared" ca="1" si="12"/>
        <v>27.442844056535698</v>
      </c>
      <c r="AF53" s="2">
        <f t="shared" ca="1" si="12"/>
        <v>25.39360592292682</v>
      </c>
      <c r="AG53" s="2">
        <f t="shared" ca="1" si="12"/>
        <v>27.539532759302372</v>
      </c>
      <c r="AH53" s="2">
        <f t="shared" ca="1" si="12"/>
        <v>24.777714522700645</v>
      </c>
    </row>
    <row r="54" spans="1:34">
      <c r="A54" t="str">
        <f t="shared" si="6"/>
        <v>Vegetables</v>
      </c>
      <c r="B54" t="str">
        <f t="shared" si="7"/>
        <v>Oromia</v>
      </c>
      <c r="C54" s="2">
        <f t="shared" ca="1" si="14"/>
        <v>24.111995469235403</v>
      </c>
      <c r="D54" s="2">
        <f t="shared" ca="1" si="14"/>
        <v>20.030033498183741</v>
      </c>
      <c r="E54" s="2">
        <f t="shared" ca="1" si="14"/>
        <v>26.435428407162153</v>
      </c>
      <c r="F54" s="2">
        <f t="shared" ca="1" si="14"/>
        <v>25.419324175917851</v>
      </c>
      <c r="G54" s="2">
        <f t="shared" ca="1" si="14"/>
        <v>20.446921471564355</v>
      </c>
      <c r="H54" s="2">
        <f t="shared" ca="1" si="14"/>
        <v>20.749130219111279</v>
      </c>
      <c r="I54" s="2">
        <f t="shared" ca="1" si="14"/>
        <v>22.265146539745345</v>
      </c>
      <c r="J54" s="2">
        <f t="shared" ca="1" si="14"/>
        <v>28.455007968921592</v>
      </c>
      <c r="K54" s="2">
        <f t="shared" ca="1" si="14"/>
        <v>28.181488914838333</v>
      </c>
      <c r="L54" s="2">
        <f t="shared" ca="1" si="14"/>
        <v>23.641900679685982</v>
      </c>
      <c r="M54" s="2">
        <f t="shared" ca="1" si="14"/>
        <v>20.977044482614335</v>
      </c>
      <c r="N54" s="2">
        <f t="shared" ca="1" si="14"/>
        <v>25.11567475148486</v>
      </c>
      <c r="O54" s="2">
        <f t="shared" ca="1" si="14"/>
        <v>22.145619957824671</v>
      </c>
      <c r="P54" s="2">
        <f t="shared" ca="1" si="14"/>
        <v>23.437900108184987</v>
      </c>
      <c r="Q54" s="2">
        <f t="shared" ca="1" si="14"/>
        <v>24.832851869817837</v>
      </c>
      <c r="R54" s="2">
        <f t="shared" ca="1" si="14"/>
        <v>20.046397827182822</v>
      </c>
      <c r="S54" s="2">
        <f t="shared" ca="1" si="13"/>
        <v>27.212384868388373</v>
      </c>
      <c r="T54" s="2">
        <f t="shared" ca="1" si="13"/>
        <v>26.579710519551281</v>
      </c>
      <c r="U54" s="2">
        <f t="shared" ca="1" si="13"/>
        <v>28.365416443000235</v>
      </c>
      <c r="V54" s="2">
        <f t="shared" ca="1" si="13"/>
        <v>28.614787531142937</v>
      </c>
      <c r="W54" s="2">
        <f t="shared" ca="1" si="13"/>
        <v>20.263637822381881</v>
      </c>
      <c r="X54" s="2">
        <f t="shared" ca="1" si="13"/>
        <v>21.528661416968813</v>
      </c>
      <c r="Y54" s="2">
        <f t="shared" ca="1" si="11"/>
        <v>28.688222465532949</v>
      </c>
      <c r="Z54" s="2">
        <f t="shared" ca="1" si="12"/>
        <v>25.600830401288651</v>
      </c>
      <c r="AA54" s="2">
        <f t="shared" ca="1" si="12"/>
        <v>27.005503819202499</v>
      </c>
      <c r="AB54" s="2">
        <f t="shared" ca="1" si="12"/>
        <v>26.829249185369715</v>
      </c>
      <c r="AC54" s="2">
        <f t="shared" ca="1" si="12"/>
        <v>26.488932019544748</v>
      </c>
      <c r="AD54" s="2">
        <f t="shared" ca="1" si="12"/>
        <v>28.163768809527092</v>
      </c>
      <c r="AE54" s="2">
        <f t="shared" ca="1" si="12"/>
        <v>29.42214279039322</v>
      </c>
      <c r="AF54" s="2">
        <f t="shared" ca="1" si="12"/>
        <v>25.086613631924561</v>
      </c>
      <c r="AG54" s="2">
        <f t="shared" ca="1" si="12"/>
        <v>22.194643786245884</v>
      </c>
      <c r="AH54" s="2">
        <f t="shared" ca="1" si="12"/>
        <v>26.11816150208411</v>
      </c>
    </row>
    <row r="55" spans="1:34">
      <c r="A55" t="str">
        <f t="shared" si="6"/>
        <v>Vegetables</v>
      </c>
      <c r="B55" t="str">
        <f t="shared" si="7"/>
        <v>Somali</v>
      </c>
      <c r="C55" s="2">
        <f t="shared" ca="1" si="14"/>
        <v>20.78037076035265</v>
      </c>
      <c r="D55" s="2">
        <f t="shared" ca="1" si="14"/>
        <v>22.039609748022869</v>
      </c>
      <c r="E55" s="2">
        <f t="shared" ca="1" si="14"/>
        <v>23.92068986428832</v>
      </c>
      <c r="F55" s="2">
        <f t="shared" ca="1" si="14"/>
        <v>25.36564432951155</v>
      </c>
      <c r="G55" s="2">
        <f t="shared" ca="1" si="14"/>
        <v>22.054128590623861</v>
      </c>
      <c r="H55" s="2">
        <f t="shared" ca="1" si="14"/>
        <v>20.437625891975571</v>
      </c>
      <c r="I55" s="2">
        <f t="shared" ca="1" si="14"/>
        <v>29.169689348172589</v>
      </c>
      <c r="J55" s="2">
        <f t="shared" ca="1" si="14"/>
        <v>29.064446121825615</v>
      </c>
      <c r="K55" s="2">
        <f t="shared" ca="1" si="14"/>
        <v>23.541369220640139</v>
      </c>
      <c r="L55" s="2">
        <f t="shared" ca="1" si="14"/>
        <v>24.769850542891181</v>
      </c>
      <c r="M55" s="2">
        <f t="shared" ca="1" si="14"/>
        <v>22.038249207216769</v>
      </c>
      <c r="N55" s="2">
        <f t="shared" ca="1" si="14"/>
        <v>24.549991650617457</v>
      </c>
      <c r="O55" s="2">
        <f t="shared" ca="1" si="14"/>
        <v>27.640216877940105</v>
      </c>
      <c r="P55" s="2">
        <f t="shared" ca="1" si="14"/>
        <v>27.853833955669039</v>
      </c>
      <c r="Q55" s="2">
        <f t="shared" ca="1" si="14"/>
        <v>25.811053856963674</v>
      </c>
      <c r="R55" s="2">
        <f t="shared" ca="1" si="14"/>
        <v>25.843458425483075</v>
      </c>
      <c r="S55" s="2">
        <f t="shared" ca="1" si="13"/>
        <v>23.978628263321504</v>
      </c>
      <c r="T55" s="2">
        <f t="shared" ca="1" si="13"/>
        <v>29.563036986307718</v>
      </c>
      <c r="U55" s="2">
        <f t="shared" ca="1" si="13"/>
        <v>27.105488804096744</v>
      </c>
      <c r="V55" s="2">
        <f t="shared" ca="1" si="13"/>
        <v>24.469266150295237</v>
      </c>
      <c r="W55" s="2">
        <f t="shared" ca="1" si="13"/>
        <v>21.827744566724348</v>
      </c>
      <c r="X55" s="2">
        <f t="shared" ca="1" si="13"/>
        <v>24.645165764339147</v>
      </c>
      <c r="Y55" s="2">
        <f t="shared" ca="1" si="11"/>
        <v>20.045586545811929</v>
      </c>
      <c r="Z55" s="2">
        <f t="shared" ca="1" si="12"/>
        <v>22.657927831547497</v>
      </c>
      <c r="AA55" s="2">
        <f t="shared" ca="1" si="12"/>
        <v>26.658946194393103</v>
      </c>
      <c r="AB55" s="2">
        <f t="shared" ca="1" si="12"/>
        <v>29.746634018872136</v>
      </c>
      <c r="AC55" s="2">
        <f t="shared" ca="1" si="12"/>
        <v>26.685477381308665</v>
      </c>
      <c r="AD55" s="2">
        <f t="shared" ca="1" si="12"/>
        <v>26.948686493898343</v>
      </c>
      <c r="AE55" s="2">
        <f t="shared" ca="1" si="12"/>
        <v>24.464753056993853</v>
      </c>
      <c r="AF55" s="2">
        <f t="shared" ca="1" si="12"/>
        <v>27.670060117743944</v>
      </c>
      <c r="AG55" s="2">
        <f t="shared" ca="1" si="12"/>
        <v>23.018609978686715</v>
      </c>
      <c r="AH55" s="2">
        <f t="shared" ca="1" si="12"/>
        <v>25.446623557604809</v>
      </c>
    </row>
    <row r="56" spans="1:34">
      <c r="A56" t="str">
        <f t="shared" si="6"/>
        <v>Vegetables</v>
      </c>
      <c r="B56" t="str">
        <f t="shared" si="7"/>
        <v>SNNPR</v>
      </c>
      <c r="C56" s="2">
        <f t="shared" ca="1" si="14"/>
        <v>26.050740258375459</v>
      </c>
      <c r="D56" s="2">
        <f t="shared" ca="1" si="14"/>
        <v>21.918083010191907</v>
      </c>
      <c r="E56" s="2">
        <f t="shared" ca="1" si="14"/>
        <v>21.630381531564343</v>
      </c>
      <c r="F56" s="2">
        <f t="shared" ca="1" si="14"/>
        <v>23.924395319760215</v>
      </c>
      <c r="G56" s="2">
        <f t="shared" ca="1" si="14"/>
        <v>29.774544508019623</v>
      </c>
      <c r="H56" s="2">
        <f t="shared" ca="1" si="14"/>
        <v>24.326906116885723</v>
      </c>
      <c r="I56" s="2">
        <f t="shared" ca="1" si="14"/>
        <v>23.949184801291363</v>
      </c>
      <c r="J56" s="2">
        <f t="shared" ca="1" si="14"/>
        <v>21.671473805840698</v>
      </c>
      <c r="K56" s="2">
        <f t="shared" ca="1" si="14"/>
        <v>28.616005790068368</v>
      </c>
      <c r="L56" s="2">
        <f t="shared" ca="1" si="14"/>
        <v>25.948947650372347</v>
      </c>
      <c r="M56" s="2">
        <f t="shared" ca="1" si="14"/>
        <v>26.224675741758176</v>
      </c>
      <c r="N56" s="2">
        <f t="shared" ca="1" si="14"/>
        <v>27.723185680017476</v>
      </c>
      <c r="O56" s="2">
        <f t="shared" ca="1" si="14"/>
        <v>22.539161526250773</v>
      </c>
      <c r="P56" s="2">
        <f t="shared" ca="1" si="14"/>
        <v>28.725467731799785</v>
      </c>
      <c r="Q56" s="2">
        <f t="shared" ca="1" si="14"/>
        <v>22.215971851012142</v>
      </c>
      <c r="R56" s="2">
        <f t="shared" ca="1" si="14"/>
        <v>27.745807412431894</v>
      </c>
      <c r="S56" s="2">
        <f t="shared" ca="1" si="13"/>
        <v>20.915288043824738</v>
      </c>
      <c r="T56" s="2">
        <f t="shared" ca="1" si="13"/>
        <v>23.343191649471525</v>
      </c>
      <c r="U56" s="2">
        <f t="shared" ca="1" si="13"/>
        <v>22.812657858197557</v>
      </c>
      <c r="V56" s="2">
        <f t="shared" ca="1" si="13"/>
        <v>27.307781787312678</v>
      </c>
      <c r="W56" s="2">
        <f t="shared" ca="1" si="13"/>
        <v>27.406820953768911</v>
      </c>
      <c r="X56" s="2">
        <f t="shared" ca="1" si="13"/>
        <v>20.398213428567775</v>
      </c>
      <c r="Y56" s="2">
        <f t="shared" ca="1" si="11"/>
        <v>24.424490898561661</v>
      </c>
      <c r="Z56" s="2">
        <f t="shared" ca="1" si="12"/>
        <v>23.715256817062148</v>
      </c>
      <c r="AA56" s="2">
        <f t="shared" ca="1" si="12"/>
        <v>21.503210587104409</v>
      </c>
      <c r="AB56" s="2">
        <f t="shared" ca="1" si="12"/>
        <v>21.230818085746041</v>
      </c>
      <c r="AC56" s="2">
        <f t="shared" ca="1" si="12"/>
        <v>29.607685326907664</v>
      </c>
      <c r="AD56" s="2">
        <f t="shared" ca="1" si="12"/>
        <v>23.228432042646187</v>
      </c>
      <c r="AE56" s="2">
        <f t="shared" ca="1" si="12"/>
        <v>26.634299858419276</v>
      </c>
      <c r="AF56" s="2">
        <f t="shared" ca="1" si="12"/>
        <v>29.127225541259676</v>
      </c>
      <c r="AG56" s="2">
        <f t="shared" ca="1" si="12"/>
        <v>24.487616515307948</v>
      </c>
      <c r="AH56" s="2">
        <f t="shared" ca="1" si="12"/>
        <v>21.741064517530884</v>
      </c>
    </row>
    <row r="57" spans="1:34">
      <c r="A57" t="str">
        <f t="shared" si="6"/>
        <v>Vegetables</v>
      </c>
      <c r="B57" t="str">
        <f t="shared" si="7"/>
        <v>Tigray</v>
      </c>
      <c r="C57" s="2">
        <f t="shared" ca="1" si="14"/>
        <v>20.946448520743111</v>
      </c>
      <c r="D57" s="2">
        <f t="shared" ca="1" si="14"/>
        <v>23.100842672656775</v>
      </c>
      <c r="E57" s="2">
        <f t="shared" ca="1" si="14"/>
        <v>25.739422906496618</v>
      </c>
      <c r="F57" s="2">
        <f t="shared" ca="1" si="14"/>
        <v>28.415238748838345</v>
      </c>
      <c r="G57" s="2">
        <f t="shared" ca="1" si="14"/>
        <v>24.205423288502722</v>
      </c>
      <c r="H57" s="2">
        <f t="shared" ca="1" si="14"/>
        <v>21.609955976135268</v>
      </c>
      <c r="I57" s="2">
        <f t="shared" ca="1" si="14"/>
        <v>27.085526798536701</v>
      </c>
      <c r="J57" s="2">
        <f t="shared" ca="1" si="14"/>
        <v>22.945314003573113</v>
      </c>
      <c r="K57" s="2">
        <f t="shared" ca="1" si="14"/>
        <v>28.065245821589478</v>
      </c>
      <c r="L57" s="2">
        <f t="shared" ca="1" si="14"/>
        <v>22.097311113967219</v>
      </c>
      <c r="M57" s="2">
        <f t="shared" ca="1" si="14"/>
        <v>28.674980823496565</v>
      </c>
      <c r="N57" s="2">
        <f t="shared" ca="1" si="14"/>
        <v>25.528550071323821</v>
      </c>
      <c r="O57" s="2">
        <f t="shared" ca="1" si="14"/>
        <v>28.20412131678448</v>
      </c>
      <c r="P57" s="2">
        <f t="shared" ca="1" si="14"/>
        <v>23.361656579296241</v>
      </c>
      <c r="Q57" s="2">
        <f t="shared" ca="1" si="14"/>
        <v>27.768827820958414</v>
      </c>
      <c r="R57" s="2">
        <f t="shared" ca="1" si="14"/>
        <v>29.611376531701872</v>
      </c>
      <c r="S57" s="2">
        <f t="shared" ca="1" si="13"/>
        <v>27.888406330333975</v>
      </c>
      <c r="T57" s="2">
        <f t="shared" ca="1" si="13"/>
        <v>21.661626396508726</v>
      </c>
      <c r="U57" s="2">
        <f t="shared" ca="1" si="13"/>
        <v>21.179292749457531</v>
      </c>
      <c r="V57" s="2">
        <f t="shared" ca="1" si="13"/>
        <v>23.126425212011068</v>
      </c>
      <c r="W57" s="2">
        <f t="shared" ca="1" si="13"/>
        <v>22.256803499123244</v>
      </c>
      <c r="X57" s="2">
        <f t="shared" ca="1" si="13"/>
        <v>26.217282683229641</v>
      </c>
      <c r="Y57" s="2">
        <f t="shared" ca="1" si="11"/>
        <v>21.762503596904025</v>
      </c>
      <c r="Z57" s="2">
        <f t="shared" ca="1" si="12"/>
        <v>24.228182324010998</v>
      </c>
      <c r="AA57" s="2">
        <f t="shared" ca="1" si="12"/>
        <v>22.587972640855316</v>
      </c>
      <c r="AB57" s="2">
        <f t="shared" ca="1" si="12"/>
        <v>23.790784318794447</v>
      </c>
      <c r="AC57" s="2">
        <f t="shared" ca="1" si="12"/>
        <v>21.040861518140844</v>
      </c>
      <c r="AD57" s="2">
        <f t="shared" ca="1" si="12"/>
        <v>28.746090185197172</v>
      </c>
      <c r="AE57" s="2">
        <f t="shared" ca="1" si="12"/>
        <v>20.762798519810914</v>
      </c>
      <c r="AF57" s="2">
        <f t="shared" ca="1" si="12"/>
        <v>20.102081966380727</v>
      </c>
      <c r="AG57" s="2">
        <f t="shared" ca="1" si="12"/>
        <v>24.425213433026666</v>
      </c>
      <c r="AH57" s="2">
        <f t="shared" ca="1" si="12"/>
        <v>21.200065665156885</v>
      </c>
    </row>
    <row r="58" spans="1:34">
      <c r="A58" t="str">
        <f t="shared" si="6"/>
        <v>Coffee</v>
      </c>
      <c r="B58" t="str">
        <f t="shared" si="7"/>
        <v>AddisAbaba</v>
      </c>
      <c r="C58" s="2">
        <f t="shared" ca="1" si="14"/>
        <v>26.612054341489781</v>
      </c>
      <c r="D58" s="2">
        <f t="shared" ca="1" si="14"/>
        <v>29.581998913287528</v>
      </c>
      <c r="E58" s="2">
        <f t="shared" ca="1" si="14"/>
        <v>29.331822061051042</v>
      </c>
      <c r="F58" s="2">
        <f t="shared" ca="1" si="14"/>
        <v>20.252835847391911</v>
      </c>
      <c r="G58" s="2">
        <f t="shared" ca="1" si="14"/>
        <v>28.516313888246881</v>
      </c>
      <c r="H58" s="2">
        <f t="shared" ca="1" si="14"/>
        <v>20.886694484742236</v>
      </c>
      <c r="I58" s="2">
        <f t="shared" ca="1" si="14"/>
        <v>29.958256898267972</v>
      </c>
      <c r="J58" s="2">
        <f t="shared" ca="1" si="14"/>
        <v>28.06511193629516</v>
      </c>
      <c r="K58" s="2">
        <f t="shared" ca="1" si="14"/>
        <v>22.696762325839074</v>
      </c>
      <c r="L58" s="2">
        <f t="shared" ca="1" si="14"/>
        <v>28.080868819350695</v>
      </c>
      <c r="M58" s="2">
        <f t="shared" ca="1" si="14"/>
        <v>23.464915132367928</v>
      </c>
      <c r="N58" s="2">
        <f t="shared" ca="1" si="14"/>
        <v>26.829382899427856</v>
      </c>
      <c r="O58" s="2">
        <f t="shared" ca="1" si="14"/>
        <v>24.003007907962385</v>
      </c>
      <c r="P58" s="2">
        <f t="shared" ca="1" si="14"/>
        <v>28.855623976486598</v>
      </c>
      <c r="Q58" s="2">
        <f t="shared" ca="1" si="14"/>
        <v>23.605295228539575</v>
      </c>
      <c r="R58" s="2">
        <f t="shared" ca="1" si="14"/>
        <v>23.4748825833734</v>
      </c>
      <c r="S58" s="2">
        <f t="shared" ca="1" si="13"/>
        <v>28.028086534165091</v>
      </c>
      <c r="T58" s="2">
        <f t="shared" ca="1" si="13"/>
        <v>26.879434415369513</v>
      </c>
      <c r="U58" s="2">
        <f t="shared" ca="1" si="13"/>
        <v>24.786103559230277</v>
      </c>
      <c r="V58" s="2">
        <f t="shared" ca="1" si="13"/>
        <v>20.801515785999296</v>
      </c>
      <c r="W58" s="2">
        <f t="shared" ca="1" si="13"/>
        <v>25.993998292545395</v>
      </c>
      <c r="X58" s="2">
        <f t="shared" ca="1" si="13"/>
        <v>27.672185598898285</v>
      </c>
      <c r="Y58" s="2">
        <f t="shared" ca="1" si="11"/>
        <v>27.922100504741547</v>
      </c>
      <c r="Z58" s="2">
        <f t="shared" ca="1" si="12"/>
        <v>24.967342474237931</v>
      </c>
      <c r="AA58" s="2">
        <f t="shared" ca="1" si="12"/>
        <v>29.640000439512633</v>
      </c>
      <c r="AB58" s="2">
        <f t="shared" ca="1" si="12"/>
        <v>28.45610078468092</v>
      </c>
      <c r="AC58" s="2">
        <f t="shared" ca="1" si="12"/>
        <v>22.81131243726394</v>
      </c>
      <c r="AD58" s="2">
        <f t="shared" ca="1" si="12"/>
        <v>21.95769952102323</v>
      </c>
      <c r="AE58" s="2">
        <f t="shared" ca="1" si="12"/>
        <v>23.689448498945985</v>
      </c>
      <c r="AF58" s="2">
        <f t="shared" ca="1" si="12"/>
        <v>28.860186984809104</v>
      </c>
      <c r="AG58" s="2">
        <f t="shared" ca="1" si="12"/>
        <v>23.674948085985072</v>
      </c>
      <c r="AH58" s="2">
        <f t="shared" ca="1" si="12"/>
        <v>27.153667525228659</v>
      </c>
    </row>
    <row r="59" spans="1:34">
      <c r="A59" t="str">
        <f t="shared" si="6"/>
        <v>Coffee</v>
      </c>
      <c r="B59" t="str">
        <f t="shared" si="7"/>
        <v>Afar</v>
      </c>
      <c r="C59" s="2">
        <f t="shared" ca="1" si="14"/>
        <v>23.151716046377096</v>
      </c>
      <c r="D59" s="2">
        <f t="shared" ca="1" si="14"/>
        <v>29.196882882912828</v>
      </c>
      <c r="E59" s="2">
        <f t="shared" ca="1" si="14"/>
        <v>23.208382065815911</v>
      </c>
      <c r="F59" s="2">
        <f t="shared" ca="1" si="14"/>
        <v>24.638233484723621</v>
      </c>
      <c r="G59" s="2">
        <f t="shared" ca="1" si="14"/>
        <v>26.46104686780328</v>
      </c>
      <c r="H59" s="2">
        <f t="shared" ca="1" si="14"/>
        <v>29.979083250381542</v>
      </c>
      <c r="I59" s="2">
        <f t="shared" ca="1" si="14"/>
        <v>21.866625796508313</v>
      </c>
      <c r="J59" s="2">
        <f t="shared" ca="1" si="14"/>
        <v>25.948128512176837</v>
      </c>
      <c r="K59" s="2">
        <f t="shared" ca="1" si="14"/>
        <v>23.437263256094173</v>
      </c>
      <c r="L59" s="2">
        <f t="shared" ca="1" si="14"/>
        <v>26.355796060449727</v>
      </c>
      <c r="M59" s="2">
        <f t="shared" ca="1" si="14"/>
        <v>28.917245620307863</v>
      </c>
      <c r="N59" s="2">
        <f t="shared" ca="1" si="14"/>
        <v>24.577960245266247</v>
      </c>
      <c r="O59" s="2">
        <f t="shared" ca="1" si="14"/>
        <v>24.490973085677375</v>
      </c>
      <c r="P59" s="2">
        <f t="shared" ca="1" si="14"/>
        <v>25.766234701797035</v>
      </c>
      <c r="Q59" s="2">
        <f t="shared" ca="1" si="14"/>
        <v>24.19798325735044</v>
      </c>
      <c r="R59" s="2">
        <f t="shared" ca="1" si="14"/>
        <v>25.341236127282297</v>
      </c>
      <c r="S59" s="2">
        <f t="shared" ca="1" si="13"/>
        <v>22.220941374204497</v>
      </c>
      <c r="T59" s="2">
        <f t="shared" ca="1" si="13"/>
        <v>20.635910383841264</v>
      </c>
      <c r="U59" s="2">
        <f t="shared" ca="1" si="13"/>
        <v>26.545097447510535</v>
      </c>
      <c r="V59" s="2">
        <f t="shared" ca="1" si="13"/>
        <v>28.293821028803762</v>
      </c>
      <c r="W59" s="2">
        <f t="shared" ca="1" si="13"/>
        <v>26.468846059307609</v>
      </c>
      <c r="X59" s="2">
        <f t="shared" ca="1" si="13"/>
        <v>28.090114059663545</v>
      </c>
      <c r="Y59" s="2">
        <f t="shared" ca="1" si="11"/>
        <v>26.422679715222642</v>
      </c>
      <c r="Z59" s="2">
        <f t="shared" ca="1" si="12"/>
        <v>29.422165653873588</v>
      </c>
      <c r="AA59" s="2">
        <f t="shared" ca="1" si="12"/>
        <v>29.227235941099327</v>
      </c>
      <c r="AB59" s="2">
        <f t="shared" ca="1" si="12"/>
        <v>24.623265780923745</v>
      </c>
      <c r="AC59" s="2">
        <f t="shared" ca="1" si="12"/>
        <v>26.134691478423992</v>
      </c>
      <c r="AD59" s="2">
        <f t="shared" ca="1" si="12"/>
        <v>27.37980586315863</v>
      </c>
      <c r="AE59" s="2">
        <f t="shared" ca="1" si="12"/>
        <v>24.354981738857191</v>
      </c>
      <c r="AF59" s="2">
        <f t="shared" ca="1" si="12"/>
        <v>23.025896550490291</v>
      </c>
      <c r="AG59" s="2">
        <f t="shared" ca="1" si="12"/>
        <v>28.638908823699193</v>
      </c>
      <c r="AH59" s="2">
        <f t="shared" ca="1" si="12"/>
        <v>20.080825868294884</v>
      </c>
    </row>
    <row r="60" spans="1:34">
      <c r="A60" t="str">
        <f t="shared" si="6"/>
        <v>Coffee</v>
      </c>
      <c r="B60" t="str">
        <f t="shared" si="7"/>
        <v>Amhara</v>
      </c>
      <c r="C60" s="2">
        <f t="shared" ca="1" si="14"/>
        <v>27.882940749383739</v>
      </c>
      <c r="D60" s="2">
        <f t="shared" ca="1" si="14"/>
        <v>27.670832646733185</v>
      </c>
      <c r="E60" s="2">
        <f t="shared" ca="1" si="14"/>
        <v>29.194183363382887</v>
      </c>
      <c r="F60" s="2">
        <f t="shared" ca="1" si="14"/>
        <v>25.023674394585854</v>
      </c>
      <c r="G60" s="2">
        <f t="shared" ca="1" si="14"/>
        <v>28.093309431934081</v>
      </c>
      <c r="H60" s="2">
        <f t="shared" ca="1" si="14"/>
        <v>29.367656223849902</v>
      </c>
      <c r="I60" s="2">
        <f t="shared" ca="1" si="14"/>
        <v>25.157201443725008</v>
      </c>
      <c r="J60" s="2">
        <f t="shared" ca="1" si="14"/>
        <v>25.141873290928928</v>
      </c>
      <c r="K60" s="2">
        <f t="shared" ca="1" si="14"/>
        <v>21.31576954557524</v>
      </c>
      <c r="L60" s="2">
        <f t="shared" ca="1" si="14"/>
        <v>29.311468448033771</v>
      </c>
      <c r="M60" s="2">
        <f t="shared" ca="1" si="14"/>
        <v>22.883940983153238</v>
      </c>
      <c r="N60" s="2">
        <f t="shared" ca="1" si="14"/>
        <v>26.608241960988632</v>
      </c>
      <c r="O60" s="2">
        <f t="shared" ca="1" si="14"/>
        <v>29.926216914687259</v>
      </c>
      <c r="P60" s="2">
        <f t="shared" ca="1" si="14"/>
        <v>20.547203433304048</v>
      </c>
      <c r="Q60" s="2">
        <f t="shared" ca="1" si="14"/>
        <v>26.718322615463869</v>
      </c>
      <c r="R60" s="2">
        <f t="shared" ca="1" si="14"/>
        <v>25.620446463848157</v>
      </c>
      <c r="S60" s="2">
        <f t="shared" ca="1" si="13"/>
        <v>27.884317220311335</v>
      </c>
      <c r="T60" s="2">
        <f t="shared" ca="1" si="13"/>
        <v>20.606708260723249</v>
      </c>
      <c r="U60" s="2">
        <f t="shared" ca="1" si="13"/>
        <v>21.907656811488728</v>
      </c>
      <c r="V60" s="2">
        <f t="shared" ca="1" si="13"/>
        <v>23.397459135141077</v>
      </c>
      <c r="W60" s="2">
        <f t="shared" ca="1" si="13"/>
        <v>21.586484787294754</v>
      </c>
      <c r="X60" s="2">
        <f t="shared" ca="1" si="13"/>
        <v>26.453236666479778</v>
      </c>
      <c r="Y60" s="2">
        <f t="shared" ca="1" si="11"/>
        <v>22.494055558101341</v>
      </c>
      <c r="Z60" s="2">
        <f t="shared" ca="1" si="12"/>
        <v>22.471193842243192</v>
      </c>
      <c r="AA60" s="2">
        <f t="shared" ca="1" si="12"/>
        <v>25.595153556752621</v>
      </c>
      <c r="AB60" s="2">
        <f t="shared" ca="1" si="12"/>
        <v>25.352907682886734</v>
      </c>
      <c r="AC60" s="2">
        <f t="shared" ca="1" si="12"/>
        <v>24.826244540473009</v>
      </c>
      <c r="AD60" s="2">
        <f t="shared" ca="1" si="12"/>
        <v>23.201526727379477</v>
      </c>
      <c r="AE60" s="2">
        <f t="shared" ca="1" si="12"/>
        <v>22.616272709017558</v>
      </c>
      <c r="AF60" s="2">
        <f t="shared" ca="1" si="12"/>
        <v>23.537367124855137</v>
      </c>
      <c r="AG60" s="2">
        <f t="shared" ca="1" si="12"/>
        <v>25.229207928346923</v>
      </c>
      <c r="AH60" s="2">
        <f t="shared" ca="1" si="12"/>
        <v>24.812764576362348</v>
      </c>
    </row>
    <row r="61" spans="1:34">
      <c r="A61" t="str">
        <f t="shared" si="6"/>
        <v>Coffee</v>
      </c>
      <c r="B61" t="str">
        <f t="shared" si="7"/>
        <v>Gumuz</v>
      </c>
      <c r="C61" s="2">
        <f t="shared" ca="1" si="14"/>
        <v>20.376571241245767</v>
      </c>
      <c r="D61" s="2">
        <f t="shared" ca="1" si="14"/>
        <v>25.543308533634374</v>
      </c>
      <c r="E61" s="2">
        <f t="shared" ca="1" si="14"/>
        <v>26.720941112819286</v>
      </c>
      <c r="F61" s="2">
        <f t="shared" ca="1" si="14"/>
        <v>26.607390832282551</v>
      </c>
      <c r="G61" s="2">
        <f t="shared" ca="1" si="14"/>
        <v>23.431715487517152</v>
      </c>
      <c r="H61" s="2">
        <f t="shared" ca="1" si="14"/>
        <v>24.030217479940752</v>
      </c>
      <c r="I61" s="2">
        <f t="shared" ca="1" si="14"/>
        <v>20.004294369773511</v>
      </c>
      <c r="J61" s="2">
        <f t="shared" ca="1" si="14"/>
        <v>29.431514732637453</v>
      </c>
      <c r="K61" s="2">
        <f t="shared" ca="1" si="14"/>
        <v>21.422521560613419</v>
      </c>
      <c r="L61" s="2">
        <f t="shared" ca="1" si="14"/>
        <v>26.911121248333419</v>
      </c>
      <c r="M61" s="2">
        <f t="shared" ca="1" si="14"/>
        <v>21.496491700559027</v>
      </c>
      <c r="N61" s="2">
        <f t="shared" ca="1" si="14"/>
        <v>21.646921604089918</v>
      </c>
      <c r="O61" s="2">
        <f t="shared" ca="1" si="14"/>
        <v>24.716169131608641</v>
      </c>
      <c r="P61" s="2">
        <f t="shared" ca="1" si="14"/>
        <v>20.872949634375676</v>
      </c>
      <c r="Q61" s="2">
        <f t="shared" ca="1" si="14"/>
        <v>24.097819566891808</v>
      </c>
      <c r="R61" s="2">
        <f t="shared" ca="1" si="14"/>
        <v>28.08628781140073</v>
      </c>
      <c r="S61" s="2">
        <f t="shared" ca="1" si="13"/>
        <v>23.39268474729699</v>
      </c>
      <c r="T61" s="2">
        <f t="shared" ca="1" si="13"/>
        <v>23.288146145614242</v>
      </c>
      <c r="U61" s="2">
        <f t="shared" ca="1" si="13"/>
        <v>23.154440464777682</v>
      </c>
      <c r="V61" s="2">
        <f t="shared" ca="1" si="13"/>
        <v>22.693027994066316</v>
      </c>
      <c r="W61" s="2">
        <f t="shared" ca="1" si="13"/>
        <v>22.322888879212254</v>
      </c>
      <c r="X61" s="2">
        <f t="shared" ca="1" si="13"/>
        <v>26.519852467377884</v>
      </c>
      <c r="Y61" s="2">
        <f t="shared" ca="1" si="11"/>
        <v>29.208774475652554</v>
      </c>
      <c r="Z61" s="2">
        <f t="shared" ca="1" si="12"/>
        <v>27.643078058218691</v>
      </c>
      <c r="AA61" s="2">
        <f t="shared" ca="1" si="12"/>
        <v>26.781480128507852</v>
      </c>
      <c r="AB61" s="2">
        <f t="shared" ca="1" si="12"/>
        <v>29.25821602796816</v>
      </c>
      <c r="AC61" s="2">
        <f t="shared" ca="1" si="12"/>
        <v>20.910692308172386</v>
      </c>
      <c r="AD61" s="2">
        <f t="shared" ca="1" si="12"/>
        <v>21.925074805951795</v>
      </c>
      <c r="AE61" s="2">
        <f t="shared" ca="1" si="12"/>
        <v>20.289500842978107</v>
      </c>
      <c r="AF61" s="2">
        <f t="shared" ca="1" si="12"/>
        <v>28.867665915376211</v>
      </c>
      <c r="AG61" s="2">
        <f t="shared" ca="1" si="12"/>
        <v>27.198546320613271</v>
      </c>
      <c r="AH61" s="2">
        <f t="shared" ca="1" si="12"/>
        <v>21.175706610710694</v>
      </c>
    </row>
    <row r="62" spans="1:34">
      <c r="A62" t="str">
        <f t="shared" si="6"/>
        <v>Coffee</v>
      </c>
      <c r="B62" t="str">
        <f t="shared" si="7"/>
        <v>DireDawa</v>
      </c>
      <c r="C62" s="2">
        <f t="shared" ca="1" si="14"/>
        <v>24.829986891126968</v>
      </c>
      <c r="D62" s="2">
        <f t="shared" ca="1" si="14"/>
        <v>20.507482773069778</v>
      </c>
      <c r="E62" s="2">
        <f t="shared" ca="1" si="14"/>
        <v>23.968152917601788</v>
      </c>
      <c r="F62" s="2">
        <f t="shared" ca="1" si="14"/>
        <v>22.082720434779237</v>
      </c>
      <c r="G62" s="2">
        <f t="shared" ca="1" si="14"/>
        <v>28.759083155825714</v>
      </c>
      <c r="H62" s="2">
        <f t="shared" ca="1" si="14"/>
        <v>23.895576798459061</v>
      </c>
      <c r="I62" s="2">
        <f t="shared" ca="1" si="14"/>
        <v>24.118676277422598</v>
      </c>
      <c r="J62" s="2">
        <f t="shared" ca="1" si="14"/>
        <v>25.47890225075189</v>
      </c>
      <c r="K62" s="2">
        <f t="shared" ca="1" si="14"/>
        <v>29.213885532523857</v>
      </c>
      <c r="L62" s="2">
        <f t="shared" ca="1" si="14"/>
        <v>23.760578863666517</v>
      </c>
      <c r="M62" s="2">
        <f t="shared" ca="1" si="14"/>
        <v>26.630039621350477</v>
      </c>
      <c r="N62" s="2">
        <f t="shared" ca="1" si="14"/>
        <v>22.657053320230649</v>
      </c>
      <c r="O62" s="2">
        <f t="shared" ca="1" si="14"/>
        <v>29.620418033624045</v>
      </c>
      <c r="P62" s="2">
        <f t="shared" ca="1" si="14"/>
        <v>29.169848579418645</v>
      </c>
      <c r="Q62" s="2">
        <f t="shared" ca="1" si="14"/>
        <v>26.498769151939776</v>
      </c>
      <c r="R62" s="2">
        <f t="shared" ca="1" si="14"/>
        <v>20.830251270218692</v>
      </c>
      <c r="S62" s="2">
        <f t="shared" ca="1" si="13"/>
        <v>24.710807440164491</v>
      </c>
      <c r="T62" s="2">
        <f t="shared" ca="1" si="13"/>
        <v>20.969901178954721</v>
      </c>
      <c r="U62" s="2">
        <f t="shared" ca="1" si="13"/>
        <v>29.115547360783072</v>
      </c>
      <c r="V62" s="2">
        <f t="shared" ca="1" si="13"/>
        <v>24.370099932157142</v>
      </c>
      <c r="W62" s="2">
        <f t="shared" ca="1" si="13"/>
        <v>22.927414435239591</v>
      </c>
      <c r="X62" s="2">
        <f t="shared" ca="1" si="13"/>
        <v>24.19065555873317</v>
      </c>
      <c r="Y62" s="2">
        <f t="shared" ca="1" si="11"/>
        <v>20.631503189997833</v>
      </c>
      <c r="Z62" s="2">
        <f t="shared" ca="1" si="12"/>
        <v>24.350075398750583</v>
      </c>
      <c r="AA62" s="2">
        <f t="shared" ca="1" si="12"/>
        <v>24.277645350687237</v>
      </c>
      <c r="AB62" s="2">
        <f t="shared" ca="1" si="12"/>
        <v>23.85633175111737</v>
      </c>
      <c r="AC62" s="2">
        <f t="shared" ca="1" si="12"/>
        <v>25.097025404305374</v>
      </c>
      <c r="AD62" s="2">
        <f t="shared" ca="1" si="12"/>
        <v>27.585160580422695</v>
      </c>
      <c r="AE62" s="2">
        <f t="shared" ca="1" si="12"/>
        <v>27.853031972708703</v>
      </c>
      <c r="AF62" s="2">
        <f t="shared" ca="1" si="12"/>
        <v>20.487800380764426</v>
      </c>
      <c r="AG62" s="2">
        <f t="shared" ca="1" si="12"/>
        <v>24.816154899242076</v>
      </c>
      <c r="AH62" s="2">
        <f t="shared" ca="1" si="12"/>
        <v>26.235938516360068</v>
      </c>
    </row>
    <row r="63" spans="1:34">
      <c r="A63" t="str">
        <f t="shared" si="6"/>
        <v>Coffee</v>
      </c>
      <c r="B63" t="str">
        <f t="shared" si="7"/>
        <v>Gambela</v>
      </c>
      <c r="C63" s="2">
        <f t="shared" ca="1" si="14"/>
        <v>24.14308241082249</v>
      </c>
      <c r="D63" s="2">
        <f t="shared" ca="1" si="14"/>
        <v>21.392045616070561</v>
      </c>
      <c r="E63" s="2">
        <f t="shared" ca="1" si="14"/>
        <v>27.779330576212104</v>
      </c>
      <c r="F63" s="2">
        <f t="shared" ca="1" si="14"/>
        <v>20.171167463428834</v>
      </c>
      <c r="G63" s="2">
        <f t="shared" ca="1" si="14"/>
        <v>21.923570532617639</v>
      </c>
      <c r="H63" s="2">
        <f t="shared" ca="1" si="14"/>
        <v>25.873859128676479</v>
      </c>
      <c r="I63" s="2">
        <f t="shared" ca="1" si="14"/>
        <v>23.407250946113813</v>
      </c>
      <c r="J63" s="2">
        <f t="shared" ca="1" si="14"/>
        <v>26.564999090379466</v>
      </c>
      <c r="K63" s="2">
        <f t="shared" ca="1" si="14"/>
        <v>28.741348078044776</v>
      </c>
      <c r="L63" s="2">
        <f t="shared" ca="1" si="14"/>
        <v>22.975721153452231</v>
      </c>
      <c r="M63" s="2">
        <f t="shared" ca="1" si="14"/>
        <v>24.923880328896772</v>
      </c>
      <c r="N63" s="2">
        <f t="shared" ca="1" si="14"/>
        <v>20.516061950111347</v>
      </c>
      <c r="O63" s="2">
        <f t="shared" ca="1" si="14"/>
        <v>24.733814745588734</v>
      </c>
      <c r="P63" s="2">
        <f t="shared" ca="1" si="14"/>
        <v>26.87403911286173</v>
      </c>
      <c r="Q63" s="2">
        <f t="shared" ca="1" si="14"/>
        <v>20.091190024929279</v>
      </c>
      <c r="R63" s="2">
        <f t="shared" ca="1" si="14"/>
        <v>23.792705849017878</v>
      </c>
      <c r="S63" s="2">
        <f t="shared" ca="1" si="13"/>
        <v>25.344891754362624</v>
      </c>
      <c r="T63" s="2">
        <f t="shared" ca="1" si="13"/>
        <v>28.42755082400291</v>
      </c>
      <c r="U63" s="2">
        <f t="shared" ca="1" si="13"/>
        <v>25.674856940273799</v>
      </c>
      <c r="V63" s="2">
        <f t="shared" ca="1" si="13"/>
        <v>24.083423926615627</v>
      </c>
      <c r="W63" s="2">
        <f t="shared" ca="1" si="13"/>
        <v>22.008817278654689</v>
      </c>
      <c r="X63" s="2">
        <f t="shared" ca="1" si="13"/>
        <v>25.367337286181595</v>
      </c>
      <c r="Y63" s="2">
        <f t="shared" ca="1" si="11"/>
        <v>27.292726091196101</v>
      </c>
      <c r="Z63" s="2">
        <f t="shared" ca="1" si="12"/>
        <v>20.146228349448155</v>
      </c>
      <c r="AA63" s="2">
        <f t="shared" ca="1" si="12"/>
        <v>24.061495679181377</v>
      </c>
      <c r="AB63" s="2">
        <f t="shared" ca="1" si="12"/>
        <v>28.71489746067698</v>
      </c>
      <c r="AC63" s="2">
        <f t="shared" ca="1" si="12"/>
        <v>24.04771420936412</v>
      </c>
      <c r="AD63" s="2">
        <f t="shared" ca="1" si="12"/>
        <v>29.878522903964083</v>
      </c>
      <c r="AE63" s="2">
        <f t="shared" ca="1" si="12"/>
        <v>24.914896265855361</v>
      </c>
      <c r="AF63" s="2">
        <f t="shared" ca="1" si="12"/>
        <v>22.288906841666776</v>
      </c>
      <c r="AG63" s="2">
        <f t="shared" ca="1" si="12"/>
        <v>27.012292940482261</v>
      </c>
      <c r="AH63" s="2">
        <f t="shared" ca="1" si="12"/>
        <v>27.657360254681208</v>
      </c>
    </row>
    <row r="64" spans="1:34">
      <c r="A64" t="str">
        <f t="shared" si="6"/>
        <v>Coffee</v>
      </c>
      <c r="B64" t="str">
        <f t="shared" si="7"/>
        <v>Harari</v>
      </c>
      <c r="C64" s="2">
        <f t="shared" ca="1" si="14"/>
        <v>25.37877172389414</v>
      </c>
      <c r="D64" s="2">
        <f t="shared" ca="1" si="14"/>
        <v>21.591693720259808</v>
      </c>
      <c r="E64" s="2">
        <f t="shared" ca="1" si="14"/>
        <v>28.631580807533496</v>
      </c>
      <c r="F64" s="2">
        <f t="shared" ca="1" si="14"/>
        <v>28.793748095139954</v>
      </c>
      <c r="G64" s="2">
        <f t="shared" ca="1" si="14"/>
        <v>23.781410612193397</v>
      </c>
      <c r="H64" s="2">
        <f t="shared" ca="1" si="14"/>
        <v>25.303842223130513</v>
      </c>
      <c r="I64" s="2">
        <f t="shared" ca="1" si="14"/>
        <v>25.970587309989345</v>
      </c>
      <c r="J64" s="2">
        <f t="shared" ca="1" si="14"/>
        <v>25.283764600769143</v>
      </c>
      <c r="K64" s="2">
        <f t="shared" ca="1" si="14"/>
        <v>25.220571023917127</v>
      </c>
      <c r="L64" s="2">
        <f t="shared" ca="1" si="14"/>
        <v>20.327936517134948</v>
      </c>
      <c r="M64" s="2">
        <f t="shared" ca="1" si="14"/>
        <v>28.828746053149889</v>
      </c>
      <c r="N64" s="2">
        <f t="shared" ca="1" si="14"/>
        <v>20.250354597651878</v>
      </c>
      <c r="O64" s="2">
        <f t="shared" ca="1" si="14"/>
        <v>26.310795382812081</v>
      </c>
      <c r="P64" s="2">
        <f t="shared" ca="1" si="14"/>
        <v>26.792353110060546</v>
      </c>
      <c r="Q64" s="2">
        <f t="shared" ca="1" si="14"/>
        <v>26.518814263619177</v>
      </c>
      <c r="R64" s="2">
        <f t="shared" ca="1" si="14"/>
        <v>20.742644584135107</v>
      </c>
      <c r="S64" s="2">
        <f t="shared" ca="1" si="13"/>
        <v>24.382058484617371</v>
      </c>
      <c r="T64" s="2">
        <f t="shared" ca="1" si="13"/>
        <v>25.022505045017258</v>
      </c>
      <c r="U64" s="2">
        <f t="shared" ca="1" si="13"/>
        <v>25.811748008878084</v>
      </c>
      <c r="V64" s="2">
        <f t="shared" ca="1" si="13"/>
        <v>28.726492432221239</v>
      </c>
      <c r="W64" s="2">
        <f t="shared" ca="1" si="13"/>
        <v>26.128567599215991</v>
      </c>
      <c r="X64" s="2">
        <f t="shared" ca="1" si="13"/>
        <v>21.715407734846927</v>
      </c>
      <c r="Y64" s="2">
        <f t="shared" ca="1" si="11"/>
        <v>22.786789872575415</v>
      </c>
      <c r="Z64" s="2">
        <f t="shared" ca="1" si="12"/>
        <v>20.29797623925559</v>
      </c>
      <c r="AA64" s="2">
        <f t="shared" ca="1" si="12"/>
        <v>26.523860665905445</v>
      </c>
      <c r="AB64" s="2">
        <f t="shared" ca="1" si="12"/>
        <v>22.495304038241525</v>
      </c>
      <c r="AC64" s="2">
        <f t="shared" ca="1" si="12"/>
        <v>26.647651435795989</v>
      </c>
      <c r="AD64" s="2">
        <f t="shared" ca="1" si="12"/>
        <v>27.695428139667968</v>
      </c>
      <c r="AE64" s="2">
        <f t="shared" ca="1" si="12"/>
        <v>28.047661181941102</v>
      </c>
      <c r="AF64" s="2">
        <f t="shared" ca="1" si="12"/>
        <v>27.484009322737467</v>
      </c>
      <c r="AG64" s="2">
        <f t="shared" ca="1" si="12"/>
        <v>21.853281923364349</v>
      </c>
      <c r="AH64" s="2">
        <f t="shared" ca="1" si="12"/>
        <v>21.42038393454111</v>
      </c>
    </row>
    <row r="65" spans="1:34">
      <c r="A65" t="str">
        <f t="shared" si="6"/>
        <v>Coffee</v>
      </c>
      <c r="B65" t="str">
        <f t="shared" si="7"/>
        <v>Oromia</v>
      </c>
      <c r="C65" s="2">
        <f t="shared" ca="1" si="14"/>
        <v>25.259525487012517</v>
      </c>
      <c r="D65" s="2">
        <f t="shared" ca="1" si="14"/>
        <v>28.640483165049265</v>
      </c>
      <c r="E65" s="2">
        <f t="shared" ca="1" si="14"/>
        <v>29.539298754586103</v>
      </c>
      <c r="F65" s="2">
        <f t="shared" ca="1" si="14"/>
        <v>26.982834414420164</v>
      </c>
      <c r="G65" s="2">
        <f t="shared" ca="1" si="14"/>
        <v>23.325601924048716</v>
      </c>
      <c r="H65" s="2">
        <f t="shared" ca="1" si="14"/>
        <v>26.895840874887909</v>
      </c>
      <c r="I65" s="2">
        <f t="shared" ca="1" si="14"/>
        <v>21.214849557829869</v>
      </c>
      <c r="J65" s="2">
        <f t="shared" ca="1" si="14"/>
        <v>27.50117540547981</v>
      </c>
      <c r="K65" s="2">
        <f t="shared" ca="1" si="14"/>
        <v>28.948892623189447</v>
      </c>
      <c r="L65" s="2">
        <f t="shared" ca="1" si="14"/>
        <v>25.199626830575649</v>
      </c>
      <c r="M65" s="2">
        <f t="shared" ca="1" si="14"/>
        <v>20.731286017138487</v>
      </c>
      <c r="N65" s="2">
        <f t="shared" ca="1" si="14"/>
        <v>23.414922940348745</v>
      </c>
      <c r="O65" s="2">
        <f t="shared" ca="1" si="14"/>
        <v>28.628241783424933</v>
      </c>
      <c r="P65" s="2">
        <f t="shared" ca="1" si="14"/>
        <v>29.151141650424396</v>
      </c>
      <c r="Q65" s="2">
        <f t="shared" ca="1" si="14"/>
        <v>23.37473935591936</v>
      </c>
      <c r="R65" s="2">
        <f t="shared" ca="1" si="14"/>
        <v>26.550348465640024</v>
      </c>
      <c r="S65" s="2">
        <f t="shared" ca="1" si="13"/>
        <v>24.963630533955065</v>
      </c>
      <c r="T65" s="2">
        <f t="shared" ca="1" si="13"/>
        <v>28.370999314725687</v>
      </c>
      <c r="U65" s="2">
        <f t="shared" ca="1" si="13"/>
        <v>21.027374834306229</v>
      </c>
      <c r="V65" s="2">
        <f t="shared" ca="1" si="13"/>
        <v>29.317676452793439</v>
      </c>
      <c r="W65" s="2">
        <f t="shared" ca="1" si="13"/>
        <v>28.807192868811534</v>
      </c>
      <c r="X65" s="2">
        <f t="shared" ca="1" si="13"/>
        <v>22.603822326834351</v>
      </c>
      <c r="Y65" s="2">
        <f t="shared" ca="1" si="11"/>
        <v>21.774376133700578</v>
      </c>
      <c r="Z65" s="2">
        <f t="shared" ca="1" si="12"/>
        <v>27.716955531405262</v>
      </c>
      <c r="AA65" s="2">
        <f t="shared" ca="1" si="12"/>
        <v>27.49192138920451</v>
      </c>
      <c r="AB65" s="2">
        <f t="shared" ca="1" si="12"/>
        <v>22.4444435885305</v>
      </c>
      <c r="AC65" s="2">
        <f t="shared" ca="1" si="12"/>
        <v>25.321997111977435</v>
      </c>
      <c r="AD65" s="2">
        <f t="shared" ca="1" si="12"/>
        <v>29.592587124775534</v>
      </c>
      <c r="AE65" s="2">
        <f t="shared" ca="1" si="12"/>
        <v>25.803247340368067</v>
      </c>
      <c r="AF65" s="2">
        <f t="shared" ca="1" si="12"/>
        <v>20.702872432010448</v>
      </c>
      <c r="AG65" s="2">
        <f t="shared" ca="1" si="12"/>
        <v>27.141096512012986</v>
      </c>
      <c r="AH65" s="2">
        <f t="shared" ca="1" si="12"/>
        <v>27.050583740968282</v>
      </c>
    </row>
    <row r="66" spans="1:34">
      <c r="A66" t="str">
        <f t="shared" si="6"/>
        <v>Coffee</v>
      </c>
      <c r="B66" t="str">
        <f t="shared" si="7"/>
        <v>Somali</v>
      </c>
      <c r="C66" s="2">
        <f t="shared" ca="1" si="14"/>
        <v>21.944002713518419</v>
      </c>
      <c r="D66" s="2">
        <f t="shared" ca="1" si="14"/>
        <v>20.446770007505837</v>
      </c>
      <c r="E66" s="2">
        <f t="shared" ca="1" si="14"/>
        <v>22.10816125704082</v>
      </c>
      <c r="F66" s="2">
        <f t="shared" ca="1" si="14"/>
        <v>21.99151264088005</v>
      </c>
      <c r="G66" s="2">
        <f t="shared" ca="1" si="14"/>
        <v>24.980238055668657</v>
      </c>
      <c r="H66" s="2">
        <f t="shared" ca="1" si="14"/>
        <v>26.951997626300976</v>
      </c>
      <c r="I66" s="2">
        <f t="shared" ca="1" si="14"/>
        <v>24.437548425963545</v>
      </c>
      <c r="J66" s="2">
        <f t="shared" ca="1" si="14"/>
        <v>24.076886976243365</v>
      </c>
      <c r="K66" s="2">
        <f t="shared" ca="1" si="14"/>
        <v>28.493747970914612</v>
      </c>
      <c r="L66" s="2">
        <f t="shared" ca="1" si="14"/>
        <v>24.054950014105543</v>
      </c>
      <c r="M66" s="2">
        <f t="shared" ca="1" si="14"/>
        <v>28.294372015884822</v>
      </c>
      <c r="N66" s="2">
        <f t="shared" ca="1" si="14"/>
        <v>25.724951881006664</v>
      </c>
      <c r="O66" s="2">
        <f t="shared" ca="1" si="14"/>
        <v>23.879306164623308</v>
      </c>
      <c r="P66" s="2">
        <f t="shared" ca="1" si="14"/>
        <v>29.793010158520573</v>
      </c>
      <c r="Q66" s="2">
        <f t="shared" ca="1" si="14"/>
        <v>29.729862570113731</v>
      </c>
      <c r="R66" s="2">
        <f t="shared" ca="1" si="14"/>
        <v>24.562197658667671</v>
      </c>
      <c r="S66" s="2">
        <f t="shared" ca="1" si="13"/>
        <v>20.103514699989404</v>
      </c>
      <c r="T66" s="2">
        <f t="shared" ca="1" si="13"/>
        <v>26.686069754453577</v>
      </c>
      <c r="U66" s="2">
        <f t="shared" ca="1" si="13"/>
        <v>25.585868950801395</v>
      </c>
      <c r="V66" s="2">
        <f t="shared" ca="1" si="13"/>
        <v>26.645415555514074</v>
      </c>
      <c r="W66" s="2">
        <f t="shared" ca="1" si="13"/>
        <v>24.925370146152886</v>
      </c>
      <c r="X66" s="2">
        <f t="shared" ca="1" si="13"/>
        <v>24.424631280907324</v>
      </c>
      <c r="Y66" s="2">
        <f t="shared" ca="1" si="11"/>
        <v>28.14088655170038</v>
      </c>
      <c r="Z66" s="2">
        <f t="shared" ca="1" si="12"/>
        <v>21.494527785142171</v>
      </c>
      <c r="AA66" s="2">
        <f t="shared" ca="1" si="12"/>
        <v>29.841983660301906</v>
      </c>
      <c r="AB66" s="2">
        <f t="shared" ca="1" si="12"/>
        <v>27.814021189979321</v>
      </c>
      <c r="AC66" s="2">
        <f t="shared" ca="1" si="12"/>
        <v>27.140308780325601</v>
      </c>
      <c r="AD66" s="2">
        <f t="shared" ca="1" si="12"/>
        <v>20.07590589006686</v>
      </c>
      <c r="AE66" s="2">
        <f t="shared" ca="1" si="12"/>
        <v>28.558925668320366</v>
      </c>
      <c r="AF66" s="2">
        <f t="shared" ca="1" si="12"/>
        <v>27.328646966261495</v>
      </c>
      <c r="AG66" s="2">
        <f t="shared" ca="1" si="12"/>
        <v>20.726186304783617</v>
      </c>
      <c r="AH66" s="2">
        <f t="shared" ca="1" si="12"/>
        <v>28.698120104408964</v>
      </c>
    </row>
    <row r="67" spans="1:34">
      <c r="A67" t="str">
        <f t="shared" si="6"/>
        <v>Coffee</v>
      </c>
      <c r="B67" t="str">
        <f t="shared" si="7"/>
        <v>SNNPR</v>
      </c>
      <c r="C67" s="2">
        <f t="shared" ca="1" si="14"/>
        <v>22.06928867864529</v>
      </c>
      <c r="D67" s="2">
        <f t="shared" ca="1" si="14"/>
        <v>29.281622938382736</v>
      </c>
      <c r="E67" s="2">
        <f t="shared" ca="1" si="14"/>
        <v>26.254290387491007</v>
      </c>
      <c r="F67" s="2">
        <f t="shared" ca="1" si="14"/>
        <v>26.517748141172991</v>
      </c>
      <c r="G67" s="2">
        <f t="shared" ca="1" si="14"/>
        <v>22.776744676470006</v>
      </c>
      <c r="H67" s="2">
        <f t="shared" ca="1" si="14"/>
        <v>24.355381959288586</v>
      </c>
      <c r="I67" s="2">
        <f t="shared" ca="1" si="14"/>
        <v>26.238037886353784</v>
      </c>
      <c r="J67" s="2">
        <f t="shared" ca="1" si="14"/>
        <v>24.774498492158891</v>
      </c>
      <c r="K67" s="2">
        <f t="shared" ca="1" si="14"/>
        <v>28.63497682345497</v>
      </c>
      <c r="L67" s="2">
        <f t="shared" ca="1" si="14"/>
        <v>20.469230758792825</v>
      </c>
      <c r="M67" s="2">
        <f t="shared" ca="1" si="14"/>
        <v>26.184998056499698</v>
      </c>
      <c r="N67" s="2">
        <f t="shared" ca="1" si="14"/>
        <v>24.482357242964746</v>
      </c>
      <c r="O67" s="2">
        <f t="shared" ca="1" si="14"/>
        <v>21.377773856032803</v>
      </c>
      <c r="P67" s="2">
        <f t="shared" ca="1" si="14"/>
        <v>20.393450950599853</v>
      </c>
      <c r="Q67" s="2">
        <f t="shared" ca="1" si="14"/>
        <v>26.438461753232733</v>
      </c>
      <c r="R67" s="2">
        <f t="shared" ca="1" si="14"/>
        <v>29.63986004346819</v>
      </c>
      <c r="S67" s="2">
        <f t="shared" ca="1" si="13"/>
        <v>20.66486126765129</v>
      </c>
      <c r="T67" s="2">
        <f t="shared" ca="1" si="13"/>
        <v>29.47700989541811</v>
      </c>
      <c r="U67" s="2">
        <f t="shared" ca="1" si="13"/>
        <v>27.367498537378133</v>
      </c>
      <c r="V67" s="2">
        <f t="shared" ca="1" si="13"/>
        <v>29.856348522119774</v>
      </c>
      <c r="W67" s="2">
        <f t="shared" ca="1" si="13"/>
        <v>22.256110599845755</v>
      </c>
      <c r="X67" s="2">
        <f t="shared" ca="1" si="13"/>
        <v>29.186257813843998</v>
      </c>
      <c r="Y67" s="2">
        <f t="shared" ca="1" si="11"/>
        <v>24.657474617041267</v>
      </c>
      <c r="Z67" s="2">
        <f t="shared" ca="1" si="12"/>
        <v>20.054874662586901</v>
      </c>
      <c r="AA67" s="2">
        <f t="shared" ca="1" si="12"/>
        <v>26.716629219288716</v>
      </c>
      <c r="AB67" s="2">
        <f t="shared" ca="1" si="12"/>
        <v>21.743173678925707</v>
      </c>
      <c r="AC67" s="2">
        <f t="shared" ca="1" si="12"/>
        <v>21.86482242986666</v>
      </c>
      <c r="AD67" s="2">
        <f t="shared" ca="1" si="12"/>
        <v>29.768814916472309</v>
      </c>
      <c r="AE67" s="2">
        <f t="shared" ca="1" si="12"/>
        <v>25.138162070851035</v>
      </c>
      <c r="AF67" s="2">
        <f t="shared" ca="1" si="12"/>
        <v>29.075907048459403</v>
      </c>
      <c r="AG67" s="2">
        <f t="shared" ca="1" si="12"/>
        <v>21.035125291280725</v>
      </c>
      <c r="AH67" s="2">
        <f t="shared" ca="1" si="12"/>
        <v>23.108603310973454</v>
      </c>
    </row>
    <row r="68" spans="1:34">
      <c r="A68" t="str">
        <f t="shared" si="6"/>
        <v>Coffee</v>
      </c>
      <c r="B68" t="str">
        <f t="shared" si="7"/>
        <v>Tigray</v>
      </c>
      <c r="C68" s="2">
        <f t="shared" ca="1" si="14"/>
        <v>24.530432000666398</v>
      </c>
      <c r="D68" s="2">
        <f t="shared" ca="1" si="14"/>
        <v>25.700187970116829</v>
      </c>
      <c r="E68" s="2">
        <f t="shared" ca="1" si="14"/>
        <v>27.034683717066908</v>
      </c>
      <c r="F68" s="2">
        <f t="shared" ca="1" si="14"/>
        <v>29.473963460006658</v>
      </c>
      <c r="G68" s="2">
        <f t="shared" ca="1" si="14"/>
        <v>27.209282614093873</v>
      </c>
      <c r="H68" s="2">
        <f t="shared" ca="1" si="14"/>
        <v>26.624532466070193</v>
      </c>
      <c r="I68" s="2">
        <f t="shared" ca="1" si="14"/>
        <v>27.962002560103187</v>
      </c>
      <c r="J68" s="2">
        <f t="shared" ca="1" si="14"/>
        <v>28.612390523064597</v>
      </c>
      <c r="K68" s="2">
        <f t="shared" ca="1" si="14"/>
        <v>22.203869092037014</v>
      </c>
      <c r="L68" s="2">
        <f t="shared" ca="1" si="14"/>
        <v>26.004467863961487</v>
      </c>
      <c r="M68" s="2">
        <f t="shared" ca="1" si="14"/>
        <v>28.893345199538313</v>
      </c>
      <c r="N68" s="2">
        <f t="shared" ca="1" si="14"/>
        <v>21.380983291312454</v>
      </c>
      <c r="O68" s="2">
        <f t="shared" ca="1" si="14"/>
        <v>25.016754096900268</v>
      </c>
      <c r="P68" s="2">
        <f t="shared" ca="1" si="14"/>
        <v>27.739185333329164</v>
      </c>
      <c r="Q68" s="2">
        <f t="shared" ca="1" si="14"/>
        <v>28.511035991367329</v>
      </c>
      <c r="R68" s="2">
        <f t="shared" ref="R68:AH68" ca="1" si="15">(RAND()*0.1+0.2)*100</f>
        <v>29.493357927310086</v>
      </c>
      <c r="S68" s="2">
        <f t="shared" ca="1" si="15"/>
        <v>21.355171125937105</v>
      </c>
      <c r="T68" s="2">
        <f t="shared" ca="1" si="15"/>
        <v>20.050119763314957</v>
      </c>
      <c r="U68" s="2">
        <f t="shared" ca="1" si="15"/>
        <v>20.071736166228025</v>
      </c>
      <c r="V68" s="2">
        <f t="shared" ca="1" si="15"/>
        <v>26.494646723442173</v>
      </c>
      <c r="W68" s="2">
        <f t="shared" ca="1" si="15"/>
        <v>27.929502485120118</v>
      </c>
      <c r="X68" s="2">
        <f t="shared" ca="1" si="15"/>
        <v>22.933069114028278</v>
      </c>
      <c r="Y68" s="2">
        <f t="shared" ca="1" si="15"/>
        <v>29.016965144652119</v>
      </c>
      <c r="Z68" s="2">
        <f t="shared" ca="1" si="15"/>
        <v>24.987599262506233</v>
      </c>
      <c r="AA68" s="2">
        <f t="shared" ca="1" si="15"/>
        <v>21.84609766872067</v>
      </c>
      <c r="AB68" s="2">
        <f t="shared" ca="1" si="15"/>
        <v>26.394440592159068</v>
      </c>
      <c r="AC68" s="2">
        <f t="shared" ca="1" si="15"/>
        <v>20.870544234226024</v>
      </c>
      <c r="AD68" s="2">
        <f t="shared" ca="1" si="15"/>
        <v>26.949327875400115</v>
      </c>
      <c r="AE68" s="2">
        <f t="shared" ca="1" si="15"/>
        <v>24.439518539514204</v>
      </c>
      <c r="AF68" s="2">
        <f t="shared" ca="1" si="15"/>
        <v>23.050775755678448</v>
      </c>
      <c r="AG68" s="2">
        <f t="shared" ca="1" si="15"/>
        <v>24.896042436556829</v>
      </c>
      <c r="AH68" s="2">
        <f t="shared" ca="1" si="15"/>
        <v>26.498726405617447</v>
      </c>
    </row>
  </sheetData>
  <pageMargins left="0.75" right="0.75" top="1" bottom="1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H68"/>
  <sheetViews>
    <sheetView zoomScale="85" zoomScaleNormal="85" workbookViewId="0">
      <selection activeCell="H23" sqref="H23"/>
    </sheetView>
  </sheetViews>
  <sheetFormatPr defaultColWidth="8.875" defaultRowHeight="15.75"/>
  <cols>
    <col min="1" max="1" width="10.125" customWidth="1"/>
    <col min="2" max="2" width="10.625" customWidth="1"/>
  </cols>
  <sheetData>
    <row r="1" spans="1:34">
      <c r="C1">
        <v>2015</v>
      </c>
      <c r="D1">
        <v>2015</v>
      </c>
      <c r="E1">
        <f>C1+1</f>
        <v>2016</v>
      </c>
      <c r="F1">
        <f t="shared" ref="F1:AH1" si="0">D1+1</f>
        <v>2016</v>
      </c>
      <c r="G1">
        <f t="shared" si="0"/>
        <v>2017</v>
      </c>
      <c r="H1">
        <f t="shared" si="0"/>
        <v>2017</v>
      </c>
      <c r="I1">
        <f t="shared" si="0"/>
        <v>2018</v>
      </c>
      <c r="J1">
        <f t="shared" si="0"/>
        <v>2018</v>
      </c>
      <c r="K1">
        <f t="shared" si="0"/>
        <v>2019</v>
      </c>
      <c r="L1">
        <f t="shared" si="0"/>
        <v>2019</v>
      </c>
      <c r="M1">
        <f t="shared" si="0"/>
        <v>2020</v>
      </c>
      <c r="N1">
        <f t="shared" si="0"/>
        <v>2020</v>
      </c>
      <c r="O1">
        <f t="shared" si="0"/>
        <v>2021</v>
      </c>
      <c r="P1">
        <f t="shared" si="0"/>
        <v>2021</v>
      </c>
      <c r="Q1">
        <f t="shared" si="0"/>
        <v>2022</v>
      </c>
      <c r="R1">
        <f t="shared" si="0"/>
        <v>2022</v>
      </c>
      <c r="S1">
        <f t="shared" si="0"/>
        <v>2023</v>
      </c>
      <c r="T1">
        <f t="shared" si="0"/>
        <v>2023</v>
      </c>
      <c r="U1">
        <f t="shared" si="0"/>
        <v>2024</v>
      </c>
      <c r="V1">
        <f t="shared" si="0"/>
        <v>2024</v>
      </c>
      <c r="W1">
        <f t="shared" si="0"/>
        <v>2025</v>
      </c>
      <c r="X1">
        <f t="shared" si="0"/>
        <v>2025</v>
      </c>
      <c r="Y1">
        <f t="shared" si="0"/>
        <v>2026</v>
      </c>
      <c r="Z1">
        <f t="shared" si="0"/>
        <v>2026</v>
      </c>
      <c r="AA1">
        <f t="shared" si="0"/>
        <v>2027</v>
      </c>
      <c r="AB1">
        <f t="shared" si="0"/>
        <v>2027</v>
      </c>
      <c r="AC1">
        <f t="shared" si="0"/>
        <v>2028</v>
      </c>
      <c r="AD1">
        <f t="shared" si="0"/>
        <v>2028</v>
      </c>
      <c r="AE1">
        <f t="shared" si="0"/>
        <v>2029</v>
      </c>
      <c r="AF1">
        <f t="shared" si="0"/>
        <v>2029</v>
      </c>
      <c r="AG1">
        <f t="shared" si="0"/>
        <v>2030</v>
      </c>
      <c r="AH1">
        <f t="shared" si="0"/>
        <v>2030</v>
      </c>
    </row>
    <row r="2" spans="1:34">
      <c r="C2" t="str">
        <f t="array" ref="C2:D2">TRANSPOSE(Seasons)</f>
        <v>Belg</v>
      </c>
      <c r="D2" t="str">
        <v>Kremt</v>
      </c>
      <c r="E2" t="str">
        <f>C2</f>
        <v>Belg</v>
      </c>
      <c r="F2" t="str">
        <f t="shared" ref="F2:AH2" si="1">D2</f>
        <v>Kremt</v>
      </c>
      <c r="G2" t="str">
        <f t="shared" si="1"/>
        <v>Belg</v>
      </c>
      <c r="H2" t="str">
        <f t="shared" si="1"/>
        <v>Kremt</v>
      </c>
      <c r="I2" t="str">
        <f t="shared" si="1"/>
        <v>Belg</v>
      </c>
      <c r="J2" t="str">
        <f t="shared" si="1"/>
        <v>Kremt</v>
      </c>
      <c r="K2" t="str">
        <f t="shared" si="1"/>
        <v>Belg</v>
      </c>
      <c r="L2" t="str">
        <f t="shared" si="1"/>
        <v>Kremt</v>
      </c>
      <c r="M2" t="str">
        <f t="shared" si="1"/>
        <v>Belg</v>
      </c>
      <c r="N2" t="str">
        <f t="shared" si="1"/>
        <v>Kremt</v>
      </c>
      <c r="O2" t="str">
        <f t="shared" si="1"/>
        <v>Belg</v>
      </c>
      <c r="P2" t="str">
        <f t="shared" si="1"/>
        <v>Kremt</v>
      </c>
      <c r="Q2" t="str">
        <f t="shared" si="1"/>
        <v>Belg</v>
      </c>
      <c r="R2" t="str">
        <f t="shared" si="1"/>
        <v>Kremt</v>
      </c>
      <c r="S2" t="str">
        <f t="shared" si="1"/>
        <v>Belg</v>
      </c>
      <c r="T2" t="str">
        <f t="shared" si="1"/>
        <v>Kremt</v>
      </c>
      <c r="U2" t="str">
        <f t="shared" si="1"/>
        <v>Belg</v>
      </c>
      <c r="V2" t="str">
        <f t="shared" si="1"/>
        <v>Kremt</v>
      </c>
      <c r="W2" t="str">
        <f t="shared" si="1"/>
        <v>Belg</v>
      </c>
      <c r="X2" t="str">
        <f t="shared" si="1"/>
        <v>Kremt</v>
      </c>
      <c r="Y2" t="str">
        <f t="shared" si="1"/>
        <v>Belg</v>
      </c>
      <c r="Z2" t="str">
        <f t="shared" si="1"/>
        <v>Kremt</v>
      </c>
      <c r="AA2" t="str">
        <f t="shared" si="1"/>
        <v>Belg</v>
      </c>
      <c r="AB2" t="str">
        <f t="shared" si="1"/>
        <v>Kremt</v>
      </c>
      <c r="AC2" t="str">
        <f t="shared" si="1"/>
        <v>Belg</v>
      </c>
      <c r="AD2" t="str">
        <f t="shared" si="1"/>
        <v>Kremt</v>
      </c>
      <c r="AE2" t="str">
        <f t="shared" si="1"/>
        <v>Belg</v>
      </c>
      <c r="AF2" t="str">
        <f t="shared" si="1"/>
        <v>Kremt</v>
      </c>
      <c r="AG2" t="str">
        <f t="shared" si="1"/>
        <v>Belg</v>
      </c>
      <c r="AH2" t="str">
        <f t="shared" si="1"/>
        <v>Kremt</v>
      </c>
    </row>
    <row r="3" spans="1:34">
      <c r="A3" t="str">
        <f>sets!$H$3</f>
        <v>Teff</v>
      </c>
      <c r="B3" t="str">
        <f t="array" ref="B3:B13">Nodes</f>
        <v>AddisAbaba</v>
      </c>
      <c r="C3" s="2">
        <f ca="1">(RAND()*1+2)*1000</f>
        <v>2075.31043156343</v>
      </c>
      <c r="D3" s="2">
        <f t="shared" ref="D3:AH11" ca="1" si="2">(RAND()*1+2)*1000</f>
        <v>2567.2819580195387</v>
      </c>
      <c r="E3" s="2">
        <f t="shared" ca="1" si="2"/>
        <v>2629.1152423626054</v>
      </c>
      <c r="F3" s="2">
        <f t="shared" ca="1" si="2"/>
        <v>2512.417889040355</v>
      </c>
      <c r="G3" s="2">
        <f t="shared" ca="1" si="2"/>
        <v>2478.6837135714841</v>
      </c>
      <c r="H3" s="2">
        <f t="shared" ca="1" si="2"/>
        <v>2921.6750404444169</v>
      </c>
      <c r="I3" s="2">
        <f t="shared" ca="1" si="2"/>
        <v>2228.4546468956564</v>
      </c>
      <c r="J3" s="2">
        <f t="shared" ca="1" si="2"/>
        <v>2687.9015863539266</v>
      </c>
      <c r="K3" s="2">
        <f t="shared" ca="1" si="2"/>
        <v>2119.5255545502414</v>
      </c>
      <c r="L3" s="2">
        <f t="shared" ca="1" si="2"/>
        <v>2214.0582584338504</v>
      </c>
      <c r="M3" s="2">
        <f t="shared" ca="1" si="2"/>
        <v>2882.1076370232786</v>
      </c>
      <c r="N3" s="2">
        <f t="shared" ca="1" si="2"/>
        <v>2047.9074950485049</v>
      </c>
      <c r="O3" s="2">
        <f t="shared" ca="1" si="2"/>
        <v>2464.4878172257459</v>
      </c>
      <c r="P3" s="2">
        <f t="shared" ca="1" si="2"/>
        <v>2677.3366704273512</v>
      </c>
      <c r="Q3" s="2">
        <f t="shared" ca="1" si="2"/>
        <v>2698.7237587644108</v>
      </c>
      <c r="R3" s="2">
        <f t="shared" ca="1" si="2"/>
        <v>2711.0971406919598</v>
      </c>
      <c r="S3" s="2">
        <f t="shared" ca="1" si="2"/>
        <v>2003.1072029280676</v>
      </c>
      <c r="T3" s="2">
        <f t="shared" ca="1" si="2"/>
        <v>2564.7143746733682</v>
      </c>
      <c r="U3" s="2">
        <f t="shared" ca="1" si="2"/>
        <v>2489.7998324722525</v>
      </c>
      <c r="V3" s="2">
        <f t="shared" ca="1" si="2"/>
        <v>2887.9504086005704</v>
      </c>
      <c r="W3" s="2">
        <f t="shared" ca="1" si="2"/>
        <v>2320.395994979333</v>
      </c>
      <c r="X3" s="2">
        <f t="shared" ca="1" si="2"/>
        <v>2787.5442014113278</v>
      </c>
      <c r="Y3" s="2">
        <f t="shared" ca="1" si="2"/>
        <v>2090.9736134319055</v>
      </c>
      <c r="Z3" s="2">
        <f t="shared" ca="1" si="2"/>
        <v>2596.1513702252305</v>
      </c>
      <c r="AA3" s="2">
        <f t="shared" ca="1" si="2"/>
        <v>2941.0650649473214</v>
      </c>
      <c r="AB3" s="2">
        <f t="shared" ca="1" si="2"/>
        <v>2002.9335637479396</v>
      </c>
      <c r="AC3" s="2">
        <f t="shared" ca="1" si="2"/>
        <v>2934.5454651785926</v>
      </c>
      <c r="AD3" s="2">
        <f t="shared" ca="1" si="2"/>
        <v>2373.0437843758996</v>
      </c>
      <c r="AE3" s="2">
        <f t="shared" ca="1" si="2"/>
        <v>2342.7914185702043</v>
      </c>
      <c r="AF3" s="2">
        <f t="shared" ca="1" si="2"/>
        <v>2563.7681862419013</v>
      </c>
      <c r="AG3" s="2">
        <f t="shared" ca="1" si="2"/>
        <v>2465.3055518270266</v>
      </c>
      <c r="AH3" s="2">
        <f t="shared" ca="1" si="2"/>
        <v>2965.0241752465618</v>
      </c>
    </row>
    <row r="4" spans="1:34">
      <c r="A4" t="str">
        <f>sets!$H$3</f>
        <v>Teff</v>
      </c>
      <c r="B4" t="str">
        <v>Afar</v>
      </c>
      <c r="C4" s="2">
        <f t="shared" ref="C4:R27" ca="1" si="3">(RAND()*1+2)*1000</f>
        <v>2085.1508072134584</v>
      </c>
      <c r="D4" s="2">
        <f t="shared" ca="1" si="2"/>
        <v>2426.4910463521574</v>
      </c>
      <c r="E4" s="2">
        <f t="shared" ca="1" si="2"/>
        <v>2870.6080899551121</v>
      </c>
      <c r="F4" s="2">
        <f t="shared" ca="1" si="2"/>
        <v>2794.1355862048381</v>
      </c>
      <c r="G4" s="2">
        <f t="shared" ca="1" si="2"/>
        <v>2882.7445577560266</v>
      </c>
      <c r="H4" s="2">
        <f t="shared" ca="1" si="2"/>
        <v>2280.8713688907374</v>
      </c>
      <c r="I4" s="2">
        <f t="shared" ca="1" si="2"/>
        <v>2977.8430610898736</v>
      </c>
      <c r="J4" s="2">
        <f t="shared" ca="1" si="2"/>
        <v>2737.8450407626674</v>
      </c>
      <c r="K4" s="2">
        <f t="shared" ca="1" si="2"/>
        <v>2209.5718125425656</v>
      </c>
      <c r="L4" s="2">
        <f t="shared" ca="1" si="2"/>
        <v>2872.4900742098571</v>
      </c>
      <c r="M4" s="2">
        <f t="shared" ca="1" si="2"/>
        <v>2272.7643975731271</v>
      </c>
      <c r="N4" s="2">
        <f t="shared" ca="1" si="2"/>
        <v>2605.8969133329097</v>
      </c>
      <c r="O4" s="2">
        <f t="shared" ca="1" si="2"/>
        <v>2883.4053636016079</v>
      </c>
      <c r="P4" s="2">
        <f t="shared" ca="1" si="2"/>
        <v>2245.1561037312977</v>
      </c>
      <c r="Q4" s="2">
        <f t="shared" ca="1" si="2"/>
        <v>2492.0753781513909</v>
      </c>
      <c r="R4" s="2">
        <f t="shared" ca="1" si="2"/>
        <v>2563.2707656811758</v>
      </c>
      <c r="S4" s="2">
        <f t="shared" ca="1" si="2"/>
        <v>2678.4388245302684</v>
      </c>
      <c r="T4" s="2">
        <f t="shared" ca="1" si="2"/>
        <v>2178.7056120729371</v>
      </c>
      <c r="U4" s="2">
        <f t="shared" ca="1" si="2"/>
        <v>2825.8051826391657</v>
      </c>
      <c r="V4" s="2">
        <f t="shared" ca="1" si="2"/>
        <v>2492.5473847206458</v>
      </c>
      <c r="W4" s="2">
        <f t="shared" ca="1" si="2"/>
        <v>2035.4498557024856</v>
      </c>
      <c r="X4" s="2">
        <f t="shared" ca="1" si="2"/>
        <v>2846.8379086514465</v>
      </c>
      <c r="Y4" s="2">
        <f t="shared" ca="1" si="2"/>
        <v>2581.0541546081181</v>
      </c>
      <c r="Z4" s="2">
        <f t="shared" ca="1" si="2"/>
        <v>2978.1594070412539</v>
      </c>
      <c r="AA4" s="2">
        <f t="shared" ca="1" si="2"/>
        <v>2570.036374255154</v>
      </c>
      <c r="AB4" s="2">
        <f t="shared" ca="1" si="2"/>
        <v>2165.1063196621026</v>
      </c>
      <c r="AC4" s="2">
        <f t="shared" ca="1" si="2"/>
        <v>2057.4766757896696</v>
      </c>
      <c r="AD4" s="2">
        <f t="shared" ca="1" si="2"/>
        <v>2144.3770958147957</v>
      </c>
      <c r="AE4" s="2">
        <f t="shared" ca="1" si="2"/>
        <v>2981.4215334710543</v>
      </c>
      <c r="AF4" s="2">
        <f t="shared" ca="1" si="2"/>
        <v>2156.1611076226072</v>
      </c>
      <c r="AG4" s="2">
        <f t="shared" ca="1" si="2"/>
        <v>2307.3009390197517</v>
      </c>
      <c r="AH4" s="2">
        <f t="shared" ca="1" si="2"/>
        <v>2828.5008553231564</v>
      </c>
    </row>
    <row r="5" spans="1:34">
      <c r="A5" t="str">
        <f>sets!$H$3</f>
        <v>Teff</v>
      </c>
      <c r="B5" t="str">
        <v>Amhara</v>
      </c>
      <c r="C5" s="2">
        <f t="shared" ca="1" si="3"/>
        <v>2324.3686242237845</v>
      </c>
      <c r="D5" s="2">
        <f t="shared" ca="1" si="2"/>
        <v>2996.3361481827501</v>
      </c>
      <c r="E5" s="2">
        <f t="shared" ca="1" si="2"/>
        <v>2338.1089215342326</v>
      </c>
      <c r="F5" s="2">
        <f t="shared" ca="1" si="2"/>
        <v>2488.3620759943115</v>
      </c>
      <c r="G5" s="2">
        <f t="shared" ca="1" si="2"/>
        <v>2512.0310876882363</v>
      </c>
      <c r="H5" s="2">
        <f t="shared" ca="1" si="2"/>
        <v>2834.891736603995</v>
      </c>
      <c r="I5" s="2">
        <f t="shared" ca="1" si="2"/>
        <v>2346.2242864356945</v>
      </c>
      <c r="J5" s="2">
        <f t="shared" ca="1" si="2"/>
        <v>2056.7188768803403</v>
      </c>
      <c r="K5" s="2">
        <f t="shared" ca="1" si="2"/>
        <v>2693.3901254381476</v>
      </c>
      <c r="L5" s="2">
        <f t="shared" ca="1" si="2"/>
        <v>2207.549677903512</v>
      </c>
      <c r="M5" s="2">
        <f t="shared" ca="1" si="2"/>
        <v>2773.1148573161604</v>
      </c>
      <c r="N5" s="2">
        <f t="shared" ca="1" si="2"/>
        <v>2590.4083552467059</v>
      </c>
      <c r="O5" s="2">
        <f t="shared" ca="1" si="2"/>
        <v>2105.4470036841531</v>
      </c>
      <c r="P5" s="2">
        <f t="shared" ca="1" si="2"/>
        <v>2421.5061020680109</v>
      </c>
      <c r="Q5" s="2">
        <f t="shared" ca="1" si="2"/>
        <v>2761.0804070778086</v>
      </c>
      <c r="R5" s="2">
        <f t="shared" ca="1" si="2"/>
        <v>2482.1571784211669</v>
      </c>
      <c r="S5" s="2">
        <f t="shared" ca="1" si="2"/>
        <v>2283.2148379909354</v>
      </c>
      <c r="T5" s="2">
        <f t="shared" ca="1" si="2"/>
        <v>2849.0556812577302</v>
      </c>
      <c r="U5" s="2">
        <f t="shared" ca="1" si="2"/>
        <v>2830.237796489766</v>
      </c>
      <c r="V5" s="2">
        <f t="shared" ca="1" si="2"/>
        <v>2748.422900776357</v>
      </c>
      <c r="W5" s="2">
        <f t="shared" ca="1" si="2"/>
        <v>2030.2391270706321</v>
      </c>
      <c r="X5" s="2">
        <f t="shared" ca="1" si="2"/>
        <v>2115.4415064825912</v>
      </c>
      <c r="Y5" s="2">
        <f t="shared" ca="1" si="2"/>
        <v>2062.7517774651005</v>
      </c>
      <c r="Z5" s="2">
        <f t="shared" ca="1" si="2"/>
        <v>2800.2906567163213</v>
      </c>
      <c r="AA5" s="2">
        <f t="shared" ca="1" si="2"/>
        <v>2415.7526425862002</v>
      </c>
      <c r="AB5" s="2">
        <f t="shared" ca="1" si="2"/>
        <v>2099.2839186649526</v>
      </c>
      <c r="AC5" s="2">
        <f t="shared" ca="1" si="2"/>
        <v>2118.8570572227914</v>
      </c>
      <c r="AD5" s="2">
        <f t="shared" ca="1" si="2"/>
        <v>2420.5395317217876</v>
      </c>
      <c r="AE5" s="2">
        <f t="shared" ca="1" si="2"/>
        <v>2875.7078782287185</v>
      </c>
      <c r="AF5" s="2">
        <f t="shared" ca="1" si="2"/>
        <v>2937.3741226858833</v>
      </c>
      <c r="AG5" s="2">
        <f t="shared" ca="1" si="2"/>
        <v>2245.9235188032931</v>
      </c>
      <c r="AH5" s="2">
        <f t="shared" ca="1" si="2"/>
        <v>2464.5960955640758</v>
      </c>
    </row>
    <row r="6" spans="1:34">
      <c r="A6" t="str">
        <f>sets!$H$3</f>
        <v>Teff</v>
      </c>
      <c r="B6" t="str">
        <v>Gumuz</v>
      </c>
      <c r="C6" s="2">
        <f t="shared" ca="1" si="3"/>
        <v>2366.1479578366884</v>
      </c>
      <c r="D6" s="2">
        <f t="shared" ca="1" si="2"/>
        <v>2088.3695089213188</v>
      </c>
      <c r="E6" s="2">
        <f t="shared" ca="1" si="2"/>
        <v>2509.1967373024377</v>
      </c>
      <c r="F6" s="2">
        <f t="shared" ca="1" si="2"/>
        <v>2236.0519685104073</v>
      </c>
      <c r="G6" s="2">
        <f t="shared" ca="1" si="2"/>
        <v>2126.2563868116376</v>
      </c>
      <c r="H6" s="2">
        <f t="shared" ca="1" si="2"/>
        <v>2624.2317454034487</v>
      </c>
      <c r="I6" s="2">
        <f t="shared" ca="1" si="2"/>
        <v>2985.2213625058998</v>
      </c>
      <c r="J6" s="2">
        <f t="shared" ca="1" si="2"/>
        <v>2703.0217778785436</v>
      </c>
      <c r="K6" s="2">
        <f t="shared" ca="1" si="2"/>
        <v>2218.4657775090982</v>
      </c>
      <c r="L6" s="2">
        <f t="shared" ca="1" si="2"/>
        <v>2447.7600094210552</v>
      </c>
      <c r="M6" s="2">
        <f t="shared" ca="1" si="2"/>
        <v>2416.6675450309112</v>
      </c>
      <c r="N6" s="2">
        <f t="shared" ca="1" si="2"/>
        <v>2869.8939723120093</v>
      </c>
      <c r="O6" s="2">
        <f t="shared" ca="1" si="2"/>
        <v>2647.1682495557015</v>
      </c>
      <c r="P6" s="2">
        <f t="shared" ca="1" si="2"/>
        <v>2607.4288160748902</v>
      </c>
      <c r="Q6" s="2">
        <f t="shared" ca="1" si="2"/>
        <v>2569.8514474276981</v>
      </c>
      <c r="R6" s="2">
        <f t="shared" ca="1" si="2"/>
        <v>2019.3630642311393</v>
      </c>
      <c r="S6" s="2">
        <f t="shared" ca="1" si="2"/>
        <v>2603.8812534384197</v>
      </c>
      <c r="T6" s="2">
        <f t="shared" ca="1" si="2"/>
        <v>2835.063505251549</v>
      </c>
      <c r="U6" s="2">
        <f t="shared" ca="1" si="2"/>
        <v>2242.6413682759589</v>
      </c>
      <c r="V6" s="2">
        <f t="shared" ca="1" si="2"/>
        <v>2864.554761805126</v>
      </c>
      <c r="W6" s="2">
        <f t="shared" ca="1" si="2"/>
        <v>2711.3744450533845</v>
      </c>
      <c r="X6" s="2">
        <f t="shared" ca="1" si="2"/>
        <v>2028.5531172105075</v>
      </c>
      <c r="Y6" s="2">
        <f t="shared" ca="1" si="2"/>
        <v>2798.0209858323024</v>
      </c>
      <c r="Z6" s="2">
        <f t="shared" ca="1" si="2"/>
        <v>2265.0140611513125</v>
      </c>
      <c r="AA6" s="2">
        <f t="shared" ca="1" si="2"/>
        <v>2341.9317214832568</v>
      </c>
      <c r="AB6" s="2">
        <f t="shared" ca="1" si="2"/>
        <v>2410.5094309484289</v>
      </c>
      <c r="AC6" s="2">
        <f t="shared" ca="1" si="2"/>
        <v>2417.1379180670237</v>
      </c>
      <c r="AD6" s="2">
        <f t="shared" ca="1" si="2"/>
        <v>2178.8770476359773</v>
      </c>
      <c r="AE6" s="2">
        <f t="shared" ca="1" si="2"/>
        <v>2179.0845136602161</v>
      </c>
      <c r="AF6" s="2">
        <f t="shared" ca="1" si="2"/>
        <v>2508.6517772187581</v>
      </c>
      <c r="AG6" s="2">
        <f t="shared" ca="1" si="2"/>
        <v>2543.8541439819983</v>
      </c>
      <c r="AH6" s="2">
        <f t="shared" ca="1" si="2"/>
        <v>2913.7033100048152</v>
      </c>
    </row>
    <row r="7" spans="1:34">
      <c r="A7" t="str">
        <f>sets!$H$3</f>
        <v>Teff</v>
      </c>
      <c r="B7" t="str">
        <v>DireDawa</v>
      </c>
      <c r="C7" s="2">
        <f t="shared" ca="1" si="3"/>
        <v>2225.4127735126985</v>
      </c>
      <c r="D7" s="2">
        <f t="shared" ca="1" si="2"/>
        <v>2915.4793342857897</v>
      </c>
      <c r="E7" s="2">
        <f t="shared" ca="1" si="2"/>
        <v>2659.4710522747828</v>
      </c>
      <c r="F7" s="2">
        <f t="shared" ca="1" si="2"/>
        <v>2791.3309574334048</v>
      </c>
      <c r="G7" s="2">
        <f t="shared" ca="1" si="2"/>
        <v>2663.1441227800528</v>
      </c>
      <c r="H7" s="2">
        <f t="shared" ca="1" si="2"/>
        <v>2343.7977820842707</v>
      </c>
      <c r="I7" s="2">
        <f t="shared" ca="1" si="2"/>
        <v>2748.4591449854961</v>
      </c>
      <c r="J7" s="2">
        <f t="shared" ca="1" si="2"/>
        <v>2353.6683785725882</v>
      </c>
      <c r="K7" s="2">
        <f t="shared" ca="1" si="2"/>
        <v>2618.8658088657644</v>
      </c>
      <c r="L7" s="2">
        <f t="shared" ca="1" si="2"/>
        <v>2414.615915600401</v>
      </c>
      <c r="M7" s="2">
        <f t="shared" ca="1" si="2"/>
        <v>2346.5723793865286</v>
      </c>
      <c r="N7" s="2">
        <f t="shared" ca="1" si="2"/>
        <v>2580.4112093819463</v>
      </c>
      <c r="O7" s="2">
        <f t="shared" ca="1" si="2"/>
        <v>2050.8484158849437</v>
      </c>
      <c r="P7" s="2">
        <f t="shared" ca="1" si="2"/>
        <v>2278.7789208720119</v>
      </c>
      <c r="Q7" s="2">
        <f t="shared" ca="1" si="2"/>
        <v>2572.851885369907</v>
      </c>
      <c r="R7" s="2">
        <f t="shared" ca="1" si="2"/>
        <v>2780.6787654065993</v>
      </c>
      <c r="S7" s="2">
        <f t="shared" ca="1" si="2"/>
        <v>2694.7615312057419</v>
      </c>
      <c r="T7" s="2">
        <f t="shared" ca="1" si="2"/>
        <v>2990.9550454340911</v>
      </c>
      <c r="U7" s="2">
        <f t="shared" ca="1" si="2"/>
        <v>2416.9110044371209</v>
      </c>
      <c r="V7" s="2">
        <f t="shared" ca="1" si="2"/>
        <v>2875.6027511636785</v>
      </c>
      <c r="W7" s="2">
        <f t="shared" ca="1" si="2"/>
        <v>2574.9125107860218</v>
      </c>
      <c r="X7" s="2">
        <f t="shared" ca="1" si="2"/>
        <v>2173.9179521985225</v>
      </c>
      <c r="Y7" s="2">
        <f t="shared" ca="1" si="2"/>
        <v>2613.2477169175995</v>
      </c>
      <c r="Z7" s="2">
        <f t="shared" ca="1" si="2"/>
        <v>2649.4163390529693</v>
      </c>
      <c r="AA7" s="2">
        <f t="shared" ca="1" si="2"/>
        <v>2746.0342367798203</v>
      </c>
      <c r="AB7" s="2">
        <f t="shared" ca="1" si="2"/>
        <v>2773.8473700883278</v>
      </c>
      <c r="AC7" s="2">
        <f t="shared" ca="1" si="2"/>
        <v>2129.5765895656104</v>
      </c>
      <c r="AD7" s="2">
        <f t="shared" ca="1" si="2"/>
        <v>2794.8596473665111</v>
      </c>
      <c r="AE7" s="2">
        <f t="shared" ca="1" si="2"/>
        <v>2428.800750224249</v>
      </c>
      <c r="AF7" s="2">
        <f t="shared" ca="1" si="2"/>
        <v>2227.211161120837</v>
      </c>
      <c r="AG7" s="2">
        <f t="shared" ca="1" si="2"/>
        <v>2445.4670814981228</v>
      </c>
      <c r="AH7" s="2">
        <f t="shared" ca="1" si="2"/>
        <v>2068.1184922070788</v>
      </c>
    </row>
    <row r="8" spans="1:34">
      <c r="A8" t="str">
        <f>sets!$H$3</f>
        <v>Teff</v>
      </c>
      <c r="B8" t="str">
        <v>Gambela</v>
      </c>
      <c r="C8" s="2">
        <f t="shared" ca="1" si="3"/>
        <v>2110.5628351919768</v>
      </c>
      <c r="D8" s="2">
        <f t="shared" ca="1" si="2"/>
        <v>2028.4799423311272</v>
      </c>
      <c r="E8" s="2">
        <f t="shared" ca="1" si="2"/>
        <v>2208.0017138476146</v>
      </c>
      <c r="F8" s="2">
        <f t="shared" ca="1" si="2"/>
        <v>2841.5746702962338</v>
      </c>
      <c r="G8" s="2">
        <f t="shared" ca="1" si="2"/>
        <v>2617.5491769421442</v>
      </c>
      <c r="H8" s="2">
        <f t="shared" ca="1" si="2"/>
        <v>2031.5075680562461</v>
      </c>
      <c r="I8" s="2">
        <f t="shared" ca="1" si="2"/>
        <v>2385.9468064004204</v>
      </c>
      <c r="J8" s="2">
        <f t="shared" ca="1" si="2"/>
        <v>2512.3282549046094</v>
      </c>
      <c r="K8" s="2">
        <f t="shared" ca="1" si="2"/>
        <v>2939.3783464696658</v>
      </c>
      <c r="L8" s="2">
        <f t="shared" ca="1" si="2"/>
        <v>2722.7540113192449</v>
      </c>
      <c r="M8" s="2">
        <f t="shared" ca="1" si="2"/>
        <v>2207.704777757262</v>
      </c>
      <c r="N8" s="2">
        <f t="shared" ca="1" si="2"/>
        <v>2213.576905513085</v>
      </c>
      <c r="O8" s="2">
        <f t="shared" ca="1" si="2"/>
        <v>2654.2076806567029</v>
      </c>
      <c r="P8" s="2">
        <f t="shared" ca="1" si="2"/>
        <v>2488.4457193764561</v>
      </c>
      <c r="Q8" s="2">
        <f t="shared" ca="1" si="2"/>
        <v>2216.8009828748495</v>
      </c>
      <c r="R8" s="2">
        <f t="shared" ca="1" si="2"/>
        <v>2358.6589142482248</v>
      </c>
      <c r="S8" s="2">
        <f t="shared" ca="1" si="2"/>
        <v>2317.6214744471067</v>
      </c>
      <c r="T8" s="2">
        <f t="shared" ca="1" si="2"/>
        <v>2225.7128604442541</v>
      </c>
      <c r="U8" s="2">
        <f t="shared" ca="1" si="2"/>
        <v>2590.92205516286</v>
      </c>
      <c r="V8" s="2">
        <f t="shared" ca="1" si="2"/>
        <v>2755.5907755108346</v>
      </c>
      <c r="W8" s="2">
        <f t="shared" ca="1" si="2"/>
        <v>2655.4467894416389</v>
      </c>
      <c r="X8" s="2">
        <f t="shared" ca="1" si="2"/>
        <v>2195.2008455306072</v>
      </c>
      <c r="Y8" s="2">
        <f t="shared" ca="1" si="2"/>
        <v>2065.0799155508389</v>
      </c>
      <c r="Z8" s="2">
        <f t="shared" ca="1" si="2"/>
        <v>2752.1197483509854</v>
      </c>
      <c r="AA8" s="2">
        <f t="shared" ca="1" si="2"/>
        <v>2937.9580874210114</v>
      </c>
      <c r="AB8" s="2">
        <f t="shared" ca="1" si="2"/>
        <v>2644.4673613332156</v>
      </c>
      <c r="AC8" s="2">
        <f t="shared" ca="1" si="2"/>
        <v>2298.2138207236931</v>
      </c>
      <c r="AD8" s="2">
        <f t="shared" ca="1" si="2"/>
        <v>2619.0091178886701</v>
      </c>
      <c r="AE8" s="2">
        <f t="shared" ca="1" si="2"/>
        <v>2600.1071175872871</v>
      </c>
      <c r="AF8" s="2">
        <f t="shared" ca="1" si="2"/>
        <v>2676.3812233381641</v>
      </c>
      <c r="AG8" s="2">
        <f t="shared" ca="1" si="2"/>
        <v>2683.2735785310742</v>
      </c>
      <c r="AH8" s="2">
        <f t="shared" ca="1" si="2"/>
        <v>2112.112872685288</v>
      </c>
    </row>
    <row r="9" spans="1:34">
      <c r="A9" t="str">
        <f>sets!$H$3</f>
        <v>Teff</v>
      </c>
      <c r="B9" t="str">
        <v>Harari</v>
      </c>
      <c r="C9" s="2">
        <f t="shared" ca="1" si="3"/>
        <v>2014.0449188688231</v>
      </c>
      <c r="D9" s="2">
        <f t="shared" ca="1" si="2"/>
        <v>2572.9549078194004</v>
      </c>
      <c r="E9" s="2">
        <f t="shared" ca="1" si="2"/>
        <v>2412.6642203268211</v>
      </c>
      <c r="F9" s="2">
        <f t="shared" ca="1" si="2"/>
        <v>2857.6967112304237</v>
      </c>
      <c r="G9" s="2">
        <f t="shared" ca="1" si="2"/>
        <v>2191.4325702448</v>
      </c>
      <c r="H9" s="2">
        <f t="shared" ca="1" si="2"/>
        <v>2103.0981792214006</v>
      </c>
      <c r="I9" s="2">
        <f t="shared" ca="1" si="2"/>
        <v>2432.8401233002905</v>
      </c>
      <c r="J9" s="2">
        <f t="shared" ca="1" si="2"/>
        <v>2068.9501345687818</v>
      </c>
      <c r="K9" s="2">
        <f t="shared" ca="1" si="2"/>
        <v>2346.9834239973034</v>
      </c>
      <c r="L9" s="2">
        <f t="shared" ca="1" si="2"/>
        <v>2025.923474967442</v>
      </c>
      <c r="M9" s="2">
        <f t="shared" ca="1" si="2"/>
        <v>2773.5649062079569</v>
      </c>
      <c r="N9" s="2">
        <f t="shared" ca="1" si="2"/>
        <v>2170.3637486113703</v>
      </c>
      <c r="O9" s="2">
        <f t="shared" ca="1" si="2"/>
        <v>2682.0390216650417</v>
      </c>
      <c r="P9" s="2">
        <f t="shared" ca="1" si="2"/>
        <v>2834.5992925041051</v>
      </c>
      <c r="Q9" s="2">
        <f t="shared" ca="1" si="2"/>
        <v>2835.3277142562474</v>
      </c>
      <c r="R9" s="2">
        <f t="shared" ca="1" si="2"/>
        <v>2088.9142295862716</v>
      </c>
      <c r="S9" s="2">
        <f t="shared" ca="1" si="2"/>
        <v>2378.5120819121807</v>
      </c>
      <c r="T9" s="2">
        <f t="shared" ca="1" si="2"/>
        <v>2175.0473125355843</v>
      </c>
      <c r="U9" s="2">
        <f t="shared" ca="1" si="2"/>
        <v>2597.8806515372767</v>
      </c>
      <c r="V9" s="2">
        <f t="shared" ca="1" si="2"/>
        <v>2312.650136584442</v>
      </c>
      <c r="W9" s="2">
        <f t="shared" ca="1" si="2"/>
        <v>2904.2764902222598</v>
      </c>
      <c r="X9" s="2">
        <f t="shared" ca="1" si="2"/>
        <v>2100.0203011623303</v>
      </c>
      <c r="Y9" s="2">
        <f t="shared" ca="1" si="2"/>
        <v>2423.3269250086159</v>
      </c>
      <c r="Z9" s="2">
        <f t="shared" ca="1" si="2"/>
        <v>2536.7857567193237</v>
      </c>
      <c r="AA9" s="2">
        <f t="shared" ca="1" si="2"/>
        <v>2891.0595892183392</v>
      </c>
      <c r="AB9" s="2">
        <f t="shared" ca="1" si="2"/>
        <v>2208.3557395504813</v>
      </c>
      <c r="AC9" s="2">
        <f t="shared" ca="1" si="2"/>
        <v>2612.4365412216653</v>
      </c>
      <c r="AD9" s="2">
        <f t="shared" ca="1" si="2"/>
        <v>2943.918138623068</v>
      </c>
      <c r="AE9" s="2">
        <f t="shared" ca="1" si="2"/>
        <v>2255.700312943397</v>
      </c>
      <c r="AF9" s="2">
        <f t="shared" ca="1" si="2"/>
        <v>2799.4318274059392</v>
      </c>
      <c r="AG9" s="2">
        <f t="shared" ca="1" si="2"/>
        <v>2984.3805692486917</v>
      </c>
      <c r="AH9" s="2">
        <f t="shared" ca="1" si="2"/>
        <v>2147.7245044254364</v>
      </c>
    </row>
    <row r="10" spans="1:34">
      <c r="A10" t="str">
        <f>sets!$H$3</f>
        <v>Teff</v>
      </c>
      <c r="B10" t="str">
        <v>Oromia</v>
      </c>
      <c r="C10" s="2">
        <f t="shared" ca="1" si="3"/>
        <v>2997.1357235025657</v>
      </c>
      <c r="D10" s="2">
        <f t="shared" ca="1" si="2"/>
        <v>2176.8169161266587</v>
      </c>
      <c r="E10" s="2">
        <f t="shared" ca="1" si="2"/>
        <v>2433.2973863171255</v>
      </c>
      <c r="F10" s="2">
        <f t="shared" ca="1" si="2"/>
        <v>2824.6677895097359</v>
      </c>
      <c r="G10" s="2">
        <f t="shared" ca="1" si="2"/>
        <v>2261.8973523392647</v>
      </c>
      <c r="H10" s="2">
        <f t="shared" ca="1" si="2"/>
        <v>2723.61175831125</v>
      </c>
      <c r="I10" s="2">
        <f t="shared" ca="1" si="2"/>
        <v>2019.2821890476459</v>
      </c>
      <c r="J10" s="2">
        <f t="shared" ca="1" si="2"/>
        <v>2948.3050448592062</v>
      </c>
      <c r="K10" s="2">
        <f t="shared" ca="1" si="2"/>
        <v>2534.4124847192061</v>
      </c>
      <c r="L10" s="2">
        <f t="shared" ca="1" si="2"/>
        <v>2232.5424927031881</v>
      </c>
      <c r="M10" s="2">
        <f t="shared" ca="1" si="2"/>
        <v>2631.5017764497061</v>
      </c>
      <c r="N10" s="2">
        <f t="shared" ca="1" si="2"/>
        <v>2228.5772425424934</v>
      </c>
      <c r="O10" s="2">
        <f t="shared" ca="1" si="2"/>
        <v>2671.6168524816444</v>
      </c>
      <c r="P10" s="2">
        <f t="shared" ca="1" si="2"/>
        <v>2692.5281747198824</v>
      </c>
      <c r="Q10" s="2">
        <f t="shared" ca="1" si="2"/>
        <v>2726.479028266966</v>
      </c>
      <c r="R10" s="2">
        <f t="shared" ca="1" si="2"/>
        <v>2786.8036549709154</v>
      </c>
      <c r="S10" s="2">
        <f t="shared" ca="1" si="2"/>
        <v>2874.8163441506863</v>
      </c>
      <c r="T10" s="2">
        <f t="shared" ca="1" si="2"/>
        <v>2041.0928927279715</v>
      </c>
      <c r="U10" s="2">
        <f t="shared" ca="1" si="2"/>
        <v>2487.4337836174491</v>
      </c>
      <c r="V10" s="2">
        <f t="shared" ca="1" si="2"/>
        <v>2898.7242737231754</v>
      </c>
      <c r="W10" s="2">
        <f t="shared" ca="1" si="2"/>
        <v>2863.2708384194925</v>
      </c>
      <c r="X10" s="2">
        <f t="shared" ca="1" si="2"/>
        <v>2598.3278994371881</v>
      </c>
      <c r="Y10" s="2">
        <f t="shared" ca="1" si="2"/>
        <v>2387.7316935542758</v>
      </c>
      <c r="Z10" s="2">
        <f t="shared" ca="1" si="2"/>
        <v>2587.1963216449685</v>
      </c>
      <c r="AA10" s="2">
        <f t="shared" ca="1" si="2"/>
        <v>2779.879374045478</v>
      </c>
      <c r="AB10" s="2">
        <f t="shared" ca="1" si="2"/>
        <v>2201.6619162895422</v>
      </c>
      <c r="AC10" s="2">
        <f t="shared" ca="1" si="2"/>
        <v>2249.4871098611598</v>
      </c>
      <c r="AD10" s="2">
        <f t="shared" ca="1" si="2"/>
        <v>2569.7408407621874</v>
      </c>
      <c r="AE10" s="2">
        <f t="shared" ca="1" si="2"/>
        <v>2603.2312544885726</v>
      </c>
      <c r="AF10" s="2">
        <f t="shared" ca="1" si="2"/>
        <v>2588.0801123187498</v>
      </c>
      <c r="AG10" s="2">
        <f t="shared" ca="1" si="2"/>
        <v>2099.1658674125065</v>
      </c>
      <c r="AH10" s="2">
        <f t="shared" ca="1" si="2"/>
        <v>2887.8914655010485</v>
      </c>
    </row>
    <row r="11" spans="1:34">
      <c r="A11" t="str">
        <f>sets!$H$3</f>
        <v>Teff</v>
      </c>
      <c r="B11" t="str">
        <v>Somali</v>
      </c>
      <c r="C11" s="2">
        <f t="shared" ca="1" si="3"/>
        <v>2450.0148277137823</v>
      </c>
      <c r="D11" s="2">
        <f t="shared" ca="1" si="2"/>
        <v>2444.3972423193554</v>
      </c>
      <c r="E11" s="2">
        <f t="shared" ca="1" si="2"/>
        <v>2833.2057313912255</v>
      </c>
      <c r="F11" s="2">
        <f t="shared" ca="1" si="2"/>
        <v>2674.3378961161734</v>
      </c>
      <c r="G11" s="2">
        <f t="shared" ca="1" si="2"/>
        <v>2996.3415786630649</v>
      </c>
      <c r="H11" s="2">
        <f t="shared" ca="1" si="2"/>
        <v>2758.628405265481</v>
      </c>
      <c r="I11" s="2">
        <f t="shared" ca="1" si="2"/>
        <v>2763.0795623055196</v>
      </c>
      <c r="J11" s="2">
        <f t="shared" ca="1" si="2"/>
        <v>2138.6784872766552</v>
      </c>
      <c r="K11" s="2">
        <f t="shared" ref="K11:Z42" ca="1" si="4">(RAND()*1+2)*1000</f>
        <v>2193.9942261245078</v>
      </c>
      <c r="L11" s="2">
        <f t="shared" ca="1" si="4"/>
        <v>2825.6931132183154</v>
      </c>
      <c r="M11" s="2">
        <f t="shared" ca="1" si="4"/>
        <v>2825.7684147803539</v>
      </c>
      <c r="N11" s="2">
        <f t="shared" ca="1" si="4"/>
        <v>2972.3501257871753</v>
      </c>
      <c r="O11" s="2">
        <f t="shared" ca="1" si="4"/>
        <v>2409.0874745603101</v>
      </c>
      <c r="P11" s="2">
        <f t="shared" ca="1" si="4"/>
        <v>2118.7095286715685</v>
      </c>
      <c r="Q11" s="2">
        <f t="shared" ca="1" si="4"/>
        <v>2630.9556287930218</v>
      </c>
      <c r="R11" s="2">
        <f t="shared" ca="1" si="4"/>
        <v>2691.9186881728665</v>
      </c>
      <c r="S11" s="2">
        <f t="shared" ca="1" si="4"/>
        <v>2081.6824623226753</v>
      </c>
      <c r="T11" s="2">
        <f t="shared" ca="1" si="4"/>
        <v>2704.7831452003147</v>
      </c>
      <c r="U11" s="2">
        <f t="shared" ca="1" si="4"/>
        <v>2292.6944930785876</v>
      </c>
      <c r="V11" s="2">
        <f t="shared" ca="1" si="4"/>
        <v>2291.1990409442128</v>
      </c>
      <c r="W11" s="2">
        <f t="shared" ca="1" si="4"/>
        <v>2722.4359029523989</v>
      </c>
      <c r="X11" s="2">
        <f t="shared" ca="1" si="4"/>
        <v>2055.4579847975283</v>
      </c>
      <c r="Y11" s="2">
        <f t="shared" ca="1" si="4"/>
        <v>2102.4697361224048</v>
      </c>
      <c r="Z11" s="2">
        <f t="shared" ca="1" si="4"/>
        <v>2626.7281944783808</v>
      </c>
      <c r="AA11" s="2">
        <f t="shared" ref="AA11:AH42" ca="1" si="5">(RAND()*1+2)*1000</f>
        <v>2543.1648132474702</v>
      </c>
      <c r="AB11" s="2">
        <f t="shared" ca="1" si="5"/>
        <v>2576.5030640517793</v>
      </c>
      <c r="AC11" s="2">
        <f t="shared" ca="1" si="5"/>
        <v>2335.3159224658916</v>
      </c>
      <c r="AD11" s="2">
        <f t="shared" ca="1" si="5"/>
        <v>2372.4915774056421</v>
      </c>
      <c r="AE11" s="2">
        <f t="shared" ca="1" si="5"/>
        <v>2201.4739643037451</v>
      </c>
      <c r="AF11" s="2">
        <f t="shared" ca="1" si="5"/>
        <v>2752.2928652907526</v>
      </c>
      <c r="AG11" s="2">
        <f t="shared" ca="1" si="5"/>
        <v>2253.5276303121768</v>
      </c>
      <c r="AH11" s="2">
        <f t="shared" ca="1" si="5"/>
        <v>2198.4774880713362</v>
      </c>
    </row>
    <row r="12" spans="1:34">
      <c r="A12" t="str">
        <f>sets!$H$3</f>
        <v>Teff</v>
      </c>
      <c r="B12" t="str">
        <v>SNNPR</v>
      </c>
      <c r="C12" s="2">
        <f t="shared" ca="1" si="3"/>
        <v>2930.4194892847513</v>
      </c>
      <c r="D12" s="2">
        <f t="shared" ca="1" si="3"/>
        <v>2890.8001444400452</v>
      </c>
      <c r="E12" s="2">
        <f t="shared" ca="1" si="3"/>
        <v>2081.6480230991119</v>
      </c>
      <c r="F12" s="2">
        <f t="shared" ca="1" si="3"/>
        <v>2633.7173881045337</v>
      </c>
      <c r="G12" s="2">
        <f t="shared" ca="1" si="3"/>
        <v>2071.5400528309169</v>
      </c>
      <c r="H12" s="2">
        <f t="shared" ca="1" si="3"/>
        <v>2843.0317118728703</v>
      </c>
      <c r="I12" s="2">
        <f t="shared" ca="1" si="3"/>
        <v>2631.0777340712571</v>
      </c>
      <c r="J12" s="2">
        <f t="shared" ca="1" si="3"/>
        <v>2307.3875540085141</v>
      </c>
      <c r="K12" s="2">
        <f t="shared" ca="1" si="3"/>
        <v>2374.0825052853988</v>
      </c>
      <c r="L12" s="2">
        <f t="shared" ca="1" si="3"/>
        <v>2048.6088511234971</v>
      </c>
      <c r="M12" s="2">
        <f t="shared" ca="1" si="3"/>
        <v>2786.7591643236292</v>
      </c>
      <c r="N12" s="2">
        <f t="shared" ca="1" si="3"/>
        <v>2903.6283623379522</v>
      </c>
      <c r="O12" s="2">
        <f t="shared" ca="1" si="3"/>
        <v>2956.7235412864929</v>
      </c>
      <c r="P12" s="2">
        <f t="shared" ca="1" si="3"/>
        <v>2450.9705049187442</v>
      </c>
      <c r="Q12" s="2">
        <f t="shared" ca="1" si="3"/>
        <v>2043.6339072658955</v>
      </c>
      <c r="R12" s="2">
        <f t="shared" ca="1" si="3"/>
        <v>2738.4270912824804</v>
      </c>
      <c r="S12" s="2">
        <f t="shared" ca="1" si="4"/>
        <v>2570.2190168484735</v>
      </c>
      <c r="T12" s="2">
        <f t="shared" ca="1" si="4"/>
        <v>2235.1413719712905</v>
      </c>
      <c r="U12" s="2">
        <f t="shared" ca="1" si="4"/>
        <v>2891.2365470485984</v>
      </c>
      <c r="V12" s="2">
        <f t="shared" ca="1" si="4"/>
        <v>2887.116167069214</v>
      </c>
      <c r="W12" s="2">
        <f t="shared" ca="1" si="4"/>
        <v>2468.4889257646641</v>
      </c>
      <c r="X12" s="2">
        <f t="shared" ca="1" si="4"/>
        <v>2112.9333819382869</v>
      </c>
      <c r="Y12" s="2">
        <f t="shared" ca="1" si="4"/>
        <v>2562.1045535823646</v>
      </c>
      <c r="Z12" s="2">
        <f t="shared" ca="1" si="4"/>
        <v>2061.5804327164701</v>
      </c>
      <c r="AA12" s="2">
        <f t="shared" ca="1" si="5"/>
        <v>2865.448910843892</v>
      </c>
      <c r="AB12" s="2">
        <f t="shared" ca="1" si="5"/>
        <v>2490.6919916489346</v>
      </c>
      <c r="AC12" s="2">
        <f t="shared" ca="1" si="5"/>
        <v>2865.7352683719232</v>
      </c>
      <c r="AD12" s="2">
        <f t="shared" ca="1" si="5"/>
        <v>2735.9344585198492</v>
      </c>
      <c r="AE12" s="2">
        <f t="shared" ca="1" si="5"/>
        <v>2171.7066629178753</v>
      </c>
      <c r="AF12" s="2">
        <f t="shared" ca="1" si="5"/>
        <v>2879.9972649898423</v>
      </c>
      <c r="AG12" s="2">
        <f t="shared" ca="1" si="5"/>
        <v>2284.5178877314661</v>
      </c>
      <c r="AH12" s="2">
        <f t="shared" ca="1" si="5"/>
        <v>2735.0412485981942</v>
      </c>
    </row>
    <row r="13" spans="1:34">
      <c r="A13" t="str">
        <f>sets!$H$3</f>
        <v>Teff</v>
      </c>
      <c r="B13" t="str">
        <v>Tigray</v>
      </c>
      <c r="C13" s="2">
        <f t="shared" ca="1" si="3"/>
        <v>2119.3214564481368</v>
      </c>
      <c r="D13" s="2">
        <f t="shared" ca="1" si="3"/>
        <v>2790.9698116596714</v>
      </c>
      <c r="E13" s="2">
        <f t="shared" ca="1" si="3"/>
        <v>2823.198149273524</v>
      </c>
      <c r="F13" s="2">
        <f t="shared" ca="1" si="3"/>
        <v>2857.6798675963255</v>
      </c>
      <c r="G13" s="2">
        <f t="shared" ca="1" si="3"/>
        <v>2213.0353875012997</v>
      </c>
      <c r="H13" s="2">
        <f t="shared" ca="1" si="3"/>
        <v>2813.3819014566525</v>
      </c>
      <c r="I13" s="2">
        <f t="shared" ca="1" si="3"/>
        <v>2326.8713107537769</v>
      </c>
      <c r="J13" s="2">
        <f t="shared" ca="1" si="3"/>
        <v>2219.1850141801192</v>
      </c>
      <c r="K13" s="2">
        <f t="shared" ca="1" si="3"/>
        <v>2954.9118617841932</v>
      </c>
      <c r="L13" s="2">
        <f t="shared" ca="1" si="3"/>
        <v>2508.7614222627426</v>
      </c>
      <c r="M13" s="2">
        <f t="shared" ca="1" si="3"/>
        <v>2401.6318347256606</v>
      </c>
      <c r="N13" s="2">
        <f t="shared" ca="1" si="3"/>
        <v>2829.894918069594</v>
      </c>
      <c r="O13" s="2">
        <f t="shared" ca="1" si="3"/>
        <v>2520.3051616663438</v>
      </c>
      <c r="P13" s="2">
        <f t="shared" ca="1" si="3"/>
        <v>2677.7699395995605</v>
      </c>
      <c r="Q13" s="2">
        <f t="shared" ca="1" si="3"/>
        <v>2544.7457117633171</v>
      </c>
      <c r="R13" s="2">
        <f t="shared" ca="1" si="3"/>
        <v>2903.0187181117608</v>
      </c>
      <c r="S13" s="2">
        <f t="shared" ca="1" si="4"/>
        <v>2649.4948627869708</v>
      </c>
      <c r="T13" s="2">
        <f t="shared" ca="1" si="4"/>
        <v>2247.8416765402749</v>
      </c>
      <c r="U13" s="2">
        <f t="shared" ca="1" si="4"/>
        <v>2057.5240041051939</v>
      </c>
      <c r="V13" s="2">
        <f t="shared" ca="1" si="4"/>
        <v>2095.1755260491163</v>
      </c>
      <c r="W13" s="2">
        <f t="shared" ca="1" si="4"/>
        <v>2334.4826490508171</v>
      </c>
      <c r="X13" s="2">
        <f t="shared" ca="1" si="4"/>
        <v>2121.2467203741949</v>
      </c>
      <c r="Y13" s="2">
        <f t="shared" ca="1" si="4"/>
        <v>2753.8008202950191</v>
      </c>
      <c r="Z13" s="2">
        <f t="shared" ca="1" si="4"/>
        <v>2717.5955537240379</v>
      </c>
      <c r="AA13" s="2">
        <f t="shared" ca="1" si="5"/>
        <v>2313.3887933739879</v>
      </c>
      <c r="AB13" s="2">
        <f t="shared" ca="1" si="5"/>
        <v>2110.9829437733151</v>
      </c>
      <c r="AC13" s="2">
        <f t="shared" ca="1" si="5"/>
        <v>2526.1698453417098</v>
      </c>
      <c r="AD13" s="2">
        <f t="shared" ca="1" si="5"/>
        <v>2794.287221912276</v>
      </c>
      <c r="AE13" s="2">
        <f t="shared" ca="1" si="5"/>
        <v>2052.1659751069851</v>
      </c>
      <c r="AF13" s="2">
        <f t="shared" ca="1" si="5"/>
        <v>2995.9607442271908</v>
      </c>
      <c r="AG13" s="2">
        <f t="shared" ca="1" si="5"/>
        <v>2837.2654185633082</v>
      </c>
      <c r="AH13" s="2">
        <f t="shared" ca="1" si="5"/>
        <v>2426.6656578972561</v>
      </c>
    </row>
    <row r="14" spans="1:34">
      <c r="A14" t="str">
        <f t="shared" ref="A14:A68" si="6">INDEX(Food,MATCH(A3,Food,0)+1)</f>
        <v>Sorghum</v>
      </c>
      <c r="B14" t="str">
        <f>B3</f>
        <v>AddisAbaba</v>
      </c>
      <c r="C14" s="2">
        <f t="shared" ca="1" si="3"/>
        <v>2498.2903615019827</v>
      </c>
      <c r="D14" s="2">
        <f t="shared" ca="1" si="3"/>
        <v>2376.3584459272761</v>
      </c>
      <c r="E14" s="2">
        <f t="shared" ca="1" si="3"/>
        <v>2352.7978508343681</v>
      </c>
      <c r="F14" s="2">
        <f t="shared" ca="1" si="3"/>
        <v>2579.4797638265472</v>
      </c>
      <c r="G14" s="2">
        <f t="shared" ca="1" si="3"/>
        <v>2338.0158200944561</v>
      </c>
      <c r="H14" s="2">
        <f t="shared" ca="1" si="3"/>
        <v>2171.6349467496266</v>
      </c>
      <c r="I14" s="2">
        <f t="shared" ca="1" si="3"/>
        <v>2868.4004047105723</v>
      </c>
      <c r="J14" s="2">
        <f t="shared" ca="1" si="3"/>
        <v>2102.8313920925434</v>
      </c>
      <c r="K14" s="2">
        <f t="shared" ca="1" si="3"/>
        <v>2714.0285252272374</v>
      </c>
      <c r="L14" s="2">
        <f t="shared" ca="1" si="3"/>
        <v>2053.0852972188677</v>
      </c>
      <c r="M14" s="2">
        <f t="shared" ca="1" si="3"/>
        <v>2994.8472227350326</v>
      </c>
      <c r="N14" s="2">
        <f t="shared" ca="1" si="3"/>
        <v>2221.3930507397831</v>
      </c>
      <c r="O14" s="2">
        <f t="shared" ca="1" si="3"/>
        <v>2181.3986506089336</v>
      </c>
      <c r="P14" s="2">
        <f t="shared" ca="1" si="3"/>
        <v>2934.5555135047184</v>
      </c>
      <c r="Q14" s="2">
        <f t="shared" ca="1" si="3"/>
        <v>2175.3837940207422</v>
      </c>
      <c r="R14" s="2">
        <f t="shared" ca="1" si="3"/>
        <v>2919.8153779411291</v>
      </c>
      <c r="S14" s="2">
        <f t="shared" ca="1" si="4"/>
        <v>2175.9313946092284</v>
      </c>
      <c r="T14" s="2">
        <f t="shared" ca="1" si="4"/>
        <v>2305.9348686400144</v>
      </c>
      <c r="U14" s="2">
        <f t="shared" ca="1" si="4"/>
        <v>2827.6263748000856</v>
      </c>
      <c r="V14" s="2">
        <f t="shared" ca="1" si="4"/>
        <v>2509.683468077159</v>
      </c>
      <c r="W14" s="2">
        <f t="shared" ca="1" si="4"/>
        <v>2059.4926754674721</v>
      </c>
      <c r="X14" s="2">
        <f t="shared" ca="1" si="4"/>
        <v>2476.762937678815</v>
      </c>
      <c r="Y14" s="2">
        <f t="shared" ca="1" si="4"/>
        <v>2360.8390276696696</v>
      </c>
      <c r="Z14" s="2">
        <f t="shared" ca="1" si="4"/>
        <v>2584.8418651764814</v>
      </c>
      <c r="AA14" s="2">
        <f t="shared" ca="1" si="5"/>
        <v>2841.5776739829107</v>
      </c>
      <c r="AB14" s="2">
        <f t="shared" ca="1" si="5"/>
        <v>2116.0736584868546</v>
      </c>
      <c r="AC14" s="2">
        <f t="shared" ca="1" si="5"/>
        <v>2711.327752221734</v>
      </c>
      <c r="AD14" s="2">
        <f t="shared" ca="1" si="5"/>
        <v>2298.9182792286806</v>
      </c>
      <c r="AE14" s="2">
        <f t="shared" ca="1" si="5"/>
        <v>2639.3206708729213</v>
      </c>
      <c r="AF14" s="2">
        <f t="shared" ca="1" si="5"/>
        <v>2169.0094986589947</v>
      </c>
      <c r="AG14" s="2">
        <f t="shared" ca="1" si="5"/>
        <v>2111.7777014698395</v>
      </c>
      <c r="AH14" s="2">
        <f t="shared" ca="1" si="5"/>
        <v>2105.0898898626365</v>
      </c>
    </row>
    <row r="15" spans="1:34">
      <c r="A15" t="str">
        <f t="shared" si="6"/>
        <v>Sorghum</v>
      </c>
      <c r="B15" t="str">
        <f t="shared" ref="B15:B68" si="7">B4</f>
        <v>Afar</v>
      </c>
      <c r="C15" s="2">
        <f t="shared" ca="1" si="3"/>
        <v>2916.5764225246853</v>
      </c>
      <c r="D15" s="2">
        <f t="shared" ca="1" si="3"/>
        <v>2802.6457766551171</v>
      </c>
      <c r="E15" s="2">
        <f t="shared" ca="1" si="3"/>
        <v>2216.057928816344</v>
      </c>
      <c r="F15" s="2">
        <f t="shared" ca="1" si="3"/>
        <v>2997.3545631579782</v>
      </c>
      <c r="G15" s="2">
        <f t="shared" ca="1" si="3"/>
        <v>2125.5692842871899</v>
      </c>
      <c r="H15" s="2">
        <f t="shared" ca="1" si="3"/>
        <v>2749.9384035766375</v>
      </c>
      <c r="I15" s="2">
        <f t="shared" ca="1" si="3"/>
        <v>2299.9831785620222</v>
      </c>
      <c r="J15" s="2">
        <f t="shared" ca="1" si="3"/>
        <v>2700.756470492875</v>
      </c>
      <c r="K15" s="2">
        <f t="shared" ca="1" si="3"/>
        <v>2674.6749559229052</v>
      </c>
      <c r="L15" s="2">
        <f t="shared" ca="1" si="3"/>
        <v>2361.6042372307734</v>
      </c>
      <c r="M15" s="2">
        <f t="shared" ca="1" si="3"/>
        <v>2479.9875709671787</v>
      </c>
      <c r="N15" s="2">
        <f t="shared" ca="1" si="3"/>
        <v>2095.7702893688142</v>
      </c>
      <c r="O15" s="2">
        <f t="shared" ca="1" si="3"/>
        <v>2084.3390200253361</v>
      </c>
      <c r="P15" s="2">
        <f t="shared" ca="1" si="3"/>
        <v>2380.4737597052258</v>
      </c>
      <c r="Q15" s="2">
        <f t="shared" ca="1" si="3"/>
        <v>2456.3188579622251</v>
      </c>
      <c r="R15" s="2">
        <f t="shared" ca="1" si="3"/>
        <v>2075.3583388593165</v>
      </c>
      <c r="S15" s="2">
        <f t="shared" ca="1" si="4"/>
        <v>2121.1174797282961</v>
      </c>
      <c r="T15" s="2">
        <f t="shared" ca="1" si="4"/>
        <v>2814.9292099037975</v>
      </c>
      <c r="U15" s="2">
        <f t="shared" ca="1" si="4"/>
        <v>2578.8935260228682</v>
      </c>
      <c r="V15" s="2">
        <f t="shared" ca="1" si="4"/>
        <v>2153.6620414297263</v>
      </c>
      <c r="W15" s="2">
        <f t="shared" ca="1" si="4"/>
        <v>2003.2715447119106</v>
      </c>
      <c r="X15" s="2">
        <f t="shared" ca="1" si="4"/>
        <v>2240.6048393793435</v>
      </c>
      <c r="Y15" s="2">
        <f t="shared" ca="1" si="4"/>
        <v>2119.30402840241</v>
      </c>
      <c r="Z15" s="2">
        <f t="shared" ca="1" si="4"/>
        <v>2815.0770575159413</v>
      </c>
      <c r="AA15" s="2">
        <f t="shared" ca="1" si="5"/>
        <v>2325.5595840641108</v>
      </c>
      <c r="AB15" s="2">
        <f t="shared" ca="1" si="5"/>
        <v>2283.5533819914876</v>
      </c>
      <c r="AC15" s="2">
        <f t="shared" ca="1" si="5"/>
        <v>2855.7348145305873</v>
      </c>
      <c r="AD15" s="2">
        <f t="shared" ca="1" si="5"/>
        <v>2999.949829083575</v>
      </c>
      <c r="AE15" s="2">
        <f t="shared" ca="1" si="5"/>
        <v>2890.9630682790821</v>
      </c>
      <c r="AF15" s="2">
        <f t="shared" ca="1" si="5"/>
        <v>2065.1671508180989</v>
      </c>
      <c r="AG15" s="2">
        <f t="shared" ca="1" si="5"/>
        <v>2188.936485810159</v>
      </c>
      <c r="AH15" s="2">
        <f t="shared" ca="1" si="5"/>
        <v>2923.8488305107671</v>
      </c>
    </row>
    <row r="16" spans="1:34">
      <c r="A16" t="str">
        <f t="shared" si="6"/>
        <v>Sorghum</v>
      </c>
      <c r="B16" t="str">
        <f t="shared" si="7"/>
        <v>Amhara</v>
      </c>
      <c r="C16" s="2">
        <f t="shared" ca="1" si="3"/>
        <v>2548.1634433963854</v>
      </c>
      <c r="D16" s="2">
        <f t="shared" ca="1" si="3"/>
        <v>2237.3198664366141</v>
      </c>
      <c r="E16" s="2">
        <f t="shared" ca="1" si="3"/>
        <v>2998.8144166797679</v>
      </c>
      <c r="F16" s="2">
        <f t="shared" ca="1" si="3"/>
        <v>2118.9106190038965</v>
      </c>
      <c r="G16" s="2">
        <f t="shared" ca="1" si="3"/>
        <v>2745.1110996254797</v>
      </c>
      <c r="H16" s="2">
        <f t="shared" ca="1" si="3"/>
        <v>2383.7234139572352</v>
      </c>
      <c r="I16" s="2">
        <f t="shared" ca="1" si="3"/>
        <v>2200.9816677446529</v>
      </c>
      <c r="J16" s="2">
        <f t="shared" ca="1" si="3"/>
        <v>2019.9744512244538</v>
      </c>
      <c r="K16" s="2">
        <f t="shared" ca="1" si="3"/>
        <v>2514.8305389768561</v>
      </c>
      <c r="L16" s="2">
        <f t="shared" ca="1" si="3"/>
        <v>2683.1374998899055</v>
      </c>
      <c r="M16" s="2">
        <f t="shared" ca="1" si="3"/>
        <v>2130.6520475953139</v>
      </c>
      <c r="N16" s="2">
        <f t="shared" ca="1" si="3"/>
        <v>2485.2637322956825</v>
      </c>
      <c r="O16" s="2">
        <f t="shared" ca="1" si="3"/>
        <v>2161.3596248604053</v>
      </c>
      <c r="P16" s="2">
        <f t="shared" ca="1" si="3"/>
        <v>2184.5525797813093</v>
      </c>
      <c r="Q16" s="2">
        <f t="shared" ca="1" si="3"/>
        <v>2409.5401770286617</v>
      </c>
      <c r="R16" s="2">
        <f t="shared" ca="1" si="3"/>
        <v>2999.9122852473824</v>
      </c>
      <c r="S16" s="2">
        <f t="shared" ca="1" si="4"/>
        <v>2419.0184315810038</v>
      </c>
      <c r="T16" s="2">
        <f t="shared" ca="1" si="4"/>
        <v>2763.3653987369235</v>
      </c>
      <c r="U16" s="2">
        <f t="shared" ca="1" si="4"/>
        <v>2401.9042490924771</v>
      </c>
      <c r="V16" s="2">
        <f t="shared" ca="1" si="4"/>
        <v>2760.999114176067</v>
      </c>
      <c r="W16" s="2">
        <f t="shared" ca="1" si="4"/>
        <v>2464.4384177361717</v>
      </c>
      <c r="X16" s="2">
        <f t="shared" ca="1" si="4"/>
        <v>2715.884311823907</v>
      </c>
      <c r="Y16" s="2">
        <f t="shared" ca="1" si="4"/>
        <v>2800.5858794729184</v>
      </c>
      <c r="Z16" s="2">
        <f t="shared" ca="1" si="4"/>
        <v>2472.4412814591292</v>
      </c>
      <c r="AA16" s="2">
        <f t="shared" ca="1" si="5"/>
        <v>2316.0583245363027</v>
      </c>
      <c r="AB16" s="2">
        <f t="shared" ca="1" si="5"/>
        <v>2037.893940015266</v>
      </c>
      <c r="AC16" s="2">
        <f t="shared" ca="1" si="5"/>
        <v>2311.7428650355573</v>
      </c>
      <c r="AD16" s="2">
        <f t="shared" ca="1" si="5"/>
        <v>2205.2471549205384</v>
      </c>
      <c r="AE16" s="2">
        <f t="shared" ca="1" si="5"/>
        <v>2377.4225041032141</v>
      </c>
      <c r="AF16" s="2">
        <f t="shared" ca="1" si="5"/>
        <v>2892.7049117236561</v>
      </c>
      <c r="AG16" s="2">
        <f t="shared" ca="1" si="5"/>
        <v>2658.7030603596645</v>
      </c>
      <c r="AH16" s="2">
        <f t="shared" ca="1" si="5"/>
        <v>2171.6636257833047</v>
      </c>
    </row>
    <row r="17" spans="1:34">
      <c r="A17" t="str">
        <f t="shared" si="6"/>
        <v>Sorghum</v>
      </c>
      <c r="B17" t="str">
        <f t="shared" si="7"/>
        <v>Gumuz</v>
      </c>
      <c r="C17" s="2">
        <f t="shared" ca="1" si="3"/>
        <v>2847.7719554425848</v>
      </c>
      <c r="D17" s="2">
        <f t="shared" ca="1" si="3"/>
        <v>2074.0265223858178</v>
      </c>
      <c r="E17" s="2">
        <f t="shared" ca="1" si="3"/>
        <v>2185.7108896753439</v>
      </c>
      <c r="F17" s="2">
        <f t="shared" ca="1" si="3"/>
        <v>2609.9478277784133</v>
      </c>
      <c r="G17" s="2">
        <f t="shared" ca="1" si="3"/>
        <v>2613.6522989767946</v>
      </c>
      <c r="H17" s="2">
        <f t="shared" ca="1" si="3"/>
        <v>2484.779032660158</v>
      </c>
      <c r="I17" s="2">
        <f t="shared" ca="1" si="3"/>
        <v>2312.7170496214644</v>
      </c>
      <c r="J17" s="2">
        <f t="shared" ca="1" si="3"/>
        <v>2480.4060540801379</v>
      </c>
      <c r="K17" s="2">
        <f t="shared" ca="1" si="3"/>
        <v>2276.7400760232031</v>
      </c>
      <c r="L17" s="2">
        <f t="shared" ca="1" si="3"/>
        <v>2486.4273248893387</v>
      </c>
      <c r="M17" s="2">
        <f t="shared" ca="1" si="3"/>
        <v>2718.8044063187695</v>
      </c>
      <c r="N17" s="2">
        <f t="shared" ca="1" si="3"/>
        <v>2745.2342907645102</v>
      </c>
      <c r="O17" s="2">
        <f t="shared" ca="1" si="3"/>
        <v>2946.6780315085266</v>
      </c>
      <c r="P17" s="2">
        <f t="shared" ca="1" si="3"/>
        <v>2267.8100602582981</v>
      </c>
      <c r="Q17" s="2">
        <f t="shared" ca="1" si="3"/>
        <v>2044.4823586768618</v>
      </c>
      <c r="R17" s="2">
        <f t="shared" ca="1" si="3"/>
        <v>2591.1263552310033</v>
      </c>
      <c r="S17" s="2">
        <f t="shared" ca="1" si="4"/>
        <v>2720.0173257047536</v>
      </c>
      <c r="T17" s="2">
        <f t="shared" ca="1" si="4"/>
        <v>2561.6715106107695</v>
      </c>
      <c r="U17" s="2">
        <f t="shared" ca="1" si="4"/>
        <v>2068.3006694073865</v>
      </c>
      <c r="V17" s="2">
        <f t="shared" ca="1" si="4"/>
        <v>2714.4000686783811</v>
      </c>
      <c r="W17" s="2">
        <f t="shared" ca="1" si="4"/>
        <v>2322.1474480445136</v>
      </c>
      <c r="X17" s="2">
        <f t="shared" ca="1" si="4"/>
        <v>2260.1159752651938</v>
      </c>
      <c r="Y17" s="2">
        <f t="shared" ca="1" si="4"/>
        <v>2652.4746335053678</v>
      </c>
      <c r="Z17" s="2">
        <f t="shared" ca="1" si="4"/>
        <v>2346.1980389071828</v>
      </c>
      <c r="AA17" s="2">
        <f t="shared" ca="1" si="5"/>
        <v>2745.3287843061557</v>
      </c>
      <c r="AB17" s="2">
        <f t="shared" ca="1" si="5"/>
        <v>2130.4461922674614</v>
      </c>
      <c r="AC17" s="2">
        <f t="shared" ca="1" si="5"/>
        <v>2939.7356303093084</v>
      </c>
      <c r="AD17" s="2">
        <f t="shared" ca="1" si="5"/>
        <v>2013.8724350562725</v>
      </c>
      <c r="AE17" s="2">
        <f t="shared" ca="1" si="5"/>
        <v>2064.9551781290556</v>
      </c>
      <c r="AF17" s="2">
        <f t="shared" ca="1" si="5"/>
        <v>2903.8927728439903</v>
      </c>
      <c r="AG17" s="2">
        <f t="shared" ca="1" si="5"/>
        <v>2618.0113870570667</v>
      </c>
      <c r="AH17" s="2">
        <f t="shared" ca="1" si="5"/>
        <v>2029.185293528855</v>
      </c>
    </row>
    <row r="18" spans="1:34">
      <c r="A18" t="str">
        <f t="shared" si="6"/>
        <v>Sorghum</v>
      </c>
      <c r="B18" t="str">
        <f t="shared" si="7"/>
        <v>DireDawa</v>
      </c>
      <c r="C18" s="2">
        <f t="shared" ca="1" si="3"/>
        <v>2703.4318292232465</v>
      </c>
      <c r="D18" s="2">
        <f t="shared" ca="1" si="3"/>
        <v>2026.4005956433211</v>
      </c>
      <c r="E18" s="2">
        <f t="shared" ca="1" si="3"/>
        <v>2927.5217842698908</v>
      </c>
      <c r="F18" s="2">
        <f t="shared" ca="1" si="3"/>
        <v>2969.3319753758665</v>
      </c>
      <c r="G18" s="2">
        <f t="shared" ca="1" si="3"/>
        <v>2410.1387272653446</v>
      </c>
      <c r="H18" s="2">
        <f t="shared" ca="1" si="3"/>
        <v>2034.2899155419304</v>
      </c>
      <c r="I18" s="2">
        <f t="shared" ca="1" si="3"/>
        <v>2342.5098042143122</v>
      </c>
      <c r="J18" s="2">
        <f t="shared" ca="1" si="3"/>
        <v>2347.6555430913695</v>
      </c>
      <c r="K18" s="2">
        <f t="shared" ca="1" si="3"/>
        <v>2696.2391809121464</v>
      </c>
      <c r="L18" s="2">
        <f t="shared" ca="1" si="3"/>
        <v>2109.1182780556105</v>
      </c>
      <c r="M18" s="2">
        <f t="shared" ca="1" si="3"/>
        <v>2421.3814121468495</v>
      </c>
      <c r="N18" s="2">
        <f t="shared" ca="1" si="3"/>
        <v>2598.3919345896211</v>
      </c>
      <c r="O18" s="2">
        <f t="shared" ca="1" si="3"/>
        <v>2827.3172618792287</v>
      </c>
      <c r="P18" s="2">
        <f t="shared" ca="1" si="3"/>
        <v>2726.6825441931387</v>
      </c>
      <c r="Q18" s="2">
        <f t="shared" ca="1" si="3"/>
        <v>2588.6746415519788</v>
      </c>
      <c r="R18" s="2">
        <f t="shared" ca="1" si="3"/>
        <v>2099.9811018967416</v>
      </c>
      <c r="S18" s="2">
        <f t="shared" ca="1" si="4"/>
        <v>2991.3062756752852</v>
      </c>
      <c r="T18" s="2">
        <f t="shared" ca="1" si="4"/>
        <v>2060.4267650050638</v>
      </c>
      <c r="U18" s="2">
        <f t="shared" ca="1" si="4"/>
        <v>2237.6751563929997</v>
      </c>
      <c r="V18" s="2">
        <f t="shared" ca="1" si="4"/>
        <v>2426.3675590711105</v>
      </c>
      <c r="W18" s="2">
        <f t="shared" ca="1" si="4"/>
        <v>2033.202793297748</v>
      </c>
      <c r="X18" s="2">
        <f t="shared" ca="1" si="4"/>
        <v>2966.8459922113457</v>
      </c>
      <c r="Y18" s="2">
        <f t="shared" ca="1" si="4"/>
        <v>2116.6239163265013</v>
      </c>
      <c r="Z18" s="2">
        <f t="shared" ca="1" si="4"/>
        <v>2574.7172532347181</v>
      </c>
      <c r="AA18" s="2">
        <f t="shared" ca="1" si="5"/>
        <v>2012.713329242092</v>
      </c>
      <c r="AB18" s="2">
        <f t="shared" ca="1" si="5"/>
        <v>2020.6180290885061</v>
      </c>
      <c r="AC18" s="2">
        <f t="shared" ca="1" si="5"/>
        <v>2266.0266095356196</v>
      </c>
      <c r="AD18" s="2">
        <f t="shared" ca="1" si="5"/>
        <v>2354.8560752516346</v>
      </c>
      <c r="AE18" s="2">
        <f t="shared" ca="1" si="5"/>
        <v>2138.3842166662594</v>
      </c>
      <c r="AF18" s="2">
        <f t="shared" ca="1" si="5"/>
        <v>2924.4131773355284</v>
      </c>
      <c r="AG18" s="2">
        <f t="shared" ca="1" si="5"/>
        <v>2220.666491649511</v>
      </c>
      <c r="AH18" s="2">
        <f t="shared" ca="1" si="5"/>
        <v>2315.827683812528</v>
      </c>
    </row>
    <row r="19" spans="1:34">
      <c r="A19" t="str">
        <f t="shared" si="6"/>
        <v>Sorghum</v>
      </c>
      <c r="B19" t="str">
        <f t="shared" si="7"/>
        <v>Gambela</v>
      </c>
      <c r="C19" s="2">
        <f t="shared" ca="1" si="3"/>
        <v>2854.2467635830467</v>
      </c>
      <c r="D19" s="2">
        <f t="shared" ca="1" si="3"/>
        <v>2705.0415961311237</v>
      </c>
      <c r="E19" s="2">
        <f t="shared" ca="1" si="3"/>
        <v>2300.9398481252078</v>
      </c>
      <c r="F19" s="2">
        <f t="shared" ca="1" si="3"/>
        <v>2410.0350396736189</v>
      </c>
      <c r="G19" s="2">
        <f t="shared" ca="1" si="3"/>
        <v>2807.3492854505275</v>
      </c>
      <c r="H19" s="2">
        <f t="shared" ca="1" si="3"/>
        <v>2230.2270701641696</v>
      </c>
      <c r="I19" s="2">
        <f t="shared" ca="1" si="3"/>
        <v>2477.3007668104083</v>
      </c>
      <c r="J19" s="2">
        <f t="shared" ca="1" si="3"/>
        <v>2254.1175806851852</v>
      </c>
      <c r="K19" s="2">
        <f t="shared" ca="1" si="3"/>
        <v>2468.127545508954</v>
      </c>
      <c r="L19" s="2">
        <f t="shared" ca="1" si="3"/>
        <v>2653.9872513681344</v>
      </c>
      <c r="M19" s="2">
        <f t="shared" ca="1" si="3"/>
        <v>2182.8214120591028</v>
      </c>
      <c r="N19" s="2">
        <f t="shared" ca="1" si="3"/>
        <v>2758.9595567508518</v>
      </c>
      <c r="O19" s="2">
        <f t="shared" ca="1" si="3"/>
        <v>2331.9886458206806</v>
      </c>
      <c r="P19" s="2">
        <f t="shared" ca="1" si="3"/>
        <v>2811.7818280700139</v>
      </c>
      <c r="Q19" s="2">
        <f t="shared" ca="1" si="3"/>
        <v>2079.5217357406568</v>
      </c>
      <c r="R19" s="2">
        <f t="shared" ca="1" si="3"/>
        <v>2475.148404153701</v>
      </c>
      <c r="S19" s="2">
        <f t="shared" ca="1" si="4"/>
        <v>2913.6633776804638</v>
      </c>
      <c r="T19" s="2">
        <f t="shared" ca="1" si="4"/>
        <v>2324.963742718819</v>
      </c>
      <c r="U19" s="2">
        <f t="shared" ca="1" si="4"/>
        <v>2495.178873751895</v>
      </c>
      <c r="V19" s="2">
        <f t="shared" ca="1" si="4"/>
        <v>2747.4823257769467</v>
      </c>
      <c r="W19" s="2">
        <f t="shared" ca="1" si="4"/>
        <v>2669.1370916502751</v>
      </c>
      <c r="X19" s="2">
        <f t="shared" ca="1" si="4"/>
        <v>2048.2492169454804</v>
      </c>
      <c r="Y19" s="2">
        <f t="shared" ca="1" si="4"/>
        <v>2394.4877204341219</v>
      </c>
      <c r="Z19" s="2">
        <f t="shared" ca="1" si="4"/>
        <v>2930.2632557656107</v>
      </c>
      <c r="AA19" s="2">
        <f t="shared" ca="1" si="5"/>
        <v>2548.617921872622</v>
      </c>
      <c r="AB19" s="2">
        <f t="shared" ca="1" si="5"/>
        <v>2647.7907978010089</v>
      </c>
      <c r="AC19" s="2">
        <f t="shared" ca="1" si="5"/>
        <v>2532.2945898707994</v>
      </c>
      <c r="AD19" s="2">
        <f t="shared" ca="1" si="5"/>
        <v>2794.585851076597</v>
      </c>
      <c r="AE19" s="2">
        <f t="shared" ca="1" si="5"/>
        <v>2288.3148085268417</v>
      </c>
      <c r="AF19" s="2">
        <f t="shared" ca="1" si="5"/>
        <v>2311.7177399432958</v>
      </c>
      <c r="AG19" s="2">
        <f t="shared" ca="1" si="5"/>
        <v>2877.6708223697292</v>
      </c>
      <c r="AH19" s="2">
        <f t="shared" ca="1" si="5"/>
        <v>2333.2407091150476</v>
      </c>
    </row>
    <row r="20" spans="1:34">
      <c r="A20" t="str">
        <f t="shared" si="6"/>
        <v>Sorghum</v>
      </c>
      <c r="B20" t="str">
        <f t="shared" si="7"/>
        <v>Harari</v>
      </c>
      <c r="C20" s="2">
        <f t="shared" ca="1" si="3"/>
        <v>2756.5325313468056</v>
      </c>
      <c r="D20" s="2">
        <f t="shared" ca="1" si="3"/>
        <v>2222.4077026069035</v>
      </c>
      <c r="E20" s="2">
        <f t="shared" ca="1" si="3"/>
        <v>2296.2022106786976</v>
      </c>
      <c r="F20" s="2">
        <f t="shared" ca="1" si="3"/>
        <v>2407.4877623812285</v>
      </c>
      <c r="G20" s="2">
        <f t="shared" ca="1" si="3"/>
        <v>2451.8820154239065</v>
      </c>
      <c r="H20" s="2">
        <f t="shared" ca="1" si="3"/>
        <v>2714.9369117848873</v>
      </c>
      <c r="I20" s="2">
        <f t="shared" ca="1" si="3"/>
        <v>2085.1182333561592</v>
      </c>
      <c r="J20" s="2">
        <f t="shared" ca="1" si="3"/>
        <v>2820.6208441445347</v>
      </c>
      <c r="K20" s="2">
        <f t="shared" ca="1" si="3"/>
        <v>2731.3767276018361</v>
      </c>
      <c r="L20" s="2">
        <f t="shared" ca="1" si="3"/>
        <v>2590.294791432847</v>
      </c>
      <c r="M20" s="2">
        <f t="shared" ca="1" si="3"/>
        <v>2437.383352875509</v>
      </c>
      <c r="N20" s="2">
        <f t="shared" ca="1" si="3"/>
        <v>2738.02100259185</v>
      </c>
      <c r="O20" s="2">
        <f t="shared" ca="1" si="3"/>
        <v>2572.2398843646106</v>
      </c>
      <c r="P20" s="2">
        <f t="shared" ca="1" si="3"/>
        <v>2175.5140841752059</v>
      </c>
      <c r="Q20" s="2">
        <f t="shared" ca="1" si="3"/>
        <v>2772.8432208848853</v>
      </c>
      <c r="R20" s="2">
        <f t="shared" ca="1" si="3"/>
        <v>2934.4166703001042</v>
      </c>
      <c r="S20" s="2">
        <f t="shared" ca="1" si="4"/>
        <v>2190.7290068113443</v>
      </c>
      <c r="T20" s="2">
        <f t="shared" ca="1" si="4"/>
        <v>2054.1561399203965</v>
      </c>
      <c r="U20" s="2">
        <f t="shared" ca="1" si="4"/>
        <v>2264.1806617701704</v>
      </c>
      <c r="V20" s="2">
        <f t="shared" ca="1" si="4"/>
        <v>2051.4180085322887</v>
      </c>
      <c r="W20" s="2">
        <f t="shared" ca="1" si="4"/>
        <v>2516.0608687128401</v>
      </c>
      <c r="X20" s="2">
        <f t="shared" ca="1" si="4"/>
        <v>2906.9954276015837</v>
      </c>
      <c r="Y20" s="2">
        <f t="shared" ca="1" si="4"/>
        <v>2107.6175134031187</v>
      </c>
      <c r="Z20" s="2">
        <f t="shared" ca="1" si="4"/>
        <v>2301.8868531595126</v>
      </c>
      <c r="AA20" s="2">
        <f t="shared" ca="1" si="5"/>
        <v>2383.3600043567517</v>
      </c>
      <c r="AB20" s="2">
        <f t="shared" ca="1" si="5"/>
        <v>2014.805386272466</v>
      </c>
      <c r="AC20" s="2">
        <f t="shared" ca="1" si="5"/>
        <v>2904.0384649654902</v>
      </c>
      <c r="AD20" s="2">
        <f t="shared" ca="1" si="5"/>
        <v>2478.7698143682223</v>
      </c>
      <c r="AE20" s="2">
        <f t="shared" ca="1" si="5"/>
        <v>2321.4556601781915</v>
      </c>
      <c r="AF20" s="2">
        <f t="shared" ca="1" si="5"/>
        <v>2525.1245243418452</v>
      </c>
      <c r="AG20" s="2">
        <f t="shared" ca="1" si="5"/>
        <v>2267.3939490177886</v>
      </c>
      <c r="AH20" s="2">
        <f t="shared" ca="1" si="5"/>
        <v>2498.3795291570782</v>
      </c>
    </row>
    <row r="21" spans="1:34">
      <c r="A21" t="str">
        <f t="shared" si="6"/>
        <v>Sorghum</v>
      </c>
      <c r="B21" t="str">
        <f t="shared" si="7"/>
        <v>Oromia</v>
      </c>
      <c r="C21" s="2">
        <f t="shared" ca="1" si="3"/>
        <v>2472.9542499648919</v>
      </c>
      <c r="D21" s="2">
        <f t="shared" ca="1" si="3"/>
        <v>2686.4653162750892</v>
      </c>
      <c r="E21" s="2">
        <f t="shared" ca="1" si="3"/>
        <v>2193.8609936421835</v>
      </c>
      <c r="F21" s="2">
        <f t="shared" ca="1" si="3"/>
        <v>2299.1080350346415</v>
      </c>
      <c r="G21" s="2">
        <f t="shared" ca="1" si="3"/>
        <v>2824.3490348492492</v>
      </c>
      <c r="H21" s="2">
        <f t="shared" ca="1" si="3"/>
        <v>2732.0077766064314</v>
      </c>
      <c r="I21" s="2">
        <f t="shared" ca="1" si="3"/>
        <v>2012.099280652159</v>
      </c>
      <c r="J21" s="2">
        <f t="shared" ca="1" si="3"/>
        <v>2056.8759507219374</v>
      </c>
      <c r="K21" s="2">
        <f t="shared" ca="1" si="3"/>
        <v>2017.201512649915</v>
      </c>
      <c r="L21" s="2">
        <f t="shared" ca="1" si="3"/>
        <v>2386.7201760329704</v>
      </c>
      <c r="M21" s="2">
        <f t="shared" ca="1" si="3"/>
        <v>2692.5071401371611</v>
      </c>
      <c r="N21" s="2">
        <f t="shared" ca="1" si="3"/>
        <v>2589.2923194019522</v>
      </c>
      <c r="O21" s="2">
        <f t="shared" ca="1" si="3"/>
        <v>2630.4052741956116</v>
      </c>
      <c r="P21" s="2">
        <f t="shared" ca="1" si="3"/>
        <v>2659.9228928509474</v>
      </c>
      <c r="Q21" s="2">
        <f t="shared" ca="1" si="3"/>
        <v>2944.0660355003183</v>
      </c>
      <c r="R21" s="2">
        <f t="shared" ca="1" si="3"/>
        <v>2949.0606263264172</v>
      </c>
      <c r="S21" s="2">
        <f t="shared" ca="1" si="4"/>
        <v>2606.7573445767457</v>
      </c>
      <c r="T21" s="2">
        <f t="shared" ca="1" si="4"/>
        <v>2295.1626655094574</v>
      </c>
      <c r="U21" s="2">
        <f t="shared" ca="1" si="4"/>
        <v>2698.6765023830217</v>
      </c>
      <c r="V21" s="2">
        <f t="shared" ca="1" si="4"/>
        <v>2998.6780348102739</v>
      </c>
      <c r="W21" s="2">
        <f t="shared" ca="1" si="4"/>
        <v>2114.5383705493159</v>
      </c>
      <c r="X21" s="2">
        <f t="shared" ca="1" si="4"/>
        <v>2040.8780612131707</v>
      </c>
      <c r="Y21" s="2">
        <f t="shared" ca="1" si="4"/>
        <v>2138.9139532733338</v>
      </c>
      <c r="Z21" s="2">
        <f t="shared" ca="1" si="4"/>
        <v>2602.6552104127486</v>
      </c>
      <c r="AA21" s="2">
        <f t="shared" ca="1" si="5"/>
        <v>2279.3051646469316</v>
      </c>
      <c r="AB21" s="2">
        <f t="shared" ca="1" si="5"/>
        <v>2321.5513177589414</v>
      </c>
      <c r="AC21" s="2">
        <f t="shared" ca="1" si="5"/>
        <v>2815.664539172622</v>
      </c>
      <c r="AD21" s="2">
        <f t="shared" ca="1" si="5"/>
        <v>2685.1545020005942</v>
      </c>
      <c r="AE21" s="2">
        <f t="shared" ca="1" si="5"/>
        <v>2049.15581148713</v>
      </c>
      <c r="AF21" s="2">
        <f t="shared" ca="1" si="5"/>
        <v>2785.9052115306326</v>
      </c>
      <c r="AG21" s="2">
        <f t="shared" ca="1" si="5"/>
        <v>2742.7293763437992</v>
      </c>
      <c r="AH21" s="2">
        <f t="shared" ca="1" si="5"/>
        <v>2976.3071643424728</v>
      </c>
    </row>
    <row r="22" spans="1:34">
      <c r="A22" t="str">
        <f t="shared" si="6"/>
        <v>Sorghum</v>
      </c>
      <c r="B22" t="str">
        <f t="shared" si="7"/>
        <v>Somali</v>
      </c>
      <c r="C22" s="2">
        <f t="shared" ca="1" si="3"/>
        <v>2116.9102197754814</v>
      </c>
      <c r="D22" s="2">
        <f t="shared" ca="1" si="3"/>
        <v>2579.159011353619</v>
      </c>
      <c r="E22" s="2">
        <f t="shared" ca="1" si="3"/>
        <v>2377.8722971157995</v>
      </c>
      <c r="F22" s="2">
        <f t="shared" ca="1" si="3"/>
        <v>2298.3280323578256</v>
      </c>
      <c r="G22" s="2">
        <f t="shared" ca="1" si="3"/>
        <v>2752.228129753285</v>
      </c>
      <c r="H22" s="2">
        <f t="shared" ca="1" si="3"/>
        <v>2793.2316454859679</v>
      </c>
      <c r="I22" s="2">
        <f t="shared" ca="1" si="3"/>
        <v>2620.2716017182565</v>
      </c>
      <c r="J22" s="2">
        <f t="shared" ca="1" si="3"/>
        <v>2324.5799263554177</v>
      </c>
      <c r="K22" s="2">
        <f t="shared" ca="1" si="3"/>
        <v>2359.9740308675068</v>
      </c>
      <c r="L22" s="2">
        <f t="shared" ca="1" si="3"/>
        <v>2191.9402559048613</v>
      </c>
      <c r="M22" s="2">
        <f t="shared" ca="1" si="3"/>
        <v>2249.7080063792737</v>
      </c>
      <c r="N22" s="2">
        <f t="shared" ca="1" si="3"/>
        <v>2740.0460114038215</v>
      </c>
      <c r="O22" s="2">
        <f t="shared" ca="1" si="3"/>
        <v>2046.2600442622256</v>
      </c>
      <c r="P22" s="2">
        <f t="shared" ca="1" si="3"/>
        <v>2367.6437608719339</v>
      </c>
      <c r="Q22" s="2">
        <f t="shared" ca="1" si="3"/>
        <v>2421.4038716241203</v>
      </c>
      <c r="R22" s="2">
        <f t="shared" ca="1" si="3"/>
        <v>2521.9764009880814</v>
      </c>
      <c r="S22" s="2">
        <f t="shared" ca="1" si="4"/>
        <v>2422.9601525026847</v>
      </c>
      <c r="T22" s="2">
        <f t="shared" ca="1" si="4"/>
        <v>2858.0233185604934</v>
      </c>
      <c r="U22" s="2">
        <f t="shared" ca="1" si="4"/>
        <v>2360.7347370984126</v>
      </c>
      <c r="V22" s="2">
        <f t="shared" ca="1" si="4"/>
        <v>2929.6110445270028</v>
      </c>
      <c r="W22" s="2">
        <f t="shared" ca="1" si="4"/>
        <v>2666.9604830955009</v>
      </c>
      <c r="X22" s="2">
        <f t="shared" ca="1" si="4"/>
        <v>2562.1733047657863</v>
      </c>
      <c r="Y22" s="2">
        <f t="shared" ca="1" si="4"/>
        <v>2065.7937369243618</v>
      </c>
      <c r="Z22" s="2">
        <f t="shared" ca="1" si="4"/>
        <v>2448.7082654043702</v>
      </c>
      <c r="AA22" s="2">
        <f t="shared" ca="1" si="5"/>
        <v>2631.8007642997986</v>
      </c>
      <c r="AB22" s="2">
        <f t="shared" ca="1" si="5"/>
        <v>2334.174995122647</v>
      </c>
      <c r="AC22" s="2">
        <f t="shared" ca="1" si="5"/>
        <v>2991.1690568825029</v>
      </c>
      <c r="AD22" s="2">
        <f t="shared" ca="1" si="5"/>
        <v>2108.4849283536037</v>
      </c>
      <c r="AE22" s="2">
        <f t="shared" ca="1" si="5"/>
        <v>2012.9108630535079</v>
      </c>
      <c r="AF22" s="2">
        <f t="shared" ca="1" si="5"/>
        <v>2670.5819842409087</v>
      </c>
      <c r="AG22" s="2">
        <f t="shared" ca="1" si="5"/>
        <v>2950.7556261419713</v>
      </c>
      <c r="AH22" s="2">
        <f t="shared" ca="1" si="5"/>
        <v>2174.6740815352268</v>
      </c>
    </row>
    <row r="23" spans="1:34">
      <c r="A23" t="str">
        <f t="shared" si="6"/>
        <v>Sorghum</v>
      </c>
      <c r="B23" t="str">
        <f t="shared" si="7"/>
        <v>SNNPR</v>
      </c>
      <c r="C23" s="2">
        <f t="shared" ca="1" si="3"/>
        <v>2431.0329866810966</v>
      </c>
      <c r="D23" s="2">
        <f t="shared" ca="1" si="3"/>
        <v>2054.1112042696723</v>
      </c>
      <c r="E23" s="2">
        <f t="shared" ca="1" si="3"/>
        <v>2685.5338898009077</v>
      </c>
      <c r="F23" s="2">
        <f t="shared" ca="1" si="3"/>
        <v>2293.3716880131792</v>
      </c>
      <c r="G23" s="2">
        <f t="shared" ca="1" si="3"/>
        <v>2471.3587861635706</v>
      </c>
      <c r="H23" s="2">
        <f t="shared" ca="1" si="3"/>
        <v>2714.8200084504492</v>
      </c>
      <c r="I23" s="2">
        <f t="shared" ca="1" si="3"/>
        <v>2107.8141118874119</v>
      </c>
      <c r="J23" s="2">
        <f t="shared" ca="1" si="3"/>
        <v>2617.7943841323763</v>
      </c>
      <c r="K23" s="2">
        <f t="shared" ca="1" si="3"/>
        <v>2160.8306482787016</v>
      </c>
      <c r="L23" s="2">
        <f t="shared" ca="1" si="3"/>
        <v>2498.8136688686891</v>
      </c>
      <c r="M23" s="2">
        <f t="shared" ca="1" si="3"/>
        <v>2009.7251365924981</v>
      </c>
      <c r="N23" s="2">
        <f t="shared" ca="1" si="3"/>
        <v>2233.0649944330821</v>
      </c>
      <c r="O23" s="2">
        <f t="shared" ca="1" si="3"/>
        <v>2984.2943788508887</v>
      </c>
      <c r="P23" s="2">
        <f t="shared" ca="1" si="3"/>
        <v>2138.1789709194099</v>
      </c>
      <c r="Q23" s="2">
        <f t="shared" ca="1" si="3"/>
        <v>2286.0967194152099</v>
      </c>
      <c r="R23" s="2">
        <f t="shared" ca="1" si="3"/>
        <v>2859.1543861760256</v>
      </c>
      <c r="S23" s="2">
        <f t="shared" ca="1" si="4"/>
        <v>2148.6838176622773</v>
      </c>
      <c r="T23" s="2">
        <f t="shared" ca="1" si="4"/>
        <v>2133.9618547092132</v>
      </c>
      <c r="U23" s="2">
        <f t="shared" ca="1" si="4"/>
        <v>2232.4405175237666</v>
      </c>
      <c r="V23" s="2">
        <f t="shared" ca="1" si="4"/>
        <v>2244.1474887750151</v>
      </c>
      <c r="W23" s="2">
        <f t="shared" ca="1" si="4"/>
        <v>2268.219102897252</v>
      </c>
      <c r="X23" s="2">
        <f t="shared" ca="1" si="4"/>
        <v>2303.8687909935579</v>
      </c>
      <c r="Y23" s="2">
        <f t="shared" ca="1" si="4"/>
        <v>2021.2716739816772</v>
      </c>
      <c r="Z23" s="2">
        <f t="shared" ca="1" si="4"/>
        <v>2998.9400585283552</v>
      </c>
      <c r="AA23" s="2">
        <f t="shared" ca="1" si="5"/>
        <v>2239.7317895147371</v>
      </c>
      <c r="AB23" s="2">
        <f t="shared" ca="1" si="5"/>
        <v>2148.6436751411693</v>
      </c>
      <c r="AC23" s="2">
        <f t="shared" ca="1" si="5"/>
        <v>2259.6057991255084</v>
      </c>
      <c r="AD23" s="2">
        <f t="shared" ca="1" si="5"/>
        <v>2449.3751770761323</v>
      </c>
      <c r="AE23" s="2">
        <f t="shared" ca="1" si="5"/>
        <v>2200.8165109746906</v>
      </c>
      <c r="AF23" s="2">
        <f t="shared" ca="1" si="5"/>
        <v>2864.9167070436397</v>
      </c>
      <c r="AG23" s="2">
        <f t="shared" ca="1" si="5"/>
        <v>2012.24150376743</v>
      </c>
      <c r="AH23" s="2">
        <f t="shared" ca="1" si="5"/>
        <v>2919.9523537546288</v>
      </c>
    </row>
    <row r="24" spans="1:34">
      <c r="A24" t="str">
        <f t="shared" si="6"/>
        <v>Sorghum</v>
      </c>
      <c r="B24" t="str">
        <f t="shared" si="7"/>
        <v>Tigray</v>
      </c>
      <c r="C24" s="2">
        <f t="shared" ca="1" si="3"/>
        <v>2331.6407146559782</v>
      </c>
      <c r="D24" s="2">
        <f t="shared" ca="1" si="3"/>
        <v>2678.7231275043091</v>
      </c>
      <c r="E24" s="2">
        <f t="shared" ca="1" si="3"/>
        <v>2498.6253642498405</v>
      </c>
      <c r="F24" s="2">
        <f t="shared" ca="1" si="3"/>
        <v>2142.8440203163755</v>
      </c>
      <c r="G24" s="2">
        <f t="shared" ca="1" si="3"/>
        <v>2866.489530368402</v>
      </c>
      <c r="H24" s="2">
        <f t="shared" ca="1" si="3"/>
        <v>2549.1840932774835</v>
      </c>
      <c r="I24" s="2">
        <f t="shared" ca="1" si="3"/>
        <v>2522.0230388069672</v>
      </c>
      <c r="J24" s="2">
        <f t="shared" ca="1" si="3"/>
        <v>2708.9701034568607</v>
      </c>
      <c r="K24" s="2">
        <f t="shared" ca="1" si="3"/>
        <v>2350.1479762943723</v>
      </c>
      <c r="L24" s="2">
        <f t="shared" ca="1" si="3"/>
        <v>2742.5188918286235</v>
      </c>
      <c r="M24" s="2">
        <f t="shared" ca="1" si="3"/>
        <v>2096.961398103901</v>
      </c>
      <c r="N24" s="2">
        <f t="shared" ca="1" si="3"/>
        <v>2612.1726477525531</v>
      </c>
      <c r="O24" s="2">
        <f t="shared" ca="1" si="3"/>
        <v>2754.7594053239432</v>
      </c>
      <c r="P24" s="2">
        <f t="shared" ca="1" si="3"/>
        <v>2121.2544203889493</v>
      </c>
      <c r="Q24" s="2">
        <f t="shared" ca="1" si="3"/>
        <v>2611.7161145565319</v>
      </c>
      <c r="R24" s="2">
        <f t="shared" ca="1" si="3"/>
        <v>2764.439113082286</v>
      </c>
      <c r="S24" s="2">
        <f t="shared" ca="1" si="4"/>
        <v>2486.9824236728109</v>
      </c>
      <c r="T24" s="2">
        <f t="shared" ca="1" si="4"/>
        <v>2711.4395325688497</v>
      </c>
      <c r="U24" s="2">
        <f t="shared" ca="1" si="4"/>
        <v>2863.3460682041346</v>
      </c>
      <c r="V24" s="2">
        <f t="shared" ca="1" si="4"/>
        <v>2600.057845475445</v>
      </c>
      <c r="W24" s="2">
        <f t="shared" ca="1" si="4"/>
        <v>2087.2230057143297</v>
      </c>
      <c r="X24" s="2">
        <f t="shared" ca="1" si="4"/>
        <v>2146.3791799404466</v>
      </c>
      <c r="Y24" s="2">
        <f t="shared" ca="1" si="4"/>
        <v>2155.0952002806753</v>
      </c>
      <c r="Z24" s="2">
        <f t="shared" ca="1" si="4"/>
        <v>2490.4129500674949</v>
      </c>
      <c r="AA24" s="2">
        <f t="shared" ca="1" si="5"/>
        <v>2721.4277788257878</v>
      </c>
      <c r="AB24" s="2">
        <f t="shared" ca="1" si="5"/>
        <v>2700.7632702701885</v>
      </c>
      <c r="AC24" s="2">
        <f t="shared" ca="1" si="5"/>
        <v>2193.7582733250506</v>
      </c>
      <c r="AD24" s="2">
        <f t="shared" ca="1" si="5"/>
        <v>2667.7008105082264</v>
      </c>
      <c r="AE24" s="2">
        <f t="shared" ca="1" si="5"/>
        <v>2583.0378617679276</v>
      </c>
      <c r="AF24" s="2">
        <f t="shared" ca="1" si="5"/>
        <v>2440.8684703504673</v>
      </c>
      <c r="AG24" s="2">
        <f t="shared" ca="1" si="5"/>
        <v>2903.78455327758</v>
      </c>
      <c r="AH24" s="2">
        <f t="shared" ca="1" si="5"/>
        <v>2356.4611390728396</v>
      </c>
    </row>
    <row r="25" spans="1:34">
      <c r="A25" t="str">
        <f t="shared" si="6"/>
        <v>Maize</v>
      </c>
      <c r="B25" t="str">
        <f t="shared" si="7"/>
        <v>AddisAbaba</v>
      </c>
      <c r="C25" s="2">
        <f t="shared" ca="1" si="3"/>
        <v>2801.0865243131743</v>
      </c>
      <c r="D25" s="2">
        <f t="shared" ca="1" si="3"/>
        <v>2523.6535419403244</v>
      </c>
      <c r="E25" s="2">
        <f t="shared" ca="1" si="3"/>
        <v>2680.4317985776838</v>
      </c>
      <c r="F25" s="2">
        <f t="shared" ca="1" si="3"/>
        <v>2854.5256413131992</v>
      </c>
      <c r="G25" s="2">
        <f t="shared" ca="1" si="3"/>
        <v>2437.69942461142</v>
      </c>
      <c r="H25" s="2">
        <f t="shared" ca="1" si="3"/>
        <v>2532.9036114910332</v>
      </c>
      <c r="I25" s="2">
        <f t="shared" ca="1" si="3"/>
        <v>2609.1108852417665</v>
      </c>
      <c r="J25" s="2">
        <f t="shared" ca="1" si="3"/>
        <v>2593.0291144204211</v>
      </c>
      <c r="K25" s="2">
        <f t="shared" ca="1" si="3"/>
        <v>2240.9981489867282</v>
      </c>
      <c r="L25" s="2">
        <f t="shared" ca="1" si="3"/>
        <v>2840.6607118252386</v>
      </c>
      <c r="M25" s="2">
        <f t="shared" ca="1" si="3"/>
        <v>2221.1038970993654</v>
      </c>
      <c r="N25" s="2">
        <f t="shared" ca="1" si="3"/>
        <v>2462.8465513661004</v>
      </c>
      <c r="O25" s="2">
        <f t="shared" ca="1" si="3"/>
        <v>2075.5074246434237</v>
      </c>
      <c r="P25" s="2">
        <f t="shared" ca="1" si="3"/>
        <v>2568.936963228708</v>
      </c>
      <c r="Q25" s="2">
        <f t="shared" ca="1" si="3"/>
        <v>2931.7234081885022</v>
      </c>
      <c r="R25" s="2">
        <f t="shared" ca="1" si="3"/>
        <v>2967.3363948356632</v>
      </c>
      <c r="S25" s="2">
        <f t="shared" ca="1" si="4"/>
        <v>2815.5425321443281</v>
      </c>
      <c r="T25" s="2">
        <f t="shared" ca="1" si="4"/>
        <v>2174.833402117014</v>
      </c>
      <c r="U25" s="2">
        <f t="shared" ca="1" si="4"/>
        <v>2409.5605528555179</v>
      </c>
      <c r="V25" s="2">
        <f t="shared" ca="1" si="4"/>
        <v>2490.4158879776437</v>
      </c>
      <c r="W25" s="2">
        <f t="shared" ca="1" si="4"/>
        <v>2360.1278015201624</v>
      </c>
      <c r="X25" s="2">
        <f t="shared" ca="1" si="4"/>
        <v>2145.2667247862933</v>
      </c>
      <c r="Y25" s="2">
        <f t="shared" ca="1" si="4"/>
        <v>2712.8214480552824</v>
      </c>
      <c r="Z25" s="2">
        <f t="shared" ca="1" si="4"/>
        <v>2178.0991497309533</v>
      </c>
      <c r="AA25" s="2">
        <f t="shared" ca="1" si="5"/>
        <v>2556.6907259169016</v>
      </c>
      <c r="AB25" s="2">
        <f t="shared" ca="1" si="5"/>
        <v>2651.5471651386451</v>
      </c>
      <c r="AC25" s="2">
        <f t="shared" ca="1" si="5"/>
        <v>2833.202056578974</v>
      </c>
      <c r="AD25" s="2">
        <f t="shared" ca="1" si="5"/>
        <v>2447.2240327356258</v>
      </c>
      <c r="AE25" s="2">
        <f t="shared" ca="1" si="5"/>
        <v>2413.0488187347873</v>
      </c>
      <c r="AF25" s="2">
        <f t="shared" ca="1" si="5"/>
        <v>2564.7450590092749</v>
      </c>
      <c r="AG25" s="2">
        <f t="shared" ca="1" si="5"/>
        <v>2970.1624143758363</v>
      </c>
      <c r="AH25" s="2">
        <f t="shared" ca="1" si="5"/>
        <v>2065.0237938375058</v>
      </c>
    </row>
    <row r="26" spans="1:34">
      <c r="A26" t="str">
        <f t="shared" si="6"/>
        <v>Maize</v>
      </c>
      <c r="B26" t="str">
        <f t="shared" si="7"/>
        <v>Afar</v>
      </c>
      <c r="C26" s="2">
        <f t="shared" ca="1" si="3"/>
        <v>2597.3869408211576</v>
      </c>
      <c r="D26" s="2">
        <f t="shared" ca="1" si="3"/>
        <v>2599.1895027670694</v>
      </c>
      <c r="E26" s="2">
        <f t="shared" ca="1" si="3"/>
        <v>2085.5024914930218</v>
      </c>
      <c r="F26" s="2">
        <f t="shared" ca="1" si="3"/>
        <v>2448.6790053210839</v>
      </c>
      <c r="G26" s="2">
        <f t="shared" ca="1" si="3"/>
        <v>2453.9906132945239</v>
      </c>
      <c r="H26" s="2">
        <f t="shared" ca="1" si="3"/>
        <v>2467.9025325006592</v>
      </c>
      <c r="I26" s="2">
        <f t="shared" ca="1" si="3"/>
        <v>2488.9744603267991</v>
      </c>
      <c r="J26" s="2">
        <f t="shared" ca="1" si="3"/>
        <v>2456.74809142906</v>
      </c>
      <c r="K26" s="2">
        <f t="shared" ca="1" si="3"/>
        <v>2162.9333127080749</v>
      </c>
      <c r="L26" s="2">
        <f t="shared" ca="1" si="3"/>
        <v>2053.1835134160551</v>
      </c>
      <c r="M26" s="2">
        <f t="shared" ca="1" si="3"/>
        <v>2481.8532803384905</v>
      </c>
      <c r="N26" s="2">
        <f t="shared" ca="1" si="3"/>
        <v>2207.6308845065814</v>
      </c>
      <c r="O26" s="2">
        <f t="shared" ca="1" si="3"/>
        <v>2682.1642570265367</v>
      </c>
      <c r="P26" s="2">
        <f t="shared" ca="1" si="3"/>
        <v>2744.3709464722288</v>
      </c>
      <c r="Q26" s="2">
        <f t="shared" ca="1" si="3"/>
        <v>2520.9272107442703</v>
      </c>
      <c r="R26" s="2">
        <f t="shared" ca="1" si="3"/>
        <v>2593.4001436821391</v>
      </c>
      <c r="S26" s="2">
        <f t="shared" ca="1" si="4"/>
        <v>2762.27399178412</v>
      </c>
      <c r="T26" s="2">
        <f t="shared" ca="1" si="4"/>
        <v>2830.1883065803345</v>
      </c>
      <c r="U26" s="2">
        <f t="shared" ca="1" si="4"/>
        <v>2224.3355140730705</v>
      </c>
      <c r="V26" s="2">
        <f t="shared" ca="1" si="4"/>
        <v>2583.7459843617808</v>
      </c>
      <c r="W26" s="2">
        <f t="shared" ca="1" si="4"/>
        <v>2235.8391421524493</v>
      </c>
      <c r="X26" s="2">
        <f t="shared" ca="1" si="4"/>
        <v>2244.4873342542032</v>
      </c>
      <c r="Y26" s="2">
        <f t="shared" ca="1" si="4"/>
        <v>2943.2727739579491</v>
      </c>
      <c r="Z26" s="2">
        <f t="shared" ca="1" si="4"/>
        <v>2684.3957698109284</v>
      </c>
      <c r="AA26" s="2">
        <f t="shared" ca="1" si="5"/>
        <v>2008.091938315403</v>
      </c>
      <c r="AB26" s="2">
        <f t="shared" ca="1" si="5"/>
        <v>2997.0317673261625</v>
      </c>
      <c r="AC26" s="2">
        <f t="shared" ca="1" si="5"/>
        <v>2027.4948796025303</v>
      </c>
      <c r="AD26" s="2">
        <f t="shared" ca="1" si="5"/>
        <v>2663.2825227981416</v>
      </c>
      <c r="AE26" s="2">
        <f t="shared" ca="1" si="5"/>
        <v>2549.4924320015848</v>
      </c>
      <c r="AF26" s="2">
        <f t="shared" ca="1" si="5"/>
        <v>2317.7571016193697</v>
      </c>
      <c r="AG26" s="2">
        <f t="shared" ca="1" si="5"/>
        <v>2539.4232121180639</v>
      </c>
      <c r="AH26" s="2">
        <f t="shared" ca="1" si="5"/>
        <v>2419.3166434869395</v>
      </c>
    </row>
    <row r="27" spans="1:34">
      <c r="A27" t="str">
        <f t="shared" si="6"/>
        <v>Maize</v>
      </c>
      <c r="B27" t="str">
        <f t="shared" si="7"/>
        <v>Amhara</v>
      </c>
      <c r="C27" s="2">
        <f t="shared" ca="1" si="3"/>
        <v>2895.120559251628</v>
      </c>
      <c r="D27" s="2">
        <f t="shared" ca="1" si="3"/>
        <v>2243.5817145778778</v>
      </c>
      <c r="E27" s="2">
        <f t="shared" ca="1" si="3"/>
        <v>2846.2425404945238</v>
      </c>
      <c r="F27" s="2">
        <f t="shared" ca="1" si="3"/>
        <v>2132.7671452396603</v>
      </c>
      <c r="G27" s="2">
        <f t="shared" ca="1" si="3"/>
        <v>2145.7778182633465</v>
      </c>
      <c r="H27" s="2">
        <f t="shared" ca="1" si="3"/>
        <v>2908.0876206837916</v>
      </c>
      <c r="I27" s="2">
        <f t="shared" ca="1" si="3"/>
        <v>2799.3896160545414</v>
      </c>
      <c r="J27" s="2">
        <f t="shared" ref="J27:Y42" ca="1" si="8">(RAND()*1+2)*1000</f>
        <v>2694.196797496043</v>
      </c>
      <c r="K27" s="2">
        <f t="shared" ca="1" si="8"/>
        <v>2023.5758145283905</v>
      </c>
      <c r="L27" s="2">
        <f t="shared" ca="1" si="8"/>
        <v>2478.2947848963049</v>
      </c>
      <c r="M27" s="2">
        <f t="shared" ca="1" si="8"/>
        <v>2125.3058641104772</v>
      </c>
      <c r="N27" s="2">
        <f t="shared" ca="1" si="8"/>
        <v>2362.3834200843635</v>
      </c>
      <c r="O27" s="2">
        <f t="shared" ca="1" si="8"/>
        <v>2345.4613070337064</v>
      </c>
      <c r="P27" s="2">
        <f t="shared" ca="1" si="8"/>
        <v>2151.2166434657647</v>
      </c>
      <c r="Q27" s="2">
        <f t="shared" ca="1" si="8"/>
        <v>2869.4555580650072</v>
      </c>
      <c r="R27" s="2">
        <f t="shared" ca="1" si="8"/>
        <v>2875.3739513803525</v>
      </c>
      <c r="S27" s="2">
        <f t="shared" ca="1" si="8"/>
        <v>2929.835179441508</v>
      </c>
      <c r="T27" s="2">
        <f t="shared" ca="1" si="8"/>
        <v>2760.880534512391</v>
      </c>
      <c r="U27" s="2">
        <f t="shared" ca="1" si="8"/>
        <v>2205.1580272923288</v>
      </c>
      <c r="V27" s="2">
        <f t="shared" ca="1" si="8"/>
        <v>2559.6442643027804</v>
      </c>
      <c r="W27" s="2">
        <f t="shared" ca="1" si="8"/>
        <v>2496.1220543002605</v>
      </c>
      <c r="X27" s="2">
        <f t="shared" ca="1" si="8"/>
        <v>2143.6688170079651</v>
      </c>
      <c r="Y27" s="2">
        <f t="shared" ca="1" si="8"/>
        <v>2438.6747179629888</v>
      </c>
      <c r="Z27" s="2">
        <f t="shared" ca="1" si="4"/>
        <v>2118.9230457361168</v>
      </c>
      <c r="AA27" s="2">
        <f t="shared" ca="1" si="5"/>
        <v>2216.9587269456488</v>
      </c>
      <c r="AB27" s="2">
        <f t="shared" ca="1" si="5"/>
        <v>2726.9074018484275</v>
      </c>
      <c r="AC27" s="2">
        <f t="shared" ca="1" si="5"/>
        <v>2328.2692592264011</v>
      </c>
      <c r="AD27" s="2">
        <f t="shared" ca="1" si="5"/>
        <v>2798.5638918466043</v>
      </c>
      <c r="AE27" s="2">
        <f t="shared" ca="1" si="5"/>
        <v>2636.2731894458379</v>
      </c>
      <c r="AF27" s="2">
        <f t="shared" ca="1" si="5"/>
        <v>2003.536669254054</v>
      </c>
      <c r="AG27" s="2">
        <f t="shared" ca="1" si="5"/>
        <v>2645.0052351042132</v>
      </c>
      <c r="AH27" s="2">
        <f t="shared" ca="1" si="5"/>
        <v>2669.975396788524</v>
      </c>
    </row>
    <row r="28" spans="1:34">
      <c r="A28" t="str">
        <f t="shared" si="6"/>
        <v>Maize</v>
      </c>
      <c r="B28" t="str">
        <f t="shared" si="7"/>
        <v>Gumuz</v>
      </c>
      <c r="C28" s="2">
        <f t="shared" ref="C28:R52" ca="1" si="9">(RAND()*1+2)*1000</f>
        <v>2137.6866121223825</v>
      </c>
      <c r="D28" s="2">
        <f t="shared" ca="1" si="9"/>
        <v>2721.4753384627875</v>
      </c>
      <c r="E28" s="2">
        <f t="shared" ca="1" si="9"/>
        <v>2743.5227702720672</v>
      </c>
      <c r="F28" s="2">
        <f t="shared" ca="1" si="9"/>
        <v>2189.1248751793232</v>
      </c>
      <c r="G28" s="2">
        <f t="shared" ca="1" si="9"/>
        <v>2405.69203494049</v>
      </c>
      <c r="H28" s="2">
        <f t="shared" ca="1" si="9"/>
        <v>2516.3189382071937</v>
      </c>
      <c r="I28" s="2">
        <f t="shared" ca="1" si="9"/>
        <v>2507.6778864790149</v>
      </c>
      <c r="J28" s="2">
        <f t="shared" ca="1" si="9"/>
        <v>2392.7240923885138</v>
      </c>
      <c r="K28" s="2">
        <f t="shared" ca="1" si="9"/>
        <v>2772.6892994402324</v>
      </c>
      <c r="L28" s="2">
        <f t="shared" ca="1" si="9"/>
        <v>2316.4367925201418</v>
      </c>
      <c r="M28" s="2">
        <f t="shared" ca="1" si="9"/>
        <v>2472.4142949785328</v>
      </c>
      <c r="N28" s="2">
        <f t="shared" ca="1" si="9"/>
        <v>2578.6714308205114</v>
      </c>
      <c r="O28" s="2">
        <f t="shared" ca="1" si="9"/>
        <v>2751.4301840631683</v>
      </c>
      <c r="P28" s="2">
        <f t="shared" ca="1" si="9"/>
        <v>2571.3115222746087</v>
      </c>
      <c r="Q28" s="2">
        <f t="shared" ca="1" si="9"/>
        <v>2870.9413224816053</v>
      </c>
      <c r="R28" s="2">
        <f t="shared" ca="1" si="9"/>
        <v>2855.5312917167566</v>
      </c>
      <c r="S28" s="2">
        <f t="shared" ca="1" si="8"/>
        <v>2078.9434009078536</v>
      </c>
      <c r="T28" s="2">
        <f t="shared" ca="1" si="8"/>
        <v>2240.7771127899946</v>
      </c>
      <c r="U28" s="2">
        <f t="shared" ca="1" si="8"/>
        <v>2536.6813299801552</v>
      </c>
      <c r="V28" s="2">
        <f t="shared" ca="1" si="8"/>
        <v>2479.1374582872872</v>
      </c>
      <c r="W28" s="2">
        <f t="shared" ca="1" si="8"/>
        <v>2103.3849569200456</v>
      </c>
      <c r="X28" s="2">
        <f t="shared" ca="1" si="8"/>
        <v>2453.5907214382619</v>
      </c>
      <c r="Y28" s="2">
        <f t="shared" ca="1" si="8"/>
        <v>2560.9363543663253</v>
      </c>
      <c r="Z28" s="2">
        <f t="shared" ca="1" si="4"/>
        <v>2288.5679074376048</v>
      </c>
      <c r="AA28" s="2">
        <f t="shared" ca="1" si="5"/>
        <v>2925.7016379433544</v>
      </c>
      <c r="AB28" s="2">
        <f t="shared" ca="1" si="5"/>
        <v>2657.7538253047605</v>
      </c>
      <c r="AC28" s="2">
        <f t="shared" ca="1" si="5"/>
        <v>2647.4328486688355</v>
      </c>
      <c r="AD28" s="2">
        <f t="shared" ca="1" si="5"/>
        <v>2905.9137963518351</v>
      </c>
      <c r="AE28" s="2">
        <f t="shared" ca="1" si="5"/>
        <v>2266.7918251362685</v>
      </c>
      <c r="AF28" s="2">
        <f t="shared" ca="1" si="5"/>
        <v>2483.0033594429378</v>
      </c>
      <c r="AG28" s="2">
        <f t="shared" ca="1" si="5"/>
        <v>2720.923490803289</v>
      </c>
      <c r="AH28" s="2">
        <f t="shared" ca="1" si="5"/>
        <v>2544.5425331686902</v>
      </c>
    </row>
    <row r="29" spans="1:34">
      <c r="A29" t="str">
        <f t="shared" si="6"/>
        <v>Maize</v>
      </c>
      <c r="B29" t="str">
        <f t="shared" si="7"/>
        <v>DireDawa</v>
      </c>
      <c r="C29" s="2">
        <f t="shared" ca="1" si="9"/>
        <v>2262.1323766452911</v>
      </c>
      <c r="D29" s="2">
        <f t="shared" ca="1" si="9"/>
        <v>2454.5285637369057</v>
      </c>
      <c r="E29" s="2">
        <f t="shared" ca="1" si="9"/>
        <v>2954.2327309015236</v>
      </c>
      <c r="F29" s="2">
        <f t="shared" ca="1" si="9"/>
        <v>2790.9462795270815</v>
      </c>
      <c r="G29" s="2">
        <f t="shared" ca="1" si="9"/>
        <v>2673.5133234053264</v>
      </c>
      <c r="H29" s="2">
        <f t="shared" ca="1" si="9"/>
        <v>2094.5525190574467</v>
      </c>
      <c r="I29" s="2">
        <f t="shared" ca="1" si="9"/>
        <v>2904.5545823120397</v>
      </c>
      <c r="J29" s="2">
        <f t="shared" ca="1" si="9"/>
        <v>2965.4306260215517</v>
      </c>
      <c r="K29" s="2">
        <f t="shared" ca="1" si="9"/>
        <v>2563.2880115343028</v>
      </c>
      <c r="L29" s="2">
        <f t="shared" ca="1" si="9"/>
        <v>2770.8303616378967</v>
      </c>
      <c r="M29" s="2">
        <f t="shared" ca="1" si="9"/>
        <v>2968.7018442883355</v>
      </c>
      <c r="N29" s="2">
        <f t="shared" ca="1" si="9"/>
        <v>2849.4470419020768</v>
      </c>
      <c r="O29" s="2">
        <f t="shared" ca="1" si="9"/>
        <v>2187.7329630152881</v>
      </c>
      <c r="P29" s="2">
        <f t="shared" ca="1" si="9"/>
        <v>2671.2733487717583</v>
      </c>
      <c r="Q29" s="2">
        <f t="shared" ca="1" si="9"/>
        <v>2643.8393942206312</v>
      </c>
      <c r="R29" s="2">
        <f t="shared" ca="1" si="9"/>
        <v>2887.5135552459246</v>
      </c>
      <c r="S29" s="2">
        <f t="shared" ca="1" si="8"/>
        <v>2501.0921701926382</v>
      </c>
      <c r="T29" s="2">
        <f t="shared" ca="1" si="8"/>
        <v>2400.2674138481507</v>
      </c>
      <c r="U29" s="2">
        <f t="shared" ca="1" si="8"/>
        <v>2085.0824255960474</v>
      </c>
      <c r="V29" s="2">
        <f t="shared" ca="1" si="8"/>
        <v>2417.8351285973417</v>
      </c>
      <c r="W29" s="2">
        <f t="shared" ca="1" si="8"/>
        <v>2684.4598665886233</v>
      </c>
      <c r="X29" s="2">
        <f t="shared" ca="1" si="8"/>
        <v>2922.9260518506317</v>
      </c>
      <c r="Y29" s="2">
        <f t="shared" ca="1" si="8"/>
        <v>2205.1104323256309</v>
      </c>
      <c r="Z29" s="2">
        <f t="shared" ca="1" si="4"/>
        <v>2882.3540919148891</v>
      </c>
      <c r="AA29" s="2">
        <f t="shared" ca="1" si="5"/>
        <v>2860.6545011077706</v>
      </c>
      <c r="AB29" s="2">
        <f t="shared" ca="1" si="5"/>
        <v>2758.9704626657203</v>
      </c>
      <c r="AC29" s="2">
        <f t="shared" ca="1" si="5"/>
        <v>2293.0872915753657</v>
      </c>
      <c r="AD29" s="2">
        <f t="shared" ca="1" si="5"/>
        <v>2006.7281180577031</v>
      </c>
      <c r="AE29" s="2">
        <f t="shared" ca="1" si="5"/>
        <v>2674.8482357173593</v>
      </c>
      <c r="AF29" s="2">
        <f t="shared" ca="1" si="5"/>
        <v>2525.3950655924255</v>
      </c>
      <c r="AG29" s="2">
        <f t="shared" ca="1" si="5"/>
        <v>2586.291289792493</v>
      </c>
      <c r="AH29" s="2">
        <f t="shared" ca="1" si="5"/>
        <v>2750.3088098753824</v>
      </c>
    </row>
    <row r="30" spans="1:34">
      <c r="A30" t="str">
        <f t="shared" si="6"/>
        <v>Maize</v>
      </c>
      <c r="B30" t="str">
        <f t="shared" si="7"/>
        <v>Gambela</v>
      </c>
      <c r="C30" s="2">
        <f t="shared" ca="1" si="9"/>
        <v>2066.0630086827218</v>
      </c>
      <c r="D30" s="2">
        <f t="shared" ca="1" si="9"/>
        <v>2500.1594164213743</v>
      </c>
      <c r="E30" s="2">
        <f t="shared" ca="1" si="9"/>
        <v>2898.8585185860488</v>
      </c>
      <c r="F30" s="2">
        <f t="shared" ca="1" si="9"/>
        <v>2443.8842572508543</v>
      </c>
      <c r="G30" s="2">
        <f t="shared" ca="1" si="9"/>
        <v>2415.0482887612766</v>
      </c>
      <c r="H30" s="2">
        <f t="shared" ca="1" si="9"/>
        <v>2718.7363988786142</v>
      </c>
      <c r="I30" s="2">
        <f t="shared" ca="1" si="9"/>
        <v>2584.2963025618769</v>
      </c>
      <c r="J30" s="2">
        <f t="shared" ca="1" si="9"/>
        <v>2081.211703013942</v>
      </c>
      <c r="K30" s="2">
        <f t="shared" ca="1" si="9"/>
        <v>2267.2594244235293</v>
      </c>
      <c r="L30" s="2">
        <f t="shared" ca="1" si="9"/>
        <v>2473.8547203565822</v>
      </c>
      <c r="M30" s="2">
        <f t="shared" ca="1" si="9"/>
        <v>2525.6656177762798</v>
      </c>
      <c r="N30" s="2">
        <f t="shared" ca="1" si="9"/>
        <v>2874.2248717968614</v>
      </c>
      <c r="O30" s="2">
        <f t="shared" ca="1" si="9"/>
        <v>2357.2914373633985</v>
      </c>
      <c r="P30" s="2">
        <f t="shared" ca="1" si="9"/>
        <v>2662.7744830009619</v>
      </c>
      <c r="Q30" s="2">
        <f t="shared" ca="1" si="9"/>
        <v>2572.3360171074282</v>
      </c>
      <c r="R30" s="2">
        <f t="shared" ca="1" si="9"/>
        <v>2386.8717084967443</v>
      </c>
      <c r="S30" s="2">
        <f t="shared" ca="1" si="8"/>
        <v>2711.5693761417042</v>
      </c>
      <c r="T30" s="2">
        <f t="shared" ca="1" si="8"/>
        <v>2161.3996788711106</v>
      </c>
      <c r="U30" s="2">
        <f t="shared" ca="1" si="8"/>
        <v>2131.9091227581193</v>
      </c>
      <c r="V30" s="2">
        <f t="shared" ca="1" si="8"/>
        <v>2209.7998919225302</v>
      </c>
      <c r="W30" s="2">
        <f t="shared" ca="1" si="8"/>
        <v>2413.9982710983909</v>
      </c>
      <c r="X30" s="2">
        <f t="shared" ca="1" si="8"/>
        <v>2764.2774548646285</v>
      </c>
      <c r="Y30" s="2">
        <f t="shared" ca="1" si="8"/>
        <v>2279.1694212944858</v>
      </c>
      <c r="Z30" s="2">
        <f t="shared" ca="1" si="4"/>
        <v>2734.330167013853</v>
      </c>
      <c r="AA30" s="2">
        <f t="shared" ca="1" si="5"/>
        <v>2453.0767977404312</v>
      </c>
      <c r="AB30" s="2">
        <f t="shared" ca="1" si="5"/>
        <v>2327.5322361023714</v>
      </c>
      <c r="AC30" s="2">
        <f t="shared" ca="1" si="5"/>
        <v>2439.1228487540138</v>
      </c>
      <c r="AD30" s="2">
        <f t="shared" ca="1" si="5"/>
        <v>2474.4866684572394</v>
      </c>
      <c r="AE30" s="2">
        <f t="shared" ca="1" si="5"/>
        <v>2907.3837940954113</v>
      </c>
      <c r="AF30" s="2">
        <f t="shared" ca="1" si="5"/>
        <v>2209.4243077144802</v>
      </c>
      <c r="AG30" s="2">
        <f t="shared" ca="1" si="5"/>
        <v>2035.5313394002605</v>
      </c>
      <c r="AH30" s="2">
        <f t="shared" ca="1" si="5"/>
        <v>2185.392772243626</v>
      </c>
    </row>
    <row r="31" spans="1:34">
      <c r="A31" t="str">
        <f t="shared" si="6"/>
        <v>Maize</v>
      </c>
      <c r="B31" t="str">
        <f t="shared" si="7"/>
        <v>Harari</v>
      </c>
      <c r="C31" s="2">
        <f t="shared" ca="1" si="9"/>
        <v>2887.6845520384654</v>
      </c>
      <c r="D31" s="2">
        <f t="shared" ca="1" si="9"/>
        <v>2354.7112927767134</v>
      </c>
      <c r="E31" s="2">
        <f t="shared" ca="1" si="9"/>
        <v>2000.8169579176838</v>
      </c>
      <c r="F31" s="2">
        <f t="shared" ca="1" si="9"/>
        <v>2359.3551056814117</v>
      </c>
      <c r="G31" s="2">
        <f t="shared" ca="1" si="9"/>
        <v>2566.2601276955556</v>
      </c>
      <c r="H31" s="2">
        <f t="shared" ca="1" si="9"/>
        <v>2147.2262733625962</v>
      </c>
      <c r="I31" s="2">
        <f t="shared" ca="1" si="9"/>
        <v>2416.456404537641</v>
      </c>
      <c r="J31" s="2">
        <f t="shared" ca="1" si="9"/>
        <v>2554.6418648805102</v>
      </c>
      <c r="K31" s="2">
        <f t="shared" ca="1" si="9"/>
        <v>2793.8853023536744</v>
      </c>
      <c r="L31" s="2">
        <f t="shared" ca="1" si="9"/>
        <v>2763.1213807688232</v>
      </c>
      <c r="M31" s="2">
        <f t="shared" ca="1" si="9"/>
        <v>2868.25926304427</v>
      </c>
      <c r="N31" s="2">
        <f t="shared" ca="1" si="9"/>
        <v>2519.8706892481114</v>
      </c>
      <c r="O31" s="2">
        <f t="shared" ca="1" si="9"/>
        <v>2150.538605833839</v>
      </c>
      <c r="P31" s="2">
        <f t="shared" ca="1" si="9"/>
        <v>2562.2176709178348</v>
      </c>
      <c r="Q31" s="2">
        <f t="shared" ca="1" si="9"/>
        <v>2880.9434129234342</v>
      </c>
      <c r="R31" s="2">
        <f t="shared" ca="1" si="9"/>
        <v>2227.3363624201265</v>
      </c>
      <c r="S31" s="2">
        <f t="shared" ca="1" si="8"/>
        <v>2243.0507135630614</v>
      </c>
      <c r="T31" s="2">
        <f t="shared" ca="1" si="8"/>
        <v>2656.0740559330302</v>
      </c>
      <c r="U31" s="2">
        <f t="shared" ca="1" si="8"/>
        <v>2867.8154456462335</v>
      </c>
      <c r="V31" s="2">
        <f t="shared" ca="1" si="8"/>
        <v>2204.0655787705077</v>
      </c>
      <c r="W31" s="2">
        <f t="shared" ca="1" si="8"/>
        <v>2517.0565079797711</v>
      </c>
      <c r="X31" s="2">
        <f t="shared" ca="1" si="8"/>
        <v>2494.0667489920274</v>
      </c>
      <c r="Y31" s="2">
        <f t="shared" ca="1" si="8"/>
        <v>2215.4805119637522</v>
      </c>
      <c r="Z31" s="2">
        <f t="shared" ca="1" si="4"/>
        <v>2568.3350219355816</v>
      </c>
      <c r="AA31" s="2">
        <f t="shared" ca="1" si="5"/>
        <v>2682.8156813112746</v>
      </c>
      <c r="AB31" s="2">
        <f t="shared" ca="1" si="5"/>
        <v>2043.5342018421254</v>
      </c>
      <c r="AC31" s="2">
        <f t="shared" ca="1" si="5"/>
        <v>2395.7217509817365</v>
      </c>
      <c r="AD31" s="2">
        <f t="shared" ca="1" si="5"/>
        <v>2263.0526296538856</v>
      </c>
      <c r="AE31" s="2">
        <f t="shared" ca="1" si="5"/>
        <v>2755.0514382128626</v>
      </c>
      <c r="AF31" s="2">
        <f t="shared" ca="1" si="5"/>
        <v>2278.705441418605</v>
      </c>
      <c r="AG31" s="2">
        <f t="shared" ca="1" si="5"/>
        <v>2394.9074682842947</v>
      </c>
      <c r="AH31" s="2">
        <f t="shared" ca="1" si="5"/>
        <v>2163.393293920627</v>
      </c>
    </row>
    <row r="32" spans="1:34">
      <c r="A32" t="str">
        <f t="shared" si="6"/>
        <v>Maize</v>
      </c>
      <c r="B32" t="str">
        <f t="shared" si="7"/>
        <v>Oromia</v>
      </c>
      <c r="C32" s="2">
        <f t="shared" ca="1" si="9"/>
        <v>2445.079724331988</v>
      </c>
      <c r="D32" s="2">
        <f t="shared" ca="1" si="9"/>
        <v>2981.1917430287599</v>
      </c>
      <c r="E32" s="2">
        <f t="shared" ca="1" si="9"/>
        <v>2766.9266179916262</v>
      </c>
      <c r="F32" s="2">
        <f t="shared" ca="1" si="9"/>
        <v>2665.6806894777014</v>
      </c>
      <c r="G32" s="2">
        <f t="shared" ca="1" si="9"/>
        <v>2820.7274139018527</v>
      </c>
      <c r="H32" s="2">
        <f t="shared" ca="1" si="9"/>
        <v>2068.4774125016679</v>
      </c>
      <c r="I32" s="2">
        <f t="shared" ca="1" si="9"/>
        <v>2006.1631070586693</v>
      </c>
      <c r="J32" s="2">
        <f t="shared" ca="1" si="9"/>
        <v>2708.2335474395481</v>
      </c>
      <c r="K32" s="2">
        <f t="shared" ca="1" si="9"/>
        <v>2206.8018520634691</v>
      </c>
      <c r="L32" s="2">
        <f t="shared" ca="1" si="9"/>
        <v>2575.1058860679741</v>
      </c>
      <c r="M32" s="2">
        <f t="shared" ca="1" si="9"/>
        <v>2623.9057366397374</v>
      </c>
      <c r="N32" s="2">
        <f t="shared" ca="1" si="9"/>
        <v>2655.1980779570945</v>
      </c>
      <c r="O32" s="2">
        <f t="shared" ca="1" si="9"/>
        <v>2086.3286174661853</v>
      </c>
      <c r="P32" s="2">
        <f t="shared" ca="1" si="9"/>
        <v>2370.9936870622359</v>
      </c>
      <c r="Q32" s="2">
        <f t="shared" ca="1" si="9"/>
        <v>2498.8206495648305</v>
      </c>
      <c r="R32" s="2">
        <f t="shared" ca="1" si="9"/>
        <v>2466.4691517649198</v>
      </c>
      <c r="S32" s="2">
        <f t="shared" ca="1" si="8"/>
        <v>2082.2433512868188</v>
      </c>
      <c r="T32" s="2">
        <f t="shared" ca="1" si="8"/>
        <v>2903.4295425173677</v>
      </c>
      <c r="U32" s="2">
        <f t="shared" ca="1" si="8"/>
        <v>2127.2053346697958</v>
      </c>
      <c r="V32" s="2">
        <f t="shared" ca="1" si="8"/>
        <v>2790.8711416836495</v>
      </c>
      <c r="W32" s="2">
        <f t="shared" ca="1" si="8"/>
        <v>2975.4454317217933</v>
      </c>
      <c r="X32" s="2">
        <f t="shared" ca="1" si="8"/>
        <v>2723.9130552298257</v>
      </c>
      <c r="Y32" s="2">
        <f t="shared" ca="1" si="8"/>
        <v>2653.9129827421261</v>
      </c>
      <c r="Z32" s="2">
        <f t="shared" ca="1" si="4"/>
        <v>2621.2059067170931</v>
      </c>
      <c r="AA32" s="2">
        <f t="shared" ca="1" si="5"/>
        <v>2311.9242869849872</v>
      </c>
      <c r="AB32" s="2">
        <f t="shared" ca="1" si="5"/>
        <v>2281.954285706071</v>
      </c>
      <c r="AC32" s="2">
        <f t="shared" ca="1" si="5"/>
        <v>2812.3132974977416</v>
      </c>
      <c r="AD32" s="2">
        <f t="shared" ca="1" si="5"/>
        <v>2479.9139569025447</v>
      </c>
      <c r="AE32" s="2">
        <f t="shared" ca="1" si="5"/>
        <v>2112.2536937842569</v>
      </c>
      <c r="AF32" s="2">
        <f t="shared" ca="1" si="5"/>
        <v>2921.0958157895088</v>
      </c>
      <c r="AG32" s="2">
        <f t="shared" ca="1" si="5"/>
        <v>2668.6215048924505</v>
      </c>
      <c r="AH32" s="2">
        <f t="shared" ca="1" si="5"/>
        <v>2312.1525888889955</v>
      </c>
    </row>
    <row r="33" spans="1:34">
      <c r="A33" t="str">
        <f t="shared" si="6"/>
        <v>Maize</v>
      </c>
      <c r="B33" t="str">
        <f t="shared" si="7"/>
        <v>Somali</v>
      </c>
      <c r="C33" s="2">
        <f t="shared" ca="1" si="9"/>
        <v>2655.575572918252</v>
      </c>
      <c r="D33" s="2">
        <f t="shared" ca="1" si="9"/>
        <v>2457.3615712043807</v>
      </c>
      <c r="E33" s="2">
        <f t="shared" ca="1" si="9"/>
        <v>2343.1665297434552</v>
      </c>
      <c r="F33" s="2">
        <f t="shared" ca="1" si="9"/>
        <v>2146.2217231297495</v>
      </c>
      <c r="G33" s="2">
        <f t="shared" ca="1" si="9"/>
        <v>2979.8035487634256</v>
      </c>
      <c r="H33" s="2">
        <f t="shared" ca="1" si="9"/>
        <v>2568.0478818738807</v>
      </c>
      <c r="I33" s="2">
        <f t="shared" ca="1" si="9"/>
        <v>2124.9503027232886</v>
      </c>
      <c r="J33" s="2">
        <f t="shared" ca="1" si="9"/>
        <v>2385.5962581550011</v>
      </c>
      <c r="K33" s="2">
        <f t="shared" ca="1" si="9"/>
        <v>2851.9420851446275</v>
      </c>
      <c r="L33" s="2">
        <f t="shared" ca="1" si="9"/>
        <v>2349.9380555059042</v>
      </c>
      <c r="M33" s="2">
        <f t="shared" ca="1" si="9"/>
        <v>2703.9649841704477</v>
      </c>
      <c r="N33" s="2">
        <f t="shared" ca="1" si="9"/>
        <v>2761.9875166574202</v>
      </c>
      <c r="O33" s="2">
        <f t="shared" ca="1" si="9"/>
        <v>2951.1331329673121</v>
      </c>
      <c r="P33" s="2">
        <f t="shared" ca="1" si="9"/>
        <v>2852.7347022823269</v>
      </c>
      <c r="Q33" s="2">
        <f t="shared" ca="1" si="9"/>
        <v>2404.4438321277657</v>
      </c>
      <c r="R33" s="2">
        <f t="shared" ca="1" si="9"/>
        <v>2470.478369446776</v>
      </c>
      <c r="S33" s="2">
        <f t="shared" ca="1" si="8"/>
        <v>2974.8227738467504</v>
      </c>
      <c r="T33" s="2">
        <f t="shared" ca="1" si="8"/>
        <v>2775.3252483596252</v>
      </c>
      <c r="U33" s="2">
        <f t="shared" ca="1" si="8"/>
        <v>2179.4383893396362</v>
      </c>
      <c r="V33" s="2">
        <f t="shared" ca="1" si="8"/>
        <v>2276.3932104602</v>
      </c>
      <c r="W33" s="2">
        <f t="shared" ca="1" si="8"/>
        <v>2830.9619848662051</v>
      </c>
      <c r="X33" s="2">
        <f t="shared" ca="1" si="8"/>
        <v>2558.6686709599139</v>
      </c>
      <c r="Y33" s="2">
        <f t="shared" ca="1" si="8"/>
        <v>2200.7986674484855</v>
      </c>
      <c r="Z33" s="2">
        <f t="shared" ca="1" si="4"/>
        <v>2002.5698835301271</v>
      </c>
      <c r="AA33" s="2">
        <f t="shared" ca="1" si="5"/>
        <v>2249.6646572017544</v>
      </c>
      <c r="AB33" s="2">
        <f t="shared" ca="1" si="5"/>
        <v>2455.4076316277533</v>
      </c>
      <c r="AC33" s="2">
        <f t="shared" ca="1" si="5"/>
        <v>2204.541168991203</v>
      </c>
      <c r="AD33" s="2">
        <f t="shared" ca="1" si="5"/>
        <v>2882.9382054648981</v>
      </c>
      <c r="AE33" s="2">
        <f t="shared" ca="1" si="5"/>
        <v>2596.9612629038638</v>
      </c>
      <c r="AF33" s="2">
        <f t="shared" ca="1" si="5"/>
        <v>2624.6641027887663</v>
      </c>
      <c r="AG33" s="2">
        <f t="shared" ca="1" si="5"/>
        <v>2820.4310075516237</v>
      </c>
      <c r="AH33" s="2">
        <f t="shared" ca="1" si="5"/>
        <v>2343.5675414245393</v>
      </c>
    </row>
    <row r="34" spans="1:34">
      <c r="A34" t="str">
        <f t="shared" si="6"/>
        <v>Maize</v>
      </c>
      <c r="B34" t="str">
        <f t="shared" si="7"/>
        <v>SNNPR</v>
      </c>
      <c r="C34" s="2">
        <f t="shared" ca="1" si="9"/>
        <v>2979.5639434926188</v>
      </c>
      <c r="D34" s="2">
        <f t="shared" ca="1" si="9"/>
        <v>2541.96618798801</v>
      </c>
      <c r="E34" s="2">
        <f t="shared" ca="1" si="9"/>
        <v>2933.6766900067669</v>
      </c>
      <c r="F34" s="2">
        <f t="shared" ca="1" si="9"/>
        <v>2153.4790294808972</v>
      </c>
      <c r="G34" s="2">
        <f t="shared" ca="1" si="9"/>
        <v>2575.613278751262</v>
      </c>
      <c r="H34" s="2">
        <f t="shared" ca="1" si="9"/>
        <v>2850.3166998049442</v>
      </c>
      <c r="I34" s="2">
        <f t="shared" ca="1" si="9"/>
        <v>2778.1735224796976</v>
      </c>
      <c r="J34" s="2">
        <f t="shared" ca="1" si="9"/>
        <v>2448.6539211691288</v>
      </c>
      <c r="K34" s="2">
        <f t="shared" ca="1" si="9"/>
        <v>2868.5765088742819</v>
      </c>
      <c r="L34" s="2">
        <f t="shared" ca="1" si="9"/>
        <v>2316.0899611714117</v>
      </c>
      <c r="M34" s="2">
        <f t="shared" ca="1" si="9"/>
        <v>2267.053375771206</v>
      </c>
      <c r="N34" s="2">
        <f t="shared" ca="1" si="9"/>
        <v>2590.3648766268025</v>
      </c>
      <c r="O34" s="2">
        <f t="shared" ca="1" si="9"/>
        <v>2416.7243123428093</v>
      </c>
      <c r="P34" s="2">
        <f t="shared" ca="1" si="9"/>
        <v>2412.9642240559374</v>
      </c>
      <c r="Q34" s="2">
        <f t="shared" ca="1" si="9"/>
        <v>2301.4863688205041</v>
      </c>
      <c r="R34" s="2">
        <f t="shared" ca="1" si="9"/>
        <v>2113.1447179666334</v>
      </c>
      <c r="S34" s="2">
        <f t="shared" ca="1" si="8"/>
        <v>2666.6495146185398</v>
      </c>
      <c r="T34" s="2">
        <f t="shared" ca="1" si="8"/>
        <v>2235.9239443257202</v>
      </c>
      <c r="U34" s="2">
        <f t="shared" ca="1" si="8"/>
        <v>2447.7900596879108</v>
      </c>
      <c r="V34" s="2">
        <f t="shared" ca="1" si="8"/>
        <v>2997.7626251807669</v>
      </c>
      <c r="W34" s="2">
        <f t="shared" ca="1" si="8"/>
        <v>2271.6566327985952</v>
      </c>
      <c r="X34" s="2">
        <f t="shared" ca="1" si="8"/>
        <v>2174.650600055515</v>
      </c>
      <c r="Y34" s="2">
        <f t="shared" ca="1" si="8"/>
        <v>2568.0011712865216</v>
      </c>
      <c r="Z34" s="2">
        <f t="shared" ca="1" si="4"/>
        <v>2974.5732444801884</v>
      </c>
      <c r="AA34" s="2">
        <f t="shared" ca="1" si="5"/>
        <v>2730.8211854296987</v>
      </c>
      <c r="AB34" s="2">
        <f t="shared" ca="1" si="5"/>
        <v>2379.4429081124181</v>
      </c>
      <c r="AC34" s="2">
        <f t="shared" ca="1" si="5"/>
        <v>2335.1308533077572</v>
      </c>
      <c r="AD34" s="2">
        <f t="shared" ca="1" si="5"/>
        <v>2870.4387388533873</v>
      </c>
      <c r="AE34" s="2">
        <f t="shared" ca="1" si="5"/>
        <v>2630.4992344942348</v>
      </c>
      <c r="AF34" s="2">
        <f t="shared" ca="1" si="5"/>
        <v>2050.0399242907706</v>
      </c>
      <c r="AG34" s="2">
        <f t="shared" ca="1" si="5"/>
        <v>2287.2030908009951</v>
      </c>
      <c r="AH34" s="2">
        <f t="shared" ca="1" si="5"/>
        <v>2129.0815916295123</v>
      </c>
    </row>
    <row r="35" spans="1:34">
      <c r="A35" t="str">
        <f t="shared" si="6"/>
        <v>Maize</v>
      </c>
      <c r="B35" t="str">
        <f t="shared" si="7"/>
        <v>Tigray</v>
      </c>
      <c r="C35" s="2">
        <f t="shared" ca="1" si="9"/>
        <v>2133.5026948631494</v>
      </c>
      <c r="D35" s="2">
        <f t="shared" ca="1" si="9"/>
        <v>2072.0294301512486</v>
      </c>
      <c r="E35" s="2">
        <f t="shared" ca="1" si="9"/>
        <v>2933.4910560657372</v>
      </c>
      <c r="F35" s="2">
        <f t="shared" ca="1" si="9"/>
        <v>2756.6210938995291</v>
      </c>
      <c r="G35" s="2">
        <f t="shared" ca="1" si="9"/>
        <v>2475.6901124495184</v>
      </c>
      <c r="H35" s="2">
        <f t="shared" ca="1" si="9"/>
        <v>2450.6718619828075</v>
      </c>
      <c r="I35" s="2">
        <f t="shared" ca="1" si="9"/>
        <v>2253.7164676945372</v>
      </c>
      <c r="J35" s="2">
        <f t="shared" ca="1" si="9"/>
        <v>2995.7061841848222</v>
      </c>
      <c r="K35" s="2">
        <f t="shared" ca="1" si="9"/>
        <v>2048.1421054453676</v>
      </c>
      <c r="L35" s="2">
        <f t="shared" ca="1" si="9"/>
        <v>2403.1798374953232</v>
      </c>
      <c r="M35" s="2">
        <f t="shared" ca="1" si="9"/>
        <v>2107.095423229051</v>
      </c>
      <c r="N35" s="2">
        <f t="shared" ca="1" si="9"/>
        <v>2001.170774200649</v>
      </c>
      <c r="O35" s="2">
        <f t="shared" ca="1" si="9"/>
        <v>2204.1184422132524</v>
      </c>
      <c r="P35" s="2">
        <f t="shared" ca="1" si="9"/>
        <v>2260.0805020324692</v>
      </c>
      <c r="Q35" s="2">
        <f t="shared" ca="1" si="9"/>
        <v>2104.8946521147154</v>
      </c>
      <c r="R35" s="2">
        <f t="shared" ca="1" si="9"/>
        <v>2991.812932909595</v>
      </c>
      <c r="S35" s="2">
        <f t="shared" ca="1" si="8"/>
        <v>2756.3146658069204</v>
      </c>
      <c r="T35" s="2">
        <f t="shared" ca="1" si="8"/>
        <v>2754.8096274285285</v>
      </c>
      <c r="U35" s="2">
        <f t="shared" ca="1" si="8"/>
        <v>2182.9307132774161</v>
      </c>
      <c r="V35" s="2">
        <f t="shared" ca="1" si="8"/>
        <v>2700.5981360905926</v>
      </c>
      <c r="W35" s="2">
        <f t="shared" ca="1" si="8"/>
        <v>2183.5470138524329</v>
      </c>
      <c r="X35" s="2">
        <f t="shared" ca="1" si="8"/>
        <v>2837.6683754431861</v>
      </c>
      <c r="Y35" s="2">
        <f t="shared" ca="1" si="8"/>
        <v>2120.6064025543546</v>
      </c>
      <c r="Z35" s="2">
        <f t="shared" ca="1" si="4"/>
        <v>2210.0463276562145</v>
      </c>
      <c r="AA35" s="2">
        <f t="shared" ca="1" si="5"/>
        <v>2844.6732650874364</v>
      </c>
      <c r="AB35" s="2">
        <f t="shared" ca="1" si="5"/>
        <v>2336.0956479787537</v>
      </c>
      <c r="AC35" s="2">
        <f t="shared" ca="1" si="5"/>
        <v>2715.5292159533033</v>
      </c>
      <c r="AD35" s="2">
        <f t="shared" ca="1" si="5"/>
        <v>2947.2911732745324</v>
      </c>
      <c r="AE35" s="2">
        <f t="shared" ca="1" si="5"/>
        <v>2452.4845233499118</v>
      </c>
      <c r="AF35" s="2">
        <f t="shared" ca="1" si="5"/>
        <v>2275.4223294537096</v>
      </c>
      <c r="AG35" s="2">
        <f t="shared" ca="1" si="5"/>
        <v>2467.5136712997651</v>
      </c>
      <c r="AH35" s="2">
        <f t="shared" ca="1" si="5"/>
        <v>2005.8199794712978</v>
      </c>
    </row>
    <row r="36" spans="1:34">
      <c r="A36" t="str">
        <f t="shared" si="6"/>
        <v>Lentils</v>
      </c>
      <c r="B36" t="str">
        <f t="shared" si="7"/>
        <v>AddisAbaba</v>
      </c>
      <c r="C36" s="2">
        <f t="shared" ca="1" si="9"/>
        <v>2271.6635003319379</v>
      </c>
      <c r="D36" s="2">
        <f t="shared" ca="1" si="9"/>
        <v>2788.097710707395</v>
      </c>
      <c r="E36" s="2">
        <f t="shared" ca="1" si="9"/>
        <v>2453.420772669223</v>
      </c>
      <c r="F36" s="2">
        <f t="shared" ca="1" si="9"/>
        <v>2072.9955417574106</v>
      </c>
      <c r="G36" s="2">
        <f t="shared" ca="1" si="9"/>
        <v>2518.1214817073392</v>
      </c>
      <c r="H36" s="2">
        <f t="shared" ca="1" si="9"/>
        <v>2853.5535746188193</v>
      </c>
      <c r="I36" s="2">
        <f t="shared" ca="1" si="9"/>
        <v>2354.0487235723012</v>
      </c>
      <c r="J36" s="2">
        <f t="shared" ca="1" si="9"/>
        <v>2509.2021729357357</v>
      </c>
      <c r="K36" s="2">
        <f t="shared" ca="1" si="9"/>
        <v>2948.8544536849436</v>
      </c>
      <c r="L36" s="2">
        <f t="shared" ca="1" si="9"/>
        <v>2057.096105940871</v>
      </c>
      <c r="M36" s="2">
        <f t="shared" ca="1" si="9"/>
        <v>2507.5884698552518</v>
      </c>
      <c r="N36" s="2">
        <f t="shared" ca="1" si="9"/>
        <v>2552.3817464600829</v>
      </c>
      <c r="O36" s="2">
        <f t="shared" ca="1" si="9"/>
        <v>2015.7322661369165</v>
      </c>
      <c r="P36" s="2">
        <f t="shared" ca="1" si="9"/>
        <v>2990.9689969250949</v>
      </c>
      <c r="Q36" s="2">
        <f t="shared" ca="1" si="9"/>
        <v>2555.4577260361657</v>
      </c>
      <c r="R36" s="2">
        <f t="shared" ca="1" si="9"/>
        <v>2455.3051249430036</v>
      </c>
      <c r="S36" s="2">
        <f t="shared" ca="1" si="8"/>
        <v>2843.7820537837988</v>
      </c>
      <c r="T36" s="2">
        <f t="shared" ca="1" si="8"/>
        <v>2896.7561283448576</v>
      </c>
      <c r="U36" s="2">
        <f t="shared" ca="1" si="8"/>
        <v>2038.0111453619922</v>
      </c>
      <c r="V36" s="2">
        <f t="shared" ca="1" si="8"/>
        <v>2149.2855665524103</v>
      </c>
      <c r="W36" s="2">
        <f t="shared" ca="1" si="8"/>
        <v>2568.8154601086653</v>
      </c>
      <c r="X36" s="2">
        <f t="shared" ca="1" si="8"/>
        <v>2139.8561220019383</v>
      </c>
      <c r="Y36" s="2">
        <f t="shared" ca="1" si="8"/>
        <v>2135.4535970232209</v>
      </c>
      <c r="Z36" s="2">
        <f t="shared" ca="1" si="4"/>
        <v>2049.3647727041148</v>
      </c>
      <c r="AA36" s="2">
        <f t="shared" ca="1" si="5"/>
        <v>2811.7658423377466</v>
      </c>
      <c r="AB36" s="2">
        <f t="shared" ca="1" si="5"/>
        <v>2875.0084263390413</v>
      </c>
      <c r="AC36" s="2">
        <f t="shared" ca="1" si="5"/>
        <v>2043.4659921667783</v>
      </c>
      <c r="AD36" s="2">
        <f t="shared" ca="1" si="5"/>
        <v>2639.9851043473486</v>
      </c>
      <c r="AE36" s="2">
        <f t="shared" ca="1" si="5"/>
        <v>2317.5825319543987</v>
      </c>
      <c r="AF36" s="2">
        <f t="shared" ca="1" si="5"/>
        <v>2988.3466506310006</v>
      </c>
      <c r="AG36" s="2">
        <f t="shared" ca="1" si="5"/>
        <v>2691.8833550738332</v>
      </c>
      <c r="AH36" s="2">
        <f t="shared" ca="1" si="5"/>
        <v>2339.3369505767705</v>
      </c>
    </row>
    <row r="37" spans="1:34">
      <c r="A37" t="str">
        <f t="shared" si="6"/>
        <v>Lentils</v>
      </c>
      <c r="B37" t="str">
        <f t="shared" si="7"/>
        <v>Afar</v>
      </c>
      <c r="C37" s="2">
        <f t="shared" ca="1" si="9"/>
        <v>2078.327996162282</v>
      </c>
      <c r="D37" s="2">
        <f t="shared" ca="1" si="9"/>
        <v>2236.849150347045</v>
      </c>
      <c r="E37" s="2">
        <f t="shared" ca="1" si="9"/>
        <v>2176.9041273037606</v>
      </c>
      <c r="F37" s="2">
        <f t="shared" ca="1" si="9"/>
        <v>2926.1813324506147</v>
      </c>
      <c r="G37" s="2">
        <f t="shared" ca="1" si="9"/>
        <v>2343.1008440375099</v>
      </c>
      <c r="H37" s="2">
        <f t="shared" ca="1" si="9"/>
        <v>2906.1608321248464</v>
      </c>
      <c r="I37" s="2">
        <f t="shared" ca="1" si="9"/>
        <v>2680.6691484199405</v>
      </c>
      <c r="J37" s="2">
        <f t="shared" ca="1" si="9"/>
        <v>2319.4962844752422</v>
      </c>
      <c r="K37" s="2">
        <f t="shared" ca="1" si="9"/>
        <v>2697.5134829396561</v>
      </c>
      <c r="L37" s="2">
        <f t="shared" ca="1" si="9"/>
        <v>2746.2982099780957</v>
      </c>
      <c r="M37" s="2">
        <f t="shared" ca="1" si="9"/>
        <v>2289.6876500453432</v>
      </c>
      <c r="N37" s="2">
        <f t="shared" ca="1" si="9"/>
        <v>2848.6326190991172</v>
      </c>
      <c r="O37" s="2">
        <f t="shared" ca="1" si="9"/>
        <v>2264.9310873679033</v>
      </c>
      <c r="P37" s="2">
        <f t="shared" ca="1" si="9"/>
        <v>2453.2733305372021</v>
      </c>
      <c r="Q37" s="2">
        <f t="shared" ca="1" si="9"/>
        <v>2208.4084646498873</v>
      </c>
      <c r="R37" s="2">
        <f t="shared" ca="1" si="9"/>
        <v>2955.807386709876</v>
      </c>
      <c r="S37" s="2">
        <f t="shared" ca="1" si="8"/>
        <v>2659.1093504063756</v>
      </c>
      <c r="T37" s="2">
        <f t="shared" ca="1" si="8"/>
        <v>2738.6405419308062</v>
      </c>
      <c r="U37" s="2">
        <f t="shared" ca="1" si="8"/>
        <v>2565.1375860101944</v>
      </c>
      <c r="V37" s="2">
        <f t="shared" ca="1" si="8"/>
        <v>2460.5425262977328</v>
      </c>
      <c r="W37" s="2">
        <f t="shared" ca="1" si="8"/>
        <v>2252.0959173306223</v>
      </c>
      <c r="X37" s="2">
        <f t="shared" ca="1" si="8"/>
        <v>2137.1274242738814</v>
      </c>
      <c r="Y37" s="2">
        <f t="shared" ca="1" si="8"/>
        <v>2718.2716269593848</v>
      </c>
      <c r="Z37" s="2">
        <f t="shared" ca="1" si="4"/>
        <v>2180.962227671328</v>
      </c>
      <c r="AA37" s="2">
        <f t="shared" ca="1" si="5"/>
        <v>2992.1431948497939</v>
      </c>
      <c r="AB37" s="2">
        <f t="shared" ca="1" si="5"/>
        <v>2978.4320185377469</v>
      </c>
      <c r="AC37" s="2">
        <f t="shared" ca="1" si="5"/>
        <v>2301.1729095552237</v>
      </c>
      <c r="AD37" s="2">
        <f t="shared" ca="1" si="5"/>
        <v>2652.7233891915562</v>
      </c>
      <c r="AE37" s="2">
        <f t="shared" ca="1" si="5"/>
        <v>2431.2812061363206</v>
      </c>
      <c r="AF37" s="2">
        <f t="shared" ca="1" si="5"/>
        <v>2838.3567497925696</v>
      </c>
      <c r="AG37" s="2">
        <f t="shared" ca="1" si="5"/>
        <v>2472.2296454663483</v>
      </c>
      <c r="AH37" s="2">
        <f t="shared" ca="1" si="5"/>
        <v>2973.8497196488415</v>
      </c>
    </row>
    <row r="38" spans="1:34">
      <c r="A38" t="str">
        <f t="shared" si="6"/>
        <v>Lentils</v>
      </c>
      <c r="B38" t="str">
        <f t="shared" si="7"/>
        <v>Amhara</v>
      </c>
      <c r="C38" s="2">
        <f t="shared" ca="1" si="9"/>
        <v>2861.7492895025675</v>
      </c>
      <c r="D38" s="2">
        <f t="shared" ca="1" si="9"/>
        <v>2782.3699681707199</v>
      </c>
      <c r="E38" s="2">
        <f t="shared" ca="1" si="9"/>
        <v>2547.2060691643451</v>
      </c>
      <c r="F38" s="2">
        <f t="shared" ca="1" si="9"/>
        <v>2602.6613063945115</v>
      </c>
      <c r="G38" s="2">
        <f t="shared" ca="1" si="9"/>
        <v>2735.0019219813976</v>
      </c>
      <c r="H38" s="2">
        <f t="shared" ca="1" si="9"/>
        <v>2553.7748505242607</v>
      </c>
      <c r="I38" s="2">
        <f t="shared" ca="1" si="9"/>
        <v>2962.3234898094706</v>
      </c>
      <c r="J38" s="2">
        <f t="shared" ca="1" si="9"/>
        <v>2970.3782906226256</v>
      </c>
      <c r="K38" s="2">
        <f t="shared" ca="1" si="9"/>
        <v>2816.8960163210595</v>
      </c>
      <c r="L38" s="2">
        <f t="shared" ca="1" si="9"/>
        <v>2779.7537760759797</v>
      </c>
      <c r="M38" s="2">
        <f t="shared" ca="1" si="9"/>
        <v>2012.9621381563286</v>
      </c>
      <c r="N38" s="2">
        <f t="shared" ca="1" si="9"/>
        <v>2682.4062687246746</v>
      </c>
      <c r="O38" s="2">
        <f t="shared" ca="1" si="9"/>
        <v>2945.3490714472819</v>
      </c>
      <c r="P38" s="2">
        <f t="shared" ca="1" si="9"/>
        <v>2479.1311516659803</v>
      </c>
      <c r="Q38" s="2">
        <f t="shared" ca="1" si="9"/>
        <v>2907.9292235234566</v>
      </c>
      <c r="R38" s="2">
        <f t="shared" ca="1" si="9"/>
        <v>2509.355803973629</v>
      </c>
      <c r="S38" s="2">
        <f t="shared" ca="1" si="8"/>
        <v>2271.9886414036114</v>
      </c>
      <c r="T38" s="2">
        <f t="shared" ca="1" si="8"/>
        <v>2616.7562512547779</v>
      </c>
      <c r="U38" s="2">
        <f t="shared" ca="1" si="8"/>
        <v>2999.7402327065765</v>
      </c>
      <c r="V38" s="2">
        <f t="shared" ca="1" si="8"/>
        <v>2017.0403062265648</v>
      </c>
      <c r="W38" s="2">
        <f t="shared" ca="1" si="8"/>
        <v>2762.642459052624</v>
      </c>
      <c r="X38" s="2">
        <f t="shared" ca="1" si="8"/>
        <v>2551.779466070896</v>
      </c>
      <c r="Y38" s="2">
        <f t="shared" ca="1" si="8"/>
        <v>2276.8778572239116</v>
      </c>
      <c r="Z38" s="2">
        <f t="shared" ca="1" si="4"/>
        <v>2269.4865602875207</v>
      </c>
      <c r="AA38" s="2">
        <f t="shared" ca="1" si="5"/>
        <v>2020.0269455835867</v>
      </c>
      <c r="AB38" s="2">
        <f t="shared" ca="1" si="5"/>
        <v>2002.4025157504823</v>
      </c>
      <c r="AC38" s="2">
        <f t="shared" ca="1" si="5"/>
        <v>2914.295406441292</v>
      </c>
      <c r="AD38" s="2">
        <f t="shared" ca="1" si="5"/>
        <v>2632.3223490855271</v>
      </c>
      <c r="AE38" s="2">
        <f t="shared" ca="1" si="5"/>
        <v>2738.0248137801755</v>
      </c>
      <c r="AF38" s="2">
        <f t="shared" ca="1" si="5"/>
        <v>2766.8398780504922</v>
      </c>
      <c r="AG38" s="2">
        <f t="shared" ca="1" si="5"/>
        <v>2941.5240384924409</v>
      </c>
      <c r="AH38" s="2">
        <f t="shared" ca="1" si="5"/>
        <v>2629.3132472669827</v>
      </c>
    </row>
    <row r="39" spans="1:34">
      <c r="A39" t="str">
        <f t="shared" si="6"/>
        <v>Lentils</v>
      </c>
      <c r="B39" t="str">
        <f t="shared" si="7"/>
        <v>Gumuz</v>
      </c>
      <c r="C39" s="2">
        <f t="shared" ca="1" si="9"/>
        <v>2149.2100170987983</v>
      </c>
      <c r="D39" s="2">
        <f t="shared" ca="1" si="9"/>
        <v>2842.145411661043</v>
      </c>
      <c r="E39" s="2">
        <f t="shared" ca="1" si="9"/>
        <v>2171.9878293358584</v>
      </c>
      <c r="F39" s="2">
        <f t="shared" ca="1" si="9"/>
        <v>2083.5036479245082</v>
      </c>
      <c r="G39" s="2">
        <f t="shared" ca="1" si="9"/>
        <v>2935.5288626014458</v>
      </c>
      <c r="H39" s="2">
        <f t="shared" ca="1" si="9"/>
        <v>2513.790158014423</v>
      </c>
      <c r="I39" s="2">
        <f t="shared" ca="1" si="9"/>
        <v>2804.2656792915714</v>
      </c>
      <c r="J39" s="2">
        <f t="shared" ca="1" si="9"/>
        <v>2837.0082262491883</v>
      </c>
      <c r="K39" s="2">
        <f t="shared" ca="1" si="9"/>
        <v>2314.5042266953055</v>
      </c>
      <c r="L39" s="2">
        <f t="shared" ca="1" si="9"/>
        <v>2222.6101218713588</v>
      </c>
      <c r="M39" s="2">
        <f t="shared" ca="1" si="9"/>
        <v>2972.9810018894973</v>
      </c>
      <c r="N39" s="2">
        <f t="shared" ca="1" si="9"/>
        <v>2662.497085488018</v>
      </c>
      <c r="O39" s="2">
        <f t="shared" ca="1" si="9"/>
        <v>2965.3582203154992</v>
      </c>
      <c r="P39" s="2">
        <f t="shared" ca="1" si="9"/>
        <v>2358.682648409349</v>
      </c>
      <c r="Q39" s="2">
        <f t="shared" ca="1" si="9"/>
        <v>2183.3902076092586</v>
      </c>
      <c r="R39" s="2">
        <f t="shared" ca="1" si="9"/>
        <v>2402.146880544266</v>
      </c>
      <c r="S39" s="2">
        <f t="shared" ca="1" si="8"/>
        <v>2527.209534187321</v>
      </c>
      <c r="T39" s="2">
        <f t="shared" ca="1" si="8"/>
        <v>2620.6685691323555</v>
      </c>
      <c r="U39" s="2">
        <f t="shared" ca="1" si="8"/>
        <v>2120.8080891136542</v>
      </c>
      <c r="V39" s="2">
        <f t="shared" ca="1" si="8"/>
        <v>2796.1861312012375</v>
      </c>
      <c r="W39" s="2">
        <f t="shared" ca="1" si="8"/>
        <v>2718.1949447300485</v>
      </c>
      <c r="X39" s="2">
        <f t="shared" ca="1" si="8"/>
        <v>2130.6753386745963</v>
      </c>
      <c r="Y39" s="2">
        <f t="shared" ca="1" si="8"/>
        <v>2226.1476761545428</v>
      </c>
      <c r="Z39" s="2">
        <f t="shared" ca="1" si="4"/>
        <v>2791.1326986614104</v>
      </c>
      <c r="AA39" s="2">
        <f t="shared" ca="1" si="5"/>
        <v>2190.5723837612491</v>
      </c>
      <c r="AB39" s="2">
        <f t="shared" ca="1" si="5"/>
        <v>2930.9756740072712</v>
      </c>
      <c r="AC39" s="2">
        <f t="shared" ca="1" si="5"/>
        <v>2311.7037766838371</v>
      </c>
      <c r="AD39" s="2">
        <f t="shared" ca="1" si="5"/>
        <v>2751.9411634106273</v>
      </c>
      <c r="AE39" s="2">
        <f t="shared" ca="1" si="5"/>
        <v>2253.6756588637995</v>
      </c>
      <c r="AF39" s="2">
        <f t="shared" ca="1" si="5"/>
        <v>2367.000862945094</v>
      </c>
      <c r="AG39" s="2">
        <f t="shared" ca="1" si="5"/>
        <v>2516.9569756565961</v>
      </c>
      <c r="AH39" s="2">
        <f t="shared" ca="1" si="5"/>
        <v>2660.9413447730831</v>
      </c>
    </row>
    <row r="40" spans="1:34">
      <c r="A40" t="str">
        <f t="shared" si="6"/>
        <v>Lentils</v>
      </c>
      <c r="B40" t="str">
        <f t="shared" si="7"/>
        <v>DireDawa</v>
      </c>
      <c r="C40" s="2">
        <f t="shared" ca="1" si="9"/>
        <v>2764.5193811655945</v>
      </c>
      <c r="D40" s="2">
        <f t="shared" ca="1" si="9"/>
        <v>2397.7649826631409</v>
      </c>
      <c r="E40" s="2">
        <f t="shared" ca="1" si="9"/>
        <v>2930.5289592010517</v>
      </c>
      <c r="F40" s="2">
        <f t="shared" ca="1" si="9"/>
        <v>2668.5246233913854</v>
      </c>
      <c r="G40" s="2">
        <f t="shared" ca="1" si="9"/>
        <v>2333.2895514252814</v>
      </c>
      <c r="H40" s="2">
        <f t="shared" ca="1" si="9"/>
        <v>2336.9748492298791</v>
      </c>
      <c r="I40" s="2">
        <f t="shared" ca="1" si="9"/>
        <v>2558.8415326319741</v>
      </c>
      <c r="J40" s="2">
        <f t="shared" ca="1" si="9"/>
        <v>2185.7057988146285</v>
      </c>
      <c r="K40" s="2">
        <f t="shared" ca="1" si="9"/>
        <v>2158.8368955452734</v>
      </c>
      <c r="L40" s="2">
        <f t="shared" ca="1" si="9"/>
        <v>2761.3108823702642</v>
      </c>
      <c r="M40" s="2">
        <f t="shared" ca="1" si="9"/>
        <v>2264.8797923190632</v>
      </c>
      <c r="N40" s="2">
        <f t="shared" ca="1" si="9"/>
        <v>2785.6538647939637</v>
      </c>
      <c r="O40" s="2">
        <f t="shared" ca="1" si="9"/>
        <v>2882.1503245368881</v>
      </c>
      <c r="P40" s="2">
        <f t="shared" ca="1" si="9"/>
        <v>2683.8669175147184</v>
      </c>
      <c r="Q40" s="2">
        <f t="shared" ca="1" si="9"/>
        <v>2433.2590923124585</v>
      </c>
      <c r="R40" s="2">
        <f t="shared" ca="1" si="9"/>
        <v>2208.8790795494615</v>
      </c>
      <c r="S40" s="2">
        <f t="shared" ca="1" si="8"/>
        <v>2774.2130124404694</v>
      </c>
      <c r="T40" s="2">
        <f t="shared" ca="1" si="8"/>
        <v>2200.4840196907044</v>
      </c>
      <c r="U40" s="2">
        <f t="shared" ca="1" si="8"/>
        <v>2280.468969810524</v>
      </c>
      <c r="V40" s="2">
        <f t="shared" ca="1" si="8"/>
        <v>2517.3774217966015</v>
      </c>
      <c r="W40" s="2">
        <f t="shared" ca="1" si="8"/>
        <v>2676.8167722467747</v>
      </c>
      <c r="X40" s="2">
        <f t="shared" ca="1" si="8"/>
        <v>2130.9201899159725</v>
      </c>
      <c r="Y40" s="2">
        <f t="shared" ca="1" si="8"/>
        <v>2535.3720214975933</v>
      </c>
      <c r="Z40" s="2">
        <f t="shared" ca="1" si="4"/>
        <v>2789.9146742261082</v>
      </c>
      <c r="AA40" s="2">
        <f t="shared" ca="1" si="5"/>
        <v>2984.1739484985906</v>
      </c>
      <c r="AB40" s="2">
        <f t="shared" ca="1" si="5"/>
        <v>2393.1672563970787</v>
      </c>
      <c r="AC40" s="2">
        <f t="shared" ca="1" si="5"/>
        <v>2680.9629461951154</v>
      </c>
      <c r="AD40" s="2">
        <f t="shared" ca="1" si="5"/>
        <v>2599.0630156891621</v>
      </c>
      <c r="AE40" s="2">
        <f t="shared" ca="1" si="5"/>
        <v>2555.7462694971846</v>
      </c>
      <c r="AF40" s="2">
        <f t="shared" ca="1" si="5"/>
        <v>2371.9944101025662</v>
      </c>
      <c r="AG40" s="2">
        <f t="shared" ca="1" si="5"/>
        <v>2912.3230110612435</v>
      </c>
      <c r="AH40" s="2">
        <f t="shared" ca="1" si="5"/>
        <v>2821.2048318047823</v>
      </c>
    </row>
    <row r="41" spans="1:34">
      <c r="A41" t="str">
        <f t="shared" si="6"/>
        <v>Lentils</v>
      </c>
      <c r="B41" t="str">
        <f t="shared" si="7"/>
        <v>Gambela</v>
      </c>
      <c r="C41" s="2">
        <f t="shared" ca="1" si="9"/>
        <v>2159.5956897139531</v>
      </c>
      <c r="D41" s="2">
        <f t="shared" ca="1" si="9"/>
        <v>2260.516008447371</v>
      </c>
      <c r="E41" s="2">
        <f t="shared" ca="1" si="9"/>
        <v>2301.5410984186037</v>
      </c>
      <c r="F41" s="2">
        <f t="shared" ca="1" si="9"/>
        <v>2459.5376511229106</v>
      </c>
      <c r="G41" s="2">
        <f t="shared" ca="1" si="9"/>
        <v>2116.8205733777422</v>
      </c>
      <c r="H41" s="2">
        <f t="shared" ca="1" si="9"/>
        <v>2683.5919066982929</v>
      </c>
      <c r="I41" s="2">
        <f t="shared" ca="1" si="9"/>
        <v>2877.7916967723895</v>
      </c>
      <c r="J41" s="2">
        <f t="shared" ca="1" si="9"/>
        <v>2616.6518271318955</v>
      </c>
      <c r="K41" s="2">
        <f t="shared" ca="1" si="9"/>
        <v>2766.7442606220561</v>
      </c>
      <c r="L41" s="2">
        <f t="shared" ca="1" si="9"/>
        <v>2789.5225073675733</v>
      </c>
      <c r="M41" s="2">
        <f t="shared" ca="1" si="9"/>
        <v>2141.0904561291754</v>
      </c>
      <c r="N41" s="2">
        <f t="shared" ca="1" si="9"/>
        <v>2849.0183971395463</v>
      </c>
      <c r="O41" s="2">
        <f t="shared" ca="1" si="9"/>
        <v>2480.286167830277</v>
      </c>
      <c r="P41" s="2">
        <f t="shared" ca="1" si="9"/>
        <v>2322.1694590073612</v>
      </c>
      <c r="Q41" s="2">
        <f t="shared" ca="1" si="9"/>
        <v>2905.2082180526395</v>
      </c>
      <c r="R41" s="2">
        <f t="shared" ca="1" si="9"/>
        <v>2029.782277900435</v>
      </c>
      <c r="S41" s="2">
        <f t="shared" ca="1" si="8"/>
        <v>2737.5200967790793</v>
      </c>
      <c r="T41" s="2">
        <f t="shared" ca="1" si="8"/>
        <v>2816.2673277963304</v>
      </c>
      <c r="U41" s="2">
        <f t="shared" ca="1" si="8"/>
        <v>2762.0476486624393</v>
      </c>
      <c r="V41" s="2">
        <f t="shared" ca="1" si="8"/>
        <v>2345.409088641276</v>
      </c>
      <c r="W41" s="2">
        <f t="shared" ca="1" si="8"/>
        <v>2006.9061310848367</v>
      </c>
      <c r="X41" s="2">
        <f t="shared" ca="1" si="8"/>
        <v>2544.6115578555473</v>
      </c>
      <c r="Y41" s="2">
        <f t="shared" ca="1" si="8"/>
        <v>2578.5070578244163</v>
      </c>
      <c r="Z41" s="2">
        <f t="shared" ca="1" si="4"/>
        <v>2779.8164293835853</v>
      </c>
      <c r="AA41" s="2">
        <f t="shared" ca="1" si="5"/>
        <v>2148.8825584946721</v>
      </c>
      <c r="AB41" s="2">
        <f t="shared" ca="1" si="5"/>
        <v>2384.873364505991</v>
      </c>
      <c r="AC41" s="2">
        <f t="shared" ca="1" si="5"/>
        <v>2018.6695452073504</v>
      </c>
      <c r="AD41" s="2">
        <f t="shared" ca="1" si="5"/>
        <v>2728.0615287015544</v>
      </c>
      <c r="AE41" s="2">
        <f t="shared" ca="1" si="5"/>
        <v>2241.9785414650255</v>
      </c>
      <c r="AF41" s="2">
        <f t="shared" ca="1" si="5"/>
        <v>2667.9041365265225</v>
      </c>
      <c r="AG41" s="2">
        <f t="shared" ca="1" si="5"/>
        <v>2403.0487773357304</v>
      </c>
      <c r="AH41" s="2">
        <f t="shared" ca="1" si="5"/>
        <v>2279.8545591578845</v>
      </c>
    </row>
    <row r="42" spans="1:34">
      <c r="A42" t="str">
        <f t="shared" si="6"/>
        <v>Lentils</v>
      </c>
      <c r="B42" t="str">
        <f t="shared" si="7"/>
        <v>Harari</v>
      </c>
      <c r="C42" s="2">
        <f t="shared" ca="1" si="9"/>
        <v>2778.3125984426993</v>
      </c>
      <c r="D42" s="2">
        <f t="shared" ca="1" si="9"/>
        <v>2269.0125047567476</v>
      </c>
      <c r="E42" s="2">
        <f t="shared" ca="1" si="9"/>
        <v>2809.3115373247642</v>
      </c>
      <c r="F42" s="2">
        <f t="shared" ca="1" si="9"/>
        <v>2664.2145478230377</v>
      </c>
      <c r="G42" s="2">
        <f t="shared" ca="1" si="9"/>
        <v>2073.184401248519</v>
      </c>
      <c r="H42" s="2">
        <f t="shared" ca="1" si="9"/>
        <v>2376.7909947058197</v>
      </c>
      <c r="I42" s="2">
        <f t="shared" ca="1" si="9"/>
        <v>2653.5638194536955</v>
      </c>
      <c r="J42" s="2">
        <f t="shared" ca="1" si="9"/>
        <v>2866.6813725101174</v>
      </c>
      <c r="K42" s="2">
        <f t="shared" ca="1" si="9"/>
        <v>2180.2423056153702</v>
      </c>
      <c r="L42" s="2">
        <f t="shared" ca="1" si="9"/>
        <v>2479.0026799370762</v>
      </c>
      <c r="M42" s="2">
        <f t="shared" ca="1" si="9"/>
        <v>2694.1848928025465</v>
      </c>
      <c r="N42" s="2">
        <f t="shared" ca="1" si="9"/>
        <v>2858.7278562518577</v>
      </c>
      <c r="O42" s="2">
        <f t="shared" ca="1" si="9"/>
        <v>2717.2634520965171</v>
      </c>
      <c r="P42" s="2">
        <f t="shared" ca="1" si="9"/>
        <v>2325.5638276296822</v>
      </c>
      <c r="Q42" s="2">
        <f t="shared" ca="1" si="9"/>
        <v>2805.4857063434583</v>
      </c>
      <c r="R42" s="2">
        <f t="shared" ca="1" si="9"/>
        <v>2678.6937325672707</v>
      </c>
      <c r="S42" s="2">
        <f t="shared" ca="1" si="8"/>
        <v>2727.9263598556122</v>
      </c>
      <c r="T42" s="2">
        <f t="shared" ca="1" si="8"/>
        <v>2667.2152541052146</v>
      </c>
      <c r="U42" s="2">
        <f t="shared" ca="1" si="8"/>
        <v>2555.2051123240876</v>
      </c>
      <c r="V42" s="2">
        <f t="shared" ca="1" si="8"/>
        <v>2019.8411169746291</v>
      </c>
      <c r="W42" s="2">
        <f t="shared" ca="1" si="8"/>
        <v>2223.1138659247345</v>
      </c>
      <c r="X42" s="2">
        <f t="shared" ca="1" si="8"/>
        <v>2997.7424421606906</v>
      </c>
      <c r="Y42" s="2">
        <f t="shared" ca="1" si="8"/>
        <v>2753.6567045685592</v>
      </c>
      <c r="Z42" s="2">
        <f t="shared" ca="1" si="4"/>
        <v>2321.0676853575592</v>
      </c>
      <c r="AA42" s="2">
        <f t="shared" ca="1" si="5"/>
        <v>2275.3756701243615</v>
      </c>
      <c r="AB42" s="2">
        <f t="shared" ca="1" si="5"/>
        <v>2807.0361971471189</v>
      </c>
      <c r="AC42" s="2">
        <f t="shared" ca="1" si="5"/>
        <v>2029.2061142619343</v>
      </c>
      <c r="AD42" s="2">
        <f t="shared" ca="1" si="5"/>
        <v>2607.955659345017</v>
      </c>
      <c r="AE42" s="2">
        <f t="shared" ca="1" si="5"/>
        <v>2561.0387569990271</v>
      </c>
      <c r="AF42" s="2">
        <f t="shared" ca="1" si="5"/>
        <v>2868.3970092830718</v>
      </c>
      <c r="AG42" s="2">
        <f t="shared" ca="1" si="5"/>
        <v>2640.1317193855734</v>
      </c>
      <c r="AH42" s="2">
        <f t="shared" ref="D42:AH51" ca="1" si="10">(RAND()*1+2)*1000</f>
        <v>2238.1098169617057</v>
      </c>
    </row>
    <row r="43" spans="1:34">
      <c r="A43" t="str">
        <f t="shared" si="6"/>
        <v>Lentils</v>
      </c>
      <c r="B43" t="str">
        <f t="shared" si="7"/>
        <v>Oromia</v>
      </c>
      <c r="C43" s="2">
        <f t="shared" ca="1" si="9"/>
        <v>2215.8227865504327</v>
      </c>
      <c r="D43" s="2">
        <f t="shared" ca="1" si="10"/>
        <v>2406.7343811731002</v>
      </c>
      <c r="E43" s="2">
        <f t="shared" ca="1" si="10"/>
        <v>2270.6018745367733</v>
      </c>
      <c r="F43" s="2">
        <f t="shared" ca="1" si="10"/>
        <v>2513.8907092256568</v>
      </c>
      <c r="G43" s="2">
        <f t="shared" ca="1" si="10"/>
        <v>2864.1973111216007</v>
      </c>
      <c r="H43" s="2">
        <f t="shared" ca="1" si="10"/>
        <v>2024.3758827214667</v>
      </c>
      <c r="I43" s="2">
        <f t="shared" ca="1" si="10"/>
        <v>2135.2424375794699</v>
      </c>
      <c r="J43" s="2">
        <f t="shared" ca="1" si="10"/>
        <v>2489.0270561312855</v>
      </c>
      <c r="K43" s="2">
        <f t="shared" ca="1" si="10"/>
        <v>2371.1040435350997</v>
      </c>
      <c r="L43" s="2">
        <f t="shared" ca="1" si="10"/>
        <v>2645.7331746372329</v>
      </c>
      <c r="M43" s="2">
        <f t="shared" ca="1" si="10"/>
        <v>2680.8151907734214</v>
      </c>
      <c r="N43" s="2">
        <f t="shared" ca="1" si="10"/>
        <v>2457.8472398925046</v>
      </c>
      <c r="O43" s="2">
        <f t="shared" ca="1" si="10"/>
        <v>2912.7687962693367</v>
      </c>
      <c r="P43" s="2">
        <f t="shared" ca="1" si="10"/>
        <v>2005.8911411713352</v>
      </c>
      <c r="Q43" s="2">
        <f t="shared" ca="1" si="10"/>
        <v>2897.4292378888854</v>
      </c>
      <c r="R43" s="2">
        <f t="shared" ca="1" si="10"/>
        <v>2349.6064265110808</v>
      </c>
      <c r="S43" s="2">
        <f t="shared" ca="1" si="10"/>
        <v>2702.0235299032297</v>
      </c>
      <c r="T43" s="2">
        <f t="shared" ca="1" si="10"/>
        <v>2240.1221011899961</v>
      </c>
      <c r="U43" s="2">
        <f t="shared" ca="1" si="10"/>
        <v>2384.0347503185558</v>
      </c>
      <c r="V43" s="2">
        <f t="shared" ca="1" si="10"/>
        <v>2804.4570171747951</v>
      </c>
      <c r="W43" s="2">
        <f t="shared" ca="1" si="10"/>
        <v>2939.0980044410585</v>
      </c>
      <c r="X43" s="2">
        <f t="shared" ca="1" si="10"/>
        <v>2200.2353165869822</v>
      </c>
      <c r="Y43" s="2">
        <f t="shared" ca="1" si="10"/>
        <v>2411.1812221610176</v>
      </c>
      <c r="Z43" s="2">
        <f t="shared" ca="1" si="10"/>
        <v>2683.2653339990138</v>
      </c>
      <c r="AA43" s="2">
        <f t="shared" ca="1" si="10"/>
        <v>2891.2879068784409</v>
      </c>
      <c r="AB43" s="2">
        <f t="shared" ca="1" si="10"/>
        <v>2531.5121780203308</v>
      </c>
      <c r="AC43" s="2">
        <f t="shared" ca="1" si="10"/>
        <v>2521.3684622912042</v>
      </c>
      <c r="AD43" s="2">
        <f t="shared" ca="1" si="10"/>
        <v>2307.2199889894014</v>
      </c>
      <c r="AE43" s="2">
        <f t="shared" ca="1" si="10"/>
        <v>2818.4504578287892</v>
      </c>
      <c r="AF43" s="2">
        <f t="shared" ca="1" si="10"/>
        <v>2430.86083472874</v>
      </c>
      <c r="AG43" s="2">
        <f t="shared" ca="1" si="10"/>
        <v>2818.1077574905471</v>
      </c>
      <c r="AH43" s="2">
        <f t="shared" ca="1" si="10"/>
        <v>2868.1847599232456</v>
      </c>
    </row>
    <row r="44" spans="1:34">
      <c r="A44" t="str">
        <f t="shared" si="6"/>
        <v>Lentils</v>
      </c>
      <c r="B44" t="str">
        <f t="shared" si="7"/>
        <v>Somali</v>
      </c>
      <c r="C44" s="2">
        <f t="shared" ca="1" si="9"/>
        <v>2682.2344735704019</v>
      </c>
      <c r="D44" s="2">
        <f t="shared" ca="1" si="10"/>
        <v>2859.7641931809462</v>
      </c>
      <c r="E44" s="2">
        <f t="shared" ca="1" si="10"/>
        <v>2702.7933778420729</v>
      </c>
      <c r="F44" s="2">
        <f t="shared" ca="1" si="10"/>
        <v>2181.2032476563463</v>
      </c>
      <c r="G44" s="2">
        <f t="shared" ca="1" si="10"/>
        <v>2884.1352973010626</v>
      </c>
      <c r="H44" s="2">
        <f t="shared" ca="1" si="10"/>
        <v>2214.3495200147072</v>
      </c>
      <c r="I44" s="2">
        <f t="shared" ca="1" si="10"/>
        <v>2648.3809442540819</v>
      </c>
      <c r="J44" s="2">
        <f t="shared" ca="1" si="10"/>
        <v>2539.2748177531125</v>
      </c>
      <c r="K44" s="2">
        <f t="shared" ca="1" si="10"/>
        <v>2389.1086327212179</v>
      </c>
      <c r="L44" s="2">
        <f t="shared" ca="1" si="10"/>
        <v>2466.8117632669309</v>
      </c>
      <c r="M44" s="2">
        <f t="shared" ca="1" si="10"/>
        <v>2219.4492522014548</v>
      </c>
      <c r="N44" s="2">
        <f t="shared" ca="1" si="10"/>
        <v>2781.7560577274794</v>
      </c>
      <c r="O44" s="2">
        <f t="shared" ca="1" si="10"/>
        <v>2805.7604391673567</v>
      </c>
      <c r="P44" s="2">
        <f t="shared" ca="1" si="10"/>
        <v>2269.210414571091</v>
      </c>
      <c r="Q44" s="2">
        <f t="shared" ca="1" si="10"/>
        <v>2270.6507873849464</v>
      </c>
      <c r="R44" s="2">
        <f t="shared" ca="1" si="10"/>
        <v>2544.5693648150732</v>
      </c>
      <c r="S44" s="2">
        <f t="shared" ca="1" si="10"/>
        <v>2381.7221118284806</v>
      </c>
      <c r="T44" s="2">
        <f t="shared" ca="1" si="10"/>
        <v>2399.4331928634961</v>
      </c>
      <c r="U44" s="2">
        <f t="shared" ca="1" si="10"/>
        <v>2399.8686831784598</v>
      </c>
      <c r="V44" s="2">
        <f t="shared" ca="1" si="10"/>
        <v>2666.3296793527734</v>
      </c>
      <c r="W44" s="2">
        <f t="shared" ca="1" si="10"/>
        <v>2668.8504511489414</v>
      </c>
      <c r="X44" s="2">
        <f t="shared" ca="1" si="10"/>
        <v>2101.229516810663</v>
      </c>
      <c r="Y44" s="2">
        <f t="shared" ca="1" si="10"/>
        <v>2213.7351986104882</v>
      </c>
      <c r="Z44" s="2">
        <f t="shared" ca="1" si="10"/>
        <v>2110.3334941790972</v>
      </c>
      <c r="AA44" s="2">
        <f t="shared" ca="1" si="10"/>
        <v>2559.4339300321249</v>
      </c>
      <c r="AB44" s="2">
        <f t="shared" ca="1" si="10"/>
        <v>2609.1929955527748</v>
      </c>
      <c r="AC44" s="2">
        <f t="shared" ca="1" si="10"/>
        <v>2206.2197832428574</v>
      </c>
      <c r="AD44" s="2">
        <f t="shared" ca="1" si="10"/>
        <v>2456.9862815783308</v>
      </c>
      <c r="AE44" s="2">
        <f t="shared" ca="1" si="10"/>
        <v>2799.6219136415411</v>
      </c>
      <c r="AF44" s="2">
        <f t="shared" ca="1" si="10"/>
        <v>2340.7250714357383</v>
      </c>
      <c r="AG44" s="2">
        <f t="shared" ca="1" si="10"/>
        <v>2933.0046520172386</v>
      </c>
      <c r="AH44" s="2">
        <f t="shared" ca="1" si="10"/>
        <v>2766.4724384523197</v>
      </c>
    </row>
    <row r="45" spans="1:34">
      <c r="A45" t="str">
        <f t="shared" si="6"/>
        <v>Lentils</v>
      </c>
      <c r="B45" t="str">
        <f t="shared" si="7"/>
        <v>SNNPR</v>
      </c>
      <c r="C45" s="2">
        <f t="shared" ca="1" si="9"/>
        <v>2092.9763042389877</v>
      </c>
      <c r="D45" s="2">
        <f t="shared" ca="1" si="10"/>
        <v>2739.5953027405994</v>
      </c>
      <c r="E45" s="2">
        <f t="shared" ca="1" si="10"/>
        <v>2820.9057819332461</v>
      </c>
      <c r="F45" s="2">
        <f t="shared" ca="1" si="10"/>
        <v>2896.9315122994813</v>
      </c>
      <c r="G45" s="2">
        <f t="shared" ca="1" si="10"/>
        <v>2601.449647924996</v>
      </c>
      <c r="H45" s="2">
        <f t="shared" ca="1" si="10"/>
        <v>2777.3935298605084</v>
      </c>
      <c r="I45" s="2">
        <f t="shared" ca="1" si="10"/>
        <v>2959.7152105375822</v>
      </c>
      <c r="J45" s="2">
        <f t="shared" ca="1" si="10"/>
        <v>2493.1426268194223</v>
      </c>
      <c r="K45" s="2">
        <f t="shared" ca="1" si="10"/>
        <v>2219.3138129922663</v>
      </c>
      <c r="L45" s="2">
        <f t="shared" ca="1" si="10"/>
        <v>2217.8688177500344</v>
      </c>
      <c r="M45" s="2">
        <f t="shared" ca="1" si="10"/>
        <v>2118.9835853294344</v>
      </c>
      <c r="N45" s="2">
        <f t="shared" ca="1" si="10"/>
        <v>2867.3408148831945</v>
      </c>
      <c r="O45" s="2">
        <f t="shared" ca="1" si="10"/>
        <v>2402.9650439640068</v>
      </c>
      <c r="P45" s="2">
        <f t="shared" ca="1" si="10"/>
        <v>2205.2444699066145</v>
      </c>
      <c r="Q45" s="2">
        <f t="shared" ca="1" si="10"/>
        <v>2285.028489403795</v>
      </c>
      <c r="R45" s="2">
        <f t="shared" ca="1" si="10"/>
        <v>2372.9412407487994</v>
      </c>
      <c r="S45" s="2">
        <f t="shared" ca="1" si="10"/>
        <v>2293.7846780576001</v>
      </c>
      <c r="T45" s="2">
        <f t="shared" ca="1" si="10"/>
        <v>2612.0722797485423</v>
      </c>
      <c r="U45" s="2">
        <f t="shared" ca="1" si="10"/>
        <v>2769.2043193003337</v>
      </c>
      <c r="V45" s="2">
        <f t="shared" ca="1" si="10"/>
        <v>2568.8914362253445</v>
      </c>
      <c r="W45" s="2">
        <f t="shared" ca="1" si="10"/>
        <v>2878.6644293038239</v>
      </c>
      <c r="X45" s="2">
        <f t="shared" ca="1" si="10"/>
        <v>2952.7130037248535</v>
      </c>
      <c r="Y45" s="2">
        <f t="shared" ca="1" si="10"/>
        <v>2664.4724608647384</v>
      </c>
      <c r="Z45" s="2">
        <f t="shared" ca="1" si="10"/>
        <v>2954.2298153193224</v>
      </c>
      <c r="AA45" s="2">
        <f t="shared" ca="1" si="10"/>
        <v>2200.7010074800673</v>
      </c>
      <c r="AB45" s="2">
        <f t="shared" ca="1" si="10"/>
        <v>2002.8683801188158</v>
      </c>
      <c r="AC45" s="2">
        <f t="shared" ca="1" si="10"/>
        <v>2975.2241325398445</v>
      </c>
      <c r="AD45" s="2">
        <f t="shared" ca="1" si="10"/>
        <v>2715.8247860312022</v>
      </c>
      <c r="AE45" s="2">
        <f t="shared" ca="1" si="10"/>
        <v>2571.2382179277238</v>
      </c>
      <c r="AF45" s="2">
        <f t="shared" ca="1" si="10"/>
        <v>2155.9049359597216</v>
      </c>
      <c r="AG45" s="2">
        <f t="shared" ca="1" si="10"/>
        <v>2994.8615171674355</v>
      </c>
      <c r="AH45" s="2">
        <f t="shared" ca="1" si="10"/>
        <v>2645.3692372851774</v>
      </c>
    </row>
    <row r="46" spans="1:34">
      <c r="A46" t="str">
        <f t="shared" si="6"/>
        <v>Lentils</v>
      </c>
      <c r="B46" t="str">
        <f t="shared" si="7"/>
        <v>Tigray</v>
      </c>
      <c r="C46" s="2">
        <f t="shared" ca="1" si="9"/>
        <v>2345.0266969200816</v>
      </c>
      <c r="D46" s="2">
        <f t="shared" ca="1" si="10"/>
        <v>2763.0698563067504</v>
      </c>
      <c r="E46" s="2">
        <f t="shared" ca="1" si="10"/>
        <v>2959.8269566410672</v>
      </c>
      <c r="F46" s="2">
        <f t="shared" ca="1" si="10"/>
        <v>2896.0614220856719</v>
      </c>
      <c r="G46" s="2">
        <f t="shared" ca="1" si="10"/>
        <v>2624.576144344102</v>
      </c>
      <c r="H46" s="2">
        <f t="shared" ca="1" si="10"/>
        <v>2724.219468576327</v>
      </c>
      <c r="I46" s="2">
        <f t="shared" ca="1" si="10"/>
        <v>2162.5520276386842</v>
      </c>
      <c r="J46" s="2">
        <f t="shared" ca="1" si="10"/>
        <v>2125.4858538671069</v>
      </c>
      <c r="K46" s="2">
        <f t="shared" ca="1" si="10"/>
        <v>2661.8120516374115</v>
      </c>
      <c r="L46" s="2">
        <f t="shared" ca="1" si="10"/>
        <v>2839.569466499388</v>
      </c>
      <c r="M46" s="2">
        <f t="shared" ca="1" si="10"/>
        <v>2831.4135220195044</v>
      </c>
      <c r="N46" s="2">
        <f t="shared" ca="1" si="10"/>
        <v>2221.0633198434753</v>
      </c>
      <c r="O46" s="2">
        <f t="shared" ca="1" si="10"/>
        <v>2604.6533953532726</v>
      </c>
      <c r="P46" s="2">
        <f t="shared" ca="1" si="10"/>
        <v>2824.1780007457337</v>
      </c>
      <c r="Q46" s="2">
        <f t="shared" ca="1" si="10"/>
        <v>2686.4674471561311</v>
      </c>
      <c r="R46" s="2">
        <f t="shared" ca="1" si="10"/>
        <v>2700.8772279786322</v>
      </c>
      <c r="S46" s="2">
        <f t="shared" ca="1" si="10"/>
        <v>2536.9558957778218</v>
      </c>
      <c r="T46" s="2">
        <f t="shared" ca="1" si="10"/>
        <v>2184.8017937729833</v>
      </c>
      <c r="U46" s="2">
        <f t="shared" ca="1" si="10"/>
        <v>2730.9001901788092</v>
      </c>
      <c r="V46" s="2">
        <f t="shared" ca="1" si="10"/>
        <v>2583.3812837543001</v>
      </c>
      <c r="W46" s="2">
        <f t="shared" ca="1" si="10"/>
        <v>2332.6170363232964</v>
      </c>
      <c r="X46" s="2">
        <f t="shared" ca="1" si="10"/>
        <v>2074.8834065844253</v>
      </c>
      <c r="Y46" s="2">
        <f t="shared" ca="1" si="10"/>
        <v>2042.0070648515134</v>
      </c>
      <c r="Z46" s="2">
        <f t="shared" ca="1" si="10"/>
        <v>2719.7481399486564</v>
      </c>
      <c r="AA46" s="2">
        <f t="shared" ca="1" si="10"/>
        <v>2031.4165719989842</v>
      </c>
      <c r="AB46" s="2">
        <f t="shared" ca="1" si="10"/>
        <v>2686.4240038237995</v>
      </c>
      <c r="AC46" s="2">
        <f t="shared" ca="1" si="10"/>
        <v>2448.2131483480616</v>
      </c>
      <c r="AD46" s="2">
        <f t="shared" ca="1" si="10"/>
        <v>2991.4064996060638</v>
      </c>
      <c r="AE46" s="2">
        <f t="shared" ca="1" si="10"/>
        <v>2579.1378936340834</v>
      </c>
      <c r="AF46" s="2">
        <f t="shared" ca="1" si="10"/>
        <v>2355.793353304025</v>
      </c>
      <c r="AG46" s="2">
        <f t="shared" ca="1" si="10"/>
        <v>2922.9266572791807</v>
      </c>
      <c r="AH46" s="2">
        <f t="shared" ca="1" si="10"/>
        <v>2645.9554722532089</v>
      </c>
    </row>
    <row r="47" spans="1:34">
      <c r="A47" t="str">
        <f t="shared" si="6"/>
        <v>Vegetables</v>
      </c>
      <c r="B47" t="str">
        <f t="shared" si="7"/>
        <v>AddisAbaba</v>
      </c>
      <c r="C47" s="2">
        <f t="shared" ca="1" si="9"/>
        <v>2513.5946568742738</v>
      </c>
      <c r="D47" s="2">
        <f t="shared" ca="1" si="10"/>
        <v>2235.3783497914587</v>
      </c>
      <c r="E47" s="2">
        <f t="shared" ca="1" si="10"/>
        <v>2878.790414079358</v>
      </c>
      <c r="F47" s="2">
        <f t="shared" ca="1" si="10"/>
        <v>2870.769022311812</v>
      </c>
      <c r="G47" s="2">
        <f t="shared" ca="1" si="10"/>
        <v>2196.0063916149711</v>
      </c>
      <c r="H47" s="2">
        <f t="shared" ca="1" si="10"/>
        <v>2079.5787695248869</v>
      </c>
      <c r="I47" s="2">
        <f t="shared" ca="1" si="10"/>
        <v>2246.5838691686713</v>
      </c>
      <c r="J47" s="2">
        <f t="shared" ca="1" si="10"/>
        <v>2075.6680852488689</v>
      </c>
      <c r="K47" s="2">
        <f t="shared" ca="1" si="10"/>
        <v>2167.8588251171727</v>
      </c>
      <c r="L47" s="2">
        <f t="shared" ca="1" si="10"/>
        <v>2504.4901458539143</v>
      </c>
      <c r="M47" s="2">
        <f t="shared" ca="1" si="10"/>
        <v>2050.0931279968004</v>
      </c>
      <c r="N47" s="2">
        <f t="shared" ca="1" si="10"/>
        <v>2461.7776678067939</v>
      </c>
      <c r="O47" s="2">
        <f t="shared" ca="1" si="10"/>
        <v>2603.7577316758902</v>
      </c>
      <c r="P47" s="2">
        <f t="shared" ca="1" si="10"/>
        <v>2895.1274735456373</v>
      </c>
      <c r="Q47" s="2">
        <f t="shared" ca="1" si="10"/>
        <v>2876.5741564188547</v>
      </c>
      <c r="R47" s="2">
        <f t="shared" ca="1" si="10"/>
        <v>2284.926607695164</v>
      </c>
      <c r="S47" s="2">
        <f t="shared" ca="1" si="10"/>
        <v>2305.0062402067815</v>
      </c>
      <c r="T47" s="2">
        <f t="shared" ca="1" si="10"/>
        <v>2910.8269160420336</v>
      </c>
      <c r="U47" s="2">
        <f t="shared" ca="1" si="10"/>
        <v>2534.8662373882712</v>
      </c>
      <c r="V47" s="2">
        <f t="shared" ca="1" si="10"/>
        <v>2262.5508156534202</v>
      </c>
      <c r="W47" s="2">
        <f t="shared" ca="1" si="10"/>
        <v>2633.5362982160568</v>
      </c>
      <c r="X47" s="2">
        <f t="shared" ca="1" si="10"/>
        <v>2315.8060900759406</v>
      </c>
      <c r="Y47" s="2">
        <f t="shared" ca="1" si="10"/>
        <v>2524.8440588238932</v>
      </c>
      <c r="Z47" s="2">
        <f t="shared" ca="1" si="10"/>
        <v>2299.5610455206242</v>
      </c>
      <c r="AA47" s="2">
        <f t="shared" ca="1" si="10"/>
        <v>2190.5668071495365</v>
      </c>
      <c r="AB47" s="2">
        <f t="shared" ca="1" si="10"/>
        <v>2017.658525522716</v>
      </c>
      <c r="AC47" s="2">
        <f t="shared" ca="1" si="10"/>
        <v>2751.1639843363637</v>
      </c>
      <c r="AD47" s="2">
        <f t="shared" ca="1" si="10"/>
        <v>2479.3463486732826</v>
      </c>
      <c r="AE47" s="2">
        <f t="shared" ca="1" si="10"/>
        <v>2313.136445497888</v>
      </c>
      <c r="AF47" s="2">
        <f t="shared" ca="1" si="10"/>
        <v>2280.1448324217599</v>
      </c>
      <c r="AG47" s="2">
        <f t="shared" ca="1" si="10"/>
        <v>2894.4350651566124</v>
      </c>
      <c r="AH47" s="2">
        <f t="shared" ca="1" si="10"/>
        <v>2275.306751605724</v>
      </c>
    </row>
    <row r="48" spans="1:34">
      <c r="A48" t="str">
        <f t="shared" si="6"/>
        <v>Vegetables</v>
      </c>
      <c r="B48" t="str">
        <f t="shared" si="7"/>
        <v>Afar</v>
      </c>
      <c r="C48" s="2">
        <f t="shared" ca="1" si="9"/>
        <v>2071.5045124486419</v>
      </c>
      <c r="D48" s="2">
        <f t="shared" ca="1" si="10"/>
        <v>2489.1320485036504</v>
      </c>
      <c r="E48" s="2">
        <f t="shared" ca="1" si="10"/>
        <v>2340.3670587419824</v>
      </c>
      <c r="F48" s="2">
        <f t="shared" ca="1" si="10"/>
        <v>2547.7410046597902</v>
      </c>
      <c r="G48" s="2">
        <f t="shared" ca="1" si="10"/>
        <v>2937.826138609486</v>
      </c>
      <c r="H48" s="2">
        <f t="shared" ca="1" si="10"/>
        <v>2396.4041547628885</v>
      </c>
      <c r="I48" s="2">
        <f t="shared" ca="1" si="10"/>
        <v>2204.6711563327503</v>
      </c>
      <c r="J48" s="2">
        <f t="shared" ca="1" si="10"/>
        <v>2214.0942460140113</v>
      </c>
      <c r="K48" s="2">
        <f t="shared" ca="1" si="10"/>
        <v>2443.9170250582511</v>
      </c>
      <c r="L48" s="2">
        <f t="shared" ca="1" si="10"/>
        <v>2898.1396561185989</v>
      </c>
      <c r="M48" s="2">
        <f t="shared" ca="1" si="10"/>
        <v>2584.8601175771605</v>
      </c>
      <c r="N48" s="2">
        <f t="shared" ca="1" si="10"/>
        <v>2827.5678148553034</v>
      </c>
      <c r="O48" s="2">
        <f t="shared" ca="1" si="10"/>
        <v>2880.7939580026655</v>
      </c>
      <c r="P48" s="2">
        <f t="shared" ca="1" si="10"/>
        <v>2056.8761246631925</v>
      </c>
      <c r="Q48" s="2">
        <f t="shared" ca="1" si="10"/>
        <v>2721.0523472093432</v>
      </c>
      <c r="R48" s="2">
        <f t="shared" ca="1" si="10"/>
        <v>2623.3367790737052</v>
      </c>
      <c r="S48" s="2">
        <f t="shared" ca="1" si="10"/>
        <v>2750.2709966045818</v>
      </c>
      <c r="T48" s="2">
        <f t="shared" ca="1" si="10"/>
        <v>2643.9496565709901</v>
      </c>
      <c r="U48" s="2">
        <f t="shared" ca="1" si="10"/>
        <v>2933.2124328223595</v>
      </c>
      <c r="V48" s="2">
        <f t="shared" ca="1" si="10"/>
        <v>2499.7651728024284</v>
      </c>
      <c r="W48" s="2">
        <f t="shared" ca="1" si="10"/>
        <v>2406.1578465016901</v>
      </c>
      <c r="X48" s="2">
        <f t="shared" ca="1" si="10"/>
        <v>2809.9170350048535</v>
      </c>
      <c r="Y48" s="2">
        <f t="shared" ca="1" si="10"/>
        <v>2559.8790969234783</v>
      </c>
      <c r="Z48" s="2">
        <f t="shared" ca="1" si="10"/>
        <v>2644.3049007068607</v>
      </c>
      <c r="AA48" s="2">
        <f t="shared" ca="1" si="10"/>
        <v>2958.9783285584012</v>
      </c>
      <c r="AB48" s="2">
        <f t="shared" ca="1" si="10"/>
        <v>2577.7691096622771</v>
      </c>
      <c r="AC48" s="2">
        <f t="shared" ca="1" si="10"/>
        <v>2456.6606499407048</v>
      </c>
      <c r="AD48" s="2">
        <f t="shared" ca="1" si="10"/>
        <v>2590.1496707000942</v>
      </c>
      <c r="AE48" s="2">
        <f t="shared" ca="1" si="10"/>
        <v>2067.5705262269066</v>
      </c>
      <c r="AF48" s="2">
        <f t="shared" ca="1" si="10"/>
        <v>2438.2185364033489</v>
      </c>
      <c r="AG48" s="2">
        <f t="shared" ca="1" si="10"/>
        <v>2437.4271034465819</v>
      </c>
      <c r="AH48" s="2">
        <f t="shared" ca="1" si="10"/>
        <v>2483.6834798035834</v>
      </c>
    </row>
    <row r="49" spans="1:34">
      <c r="A49" t="str">
        <f t="shared" si="6"/>
        <v>Vegetables</v>
      </c>
      <c r="B49" t="str">
        <f t="shared" si="7"/>
        <v>Amhara</v>
      </c>
      <c r="C49" s="2">
        <f t="shared" ca="1" si="9"/>
        <v>2288.4585974548013</v>
      </c>
      <c r="D49" s="2">
        <f t="shared" ca="1" si="10"/>
        <v>2458.9776646618652</v>
      </c>
      <c r="E49" s="2">
        <f t="shared" ca="1" si="10"/>
        <v>2317.431600122588</v>
      </c>
      <c r="F49" s="2">
        <f t="shared" ca="1" si="10"/>
        <v>2476.3843377166932</v>
      </c>
      <c r="G49" s="2">
        <f t="shared" ca="1" si="10"/>
        <v>2567.5297016566878</v>
      </c>
      <c r="H49" s="2">
        <f t="shared" ca="1" si="10"/>
        <v>2051.6620667206339</v>
      </c>
      <c r="I49" s="2">
        <f t="shared" ca="1" si="10"/>
        <v>2798.8437922960466</v>
      </c>
      <c r="J49" s="2">
        <f t="shared" ca="1" si="10"/>
        <v>2706.972948068505</v>
      </c>
      <c r="K49" s="2">
        <f t="shared" ca="1" si="10"/>
        <v>2877.6252164411922</v>
      </c>
      <c r="L49" s="2">
        <f t="shared" ca="1" si="10"/>
        <v>2530.1137794501124</v>
      </c>
      <c r="M49" s="2">
        <f t="shared" ca="1" si="10"/>
        <v>2349.8652316656016</v>
      </c>
      <c r="N49" s="2">
        <f t="shared" ca="1" si="10"/>
        <v>2883.6326039080768</v>
      </c>
      <c r="O49" s="2">
        <f t="shared" ca="1" si="10"/>
        <v>2663.2655448204277</v>
      </c>
      <c r="P49" s="2">
        <f t="shared" ca="1" si="10"/>
        <v>2479.6730710238235</v>
      </c>
      <c r="Q49" s="2">
        <f t="shared" ca="1" si="10"/>
        <v>2217.1916319521215</v>
      </c>
      <c r="R49" s="2">
        <f t="shared" ca="1" si="10"/>
        <v>2638.9360576043441</v>
      </c>
      <c r="S49" s="2">
        <f t="shared" ca="1" si="10"/>
        <v>2358.2371505586329</v>
      </c>
      <c r="T49" s="2">
        <f t="shared" ca="1" si="10"/>
        <v>2021.9780445626316</v>
      </c>
      <c r="U49" s="2">
        <f t="shared" ca="1" si="10"/>
        <v>2090.294891301271</v>
      </c>
      <c r="V49" s="2">
        <f t="shared" ca="1" si="10"/>
        <v>2024.0050098167681</v>
      </c>
      <c r="W49" s="2">
        <f t="shared" ca="1" si="10"/>
        <v>2241.3552206292316</v>
      </c>
      <c r="X49" s="2">
        <f t="shared" ca="1" si="10"/>
        <v>2399.1592160557134</v>
      </c>
      <c r="Y49" s="2">
        <f t="shared" ca="1" si="10"/>
        <v>2065.3912470029613</v>
      </c>
      <c r="Z49" s="2">
        <f t="shared" ca="1" si="10"/>
        <v>2265.880446517981</v>
      </c>
      <c r="AA49" s="2">
        <f t="shared" ca="1" si="10"/>
        <v>2638.7844474654948</v>
      </c>
      <c r="AB49" s="2">
        <f t="shared" ca="1" si="10"/>
        <v>2665.9548126269356</v>
      </c>
      <c r="AC49" s="2">
        <f t="shared" ca="1" si="10"/>
        <v>2231.3991835448169</v>
      </c>
      <c r="AD49" s="2">
        <f t="shared" ca="1" si="10"/>
        <v>2983.3231627668638</v>
      </c>
      <c r="AE49" s="2">
        <f t="shared" ca="1" si="10"/>
        <v>2560.3588790012172</v>
      </c>
      <c r="AF49" s="2">
        <f t="shared" ca="1" si="10"/>
        <v>2147.9880314750476</v>
      </c>
      <c r="AG49" s="2">
        <f t="shared" ca="1" si="10"/>
        <v>2277.408764819219</v>
      </c>
      <c r="AH49" s="2">
        <f t="shared" ca="1" si="10"/>
        <v>2262.1420467300677</v>
      </c>
    </row>
    <row r="50" spans="1:34">
      <c r="A50" t="str">
        <f t="shared" si="6"/>
        <v>Vegetables</v>
      </c>
      <c r="B50" t="str">
        <f t="shared" si="7"/>
        <v>Gumuz</v>
      </c>
      <c r="C50" s="2">
        <f t="shared" ca="1" si="9"/>
        <v>2232.8370924956034</v>
      </c>
      <c r="D50" s="2">
        <f t="shared" ca="1" si="10"/>
        <v>2631.5153856643938</v>
      </c>
      <c r="E50" s="2">
        <f t="shared" ca="1" si="10"/>
        <v>2304.984236377366</v>
      </c>
      <c r="F50" s="2">
        <f t="shared" ca="1" si="10"/>
        <v>2113.5434166300352</v>
      </c>
      <c r="G50" s="2">
        <f t="shared" ca="1" si="10"/>
        <v>2859.2656984170076</v>
      </c>
      <c r="H50" s="2">
        <f t="shared" ca="1" si="10"/>
        <v>2726.8704977382017</v>
      </c>
      <c r="I50" s="2">
        <f t="shared" ca="1" si="10"/>
        <v>2436.5209894530522</v>
      </c>
      <c r="J50" s="2">
        <f t="shared" ca="1" si="10"/>
        <v>2773.3956385577494</v>
      </c>
      <c r="K50" s="2">
        <f t="shared" ca="1" si="10"/>
        <v>2870.4191888970527</v>
      </c>
      <c r="L50" s="2">
        <f t="shared" ca="1" si="10"/>
        <v>2513.9381597418469</v>
      </c>
      <c r="M50" s="2">
        <f t="shared" ca="1" si="10"/>
        <v>2941.5126043111331</v>
      </c>
      <c r="N50" s="2">
        <f t="shared" ca="1" si="10"/>
        <v>2466.6934882227802</v>
      </c>
      <c r="O50" s="2">
        <f t="shared" ca="1" si="10"/>
        <v>2207.3985846882988</v>
      </c>
      <c r="P50" s="2">
        <f t="shared" ca="1" si="10"/>
        <v>2931.2923151370278</v>
      </c>
      <c r="Q50" s="2">
        <f t="shared" ca="1" si="10"/>
        <v>2980.3674284272006</v>
      </c>
      <c r="R50" s="2">
        <f t="shared" ca="1" si="10"/>
        <v>2611.0323169340468</v>
      </c>
      <c r="S50" s="2">
        <f t="shared" ca="1" si="10"/>
        <v>2510.30352163934</v>
      </c>
      <c r="T50" s="2">
        <f t="shared" ca="1" si="10"/>
        <v>2085.3616174191975</v>
      </c>
      <c r="U50" s="2">
        <f t="shared" ca="1" si="10"/>
        <v>2692.1747618433915</v>
      </c>
      <c r="V50" s="2">
        <f t="shared" ca="1" si="10"/>
        <v>2935.4726190210654</v>
      </c>
      <c r="W50" s="2">
        <f t="shared" ca="1" si="10"/>
        <v>2045.9970705746241</v>
      </c>
      <c r="X50" s="2">
        <f t="shared" ca="1" si="10"/>
        <v>2405.1062637468035</v>
      </c>
      <c r="Y50" s="2">
        <f t="shared" ca="1" si="10"/>
        <v>2463.2860002915118</v>
      </c>
      <c r="Z50" s="2">
        <f t="shared" ca="1" si="10"/>
        <v>2563.9512838401051</v>
      </c>
      <c r="AA50" s="2">
        <f t="shared" ca="1" si="10"/>
        <v>2037.9131742907637</v>
      </c>
      <c r="AB50" s="2">
        <f t="shared" ca="1" si="10"/>
        <v>2327.5479420471415</v>
      </c>
      <c r="AC50" s="2">
        <f t="shared" ca="1" si="10"/>
        <v>2950.5315094730859</v>
      </c>
      <c r="AD50" s="2">
        <f t="shared" ca="1" si="10"/>
        <v>2175.638875499943</v>
      </c>
      <c r="AE50" s="2">
        <f t="shared" ca="1" si="10"/>
        <v>2548.8497184068901</v>
      </c>
      <c r="AF50" s="2">
        <f t="shared" ca="1" si="10"/>
        <v>2866.3335019563242</v>
      </c>
      <c r="AG50" s="2">
        <f t="shared" ca="1" si="10"/>
        <v>2617.120890300559</v>
      </c>
      <c r="AH50" s="2">
        <f t="shared" ca="1" si="10"/>
        <v>2801.8480592670362</v>
      </c>
    </row>
    <row r="51" spans="1:34">
      <c r="A51" t="str">
        <f t="shared" si="6"/>
        <v>Vegetables</v>
      </c>
      <c r="B51" t="str">
        <f t="shared" si="7"/>
        <v>DireDawa</v>
      </c>
      <c r="C51" s="2">
        <f t="shared" ca="1" si="9"/>
        <v>2498.9328916125355</v>
      </c>
      <c r="D51" s="2">
        <f t="shared" ca="1" si="10"/>
        <v>2528.3834315437348</v>
      </c>
      <c r="E51" s="2">
        <f t="shared" ca="1" si="10"/>
        <v>2143.3545902901224</v>
      </c>
      <c r="F51" s="2">
        <f t="shared" ca="1" si="10"/>
        <v>2311.5849315116293</v>
      </c>
      <c r="G51" s="2">
        <f t="shared" ca="1" si="10"/>
        <v>2243.1058667564339</v>
      </c>
      <c r="H51" s="2">
        <f t="shared" ca="1" si="10"/>
        <v>2719.8492231239234</v>
      </c>
      <c r="I51" s="2">
        <f t="shared" ca="1" si="10"/>
        <v>2895.4779600363327</v>
      </c>
      <c r="J51" s="2">
        <f t="shared" ref="J51:Y67" ca="1" si="11">(RAND()*1+2)*1000</f>
        <v>2093.2868972608662</v>
      </c>
      <c r="K51" s="2">
        <f t="shared" ca="1" si="11"/>
        <v>2738.5371234035752</v>
      </c>
      <c r="L51" s="2">
        <f t="shared" ca="1" si="11"/>
        <v>2663.1801463826341</v>
      </c>
      <c r="M51" s="2">
        <f t="shared" ca="1" si="11"/>
        <v>2858.1435179541945</v>
      </c>
      <c r="N51" s="2">
        <f t="shared" ca="1" si="11"/>
        <v>2464.7624631099511</v>
      </c>
      <c r="O51" s="2">
        <f t="shared" ca="1" si="11"/>
        <v>2345.1749606829726</v>
      </c>
      <c r="P51" s="2">
        <f t="shared" ca="1" si="11"/>
        <v>2462.9662830949501</v>
      </c>
      <c r="Q51" s="2">
        <f t="shared" ca="1" si="11"/>
        <v>2583.5122675969928</v>
      </c>
      <c r="R51" s="2">
        <f t="shared" ca="1" si="11"/>
        <v>2197.8666599701896</v>
      </c>
      <c r="S51" s="2">
        <f t="shared" ca="1" si="11"/>
        <v>2396.1854014452861</v>
      </c>
      <c r="T51" s="2">
        <f t="shared" ca="1" si="11"/>
        <v>2626.7616987308752</v>
      </c>
      <c r="U51" s="2">
        <f t="shared" ca="1" si="11"/>
        <v>2700.3554312669198</v>
      </c>
      <c r="V51" s="2">
        <f t="shared" ca="1" si="11"/>
        <v>2170.6243357290491</v>
      </c>
      <c r="W51" s="2">
        <f t="shared" ca="1" si="11"/>
        <v>2643.3030138810559</v>
      </c>
      <c r="X51" s="2">
        <f t="shared" ca="1" si="11"/>
        <v>2066.263554078706</v>
      </c>
      <c r="Y51" s="2">
        <f t="shared" ca="1" si="11"/>
        <v>2220.3917146597437</v>
      </c>
      <c r="Z51" s="2">
        <f t="shared" ref="Z51:AH67" ca="1" si="12">(RAND()*1+2)*1000</f>
        <v>2782.1584125746554</v>
      </c>
      <c r="AA51" s="2">
        <f t="shared" ca="1" si="12"/>
        <v>2216.2186556476986</v>
      </c>
      <c r="AB51" s="2">
        <f t="shared" ca="1" si="12"/>
        <v>2608.1440963666359</v>
      </c>
      <c r="AC51" s="2">
        <f t="shared" ca="1" si="12"/>
        <v>2825.5820580417017</v>
      </c>
      <c r="AD51" s="2">
        <f t="shared" ca="1" si="12"/>
        <v>2288.5386952706485</v>
      </c>
      <c r="AE51" s="2">
        <f t="shared" ca="1" si="12"/>
        <v>2496.8736447391998</v>
      </c>
      <c r="AF51" s="2">
        <f t="shared" ca="1" si="12"/>
        <v>2120.358679901587</v>
      </c>
      <c r="AG51" s="2">
        <f t="shared" ca="1" si="12"/>
        <v>2170.7658668362074</v>
      </c>
      <c r="AH51" s="2">
        <f t="shared" ca="1" si="12"/>
        <v>2507.1629011994123</v>
      </c>
    </row>
    <row r="52" spans="1:34">
      <c r="A52" t="str">
        <f t="shared" si="6"/>
        <v>Vegetables</v>
      </c>
      <c r="B52" t="str">
        <f t="shared" si="7"/>
        <v>Gambela</v>
      </c>
      <c r="C52" s="2">
        <f t="shared" ca="1" si="9"/>
        <v>2352.1636101215709</v>
      </c>
      <c r="D52" s="2">
        <f t="shared" ca="1" si="9"/>
        <v>2873.7510840450918</v>
      </c>
      <c r="E52" s="2">
        <f t="shared" ca="1" si="9"/>
        <v>2576.3070150375456</v>
      </c>
      <c r="F52" s="2">
        <f t="shared" ca="1" si="9"/>
        <v>2644.2286562395816</v>
      </c>
      <c r="G52" s="2">
        <f t="shared" ca="1" si="9"/>
        <v>2667.7890185655974</v>
      </c>
      <c r="H52" s="2">
        <f t="shared" ca="1" si="9"/>
        <v>2747.7725814981141</v>
      </c>
      <c r="I52" s="2">
        <f t="shared" ref="I52:X67" ca="1" si="13">(RAND()*1+2)*1000</f>
        <v>2879.2880294344095</v>
      </c>
      <c r="J52" s="2">
        <f t="shared" ca="1" si="13"/>
        <v>2514.61588251998</v>
      </c>
      <c r="K52" s="2">
        <f t="shared" ca="1" si="13"/>
        <v>2329.904188481109</v>
      </c>
      <c r="L52" s="2">
        <f t="shared" ca="1" si="13"/>
        <v>2799.3293394269049</v>
      </c>
      <c r="M52" s="2">
        <f t="shared" ca="1" si="13"/>
        <v>2487.8454526435762</v>
      </c>
      <c r="N52" s="2">
        <f t="shared" ca="1" si="13"/>
        <v>2944.8265188829532</v>
      </c>
      <c r="O52" s="2">
        <f t="shared" ca="1" si="13"/>
        <v>2260.645310856044</v>
      </c>
      <c r="P52" s="2">
        <f t="shared" ca="1" si="13"/>
        <v>2189.8889632524229</v>
      </c>
      <c r="Q52" s="2">
        <f t="shared" ca="1" si="13"/>
        <v>2172.0575243041785</v>
      </c>
      <c r="R52" s="2">
        <f t="shared" ca="1" si="13"/>
        <v>2567.4159500669093</v>
      </c>
      <c r="S52" s="2">
        <f t="shared" ca="1" si="13"/>
        <v>2114.6511778193444</v>
      </c>
      <c r="T52" s="2">
        <f t="shared" ca="1" si="13"/>
        <v>2936.3012959822095</v>
      </c>
      <c r="U52" s="2">
        <f t="shared" ca="1" si="13"/>
        <v>2535.064064387569</v>
      </c>
      <c r="V52" s="2">
        <f t="shared" ca="1" si="13"/>
        <v>2443.8693958099057</v>
      </c>
      <c r="W52" s="2">
        <f t="shared" ca="1" si="13"/>
        <v>2709.4235369797107</v>
      </c>
      <c r="X52" s="2">
        <f t="shared" ca="1" si="13"/>
        <v>2743.6012748194621</v>
      </c>
      <c r="Y52" s="2">
        <f t="shared" ca="1" si="11"/>
        <v>2181.9926477516933</v>
      </c>
      <c r="Z52" s="2">
        <f t="shared" ca="1" si="12"/>
        <v>2647.5970496161913</v>
      </c>
      <c r="AA52" s="2">
        <f t="shared" ca="1" si="12"/>
        <v>2715.7625647586306</v>
      </c>
      <c r="AB52" s="2">
        <f t="shared" ca="1" si="12"/>
        <v>2637.5343553895477</v>
      </c>
      <c r="AC52" s="2">
        <f t="shared" ca="1" si="12"/>
        <v>2591.0752035426849</v>
      </c>
      <c r="AD52" s="2">
        <f t="shared" ca="1" si="12"/>
        <v>2115.4508820734382</v>
      </c>
      <c r="AE52" s="2">
        <f t="shared" ca="1" si="12"/>
        <v>2550.5187591507029</v>
      </c>
      <c r="AF52" s="2">
        <f t="shared" ca="1" si="12"/>
        <v>2608.7444125970405</v>
      </c>
      <c r="AG52" s="2">
        <f t="shared" ca="1" si="12"/>
        <v>2330.8233762821101</v>
      </c>
      <c r="AH52" s="2">
        <f t="shared" ca="1" si="12"/>
        <v>2860.0315286307555</v>
      </c>
    </row>
    <row r="53" spans="1:34">
      <c r="A53" t="str">
        <f t="shared" si="6"/>
        <v>Vegetables</v>
      </c>
      <c r="B53" t="str">
        <f t="shared" si="7"/>
        <v>Harari</v>
      </c>
      <c r="C53" s="2">
        <f t="shared" ref="C53:R68" ca="1" si="14">(RAND()*1+2)*1000</f>
        <v>2230.1218454765694</v>
      </c>
      <c r="D53" s="2">
        <f t="shared" ca="1" si="14"/>
        <v>2713.8067602804531</v>
      </c>
      <c r="E53" s="2">
        <f t="shared" ca="1" si="14"/>
        <v>2162.2297306932928</v>
      </c>
      <c r="F53" s="2">
        <f t="shared" ca="1" si="14"/>
        <v>2974.1151971002882</v>
      </c>
      <c r="G53" s="2">
        <f t="shared" ca="1" si="14"/>
        <v>2175.4598840905851</v>
      </c>
      <c r="H53" s="2">
        <f t="shared" ca="1" si="14"/>
        <v>2950.8203989073331</v>
      </c>
      <c r="I53" s="2">
        <f t="shared" ca="1" si="14"/>
        <v>2490.1994295153477</v>
      </c>
      <c r="J53" s="2">
        <f t="shared" ca="1" si="14"/>
        <v>2213.5889246908987</v>
      </c>
      <c r="K53" s="2">
        <f t="shared" ca="1" si="14"/>
        <v>2160.3539194010159</v>
      </c>
      <c r="L53" s="2">
        <f t="shared" ca="1" si="14"/>
        <v>2981.3414362829453</v>
      </c>
      <c r="M53" s="2">
        <f t="shared" ca="1" si="14"/>
        <v>2874.7705820773708</v>
      </c>
      <c r="N53" s="2">
        <f t="shared" ca="1" si="14"/>
        <v>2679.8613398848174</v>
      </c>
      <c r="O53" s="2">
        <f t="shared" ca="1" si="14"/>
        <v>2695.2556628195775</v>
      </c>
      <c r="P53" s="2">
        <f t="shared" ca="1" si="14"/>
        <v>2703.6203694705009</v>
      </c>
      <c r="Q53" s="2">
        <f t="shared" ca="1" si="14"/>
        <v>2677.3722553364541</v>
      </c>
      <c r="R53" s="2">
        <f t="shared" ca="1" si="14"/>
        <v>2845.7642964943907</v>
      </c>
      <c r="S53" s="2">
        <f t="shared" ca="1" si="13"/>
        <v>2160.142126398277</v>
      </c>
      <c r="T53" s="2">
        <f t="shared" ca="1" si="13"/>
        <v>2994.0052554559707</v>
      </c>
      <c r="U53" s="2">
        <f t="shared" ca="1" si="13"/>
        <v>2000.1693951134359</v>
      </c>
      <c r="V53" s="2">
        <f t="shared" ca="1" si="13"/>
        <v>2853.2874322569537</v>
      </c>
      <c r="W53" s="2">
        <f t="shared" ca="1" si="13"/>
        <v>2977.1517594934894</v>
      </c>
      <c r="X53" s="2">
        <f t="shared" ca="1" si="13"/>
        <v>2764.8537143961366</v>
      </c>
      <c r="Y53" s="2">
        <f t="shared" ca="1" si="11"/>
        <v>2356.293181002557</v>
      </c>
      <c r="Z53" s="2">
        <f t="shared" ca="1" si="12"/>
        <v>2432.0861781771346</v>
      </c>
      <c r="AA53" s="2">
        <f t="shared" ca="1" si="12"/>
        <v>2224.596745854647</v>
      </c>
      <c r="AB53" s="2">
        <f t="shared" ca="1" si="12"/>
        <v>2175.828861955792</v>
      </c>
      <c r="AC53" s="2">
        <f t="shared" ca="1" si="12"/>
        <v>2313.3924239554358</v>
      </c>
      <c r="AD53" s="2">
        <f t="shared" ca="1" si="12"/>
        <v>2870.7125542352487</v>
      </c>
      <c r="AE53" s="2">
        <f t="shared" ca="1" si="12"/>
        <v>2620.8116666877922</v>
      </c>
      <c r="AF53" s="2">
        <f t="shared" ca="1" si="12"/>
        <v>2015.4127923052329</v>
      </c>
      <c r="AG53" s="2">
        <f t="shared" ca="1" si="12"/>
        <v>2497.1969970618734</v>
      </c>
      <c r="AH53" s="2">
        <f t="shared" ca="1" si="12"/>
        <v>2801.5697760987555</v>
      </c>
    </row>
    <row r="54" spans="1:34">
      <c r="A54" t="str">
        <f t="shared" si="6"/>
        <v>Vegetables</v>
      </c>
      <c r="B54" t="str">
        <f t="shared" si="7"/>
        <v>Oromia</v>
      </c>
      <c r="C54" s="2">
        <f t="shared" ca="1" si="14"/>
        <v>2184.0214457945458</v>
      </c>
      <c r="D54" s="2">
        <f t="shared" ca="1" si="14"/>
        <v>2696.3663820762836</v>
      </c>
      <c r="E54" s="2">
        <f t="shared" ca="1" si="14"/>
        <v>2572.6526901117113</v>
      </c>
      <c r="F54" s="2">
        <f t="shared" ca="1" si="14"/>
        <v>2530.6062713172714</v>
      </c>
      <c r="G54" s="2">
        <f t="shared" ca="1" si="14"/>
        <v>2682.4835896714953</v>
      </c>
      <c r="H54" s="2">
        <f t="shared" ca="1" si="14"/>
        <v>2300.7075457105366</v>
      </c>
      <c r="I54" s="2">
        <f t="shared" ca="1" si="14"/>
        <v>2097.8200797485256</v>
      </c>
      <c r="J54" s="2">
        <f t="shared" ca="1" si="14"/>
        <v>2900.1783392710513</v>
      </c>
      <c r="K54" s="2">
        <f t="shared" ca="1" si="14"/>
        <v>2098.1397926467998</v>
      </c>
      <c r="L54" s="2">
        <f t="shared" ca="1" si="14"/>
        <v>2360.3839042148638</v>
      </c>
      <c r="M54" s="2">
        <f t="shared" ca="1" si="14"/>
        <v>2487.3748507700134</v>
      </c>
      <c r="N54" s="2">
        <f t="shared" ca="1" si="14"/>
        <v>2776.4288899414782</v>
      </c>
      <c r="O54" s="2">
        <f t="shared" ca="1" si="14"/>
        <v>2657.6028287511072</v>
      </c>
      <c r="P54" s="2">
        <f t="shared" ca="1" si="14"/>
        <v>2652.787225200686</v>
      </c>
      <c r="Q54" s="2">
        <f t="shared" ca="1" si="14"/>
        <v>2189.360302839315</v>
      </c>
      <c r="R54" s="2">
        <f t="shared" ca="1" si="14"/>
        <v>2807.4864311197039</v>
      </c>
      <c r="S54" s="2">
        <f t="shared" ca="1" si="13"/>
        <v>2110.0914420136069</v>
      </c>
      <c r="T54" s="2">
        <f t="shared" ca="1" si="13"/>
        <v>2544.6262918712177</v>
      </c>
      <c r="U54" s="2">
        <f t="shared" ca="1" si="13"/>
        <v>2654.977960779825</v>
      </c>
      <c r="V54" s="2">
        <f t="shared" ca="1" si="13"/>
        <v>2426.8076683287331</v>
      </c>
      <c r="W54" s="2">
        <f t="shared" ca="1" si="13"/>
        <v>2878.3884551534279</v>
      </c>
      <c r="X54" s="2">
        <f t="shared" ca="1" si="13"/>
        <v>2624.060335896138</v>
      </c>
      <c r="Y54" s="2">
        <f t="shared" ca="1" si="11"/>
        <v>2022.7041721629741</v>
      </c>
      <c r="Z54" s="2">
        <f t="shared" ca="1" si="12"/>
        <v>2918.8331379911792</v>
      </c>
      <c r="AA54" s="2">
        <f t="shared" ca="1" si="12"/>
        <v>2977.1057501010578</v>
      </c>
      <c r="AB54" s="2">
        <f t="shared" ca="1" si="12"/>
        <v>2203.7900937089098</v>
      </c>
      <c r="AC54" s="2">
        <f t="shared" ca="1" si="12"/>
        <v>2493.33066144746</v>
      </c>
      <c r="AD54" s="2">
        <f t="shared" ca="1" si="12"/>
        <v>2381.8975252627092</v>
      </c>
      <c r="AE54" s="2">
        <f t="shared" ca="1" si="12"/>
        <v>2819.6647264018093</v>
      </c>
      <c r="AF54" s="2">
        <f t="shared" ca="1" si="12"/>
        <v>2933.7721358027975</v>
      </c>
      <c r="AG54" s="2">
        <f t="shared" ca="1" si="12"/>
        <v>2176.2690530654527</v>
      </c>
      <c r="AH54" s="2">
        <f t="shared" ca="1" si="12"/>
        <v>2198.7409809131409</v>
      </c>
    </row>
    <row r="55" spans="1:34">
      <c r="A55" t="str">
        <f t="shared" si="6"/>
        <v>Vegetables</v>
      </c>
      <c r="B55" t="str">
        <f t="shared" si="7"/>
        <v>Somali</v>
      </c>
      <c r="C55" s="2">
        <f t="shared" ca="1" si="14"/>
        <v>2792.852800255182</v>
      </c>
      <c r="D55" s="2">
        <f t="shared" ca="1" si="14"/>
        <v>2451.2985225800599</v>
      </c>
      <c r="E55" s="2">
        <f t="shared" ca="1" si="14"/>
        <v>2289.4170620266086</v>
      </c>
      <c r="F55" s="2">
        <f t="shared" ca="1" si="14"/>
        <v>2123.1152012653629</v>
      </c>
      <c r="G55" s="2">
        <f t="shared" ca="1" si="14"/>
        <v>2109.9609898773065</v>
      </c>
      <c r="H55" s="2">
        <f t="shared" ca="1" si="14"/>
        <v>2611.7511610762831</v>
      </c>
      <c r="I55" s="2">
        <f t="shared" ca="1" si="14"/>
        <v>2641.5359514790821</v>
      </c>
      <c r="J55" s="2">
        <f t="shared" ca="1" si="14"/>
        <v>2524.628675101073</v>
      </c>
      <c r="K55" s="2">
        <f t="shared" ca="1" si="14"/>
        <v>2708.0177570524374</v>
      </c>
      <c r="L55" s="2">
        <f t="shared" ca="1" si="14"/>
        <v>2357.0772860353673</v>
      </c>
      <c r="M55" s="2">
        <f t="shared" ca="1" si="14"/>
        <v>2291.1396518966203</v>
      </c>
      <c r="N55" s="2">
        <f t="shared" ca="1" si="14"/>
        <v>2001.0176870392704</v>
      </c>
      <c r="O55" s="2">
        <f t="shared" ca="1" si="14"/>
        <v>2296.4068357899191</v>
      </c>
      <c r="P55" s="2">
        <f t="shared" ca="1" si="14"/>
        <v>2216.7166754462119</v>
      </c>
      <c r="Q55" s="2">
        <f t="shared" ca="1" si="14"/>
        <v>2744.5503864467423</v>
      </c>
      <c r="R55" s="2">
        <f t="shared" ca="1" si="14"/>
        <v>2678.3672497435232</v>
      </c>
      <c r="S55" s="2">
        <f t="shared" ca="1" si="13"/>
        <v>2890.3670489158335</v>
      </c>
      <c r="T55" s="2">
        <f t="shared" ca="1" si="13"/>
        <v>2941.7778980611643</v>
      </c>
      <c r="U55" s="2">
        <f t="shared" ca="1" si="13"/>
        <v>2707.0681682121485</v>
      </c>
      <c r="V55" s="2">
        <f t="shared" ca="1" si="13"/>
        <v>2040.8872172377501</v>
      </c>
      <c r="W55" s="2">
        <f t="shared" ca="1" si="13"/>
        <v>2721.4351568615866</v>
      </c>
      <c r="X55" s="2">
        <f t="shared" ca="1" si="13"/>
        <v>2678.2104168832188</v>
      </c>
      <c r="Y55" s="2">
        <f t="shared" ca="1" si="11"/>
        <v>2950.6384122855166</v>
      </c>
      <c r="Z55" s="2">
        <f t="shared" ca="1" si="12"/>
        <v>2333.4813918355553</v>
      </c>
      <c r="AA55" s="2">
        <f t="shared" ca="1" si="12"/>
        <v>2828.7549932174666</v>
      </c>
      <c r="AB55" s="2">
        <f t="shared" ca="1" si="12"/>
        <v>2252.4832946314896</v>
      </c>
      <c r="AC55" s="2">
        <f t="shared" ca="1" si="12"/>
        <v>2967.578134150689</v>
      </c>
      <c r="AD55" s="2">
        <f t="shared" ca="1" si="12"/>
        <v>2414.0801296485006</v>
      </c>
      <c r="AE55" s="2">
        <f t="shared" ca="1" si="12"/>
        <v>2870.4874558265215</v>
      </c>
      <c r="AF55" s="2">
        <f t="shared" ca="1" si="12"/>
        <v>2692.6287550421353</v>
      </c>
      <c r="AG55" s="2">
        <f t="shared" ca="1" si="12"/>
        <v>2546.4114520961161</v>
      </c>
      <c r="AH55" s="2">
        <f t="shared" ca="1" si="12"/>
        <v>2296.6015796585734</v>
      </c>
    </row>
    <row r="56" spans="1:34">
      <c r="A56" t="str">
        <f t="shared" si="6"/>
        <v>Vegetables</v>
      </c>
      <c r="B56" t="str">
        <f t="shared" si="7"/>
        <v>SNNPR</v>
      </c>
      <c r="C56" s="2">
        <f t="shared" ca="1" si="14"/>
        <v>2781.5140491815873</v>
      </c>
      <c r="D56" s="2">
        <f t="shared" ca="1" si="14"/>
        <v>2882.2821051843302</v>
      </c>
      <c r="E56" s="2">
        <f t="shared" ca="1" si="14"/>
        <v>2842.3353435160789</v>
      </c>
      <c r="F56" s="2">
        <f t="shared" ca="1" si="14"/>
        <v>2249.6221971367272</v>
      </c>
      <c r="G56" s="2">
        <f t="shared" ca="1" si="14"/>
        <v>2932.4598930760349</v>
      </c>
      <c r="H56" s="2">
        <f t="shared" ca="1" si="14"/>
        <v>2179.8687497124729</v>
      </c>
      <c r="I56" s="2">
        <f t="shared" ca="1" si="14"/>
        <v>2098.0419634984291</v>
      </c>
      <c r="J56" s="2">
        <f t="shared" ca="1" si="14"/>
        <v>2489.954290317557</v>
      </c>
      <c r="K56" s="2">
        <f t="shared" ca="1" si="14"/>
        <v>2024.2105820279862</v>
      </c>
      <c r="L56" s="2">
        <f t="shared" ca="1" si="14"/>
        <v>2567.7657701376961</v>
      </c>
      <c r="M56" s="2">
        <f t="shared" ca="1" si="14"/>
        <v>2613.2024045795756</v>
      </c>
      <c r="N56" s="2">
        <f t="shared" ca="1" si="14"/>
        <v>2515.1043417234223</v>
      </c>
      <c r="O56" s="2">
        <f t="shared" ca="1" si="14"/>
        <v>2691.7098419515032</v>
      </c>
      <c r="P56" s="2">
        <f t="shared" ca="1" si="14"/>
        <v>2693.9130793332229</v>
      </c>
      <c r="Q56" s="2">
        <f t="shared" ca="1" si="14"/>
        <v>2548.3524276770668</v>
      </c>
      <c r="R56" s="2">
        <f t="shared" ca="1" si="14"/>
        <v>2112.1504324716925</v>
      </c>
      <c r="S56" s="2">
        <f t="shared" ca="1" si="13"/>
        <v>2524.513016772883</v>
      </c>
      <c r="T56" s="2">
        <f t="shared" ca="1" si="13"/>
        <v>2136.1241668635648</v>
      </c>
      <c r="U56" s="2">
        <f t="shared" ca="1" si="13"/>
        <v>2610.705477864065</v>
      </c>
      <c r="V56" s="2">
        <f t="shared" ca="1" si="13"/>
        <v>2819.533805153857</v>
      </c>
      <c r="W56" s="2">
        <f t="shared" ca="1" si="13"/>
        <v>2980.0980429659376</v>
      </c>
      <c r="X56" s="2">
        <f t="shared" ca="1" si="13"/>
        <v>2612.1339793807206</v>
      </c>
      <c r="Y56" s="2">
        <f t="shared" ca="1" si="11"/>
        <v>2319.3616896721373</v>
      </c>
      <c r="Z56" s="2">
        <f t="shared" ca="1" si="12"/>
        <v>2926.9742337539237</v>
      </c>
      <c r="AA56" s="2">
        <f t="shared" ca="1" si="12"/>
        <v>2962.752569509802</v>
      </c>
      <c r="AB56" s="2">
        <f t="shared" ca="1" si="12"/>
        <v>2902.6520680872118</v>
      </c>
      <c r="AC56" s="2">
        <f t="shared" ca="1" si="12"/>
        <v>2630.567888954703</v>
      </c>
      <c r="AD56" s="2">
        <f t="shared" ca="1" si="12"/>
        <v>2578.6490640436718</v>
      </c>
      <c r="AE56" s="2">
        <f t="shared" ca="1" si="12"/>
        <v>2066.537961714072</v>
      </c>
      <c r="AF56" s="2">
        <f t="shared" ca="1" si="12"/>
        <v>2863.8352619446532</v>
      </c>
      <c r="AG56" s="2">
        <f t="shared" ca="1" si="12"/>
        <v>2771.5634618047316</v>
      </c>
      <c r="AH56" s="2">
        <f t="shared" ca="1" si="12"/>
        <v>2827.9956666141074</v>
      </c>
    </row>
    <row r="57" spans="1:34">
      <c r="A57" t="str">
        <f t="shared" si="6"/>
        <v>Vegetables</v>
      </c>
      <c r="B57" t="str">
        <f t="shared" si="7"/>
        <v>Tigray</v>
      </c>
      <c r="C57" s="2">
        <f t="shared" ca="1" si="14"/>
        <v>2098.317020897623</v>
      </c>
      <c r="D57" s="2">
        <f t="shared" ca="1" si="14"/>
        <v>2038.407769078339</v>
      </c>
      <c r="E57" s="2">
        <f t="shared" ca="1" si="14"/>
        <v>2303.9539528879945</v>
      </c>
      <c r="F57" s="2">
        <f t="shared" ca="1" si="14"/>
        <v>2705.1390891197389</v>
      </c>
      <c r="G57" s="2">
        <f t="shared" ca="1" si="14"/>
        <v>2285.4374379744841</v>
      </c>
      <c r="H57" s="2">
        <f t="shared" ca="1" si="14"/>
        <v>2667.2434027618156</v>
      </c>
      <c r="I57" s="2">
        <f t="shared" ca="1" si="14"/>
        <v>2133.1249475385148</v>
      </c>
      <c r="J57" s="2">
        <f t="shared" ca="1" si="14"/>
        <v>2227.4253921204581</v>
      </c>
      <c r="K57" s="2">
        <f t="shared" ca="1" si="14"/>
        <v>2701.169240633511</v>
      </c>
      <c r="L57" s="2">
        <f t="shared" ca="1" si="14"/>
        <v>2248.2615546436805</v>
      </c>
      <c r="M57" s="2">
        <f t="shared" ca="1" si="14"/>
        <v>2690.8282671736642</v>
      </c>
      <c r="N57" s="2">
        <f t="shared" ca="1" si="14"/>
        <v>2018.235000329915</v>
      </c>
      <c r="O57" s="2">
        <f t="shared" ca="1" si="14"/>
        <v>2905.014457188126</v>
      </c>
      <c r="P57" s="2">
        <f t="shared" ca="1" si="14"/>
        <v>2753.7151376468801</v>
      </c>
      <c r="Q57" s="2">
        <f t="shared" ca="1" si="14"/>
        <v>2864.9432440790556</v>
      </c>
      <c r="R57" s="2">
        <f t="shared" ca="1" si="14"/>
        <v>2801.9452970623888</v>
      </c>
      <c r="S57" s="2">
        <f t="shared" ca="1" si="13"/>
        <v>2755.0025639284368</v>
      </c>
      <c r="T57" s="2">
        <f t="shared" ca="1" si="13"/>
        <v>2556.7828632716428</v>
      </c>
      <c r="U57" s="2">
        <f t="shared" ca="1" si="13"/>
        <v>2201.2663463686222</v>
      </c>
      <c r="V57" s="2">
        <f t="shared" ca="1" si="13"/>
        <v>2128.3760745808318</v>
      </c>
      <c r="W57" s="2">
        <f t="shared" ca="1" si="13"/>
        <v>2378.1713143570428</v>
      </c>
      <c r="X57" s="2">
        <f t="shared" ca="1" si="13"/>
        <v>2032.5889800895056</v>
      </c>
      <c r="Y57" s="2">
        <f t="shared" ca="1" si="11"/>
        <v>2118.5421094958656</v>
      </c>
      <c r="Z57" s="2">
        <f t="shared" ca="1" si="12"/>
        <v>2087.7622360356759</v>
      </c>
      <c r="AA57" s="2">
        <f t="shared" ca="1" si="12"/>
        <v>2351.7639416713923</v>
      </c>
      <c r="AB57" s="2">
        <f t="shared" ca="1" si="12"/>
        <v>2740.0022014586939</v>
      </c>
      <c r="AC57" s="2">
        <f t="shared" ca="1" si="12"/>
        <v>2677.3743585187417</v>
      </c>
      <c r="AD57" s="2">
        <f t="shared" ca="1" si="12"/>
        <v>2911.8725457174314</v>
      </c>
      <c r="AE57" s="2">
        <f t="shared" ca="1" si="12"/>
        <v>2141.772100395267</v>
      </c>
      <c r="AF57" s="2">
        <f t="shared" ca="1" si="12"/>
        <v>2917.4060414322284</v>
      </c>
      <c r="AG57" s="2">
        <f t="shared" ca="1" si="12"/>
        <v>2253.8476358048374</v>
      </c>
      <c r="AH57" s="2">
        <f t="shared" ca="1" si="12"/>
        <v>2005.3338400621162</v>
      </c>
    </row>
    <row r="58" spans="1:34">
      <c r="A58" t="str">
        <f t="shared" si="6"/>
        <v>Coffee</v>
      </c>
      <c r="B58" t="str">
        <f t="shared" si="7"/>
        <v>AddisAbaba</v>
      </c>
      <c r="C58" s="2">
        <f t="shared" ca="1" si="14"/>
        <v>2674.0108206810937</v>
      </c>
      <c r="D58" s="2">
        <f t="shared" ca="1" si="14"/>
        <v>2827.650212567989</v>
      </c>
      <c r="E58" s="2">
        <f t="shared" ca="1" si="14"/>
        <v>2320.1930899550721</v>
      </c>
      <c r="F58" s="2">
        <f t="shared" ca="1" si="14"/>
        <v>2242.5998963635802</v>
      </c>
      <c r="G58" s="2">
        <f t="shared" ca="1" si="14"/>
        <v>2499.6201662236308</v>
      </c>
      <c r="H58" s="2">
        <f t="shared" ca="1" si="14"/>
        <v>2187.6603798121778</v>
      </c>
      <c r="I58" s="2">
        <f t="shared" ca="1" si="14"/>
        <v>2933.0138778813298</v>
      </c>
      <c r="J58" s="2">
        <f t="shared" ca="1" si="14"/>
        <v>2543.6316884411012</v>
      </c>
      <c r="K58" s="2">
        <f t="shared" ca="1" si="14"/>
        <v>2863.2612612759576</v>
      </c>
      <c r="L58" s="2">
        <f t="shared" ca="1" si="14"/>
        <v>2364.9944720304293</v>
      </c>
      <c r="M58" s="2">
        <f t="shared" ca="1" si="14"/>
        <v>2369.5304386284201</v>
      </c>
      <c r="N58" s="2">
        <f t="shared" ca="1" si="14"/>
        <v>2436.4112475384177</v>
      </c>
      <c r="O58" s="2">
        <f t="shared" ca="1" si="14"/>
        <v>2587.615402074528</v>
      </c>
      <c r="P58" s="2">
        <f t="shared" ca="1" si="14"/>
        <v>2736.1724072179859</v>
      </c>
      <c r="Q58" s="2">
        <f t="shared" ca="1" si="14"/>
        <v>2503.9581191847351</v>
      </c>
      <c r="R58" s="2">
        <f t="shared" ca="1" si="14"/>
        <v>2993.8486969900555</v>
      </c>
      <c r="S58" s="2">
        <f t="shared" ca="1" si="13"/>
        <v>2964.3083985323715</v>
      </c>
      <c r="T58" s="2">
        <f t="shared" ca="1" si="13"/>
        <v>2308.50695165653</v>
      </c>
      <c r="U58" s="2">
        <f t="shared" ca="1" si="13"/>
        <v>2671.9741163758486</v>
      </c>
      <c r="V58" s="2">
        <f t="shared" ca="1" si="13"/>
        <v>2939.043333287972</v>
      </c>
      <c r="W58" s="2">
        <f t="shared" ca="1" si="13"/>
        <v>2486.6350984056958</v>
      </c>
      <c r="X58" s="2">
        <f t="shared" ca="1" si="13"/>
        <v>2576.6193710893112</v>
      </c>
      <c r="Y58" s="2">
        <f t="shared" ca="1" si="11"/>
        <v>2206.4160683523714</v>
      </c>
      <c r="Z58" s="2">
        <f t="shared" ca="1" si="12"/>
        <v>2040.1042990258561</v>
      </c>
      <c r="AA58" s="2">
        <f t="shared" ca="1" si="12"/>
        <v>2761.5155423739748</v>
      </c>
      <c r="AB58" s="2">
        <f t="shared" ca="1" si="12"/>
        <v>2391.4514172925078</v>
      </c>
      <c r="AC58" s="2">
        <f t="shared" ca="1" si="12"/>
        <v>2043.7756646960952</v>
      </c>
      <c r="AD58" s="2">
        <f t="shared" ca="1" si="12"/>
        <v>2423.7768553319097</v>
      </c>
      <c r="AE58" s="2">
        <f t="shared" ca="1" si="12"/>
        <v>2197.4279238783943</v>
      </c>
      <c r="AF58" s="2">
        <f t="shared" ca="1" si="12"/>
        <v>2967.5526855990524</v>
      </c>
      <c r="AG58" s="2">
        <f t="shared" ca="1" si="12"/>
        <v>2139.2061497630925</v>
      </c>
      <c r="AH58" s="2">
        <f t="shared" ca="1" si="12"/>
        <v>2412.3786336837752</v>
      </c>
    </row>
    <row r="59" spans="1:34">
      <c r="A59" t="str">
        <f t="shared" si="6"/>
        <v>Coffee</v>
      </c>
      <c r="B59" t="str">
        <f t="shared" si="7"/>
        <v>Afar</v>
      </c>
      <c r="C59" s="2">
        <f t="shared" ca="1" si="14"/>
        <v>2070.605490104113</v>
      </c>
      <c r="D59" s="2">
        <f t="shared" ca="1" si="14"/>
        <v>2556.9433215179733</v>
      </c>
      <c r="E59" s="2">
        <f t="shared" ca="1" si="14"/>
        <v>2789.280095671113</v>
      </c>
      <c r="F59" s="2">
        <f t="shared" ca="1" si="14"/>
        <v>2151.2537691125999</v>
      </c>
      <c r="G59" s="2">
        <f t="shared" ca="1" si="14"/>
        <v>2549.5088782211169</v>
      </c>
      <c r="H59" s="2">
        <f t="shared" ca="1" si="14"/>
        <v>2769.6982141566373</v>
      </c>
      <c r="I59" s="2">
        <f t="shared" ca="1" si="14"/>
        <v>2364.7047476150583</v>
      </c>
      <c r="J59" s="2">
        <f t="shared" ca="1" si="14"/>
        <v>2418.1844708045892</v>
      </c>
      <c r="K59" s="2">
        <f t="shared" ca="1" si="14"/>
        <v>2946.7498113184538</v>
      </c>
      <c r="L59" s="2">
        <f t="shared" ca="1" si="14"/>
        <v>2291.9787046983274</v>
      </c>
      <c r="M59" s="2">
        <f t="shared" ca="1" si="14"/>
        <v>2325.0876978005144</v>
      </c>
      <c r="N59" s="2">
        <f t="shared" ca="1" si="14"/>
        <v>2441.863817773763</v>
      </c>
      <c r="O59" s="2">
        <f t="shared" ca="1" si="14"/>
        <v>2619.2793863848901</v>
      </c>
      <c r="P59" s="2">
        <f t="shared" ca="1" si="14"/>
        <v>2679.8454833548649</v>
      </c>
      <c r="Q59" s="2">
        <f t="shared" ca="1" si="14"/>
        <v>2069.7912146837421</v>
      </c>
      <c r="R59" s="2">
        <f t="shared" ca="1" si="14"/>
        <v>2559.9098389606092</v>
      </c>
      <c r="S59" s="2">
        <f t="shared" ca="1" si="13"/>
        <v>2971.3549119637628</v>
      </c>
      <c r="T59" s="2">
        <f t="shared" ca="1" si="13"/>
        <v>2350.2272187472281</v>
      </c>
      <c r="U59" s="2">
        <f t="shared" ca="1" si="13"/>
        <v>2115.3377163732011</v>
      </c>
      <c r="V59" s="2">
        <f t="shared" ca="1" si="13"/>
        <v>2215.9719587746381</v>
      </c>
      <c r="W59" s="2">
        <f t="shared" ca="1" si="13"/>
        <v>2210.0224110868685</v>
      </c>
      <c r="X59" s="2">
        <f t="shared" ca="1" si="13"/>
        <v>2640.715123772301</v>
      </c>
      <c r="Y59" s="2">
        <f t="shared" ca="1" si="11"/>
        <v>2701.8244752873507</v>
      </c>
      <c r="Z59" s="2">
        <f t="shared" ca="1" si="12"/>
        <v>2867.7915128084401</v>
      </c>
      <c r="AA59" s="2">
        <f t="shared" ca="1" si="12"/>
        <v>2230.1806952766601</v>
      </c>
      <c r="AB59" s="2">
        <f t="shared" ca="1" si="12"/>
        <v>2680.690617545883</v>
      </c>
      <c r="AC59" s="2">
        <f t="shared" ca="1" si="12"/>
        <v>2535.880356250007</v>
      </c>
      <c r="AD59" s="2">
        <f t="shared" ca="1" si="12"/>
        <v>2888.4613422948541</v>
      </c>
      <c r="AE59" s="2">
        <f t="shared" ca="1" si="12"/>
        <v>2575.882733914998</v>
      </c>
      <c r="AF59" s="2">
        <f t="shared" ca="1" si="12"/>
        <v>2935.2344218324147</v>
      </c>
      <c r="AG59" s="2">
        <f t="shared" ca="1" si="12"/>
        <v>2416.4149322981625</v>
      </c>
      <c r="AH59" s="2">
        <f t="shared" ca="1" si="12"/>
        <v>2430.4080642334079</v>
      </c>
    </row>
    <row r="60" spans="1:34">
      <c r="A60" t="str">
        <f t="shared" si="6"/>
        <v>Coffee</v>
      </c>
      <c r="B60" t="str">
        <f t="shared" si="7"/>
        <v>Amhara</v>
      </c>
      <c r="C60" s="2">
        <f t="shared" ca="1" si="14"/>
        <v>2992.1157855868219</v>
      </c>
      <c r="D60" s="2">
        <f t="shared" ca="1" si="14"/>
        <v>2569.4087758565306</v>
      </c>
      <c r="E60" s="2">
        <f t="shared" ca="1" si="14"/>
        <v>2198.3328202497105</v>
      </c>
      <c r="F60" s="2">
        <f t="shared" ca="1" si="14"/>
        <v>2112.8288540406138</v>
      </c>
      <c r="G60" s="2">
        <f t="shared" ca="1" si="14"/>
        <v>2432.9765495533184</v>
      </c>
      <c r="H60" s="2">
        <f t="shared" ca="1" si="14"/>
        <v>2199.8928633440996</v>
      </c>
      <c r="I60" s="2">
        <f t="shared" ca="1" si="14"/>
        <v>2872.1768156810622</v>
      </c>
      <c r="J60" s="2">
        <f t="shared" ca="1" si="14"/>
        <v>2665.3371426616482</v>
      </c>
      <c r="K60" s="2">
        <f t="shared" ca="1" si="14"/>
        <v>2024.7117044712604</v>
      </c>
      <c r="L60" s="2">
        <f t="shared" ca="1" si="14"/>
        <v>2384.4254683100194</v>
      </c>
      <c r="M60" s="2">
        <f t="shared" ca="1" si="14"/>
        <v>2390.924061625411</v>
      </c>
      <c r="N60" s="2">
        <f t="shared" ca="1" si="14"/>
        <v>2543.981405488079</v>
      </c>
      <c r="O60" s="2">
        <f t="shared" ca="1" si="14"/>
        <v>2585.155745265612</v>
      </c>
      <c r="P60" s="2">
        <f t="shared" ca="1" si="14"/>
        <v>2870.1853911544654</v>
      </c>
      <c r="Q60" s="2">
        <f t="shared" ca="1" si="14"/>
        <v>2815.6643452064554</v>
      </c>
      <c r="R60" s="2">
        <f t="shared" ca="1" si="14"/>
        <v>2260.6530653422847</v>
      </c>
      <c r="S60" s="2">
        <f t="shared" ca="1" si="13"/>
        <v>2870.4109333637152</v>
      </c>
      <c r="T60" s="2">
        <f t="shared" ca="1" si="13"/>
        <v>2851.4026049207423</v>
      </c>
      <c r="U60" s="2">
        <f t="shared" ca="1" si="13"/>
        <v>2994.275255630298</v>
      </c>
      <c r="V60" s="2">
        <f t="shared" ca="1" si="13"/>
        <v>2137.3209505344607</v>
      </c>
      <c r="W60" s="2">
        <f t="shared" ca="1" si="13"/>
        <v>2540.2570258086789</v>
      </c>
      <c r="X60" s="2">
        <f t="shared" ca="1" si="13"/>
        <v>2688.1361682373481</v>
      </c>
      <c r="Y60" s="2">
        <f t="shared" ca="1" si="11"/>
        <v>2042.7936515619006</v>
      </c>
      <c r="Z60" s="2">
        <f t="shared" ca="1" si="12"/>
        <v>2176.2566949883844</v>
      </c>
      <c r="AA60" s="2">
        <f t="shared" ca="1" si="12"/>
        <v>2487.8322601840614</v>
      </c>
      <c r="AB60" s="2">
        <f t="shared" ca="1" si="12"/>
        <v>2495.2251665318217</v>
      </c>
      <c r="AC60" s="2">
        <f t="shared" ca="1" si="12"/>
        <v>2494.4552207885613</v>
      </c>
      <c r="AD60" s="2">
        <f t="shared" ca="1" si="12"/>
        <v>2525.7804109858362</v>
      </c>
      <c r="AE60" s="2">
        <f t="shared" ca="1" si="12"/>
        <v>2286.9003789215039</v>
      </c>
      <c r="AF60" s="2">
        <f t="shared" ca="1" si="12"/>
        <v>2384.2830053258863</v>
      </c>
      <c r="AG60" s="2">
        <f t="shared" ca="1" si="12"/>
        <v>2668.44601217734</v>
      </c>
      <c r="AH60" s="2">
        <f t="shared" ca="1" si="12"/>
        <v>2092.5917958299883</v>
      </c>
    </row>
    <row r="61" spans="1:34">
      <c r="A61" t="str">
        <f t="shared" si="6"/>
        <v>Coffee</v>
      </c>
      <c r="B61" t="str">
        <f t="shared" si="7"/>
        <v>Gumuz</v>
      </c>
      <c r="C61" s="2">
        <f t="shared" ca="1" si="14"/>
        <v>2546.3259004295214</v>
      </c>
      <c r="D61" s="2">
        <f t="shared" ca="1" si="14"/>
        <v>2130.6058516484127</v>
      </c>
      <c r="E61" s="2">
        <f t="shared" ca="1" si="14"/>
        <v>2385.1387320513945</v>
      </c>
      <c r="F61" s="2">
        <f t="shared" ca="1" si="14"/>
        <v>2954.8915382234659</v>
      </c>
      <c r="G61" s="2">
        <f t="shared" ca="1" si="14"/>
        <v>2349.0496003702433</v>
      </c>
      <c r="H61" s="2">
        <f t="shared" ca="1" si="14"/>
        <v>2164.5259535986083</v>
      </c>
      <c r="I61" s="2">
        <f t="shared" ca="1" si="14"/>
        <v>2214.9656940138771</v>
      </c>
      <c r="J61" s="2">
        <f t="shared" ca="1" si="14"/>
        <v>2538.8433811193604</v>
      </c>
      <c r="K61" s="2">
        <f t="shared" ca="1" si="14"/>
        <v>2306.4862862520058</v>
      </c>
      <c r="L61" s="2">
        <f t="shared" ca="1" si="14"/>
        <v>2758.2652306528535</v>
      </c>
      <c r="M61" s="2">
        <f t="shared" ca="1" si="14"/>
        <v>2843.4541430172594</v>
      </c>
      <c r="N61" s="2">
        <f t="shared" ca="1" si="14"/>
        <v>2674.2404214611702</v>
      </c>
      <c r="O61" s="2">
        <f t="shared" ca="1" si="14"/>
        <v>2548.2919297831641</v>
      </c>
      <c r="P61" s="2">
        <f t="shared" ca="1" si="14"/>
        <v>2644.1371831911006</v>
      </c>
      <c r="Q61" s="2">
        <f t="shared" ca="1" si="14"/>
        <v>2139.8758861514198</v>
      </c>
      <c r="R61" s="2">
        <f t="shared" ca="1" si="14"/>
        <v>2897.4275255316797</v>
      </c>
      <c r="S61" s="2">
        <f t="shared" ca="1" si="13"/>
        <v>2714.23899673302</v>
      </c>
      <c r="T61" s="2">
        <f t="shared" ca="1" si="13"/>
        <v>2245.4619585990513</v>
      </c>
      <c r="U61" s="2">
        <f t="shared" ca="1" si="13"/>
        <v>2097.8312769537688</v>
      </c>
      <c r="V61" s="2">
        <f t="shared" ca="1" si="13"/>
        <v>2739.1797846828786</v>
      </c>
      <c r="W61" s="2">
        <f t="shared" ca="1" si="13"/>
        <v>2363.5993939512978</v>
      </c>
      <c r="X61" s="2">
        <f t="shared" ca="1" si="13"/>
        <v>2622.8051620248016</v>
      </c>
      <c r="Y61" s="2">
        <f t="shared" ca="1" si="11"/>
        <v>2133.2437019950967</v>
      </c>
      <c r="Z61" s="2">
        <f t="shared" ca="1" si="12"/>
        <v>2580.1003479476949</v>
      </c>
      <c r="AA61" s="2">
        <f t="shared" ca="1" si="12"/>
        <v>2639.5245966591824</v>
      </c>
      <c r="AB61" s="2">
        <f t="shared" ca="1" si="12"/>
        <v>2735.0834966861607</v>
      </c>
      <c r="AC61" s="2">
        <f t="shared" ca="1" si="12"/>
        <v>2490.7625144124495</v>
      </c>
      <c r="AD61" s="2">
        <f t="shared" ca="1" si="12"/>
        <v>2323.3894189893331</v>
      </c>
      <c r="AE61" s="2">
        <f t="shared" ca="1" si="12"/>
        <v>2709.5246443625451</v>
      </c>
      <c r="AF61" s="2">
        <f t="shared" ca="1" si="12"/>
        <v>2439.4588511769575</v>
      </c>
      <c r="AG61" s="2">
        <f t="shared" ca="1" si="12"/>
        <v>2919.2571077075158</v>
      </c>
      <c r="AH61" s="2">
        <f t="shared" ca="1" si="12"/>
        <v>2599.5626597827491</v>
      </c>
    </row>
    <row r="62" spans="1:34">
      <c r="A62" t="str">
        <f t="shared" si="6"/>
        <v>Coffee</v>
      </c>
      <c r="B62" t="str">
        <f t="shared" si="7"/>
        <v>DireDawa</v>
      </c>
      <c r="C62" s="2">
        <f t="shared" ca="1" si="14"/>
        <v>2690.2696784994619</v>
      </c>
      <c r="D62" s="2">
        <f t="shared" ca="1" si="14"/>
        <v>2312.6020671230403</v>
      </c>
      <c r="E62" s="2">
        <f t="shared" ca="1" si="14"/>
        <v>2034.9586759215556</v>
      </c>
      <c r="F62" s="2">
        <f t="shared" ca="1" si="14"/>
        <v>2260.3736318682336</v>
      </c>
      <c r="G62" s="2">
        <f t="shared" ca="1" si="14"/>
        <v>2141.6088228350914</v>
      </c>
      <c r="H62" s="2">
        <f t="shared" ca="1" si="14"/>
        <v>2993.2204981106638</v>
      </c>
      <c r="I62" s="2">
        <f t="shared" ca="1" si="14"/>
        <v>2872.0387404740823</v>
      </c>
      <c r="J62" s="2">
        <f t="shared" ca="1" si="14"/>
        <v>2636.7516647344096</v>
      </c>
      <c r="K62" s="2">
        <f t="shared" ca="1" si="14"/>
        <v>2426.2305113754524</v>
      </c>
      <c r="L62" s="2">
        <f t="shared" ca="1" si="14"/>
        <v>2679.5009781987151</v>
      </c>
      <c r="M62" s="2">
        <f t="shared" ca="1" si="14"/>
        <v>2163.9528047640565</v>
      </c>
      <c r="N62" s="2">
        <f t="shared" ca="1" si="14"/>
        <v>2837.8449272813978</v>
      </c>
      <c r="O62" s="2">
        <f t="shared" ca="1" si="14"/>
        <v>2150.0678000002986</v>
      </c>
      <c r="P62" s="2">
        <f t="shared" ca="1" si="14"/>
        <v>2809.2530580612688</v>
      </c>
      <c r="Q62" s="2">
        <f t="shared" ca="1" si="14"/>
        <v>2118.8545461836825</v>
      </c>
      <c r="R62" s="2">
        <f t="shared" ca="1" si="14"/>
        <v>2748.5365076760932</v>
      </c>
      <c r="S62" s="2">
        <f t="shared" ca="1" si="13"/>
        <v>2777.0761636379202</v>
      </c>
      <c r="T62" s="2">
        <f t="shared" ca="1" si="13"/>
        <v>2299.0073363924512</v>
      </c>
      <c r="U62" s="2">
        <f t="shared" ca="1" si="13"/>
        <v>2098.0643825622551</v>
      </c>
      <c r="V62" s="2">
        <f t="shared" ca="1" si="13"/>
        <v>2496.783159588766</v>
      </c>
      <c r="W62" s="2">
        <f t="shared" ca="1" si="13"/>
        <v>2687.6041317743238</v>
      </c>
      <c r="X62" s="2">
        <f t="shared" ca="1" si="13"/>
        <v>2657.0300717118162</v>
      </c>
      <c r="Y62" s="2">
        <f t="shared" ca="1" si="11"/>
        <v>2954.3983325038521</v>
      </c>
      <c r="Z62" s="2">
        <f t="shared" ca="1" si="12"/>
        <v>2278.5726433591431</v>
      </c>
      <c r="AA62" s="2">
        <f t="shared" ca="1" si="12"/>
        <v>2425.2007534065574</v>
      </c>
      <c r="AB62" s="2">
        <f t="shared" ca="1" si="12"/>
        <v>2478.2204135327106</v>
      </c>
      <c r="AC62" s="2">
        <f t="shared" ca="1" si="12"/>
        <v>2623.4806396153995</v>
      </c>
      <c r="AD62" s="2">
        <f t="shared" ca="1" si="12"/>
        <v>2481.4132394747371</v>
      </c>
      <c r="AE62" s="2">
        <f t="shared" ca="1" si="12"/>
        <v>2547.8675601250648</v>
      </c>
      <c r="AF62" s="2">
        <f t="shared" ca="1" si="12"/>
        <v>2132.1644306198</v>
      </c>
      <c r="AG62" s="2">
        <f t="shared" ca="1" si="12"/>
        <v>2715.3936477771899</v>
      </c>
      <c r="AH62" s="2">
        <f t="shared" ca="1" si="12"/>
        <v>2355.1076709350405</v>
      </c>
    </row>
    <row r="63" spans="1:34">
      <c r="A63" t="str">
        <f t="shared" si="6"/>
        <v>Coffee</v>
      </c>
      <c r="B63" t="str">
        <f t="shared" si="7"/>
        <v>Gambela</v>
      </c>
      <c r="C63" s="2">
        <f t="shared" ca="1" si="14"/>
        <v>2936.0140470704941</v>
      </c>
      <c r="D63" s="2">
        <f t="shared" ca="1" si="14"/>
        <v>2862.4039267973094</v>
      </c>
      <c r="E63" s="2">
        <f t="shared" ca="1" si="14"/>
        <v>2723.1370292119318</v>
      </c>
      <c r="F63" s="2">
        <f t="shared" ca="1" si="14"/>
        <v>2716.8849983933587</v>
      </c>
      <c r="G63" s="2">
        <f t="shared" ca="1" si="14"/>
        <v>2743.1747126242171</v>
      </c>
      <c r="H63" s="2">
        <f t="shared" ca="1" si="14"/>
        <v>2155.7828862013171</v>
      </c>
      <c r="I63" s="2">
        <f t="shared" ca="1" si="14"/>
        <v>2935.8970294666033</v>
      </c>
      <c r="J63" s="2">
        <f t="shared" ca="1" si="14"/>
        <v>2964.4925344182211</v>
      </c>
      <c r="K63" s="2">
        <f t="shared" ca="1" si="14"/>
        <v>2515.5758005013195</v>
      </c>
      <c r="L63" s="2">
        <f t="shared" ca="1" si="14"/>
        <v>2340.5978857120967</v>
      </c>
      <c r="M63" s="2">
        <f t="shared" ca="1" si="14"/>
        <v>2865.0042220698897</v>
      </c>
      <c r="N63" s="2">
        <f t="shared" ca="1" si="14"/>
        <v>2663.5466527116537</v>
      </c>
      <c r="O63" s="2">
        <f t="shared" ca="1" si="14"/>
        <v>2666.9833553330886</v>
      </c>
      <c r="P63" s="2">
        <f t="shared" ca="1" si="14"/>
        <v>2218.345883207895</v>
      </c>
      <c r="Q63" s="2">
        <f t="shared" ca="1" si="14"/>
        <v>2896.2797479879832</v>
      </c>
      <c r="R63" s="2">
        <f t="shared" ca="1" si="14"/>
        <v>2518.7141248609187</v>
      </c>
      <c r="S63" s="2">
        <f t="shared" ca="1" si="13"/>
        <v>2513.2747269951265</v>
      </c>
      <c r="T63" s="2">
        <f t="shared" ca="1" si="13"/>
        <v>2001.2252114728306</v>
      </c>
      <c r="U63" s="2">
        <f t="shared" ca="1" si="13"/>
        <v>2680.854875766096</v>
      </c>
      <c r="V63" s="2">
        <f t="shared" ca="1" si="13"/>
        <v>2598.5722838193046</v>
      </c>
      <c r="W63" s="2">
        <f t="shared" ca="1" si="13"/>
        <v>2802.9603914833424</v>
      </c>
      <c r="X63" s="2">
        <f t="shared" ca="1" si="13"/>
        <v>2038.172909324132</v>
      </c>
      <c r="Y63" s="2">
        <f t="shared" ca="1" si="11"/>
        <v>2506.8341875978099</v>
      </c>
      <c r="Z63" s="2">
        <f t="shared" ca="1" si="12"/>
        <v>2847.1610883693584</v>
      </c>
      <c r="AA63" s="2">
        <f t="shared" ca="1" si="12"/>
        <v>2848.038279492228</v>
      </c>
      <c r="AB63" s="2">
        <f t="shared" ca="1" si="12"/>
        <v>2427.6289721342532</v>
      </c>
      <c r="AC63" s="2">
        <f t="shared" ca="1" si="12"/>
        <v>2014.6610751950752</v>
      </c>
      <c r="AD63" s="2">
        <f t="shared" ca="1" si="12"/>
        <v>2727.1713973482024</v>
      </c>
      <c r="AE63" s="2">
        <f t="shared" ca="1" si="12"/>
        <v>2857.9456736420657</v>
      </c>
      <c r="AF63" s="2">
        <f t="shared" ca="1" si="12"/>
        <v>2420.9992819046424</v>
      </c>
      <c r="AG63" s="2">
        <f t="shared" ca="1" si="12"/>
        <v>2239.1061008910242</v>
      </c>
      <c r="AH63" s="2">
        <f t="shared" ca="1" si="12"/>
        <v>2333.7856450219674</v>
      </c>
    </row>
    <row r="64" spans="1:34">
      <c r="A64" t="str">
        <f t="shared" si="6"/>
        <v>Coffee</v>
      </c>
      <c r="B64" t="str">
        <f t="shared" si="7"/>
        <v>Harari</v>
      </c>
      <c r="C64" s="2">
        <f t="shared" ca="1" si="14"/>
        <v>2079.6359366383736</v>
      </c>
      <c r="D64" s="2">
        <f t="shared" ca="1" si="14"/>
        <v>2455.6768047546971</v>
      </c>
      <c r="E64" s="2">
        <f t="shared" ca="1" si="14"/>
        <v>2696.9800001119115</v>
      </c>
      <c r="F64" s="2">
        <f t="shared" ca="1" si="14"/>
        <v>2819.8296426967927</v>
      </c>
      <c r="G64" s="2">
        <f t="shared" ca="1" si="14"/>
        <v>2587.0629013504695</v>
      </c>
      <c r="H64" s="2">
        <f t="shared" ca="1" si="14"/>
        <v>2280.7550085927437</v>
      </c>
      <c r="I64" s="2">
        <f t="shared" ca="1" si="14"/>
        <v>2076.2460466060629</v>
      </c>
      <c r="J64" s="2">
        <f t="shared" ca="1" si="14"/>
        <v>2816.0807786952655</v>
      </c>
      <c r="K64" s="2">
        <f t="shared" ca="1" si="14"/>
        <v>2438.4824968308012</v>
      </c>
      <c r="L64" s="2">
        <f t="shared" ca="1" si="14"/>
        <v>2649.6452856290884</v>
      </c>
      <c r="M64" s="2">
        <f t="shared" ca="1" si="14"/>
        <v>2934.1030666804836</v>
      </c>
      <c r="N64" s="2">
        <f t="shared" ca="1" si="14"/>
        <v>2006.9782951295747</v>
      </c>
      <c r="O64" s="2">
        <f t="shared" ca="1" si="14"/>
        <v>2782.8365878064633</v>
      </c>
      <c r="P64" s="2">
        <f t="shared" ca="1" si="14"/>
        <v>2531.7046475424559</v>
      </c>
      <c r="Q64" s="2">
        <f t="shared" ca="1" si="14"/>
        <v>2758.9911604964423</v>
      </c>
      <c r="R64" s="2">
        <f t="shared" ca="1" si="14"/>
        <v>2076.1768681552412</v>
      </c>
      <c r="S64" s="2">
        <f t="shared" ca="1" si="13"/>
        <v>2794.6949946605127</v>
      </c>
      <c r="T64" s="2">
        <f t="shared" ca="1" si="13"/>
        <v>2776.9099922672494</v>
      </c>
      <c r="U64" s="2">
        <f t="shared" ca="1" si="13"/>
        <v>2698.0928484197302</v>
      </c>
      <c r="V64" s="2">
        <f t="shared" ca="1" si="13"/>
        <v>2528.457515004075</v>
      </c>
      <c r="W64" s="2">
        <f t="shared" ca="1" si="13"/>
        <v>2515.579577973931</v>
      </c>
      <c r="X64" s="2">
        <f t="shared" ca="1" si="13"/>
        <v>2534.0574011117224</v>
      </c>
      <c r="Y64" s="2">
        <f t="shared" ca="1" si="11"/>
        <v>2606.0826217830863</v>
      </c>
      <c r="Z64" s="2">
        <f t="shared" ca="1" si="12"/>
        <v>2767.8692132064039</v>
      </c>
      <c r="AA64" s="2">
        <f t="shared" ca="1" si="12"/>
        <v>2481.4455195749883</v>
      </c>
      <c r="AB64" s="2">
        <f t="shared" ca="1" si="12"/>
        <v>2535.4051694065797</v>
      </c>
      <c r="AC64" s="2">
        <f t="shared" ca="1" si="12"/>
        <v>2938.3303816599337</v>
      </c>
      <c r="AD64" s="2">
        <f t="shared" ca="1" si="12"/>
        <v>2815.3847354536056</v>
      </c>
      <c r="AE64" s="2">
        <f t="shared" ca="1" si="12"/>
        <v>2134.0864091883591</v>
      </c>
      <c r="AF64" s="2">
        <f t="shared" ca="1" si="12"/>
        <v>2531.3954199939949</v>
      </c>
      <c r="AG64" s="2">
        <f t="shared" ca="1" si="12"/>
        <v>2897.3387614329699</v>
      </c>
      <c r="AH64" s="2">
        <f t="shared" ca="1" si="12"/>
        <v>2354.9879520401778</v>
      </c>
    </row>
    <row r="65" spans="1:34">
      <c r="A65" t="str">
        <f t="shared" si="6"/>
        <v>Coffee</v>
      </c>
      <c r="B65" t="str">
        <f t="shared" si="7"/>
        <v>Oromia</v>
      </c>
      <c r="C65" s="2">
        <f t="shared" ca="1" si="14"/>
        <v>2717.1135807649221</v>
      </c>
      <c r="D65" s="2">
        <f t="shared" ca="1" si="14"/>
        <v>2687.5731922350915</v>
      </c>
      <c r="E65" s="2">
        <f t="shared" ca="1" si="14"/>
        <v>2634.9371940525889</v>
      </c>
      <c r="F65" s="2">
        <f t="shared" ca="1" si="14"/>
        <v>2898.9796341558822</v>
      </c>
      <c r="G65" s="2">
        <f t="shared" ca="1" si="14"/>
        <v>2645.4242325437704</v>
      </c>
      <c r="H65" s="2">
        <f t="shared" ca="1" si="14"/>
        <v>2635.2820036030448</v>
      </c>
      <c r="I65" s="2">
        <f t="shared" ca="1" si="14"/>
        <v>2416.0619291912344</v>
      </c>
      <c r="J65" s="2">
        <f t="shared" ca="1" si="14"/>
        <v>2207.3113131111836</v>
      </c>
      <c r="K65" s="2">
        <f t="shared" ca="1" si="14"/>
        <v>2183.323193542416</v>
      </c>
      <c r="L65" s="2">
        <f t="shared" ca="1" si="14"/>
        <v>2275.5866042099324</v>
      </c>
      <c r="M65" s="2">
        <f t="shared" ca="1" si="14"/>
        <v>2855.4859802250144</v>
      </c>
      <c r="N65" s="2">
        <f t="shared" ca="1" si="14"/>
        <v>2675.1275277355608</v>
      </c>
      <c r="O65" s="2">
        <f t="shared" ca="1" si="14"/>
        <v>2418.3317071137794</v>
      </c>
      <c r="P65" s="2">
        <f t="shared" ca="1" si="14"/>
        <v>2211.6922747015933</v>
      </c>
      <c r="Q65" s="2">
        <f t="shared" ca="1" si="14"/>
        <v>2771.5194647567482</v>
      </c>
      <c r="R65" s="2">
        <f t="shared" ca="1" si="14"/>
        <v>2225.7972151472441</v>
      </c>
      <c r="S65" s="2">
        <f t="shared" ca="1" si="13"/>
        <v>2066.4229918945834</v>
      </c>
      <c r="T65" s="2">
        <f t="shared" ca="1" si="13"/>
        <v>2185.7845343773142</v>
      </c>
      <c r="U65" s="2">
        <f t="shared" ca="1" si="13"/>
        <v>2322.0387324747489</v>
      </c>
      <c r="V65" s="2">
        <f t="shared" ca="1" si="13"/>
        <v>2939.2244084165241</v>
      </c>
      <c r="W65" s="2">
        <f t="shared" ca="1" si="13"/>
        <v>2473.3559830544241</v>
      </c>
      <c r="X65" s="2">
        <f t="shared" ca="1" si="13"/>
        <v>2445.9629511630351</v>
      </c>
      <c r="Y65" s="2">
        <f t="shared" ca="1" si="11"/>
        <v>2883.0351472204075</v>
      </c>
      <c r="Z65" s="2">
        <f t="shared" ca="1" si="12"/>
        <v>2654.943135521376</v>
      </c>
      <c r="AA65" s="2">
        <f t="shared" ca="1" si="12"/>
        <v>2499.1898726388758</v>
      </c>
      <c r="AB65" s="2">
        <f t="shared" ca="1" si="12"/>
        <v>2248.7610625799939</v>
      </c>
      <c r="AC65" s="2">
        <f t="shared" ca="1" si="12"/>
        <v>2818.7034858953048</v>
      </c>
      <c r="AD65" s="2">
        <f t="shared" ca="1" si="12"/>
        <v>2818.0299943616697</v>
      </c>
      <c r="AE65" s="2">
        <f t="shared" ca="1" si="12"/>
        <v>2969.9106673493179</v>
      </c>
      <c r="AF65" s="2">
        <f t="shared" ca="1" si="12"/>
        <v>2750.3181003067007</v>
      </c>
      <c r="AG65" s="2">
        <f t="shared" ca="1" si="12"/>
        <v>2109.2014061943428</v>
      </c>
      <c r="AH65" s="2">
        <f t="shared" ca="1" si="12"/>
        <v>2636.6571769359703</v>
      </c>
    </row>
    <row r="66" spans="1:34">
      <c r="A66" t="str">
        <f t="shared" si="6"/>
        <v>Coffee</v>
      </c>
      <c r="B66" t="str">
        <f t="shared" si="7"/>
        <v>Somali</v>
      </c>
      <c r="C66" s="2">
        <f t="shared" ca="1" si="14"/>
        <v>2454.3563319526565</v>
      </c>
      <c r="D66" s="2">
        <f t="shared" ca="1" si="14"/>
        <v>2319.5236271575982</v>
      </c>
      <c r="E66" s="2">
        <f t="shared" ca="1" si="14"/>
        <v>2262.3018621228366</v>
      </c>
      <c r="F66" s="2">
        <f t="shared" ca="1" si="14"/>
        <v>2204.7948872753091</v>
      </c>
      <c r="G66" s="2">
        <f t="shared" ca="1" si="14"/>
        <v>2955.0833787109605</v>
      </c>
      <c r="H66" s="2">
        <f t="shared" ca="1" si="14"/>
        <v>2460.7974875232471</v>
      </c>
      <c r="I66" s="2">
        <f t="shared" ca="1" si="14"/>
        <v>2419.9528363214749</v>
      </c>
      <c r="J66" s="2">
        <f t="shared" ca="1" si="14"/>
        <v>2506.7901262253927</v>
      </c>
      <c r="K66" s="2">
        <f t="shared" ca="1" si="14"/>
        <v>2164.2352788040066</v>
      </c>
      <c r="L66" s="2">
        <f t="shared" ca="1" si="14"/>
        <v>2264.9941483573079</v>
      </c>
      <c r="M66" s="2">
        <f t="shared" ca="1" si="14"/>
        <v>2418.6711229145176</v>
      </c>
      <c r="N66" s="2">
        <f t="shared" ca="1" si="14"/>
        <v>2628.0815502772616</v>
      </c>
      <c r="O66" s="2">
        <f t="shared" ca="1" si="14"/>
        <v>2565.2065057615387</v>
      </c>
      <c r="P66" s="2">
        <f t="shared" ca="1" si="14"/>
        <v>2352.3039277532666</v>
      </c>
      <c r="Q66" s="2">
        <f t="shared" ca="1" si="14"/>
        <v>2702.1033191061601</v>
      </c>
      <c r="R66" s="2">
        <f t="shared" ca="1" si="14"/>
        <v>2224.0884070702282</v>
      </c>
      <c r="S66" s="2">
        <f t="shared" ca="1" si="13"/>
        <v>2136.1496870461015</v>
      </c>
      <c r="T66" s="2">
        <f t="shared" ca="1" si="13"/>
        <v>2541.1753089303961</v>
      </c>
      <c r="U66" s="2">
        <f t="shared" ca="1" si="13"/>
        <v>2907.4549495097699</v>
      </c>
      <c r="V66" s="2">
        <f t="shared" ca="1" si="13"/>
        <v>2827.2453549377319</v>
      </c>
      <c r="W66" s="2">
        <f t="shared" ca="1" si="13"/>
        <v>2250.9229771956357</v>
      </c>
      <c r="X66" s="2">
        <f t="shared" ca="1" si="13"/>
        <v>2801.1610128112629</v>
      </c>
      <c r="Y66" s="2">
        <f t="shared" ca="1" si="11"/>
        <v>2826.5384993016946</v>
      </c>
      <c r="Z66" s="2">
        <f t="shared" ca="1" si="12"/>
        <v>2675.1060429292397</v>
      </c>
      <c r="AA66" s="2">
        <f t="shared" ca="1" si="12"/>
        <v>2684.1546853945279</v>
      </c>
      <c r="AB66" s="2">
        <f t="shared" ca="1" si="12"/>
        <v>2236.0108183667544</v>
      </c>
      <c r="AC66" s="2">
        <f t="shared" ca="1" si="12"/>
        <v>2072.9562502083763</v>
      </c>
      <c r="AD66" s="2">
        <f t="shared" ca="1" si="12"/>
        <v>2109.4398735851482</v>
      </c>
      <c r="AE66" s="2">
        <f t="shared" ca="1" si="12"/>
        <v>2446.2632016654502</v>
      </c>
      <c r="AF66" s="2">
        <f t="shared" ca="1" si="12"/>
        <v>2857.0033590744492</v>
      </c>
      <c r="AG66" s="2">
        <f t="shared" ca="1" si="12"/>
        <v>2745.6887760989011</v>
      </c>
      <c r="AH66" s="2">
        <f t="shared" ca="1" si="12"/>
        <v>2826.7807737975327</v>
      </c>
    </row>
    <row r="67" spans="1:34">
      <c r="A67" t="str">
        <f t="shared" si="6"/>
        <v>Coffee</v>
      </c>
      <c r="B67" t="str">
        <f t="shared" si="7"/>
        <v>SNNPR</v>
      </c>
      <c r="C67" s="2">
        <f t="shared" ca="1" si="14"/>
        <v>2339.5030780455004</v>
      </c>
      <c r="D67" s="2">
        <f t="shared" ca="1" si="14"/>
        <v>2666.0784881458926</v>
      </c>
      <c r="E67" s="2">
        <f t="shared" ca="1" si="14"/>
        <v>2385.0665053567664</v>
      </c>
      <c r="F67" s="2">
        <f t="shared" ca="1" si="14"/>
        <v>2930.9602281591351</v>
      </c>
      <c r="G67" s="2">
        <f t="shared" ca="1" si="14"/>
        <v>2659.5082079591198</v>
      </c>
      <c r="H67" s="2">
        <f t="shared" ca="1" si="14"/>
        <v>2077.8422122489919</v>
      </c>
      <c r="I67" s="2">
        <f t="shared" ca="1" si="14"/>
        <v>2802.3955194550149</v>
      </c>
      <c r="J67" s="2">
        <f t="shared" ca="1" si="14"/>
        <v>2594.7269462626437</v>
      </c>
      <c r="K67" s="2">
        <f t="shared" ca="1" si="14"/>
        <v>2051.2727103171496</v>
      </c>
      <c r="L67" s="2">
        <f t="shared" ca="1" si="14"/>
        <v>2351.3050054252362</v>
      </c>
      <c r="M67" s="2">
        <f t="shared" ca="1" si="14"/>
        <v>2497.2899595193194</v>
      </c>
      <c r="N67" s="2">
        <f t="shared" ca="1" si="14"/>
        <v>2173.2349554223642</v>
      </c>
      <c r="O67" s="2">
        <f t="shared" ca="1" si="14"/>
        <v>2831.2923309060284</v>
      </c>
      <c r="P67" s="2">
        <f t="shared" ca="1" si="14"/>
        <v>2330.7430362200707</v>
      </c>
      <c r="Q67" s="2">
        <f t="shared" ca="1" si="14"/>
        <v>2293.3819665859778</v>
      </c>
      <c r="R67" s="2">
        <f t="shared" ca="1" si="14"/>
        <v>2157.2834803452242</v>
      </c>
      <c r="S67" s="2">
        <f t="shared" ca="1" si="13"/>
        <v>2997.6232794158213</v>
      </c>
      <c r="T67" s="2">
        <f t="shared" ca="1" si="13"/>
        <v>2852.8830589790368</v>
      </c>
      <c r="U67" s="2">
        <f t="shared" ca="1" si="13"/>
        <v>2018.509509298169</v>
      </c>
      <c r="V67" s="2">
        <f t="shared" ca="1" si="13"/>
        <v>2227.5337670264653</v>
      </c>
      <c r="W67" s="2">
        <f t="shared" ca="1" si="13"/>
        <v>2140.9285785228099</v>
      </c>
      <c r="X67" s="2">
        <f t="shared" ca="1" si="13"/>
        <v>2811.6332525766302</v>
      </c>
      <c r="Y67" s="2">
        <f t="shared" ca="1" si="11"/>
        <v>2191.8929657869544</v>
      </c>
      <c r="Z67" s="2">
        <f t="shared" ca="1" si="12"/>
        <v>2469.1350219836477</v>
      </c>
      <c r="AA67" s="2">
        <f t="shared" ca="1" si="12"/>
        <v>2143.2198290008582</v>
      </c>
      <c r="AB67" s="2">
        <f t="shared" ca="1" si="12"/>
        <v>2256.5711996373484</v>
      </c>
      <c r="AC67" s="2">
        <f t="shared" ca="1" si="12"/>
        <v>2613.5882481474673</v>
      </c>
      <c r="AD67" s="2">
        <f t="shared" ca="1" si="12"/>
        <v>2846.2206857807341</v>
      </c>
      <c r="AE67" s="2">
        <f t="shared" ca="1" si="12"/>
        <v>2183.8493126675753</v>
      </c>
      <c r="AF67" s="2">
        <f t="shared" ca="1" si="12"/>
        <v>2033.6043158234293</v>
      </c>
      <c r="AG67" s="2">
        <f t="shared" ca="1" si="12"/>
        <v>2971.6787029764964</v>
      </c>
      <c r="AH67" s="2">
        <f t="shared" ca="1" si="12"/>
        <v>2573.3004465321851</v>
      </c>
    </row>
    <row r="68" spans="1:34">
      <c r="A68" t="str">
        <f t="shared" si="6"/>
        <v>Coffee</v>
      </c>
      <c r="B68" t="str">
        <f t="shared" si="7"/>
        <v>Tigray</v>
      </c>
      <c r="C68" s="2">
        <f t="shared" ca="1" si="14"/>
        <v>2251.1342154508061</v>
      </c>
      <c r="D68" s="2">
        <f t="shared" ca="1" si="14"/>
        <v>2436.9036502179915</v>
      </c>
      <c r="E68" s="2">
        <f t="shared" ca="1" si="14"/>
        <v>2565.9043302103773</v>
      </c>
      <c r="F68" s="2">
        <f t="shared" ca="1" si="14"/>
        <v>2869.5499942554916</v>
      </c>
      <c r="G68" s="2">
        <f t="shared" ca="1" si="14"/>
        <v>2799.1342086198661</v>
      </c>
      <c r="H68" s="2">
        <f t="shared" ca="1" si="14"/>
        <v>2730.2340272727583</v>
      </c>
      <c r="I68" s="2">
        <f t="shared" ca="1" si="14"/>
        <v>2286.1021415183427</v>
      </c>
      <c r="J68" s="2">
        <f t="shared" ca="1" si="14"/>
        <v>2273.600505234162</v>
      </c>
      <c r="K68" s="2">
        <f t="shared" ca="1" si="14"/>
        <v>2450.1298534858379</v>
      </c>
      <c r="L68" s="2">
        <f t="shared" ca="1" si="14"/>
        <v>2888.397632962734</v>
      </c>
      <c r="M68" s="2">
        <f t="shared" ca="1" si="14"/>
        <v>2785.2943545363532</v>
      </c>
      <c r="N68" s="2">
        <f t="shared" ca="1" si="14"/>
        <v>2024.532496363011</v>
      </c>
      <c r="O68" s="2">
        <f t="shared" ca="1" si="14"/>
        <v>2522.8946433705096</v>
      </c>
      <c r="P68" s="2">
        <f t="shared" ca="1" si="14"/>
        <v>2474.2744322688945</v>
      </c>
      <c r="Q68" s="2">
        <f t="shared" ca="1" si="14"/>
        <v>2019.3901066673686</v>
      </c>
      <c r="R68" s="2">
        <f t="shared" ref="R68:AH68" ca="1" si="15">(RAND()*1+2)*1000</f>
        <v>2025.279801765718</v>
      </c>
      <c r="S68" s="2">
        <f t="shared" ca="1" si="15"/>
        <v>2572.3153175809225</v>
      </c>
      <c r="T68" s="2">
        <f t="shared" ca="1" si="15"/>
        <v>2316.6257819800617</v>
      </c>
      <c r="U68" s="2">
        <f t="shared" ca="1" si="15"/>
        <v>2520.0193520934677</v>
      </c>
      <c r="V68" s="2">
        <f t="shared" ca="1" si="15"/>
        <v>2300.817153270496</v>
      </c>
      <c r="W68" s="2">
        <f t="shared" ca="1" si="15"/>
        <v>2089.5598041426065</v>
      </c>
      <c r="X68" s="2">
        <f t="shared" ca="1" si="15"/>
        <v>2897.39417743589</v>
      </c>
      <c r="Y68" s="2">
        <f t="shared" ca="1" si="15"/>
        <v>2619.0896663199155</v>
      </c>
      <c r="Z68" s="2">
        <f t="shared" ca="1" si="15"/>
        <v>2716.7808967239089</v>
      </c>
      <c r="AA68" s="2">
        <f t="shared" ca="1" si="15"/>
        <v>2545.7679149190399</v>
      </c>
      <c r="AB68" s="2">
        <f t="shared" ca="1" si="15"/>
        <v>2597.562694860379</v>
      </c>
      <c r="AC68" s="2">
        <f t="shared" ca="1" si="15"/>
        <v>2404.4549056928918</v>
      </c>
      <c r="AD68" s="2">
        <f t="shared" ca="1" si="15"/>
        <v>2493.2443601399937</v>
      </c>
      <c r="AE68" s="2">
        <f t="shared" ca="1" si="15"/>
        <v>2735.5376621121877</v>
      </c>
      <c r="AF68" s="2">
        <f t="shared" ca="1" si="15"/>
        <v>2868.1711747740997</v>
      </c>
      <c r="AG68" s="2">
        <f t="shared" ca="1" si="15"/>
        <v>2751.1359557691799</v>
      </c>
      <c r="AH68" s="2">
        <f t="shared" ca="1" si="15"/>
        <v>2069.5874210383163</v>
      </c>
    </row>
  </sheetData>
  <pageMargins left="0.75" right="0.75" top="1" bottom="1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H68"/>
  <sheetViews>
    <sheetView zoomScale="85" zoomScaleNormal="85" workbookViewId="0">
      <selection activeCell="C1" sqref="C1:AH2"/>
    </sheetView>
  </sheetViews>
  <sheetFormatPr defaultColWidth="8.875" defaultRowHeight="15.75"/>
  <cols>
    <col min="1" max="1" width="10.125" customWidth="1"/>
    <col min="2" max="2" width="10.625" customWidth="1"/>
  </cols>
  <sheetData>
    <row r="1" spans="1:34">
      <c r="C1">
        <v>2015</v>
      </c>
      <c r="D1">
        <v>2015</v>
      </c>
      <c r="E1">
        <f>C1+1</f>
        <v>2016</v>
      </c>
      <c r="F1">
        <f t="shared" ref="F1:AH1" si="0">D1+1</f>
        <v>2016</v>
      </c>
      <c r="G1">
        <f t="shared" si="0"/>
        <v>2017</v>
      </c>
      <c r="H1">
        <f t="shared" si="0"/>
        <v>2017</v>
      </c>
      <c r="I1">
        <f t="shared" si="0"/>
        <v>2018</v>
      </c>
      <c r="J1">
        <f t="shared" si="0"/>
        <v>2018</v>
      </c>
      <c r="K1">
        <f t="shared" si="0"/>
        <v>2019</v>
      </c>
      <c r="L1">
        <f t="shared" si="0"/>
        <v>2019</v>
      </c>
      <c r="M1">
        <f t="shared" si="0"/>
        <v>2020</v>
      </c>
      <c r="N1">
        <f t="shared" si="0"/>
        <v>2020</v>
      </c>
      <c r="O1">
        <f t="shared" si="0"/>
        <v>2021</v>
      </c>
      <c r="P1">
        <f t="shared" si="0"/>
        <v>2021</v>
      </c>
      <c r="Q1">
        <f t="shared" si="0"/>
        <v>2022</v>
      </c>
      <c r="R1">
        <f t="shared" si="0"/>
        <v>2022</v>
      </c>
      <c r="S1">
        <f t="shared" si="0"/>
        <v>2023</v>
      </c>
      <c r="T1">
        <f t="shared" si="0"/>
        <v>2023</v>
      </c>
      <c r="U1">
        <f t="shared" si="0"/>
        <v>2024</v>
      </c>
      <c r="V1">
        <f t="shared" si="0"/>
        <v>2024</v>
      </c>
      <c r="W1">
        <f t="shared" si="0"/>
        <v>2025</v>
      </c>
      <c r="X1">
        <f t="shared" si="0"/>
        <v>2025</v>
      </c>
      <c r="Y1">
        <f t="shared" si="0"/>
        <v>2026</v>
      </c>
      <c r="Z1">
        <f t="shared" si="0"/>
        <v>2026</v>
      </c>
      <c r="AA1">
        <f t="shared" si="0"/>
        <v>2027</v>
      </c>
      <c r="AB1">
        <f t="shared" si="0"/>
        <v>2027</v>
      </c>
      <c r="AC1">
        <f t="shared" si="0"/>
        <v>2028</v>
      </c>
      <c r="AD1">
        <f t="shared" si="0"/>
        <v>2028</v>
      </c>
      <c r="AE1">
        <f t="shared" si="0"/>
        <v>2029</v>
      </c>
      <c r="AF1">
        <f t="shared" si="0"/>
        <v>2029</v>
      </c>
      <c r="AG1">
        <f t="shared" si="0"/>
        <v>2030</v>
      </c>
      <c r="AH1">
        <f t="shared" si="0"/>
        <v>2030</v>
      </c>
    </row>
    <row r="2" spans="1:34">
      <c r="C2" t="str">
        <f t="array" ref="C2:D2">TRANSPOSE(Seasons)</f>
        <v>Belg</v>
      </c>
      <c r="D2" t="str">
        <v>Kremt</v>
      </c>
      <c r="E2" t="str">
        <f>C2</f>
        <v>Belg</v>
      </c>
      <c r="F2" t="str">
        <f t="shared" ref="F2:AH2" si="1">D2</f>
        <v>Kremt</v>
      </c>
      <c r="G2" t="str">
        <f t="shared" si="1"/>
        <v>Belg</v>
      </c>
      <c r="H2" t="str">
        <f t="shared" si="1"/>
        <v>Kremt</v>
      </c>
      <c r="I2" t="str">
        <f t="shared" si="1"/>
        <v>Belg</v>
      </c>
      <c r="J2" t="str">
        <f t="shared" si="1"/>
        <v>Kremt</v>
      </c>
      <c r="K2" t="str">
        <f t="shared" si="1"/>
        <v>Belg</v>
      </c>
      <c r="L2" t="str">
        <f t="shared" si="1"/>
        <v>Kremt</v>
      </c>
      <c r="M2" t="str">
        <f t="shared" si="1"/>
        <v>Belg</v>
      </c>
      <c r="N2" t="str">
        <f t="shared" si="1"/>
        <v>Kremt</v>
      </c>
      <c r="O2" t="str">
        <f t="shared" si="1"/>
        <v>Belg</v>
      </c>
      <c r="P2" t="str">
        <f t="shared" si="1"/>
        <v>Kremt</v>
      </c>
      <c r="Q2" t="str">
        <f t="shared" si="1"/>
        <v>Belg</v>
      </c>
      <c r="R2" t="str">
        <f t="shared" si="1"/>
        <v>Kremt</v>
      </c>
      <c r="S2" t="str">
        <f t="shared" si="1"/>
        <v>Belg</v>
      </c>
      <c r="T2" t="str">
        <f t="shared" si="1"/>
        <v>Kremt</v>
      </c>
      <c r="U2" t="str">
        <f t="shared" si="1"/>
        <v>Belg</v>
      </c>
      <c r="V2" t="str">
        <f t="shared" si="1"/>
        <v>Kremt</v>
      </c>
      <c r="W2" t="str">
        <f t="shared" si="1"/>
        <v>Belg</v>
      </c>
      <c r="X2" t="str">
        <f t="shared" si="1"/>
        <v>Kremt</v>
      </c>
      <c r="Y2" t="str">
        <f t="shared" si="1"/>
        <v>Belg</v>
      </c>
      <c r="Z2" t="str">
        <f t="shared" si="1"/>
        <v>Kremt</v>
      </c>
      <c r="AA2" t="str">
        <f t="shared" si="1"/>
        <v>Belg</v>
      </c>
      <c r="AB2" t="str">
        <f t="shared" si="1"/>
        <v>Kremt</v>
      </c>
      <c r="AC2" t="str">
        <f t="shared" si="1"/>
        <v>Belg</v>
      </c>
      <c r="AD2" t="str">
        <f t="shared" si="1"/>
        <v>Kremt</v>
      </c>
      <c r="AE2" t="str">
        <f t="shared" si="1"/>
        <v>Belg</v>
      </c>
      <c r="AF2" t="str">
        <f t="shared" si="1"/>
        <v>Kremt</v>
      </c>
      <c r="AG2" t="str">
        <f t="shared" si="1"/>
        <v>Belg</v>
      </c>
      <c r="AH2" t="str">
        <f t="shared" si="1"/>
        <v>Kremt</v>
      </c>
    </row>
    <row r="3" spans="1:34">
      <c r="A3" t="str">
        <f>sets!$H$3</f>
        <v>Teff</v>
      </c>
      <c r="B3" t="str">
        <f t="array" ref="B3:B13">Nodes</f>
        <v>AddisAbaba</v>
      </c>
      <c r="C3" s="2">
        <f ca="1">(RAND()*1+2)*10</f>
        <v>29.651359015452211</v>
      </c>
      <c r="D3" s="2">
        <f t="shared" ref="D3:AH11" ca="1" si="2">(RAND()*1+2)*10</f>
        <v>25.726782594914567</v>
      </c>
      <c r="E3" s="2">
        <f t="shared" ca="1" si="2"/>
        <v>22.152088182568992</v>
      </c>
      <c r="F3" s="2">
        <f t="shared" ca="1" si="2"/>
        <v>29.67294985822646</v>
      </c>
      <c r="G3" s="2">
        <f t="shared" ca="1" si="2"/>
        <v>23.728590827291569</v>
      </c>
      <c r="H3" s="2">
        <f t="shared" ca="1" si="2"/>
        <v>29.581874543438364</v>
      </c>
      <c r="I3" s="2">
        <f t="shared" ca="1" si="2"/>
        <v>28.171973701940605</v>
      </c>
      <c r="J3" s="2">
        <f t="shared" ca="1" si="2"/>
        <v>26.956994876599154</v>
      </c>
      <c r="K3" s="2">
        <f t="shared" ca="1" si="2"/>
        <v>26.314609543829654</v>
      </c>
      <c r="L3" s="2">
        <f t="shared" ca="1" si="2"/>
        <v>21.880300950030879</v>
      </c>
      <c r="M3" s="2">
        <f t="shared" ca="1" si="2"/>
        <v>20.694370063290677</v>
      </c>
      <c r="N3" s="2">
        <f t="shared" ca="1" si="2"/>
        <v>26.150430712791866</v>
      </c>
      <c r="O3" s="2">
        <f t="shared" ca="1" si="2"/>
        <v>21.12075480564906</v>
      </c>
      <c r="P3" s="2">
        <f t="shared" ca="1" si="2"/>
        <v>28.389819078348673</v>
      </c>
      <c r="Q3" s="2">
        <f t="shared" ca="1" si="2"/>
        <v>20.623709195869949</v>
      </c>
      <c r="R3" s="2">
        <f t="shared" ca="1" si="2"/>
        <v>25.93328567321441</v>
      </c>
      <c r="S3" s="2">
        <f t="shared" ca="1" si="2"/>
        <v>26.169066031849354</v>
      </c>
      <c r="T3" s="2">
        <f t="shared" ca="1" si="2"/>
        <v>28.181964842386989</v>
      </c>
      <c r="U3" s="2">
        <f t="shared" ca="1" si="2"/>
        <v>24.873150799136752</v>
      </c>
      <c r="V3" s="2">
        <f t="shared" ca="1" si="2"/>
        <v>28.264295519224881</v>
      </c>
      <c r="W3" s="2">
        <f t="shared" ca="1" si="2"/>
        <v>20.832112731002855</v>
      </c>
      <c r="X3" s="2">
        <f t="shared" ca="1" si="2"/>
        <v>22.46101479880447</v>
      </c>
      <c r="Y3" s="2">
        <f t="shared" ca="1" si="2"/>
        <v>27.202951067567906</v>
      </c>
      <c r="Z3" s="2">
        <f t="shared" ca="1" si="2"/>
        <v>29.981621899337338</v>
      </c>
      <c r="AA3" s="2">
        <f t="shared" ca="1" si="2"/>
        <v>20.672725354315091</v>
      </c>
      <c r="AB3" s="2">
        <f t="shared" ca="1" si="2"/>
        <v>22.600781796885659</v>
      </c>
      <c r="AC3" s="2">
        <f t="shared" ca="1" si="2"/>
        <v>25.667694047635035</v>
      </c>
      <c r="AD3" s="2">
        <f t="shared" ca="1" si="2"/>
        <v>22.764285118949633</v>
      </c>
      <c r="AE3" s="2">
        <f t="shared" ca="1" si="2"/>
        <v>20.714033723569596</v>
      </c>
      <c r="AF3" s="2">
        <f t="shared" ca="1" si="2"/>
        <v>20.659879077269203</v>
      </c>
      <c r="AG3" s="2">
        <f t="shared" ca="1" si="2"/>
        <v>21.971231238052347</v>
      </c>
      <c r="AH3" s="2">
        <f t="shared" ca="1" si="2"/>
        <v>29.48368218891282</v>
      </c>
    </row>
    <row r="4" spans="1:34">
      <c r="A4" t="str">
        <f>sets!$H$3</f>
        <v>Teff</v>
      </c>
      <c r="B4" t="str">
        <v>Afar</v>
      </c>
      <c r="C4" s="2">
        <f t="shared" ref="C4:R27" ca="1" si="3">(RAND()*1+2)*10</f>
        <v>21.254129612808175</v>
      </c>
      <c r="D4" s="2">
        <f t="shared" ca="1" si="2"/>
        <v>21.258145164847026</v>
      </c>
      <c r="E4" s="2">
        <f t="shared" ca="1" si="2"/>
        <v>29.745839914970063</v>
      </c>
      <c r="F4" s="2">
        <f t="shared" ca="1" si="2"/>
        <v>28.174368608579378</v>
      </c>
      <c r="G4" s="2">
        <f t="shared" ca="1" si="2"/>
        <v>21.061032905706966</v>
      </c>
      <c r="H4" s="2">
        <f t="shared" ca="1" si="2"/>
        <v>28.407903479432242</v>
      </c>
      <c r="I4" s="2">
        <f t="shared" ca="1" si="2"/>
        <v>29.42450444757274</v>
      </c>
      <c r="J4" s="2">
        <f t="shared" ca="1" si="2"/>
        <v>24.785290342125084</v>
      </c>
      <c r="K4" s="2">
        <f t="shared" ca="1" si="2"/>
        <v>22.245454263107824</v>
      </c>
      <c r="L4" s="2">
        <f t="shared" ca="1" si="2"/>
        <v>20.02167772427628</v>
      </c>
      <c r="M4" s="2">
        <f t="shared" ca="1" si="2"/>
        <v>29.0935508670213</v>
      </c>
      <c r="N4" s="2">
        <f t="shared" ca="1" si="2"/>
        <v>20.785444516109848</v>
      </c>
      <c r="O4" s="2">
        <f t="shared" ca="1" si="2"/>
        <v>21.240070733847357</v>
      </c>
      <c r="P4" s="2">
        <f t="shared" ca="1" si="2"/>
        <v>26.722766925149671</v>
      </c>
      <c r="Q4" s="2">
        <f t="shared" ca="1" si="2"/>
        <v>24.127945893511363</v>
      </c>
      <c r="R4" s="2">
        <f t="shared" ca="1" si="2"/>
        <v>27.238154896233901</v>
      </c>
      <c r="S4" s="2">
        <f t="shared" ca="1" si="2"/>
        <v>25.80946565484038</v>
      </c>
      <c r="T4" s="2">
        <f t="shared" ca="1" si="2"/>
        <v>26.579830187032879</v>
      </c>
      <c r="U4" s="2">
        <f t="shared" ca="1" si="2"/>
        <v>20.28700120734652</v>
      </c>
      <c r="V4" s="2">
        <f t="shared" ca="1" si="2"/>
        <v>26.822455098485761</v>
      </c>
      <c r="W4" s="2">
        <f t="shared" ca="1" si="2"/>
        <v>27.424697243211639</v>
      </c>
      <c r="X4" s="2">
        <f t="shared" ca="1" si="2"/>
        <v>27.026397027600979</v>
      </c>
      <c r="Y4" s="2">
        <f t="shared" ca="1" si="2"/>
        <v>20.029198972820431</v>
      </c>
      <c r="Z4" s="2">
        <f t="shared" ca="1" si="2"/>
        <v>22.068891022164834</v>
      </c>
      <c r="AA4" s="2">
        <f t="shared" ca="1" si="2"/>
        <v>20.451786815619158</v>
      </c>
      <c r="AB4" s="2">
        <f t="shared" ca="1" si="2"/>
        <v>20.299460711342245</v>
      </c>
      <c r="AC4" s="2">
        <f t="shared" ca="1" si="2"/>
        <v>22.757157695849294</v>
      </c>
      <c r="AD4" s="2">
        <f t="shared" ca="1" si="2"/>
        <v>25.210980612747665</v>
      </c>
      <c r="AE4" s="2">
        <f t="shared" ca="1" si="2"/>
        <v>29.181528063935858</v>
      </c>
      <c r="AF4" s="2">
        <f t="shared" ca="1" si="2"/>
        <v>21.489049213353162</v>
      </c>
      <c r="AG4" s="2">
        <f t="shared" ca="1" si="2"/>
        <v>23.605692848008001</v>
      </c>
      <c r="AH4" s="2">
        <f t="shared" ca="1" si="2"/>
        <v>28.668000209921026</v>
      </c>
    </row>
    <row r="5" spans="1:34">
      <c r="A5" t="str">
        <f>sets!$H$3</f>
        <v>Teff</v>
      </c>
      <c r="B5" t="str">
        <v>Amhara</v>
      </c>
      <c r="C5" s="2">
        <f t="shared" ca="1" si="3"/>
        <v>21.118486886348201</v>
      </c>
      <c r="D5" s="2">
        <f t="shared" ca="1" si="2"/>
        <v>25.58689625904206</v>
      </c>
      <c r="E5" s="2">
        <f t="shared" ca="1" si="2"/>
        <v>23.041420116177527</v>
      </c>
      <c r="F5" s="2">
        <f t="shared" ca="1" si="2"/>
        <v>27.336593483811047</v>
      </c>
      <c r="G5" s="2">
        <f t="shared" ca="1" si="2"/>
        <v>23.473077654761024</v>
      </c>
      <c r="H5" s="2">
        <f t="shared" ca="1" si="2"/>
        <v>22.855234734982147</v>
      </c>
      <c r="I5" s="2">
        <f t="shared" ca="1" si="2"/>
        <v>28.110263779440423</v>
      </c>
      <c r="J5" s="2">
        <f t="shared" ca="1" si="2"/>
        <v>26.458871699602604</v>
      </c>
      <c r="K5" s="2">
        <f t="shared" ca="1" si="2"/>
        <v>29.74560988474866</v>
      </c>
      <c r="L5" s="2">
        <f t="shared" ca="1" si="2"/>
        <v>22.93590687523464</v>
      </c>
      <c r="M5" s="2">
        <f t="shared" ca="1" si="2"/>
        <v>27.851684089163893</v>
      </c>
      <c r="N5" s="2">
        <f t="shared" ca="1" si="2"/>
        <v>22.645571102178245</v>
      </c>
      <c r="O5" s="2">
        <f t="shared" ca="1" si="2"/>
        <v>24.673815303330176</v>
      </c>
      <c r="P5" s="2">
        <f t="shared" ca="1" si="2"/>
        <v>25.982478886348659</v>
      </c>
      <c r="Q5" s="2">
        <f t="shared" ca="1" si="2"/>
        <v>22.022038900027571</v>
      </c>
      <c r="R5" s="2">
        <f t="shared" ca="1" si="2"/>
        <v>25.738691424751494</v>
      </c>
      <c r="S5" s="2">
        <f t="shared" ca="1" si="2"/>
        <v>24.246023428511503</v>
      </c>
      <c r="T5" s="2">
        <f t="shared" ca="1" si="2"/>
        <v>22.558169803398755</v>
      </c>
      <c r="U5" s="2">
        <f t="shared" ca="1" si="2"/>
        <v>29.370892184827767</v>
      </c>
      <c r="V5" s="2">
        <f t="shared" ca="1" si="2"/>
        <v>21.153093948636457</v>
      </c>
      <c r="W5" s="2">
        <f t="shared" ca="1" si="2"/>
        <v>29.550670864144969</v>
      </c>
      <c r="X5" s="2">
        <f t="shared" ca="1" si="2"/>
        <v>29.981297221778679</v>
      </c>
      <c r="Y5" s="2">
        <f t="shared" ca="1" si="2"/>
        <v>26.408692225095912</v>
      </c>
      <c r="Z5" s="2">
        <f t="shared" ca="1" si="2"/>
        <v>23.896681395803352</v>
      </c>
      <c r="AA5" s="2">
        <f t="shared" ca="1" si="2"/>
        <v>23.260440781800547</v>
      </c>
      <c r="AB5" s="2">
        <f t="shared" ca="1" si="2"/>
        <v>28.411627636905106</v>
      </c>
      <c r="AC5" s="2">
        <f t="shared" ca="1" si="2"/>
        <v>28.11084516023741</v>
      </c>
      <c r="AD5" s="2">
        <f t="shared" ca="1" si="2"/>
        <v>27.786576244469302</v>
      </c>
      <c r="AE5" s="2">
        <f t="shared" ca="1" si="2"/>
        <v>25.404628637951735</v>
      </c>
      <c r="AF5" s="2">
        <f t="shared" ca="1" si="2"/>
        <v>27.414981430499633</v>
      </c>
      <c r="AG5" s="2">
        <f t="shared" ca="1" si="2"/>
        <v>26.347334329561495</v>
      </c>
      <c r="AH5" s="2">
        <f t="shared" ca="1" si="2"/>
        <v>21.164588226928998</v>
      </c>
    </row>
    <row r="6" spans="1:34">
      <c r="A6" t="str">
        <f>sets!$H$3</f>
        <v>Teff</v>
      </c>
      <c r="B6" t="str">
        <v>Gumuz</v>
      </c>
      <c r="C6" s="2">
        <f t="shared" ca="1" si="3"/>
        <v>28.214253210072936</v>
      </c>
      <c r="D6" s="2">
        <f t="shared" ca="1" si="2"/>
        <v>28.66174032522509</v>
      </c>
      <c r="E6" s="2">
        <f t="shared" ca="1" si="2"/>
        <v>29.724304855559211</v>
      </c>
      <c r="F6" s="2">
        <f t="shared" ca="1" si="2"/>
        <v>21.342705491585114</v>
      </c>
      <c r="G6" s="2">
        <f t="shared" ca="1" si="2"/>
        <v>25.230413083203484</v>
      </c>
      <c r="H6" s="2">
        <f t="shared" ca="1" si="2"/>
        <v>21.549607235277218</v>
      </c>
      <c r="I6" s="2">
        <f t="shared" ca="1" si="2"/>
        <v>26.532686198018535</v>
      </c>
      <c r="J6" s="2">
        <f t="shared" ca="1" si="2"/>
        <v>25.381615306556753</v>
      </c>
      <c r="K6" s="2">
        <f t="shared" ca="1" si="2"/>
        <v>27.939287539234343</v>
      </c>
      <c r="L6" s="2">
        <f t="shared" ca="1" si="2"/>
        <v>21.931736375116287</v>
      </c>
      <c r="M6" s="2">
        <f t="shared" ca="1" si="2"/>
        <v>24.448896870238194</v>
      </c>
      <c r="N6" s="2">
        <f t="shared" ca="1" si="2"/>
        <v>24.542167905333837</v>
      </c>
      <c r="O6" s="2">
        <f t="shared" ca="1" si="2"/>
        <v>20.032446377169286</v>
      </c>
      <c r="P6" s="2">
        <f t="shared" ca="1" si="2"/>
        <v>21.727198368942137</v>
      </c>
      <c r="Q6" s="2">
        <f t="shared" ca="1" si="2"/>
        <v>25.813210051412394</v>
      </c>
      <c r="R6" s="2">
        <f t="shared" ca="1" si="2"/>
        <v>29.008320152945881</v>
      </c>
      <c r="S6" s="2">
        <f t="shared" ca="1" si="2"/>
        <v>24.051314535730548</v>
      </c>
      <c r="T6" s="2">
        <f t="shared" ca="1" si="2"/>
        <v>27.098442986817368</v>
      </c>
      <c r="U6" s="2">
        <f t="shared" ca="1" si="2"/>
        <v>23.519731597401325</v>
      </c>
      <c r="V6" s="2">
        <f t="shared" ca="1" si="2"/>
        <v>21.915505546641462</v>
      </c>
      <c r="W6" s="2">
        <f t="shared" ca="1" si="2"/>
        <v>23.583968458009199</v>
      </c>
      <c r="X6" s="2">
        <f t="shared" ca="1" si="2"/>
        <v>25.482749163457346</v>
      </c>
      <c r="Y6" s="2">
        <f t="shared" ca="1" si="2"/>
        <v>23.887094319807076</v>
      </c>
      <c r="Z6" s="2">
        <f t="shared" ca="1" si="2"/>
        <v>23.18576879352036</v>
      </c>
      <c r="AA6" s="2">
        <f t="shared" ca="1" si="2"/>
        <v>21.903988164802751</v>
      </c>
      <c r="AB6" s="2">
        <f t="shared" ca="1" si="2"/>
        <v>21.606083067984386</v>
      </c>
      <c r="AC6" s="2">
        <f t="shared" ca="1" si="2"/>
        <v>24.796945076385729</v>
      </c>
      <c r="AD6" s="2">
        <f t="shared" ca="1" si="2"/>
        <v>23.854818043828004</v>
      </c>
      <c r="AE6" s="2">
        <f t="shared" ca="1" si="2"/>
        <v>28.670255329314752</v>
      </c>
      <c r="AF6" s="2">
        <f t="shared" ca="1" si="2"/>
        <v>26.788507498938113</v>
      </c>
      <c r="AG6" s="2">
        <f t="shared" ca="1" si="2"/>
        <v>26.412194848786609</v>
      </c>
      <c r="AH6" s="2">
        <f t="shared" ca="1" si="2"/>
        <v>20.345505005604466</v>
      </c>
    </row>
    <row r="7" spans="1:34">
      <c r="A7" t="str">
        <f>sets!$H$3</f>
        <v>Teff</v>
      </c>
      <c r="B7" t="str">
        <v>DireDawa</v>
      </c>
      <c r="C7" s="2">
        <f t="shared" ca="1" si="3"/>
        <v>20.9623567087813</v>
      </c>
      <c r="D7" s="2">
        <f t="shared" ca="1" si="2"/>
        <v>20.554279814838736</v>
      </c>
      <c r="E7" s="2">
        <f t="shared" ca="1" si="2"/>
        <v>25.940659418454874</v>
      </c>
      <c r="F7" s="2">
        <f t="shared" ca="1" si="2"/>
        <v>24.70969044368994</v>
      </c>
      <c r="G7" s="2">
        <f t="shared" ca="1" si="2"/>
        <v>27.027848551932998</v>
      </c>
      <c r="H7" s="2">
        <f t="shared" ca="1" si="2"/>
        <v>21.309845594596233</v>
      </c>
      <c r="I7" s="2">
        <f t="shared" ca="1" si="2"/>
        <v>20.417974208425164</v>
      </c>
      <c r="J7" s="2">
        <f t="shared" ca="1" si="2"/>
        <v>27.265527821716184</v>
      </c>
      <c r="K7" s="2">
        <f t="shared" ca="1" si="2"/>
        <v>22.667067426516063</v>
      </c>
      <c r="L7" s="2">
        <f t="shared" ca="1" si="2"/>
        <v>22.354978264481726</v>
      </c>
      <c r="M7" s="2">
        <f t="shared" ca="1" si="2"/>
        <v>23.671776813446613</v>
      </c>
      <c r="N7" s="2">
        <f t="shared" ca="1" si="2"/>
        <v>20.873865575353179</v>
      </c>
      <c r="O7" s="2">
        <f t="shared" ca="1" si="2"/>
        <v>20.546312079478643</v>
      </c>
      <c r="P7" s="2">
        <f t="shared" ca="1" si="2"/>
        <v>23.93185847968601</v>
      </c>
      <c r="Q7" s="2">
        <f t="shared" ca="1" si="2"/>
        <v>28.345033778254162</v>
      </c>
      <c r="R7" s="2">
        <f t="shared" ca="1" si="2"/>
        <v>21.331162588264672</v>
      </c>
      <c r="S7" s="2">
        <f t="shared" ca="1" si="2"/>
        <v>21.680272063165926</v>
      </c>
      <c r="T7" s="2">
        <f t="shared" ca="1" si="2"/>
        <v>26.490148500569628</v>
      </c>
      <c r="U7" s="2">
        <f t="shared" ca="1" si="2"/>
        <v>25.806394392015601</v>
      </c>
      <c r="V7" s="2">
        <f t="shared" ca="1" si="2"/>
        <v>24.389967005198923</v>
      </c>
      <c r="W7" s="2">
        <f t="shared" ca="1" si="2"/>
        <v>29.583631802438049</v>
      </c>
      <c r="X7" s="2">
        <f t="shared" ca="1" si="2"/>
        <v>22.867647413297583</v>
      </c>
      <c r="Y7" s="2">
        <f t="shared" ca="1" si="2"/>
        <v>25.030725395852151</v>
      </c>
      <c r="Z7" s="2">
        <f t="shared" ca="1" si="2"/>
        <v>29.287255833358053</v>
      </c>
      <c r="AA7" s="2">
        <f t="shared" ca="1" si="2"/>
        <v>21.19746581711571</v>
      </c>
      <c r="AB7" s="2">
        <f t="shared" ca="1" si="2"/>
        <v>23.379961083759394</v>
      </c>
      <c r="AC7" s="2">
        <f t="shared" ca="1" si="2"/>
        <v>29.531010561872701</v>
      </c>
      <c r="AD7" s="2">
        <f t="shared" ca="1" si="2"/>
        <v>24.740868168024321</v>
      </c>
      <c r="AE7" s="2">
        <f t="shared" ca="1" si="2"/>
        <v>20.999176102590404</v>
      </c>
      <c r="AF7" s="2">
        <f t="shared" ca="1" si="2"/>
        <v>20.717659800331344</v>
      </c>
      <c r="AG7" s="2">
        <f t="shared" ca="1" si="2"/>
        <v>23.202717744503452</v>
      </c>
      <c r="AH7" s="2">
        <f t="shared" ca="1" si="2"/>
        <v>28.102121523310231</v>
      </c>
    </row>
    <row r="8" spans="1:34">
      <c r="A8" t="str">
        <f>sets!$H$3</f>
        <v>Teff</v>
      </c>
      <c r="B8" t="str">
        <v>Gambela</v>
      </c>
      <c r="C8" s="2">
        <f t="shared" ca="1" si="3"/>
        <v>28.727439339640888</v>
      </c>
      <c r="D8" s="2">
        <f t="shared" ca="1" si="2"/>
        <v>29.997508122127506</v>
      </c>
      <c r="E8" s="2">
        <f t="shared" ca="1" si="2"/>
        <v>23.28146461381257</v>
      </c>
      <c r="F8" s="2">
        <f t="shared" ca="1" si="2"/>
        <v>28.919315626393889</v>
      </c>
      <c r="G8" s="2">
        <f t="shared" ca="1" si="2"/>
        <v>21.248862449429428</v>
      </c>
      <c r="H8" s="2">
        <f t="shared" ca="1" si="2"/>
        <v>27.235305946744994</v>
      </c>
      <c r="I8" s="2">
        <f t="shared" ca="1" si="2"/>
        <v>20.251065548030063</v>
      </c>
      <c r="J8" s="2">
        <f t="shared" ca="1" si="2"/>
        <v>24.977108366746059</v>
      </c>
      <c r="K8" s="2">
        <f t="shared" ca="1" si="2"/>
        <v>23.668117668340336</v>
      </c>
      <c r="L8" s="2">
        <f t="shared" ca="1" si="2"/>
        <v>21.762752756075795</v>
      </c>
      <c r="M8" s="2">
        <f t="shared" ca="1" si="2"/>
        <v>25.645275851599738</v>
      </c>
      <c r="N8" s="2">
        <f t="shared" ca="1" si="2"/>
        <v>25.203089118933654</v>
      </c>
      <c r="O8" s="2">
        <f t="shared" ca="1" si="2"/>
        <v>24.531341101766969</v>
      </c>
      <c r="P8" s="2">
        <f t="shared" ca="1" si="2"/>
        <v>26.846554103634848</v>
      </c>
      <c r="Q8" s="2">
        <f t="shared" ca="1" si="2"/>
        <v>29.426113081405298</v>
      </c>
      <c r="R8" s="2">
        <f t="shared" ca="1" si="2"/>
        <v>27.45903359720133</v>
      </c>
      <c r="S8" s="2">
        <f t="shared" ca="1" si="2"/>
        <v>22.50347802860788</v>
      </c>
      <c r="T8" s="2">
        <f t="shared" ca="1" si="2"/>
        <v>25.253755063646707</v>
      </c>
      <c r="U8" s="2">
        <f t="shared" ca="1" si="2"/>
        <v>22.295671612534676</v>
      </c>
      <c r="V8" s="2">
        <f t="shared" ca="1" si="2"/>
        <v>20.491949997076379</v>
      </c>
      <c r="W8" s="2">
        <f t="shared" ca="1" si="2"/>
        <v>22.831418891233639</v>
      </c>
      <c r="X8" s="2">
        <f t="shared" ca="1" si="2"/>
        <v>28.852739629039394</v>
      </c>
      <c r="Y8" s="2">
        <f t="shared" ca="1" si="2"/>
        <v>27.298208755442772</v>
      </c>
      <c r="Z8" s="2">
        <f t="shared" ca="1" si="2"/>
        <v>20.131227258645819</v>
      </c>
      <c r="AA8" s="2">
        <f t="shared" ca="1" si="2"/>
        <v>27.910771714274762</v>
      </c>
      <c r="AB8" s="2">
        <f t="shared" ca="1" si="2"/>
        <v>21.283437012076401</v>
      </c>
      <c r="AC8" s="2">
        <f t="shared" ca="1" si="2"/>
        <v>28.084695343546102</v>
      </c>
      <c r="AD8" s="2">
        <f t="shared" ca="1" si="2"/>
        <v>27.545282924626253</v>
      </c>
      <c r="AE8" s="2">
        <f t="shared" ca="1" si="2"/>
        <v>24.616615302554376</v>
      </c>
      <c r="AF8" s="2">
        <f t="shared" ca="1" si="2"/>
        <v>25.771115093780175</v>
      </c>
      <c r="AG8" s="2">
        <f t="shared" ca="1" si="2"/>
        <v>26.351055553831067</v>
      </c>
      <c r="AH8" s="2">
        <f t="shared" ca="1" si="2"/>
        <v>21.441910145243064</v>
      </c>
    </row>
    <row r="9" spans="1:34">
      <c r="A9" t="str">
        <f>sets!$H$3</f>
        <v>Teff</v>
      </c>
      <c r="B9" t="str">
        <v>Harari</v>
      </c>
      <c r="C9" s="2">
        <f t="shared" ca="1" si="3"/>
        <v>25.779884418869838</v>
      </c>
      <c r="D9" s="2">
        <f t="shared" ca="1" si="2"/>
        <v>23.636928478179151</v>
      </c>
      <c r="E9" s="2">
        <f t="shared" ca="1" si="2"/>
        <v>25.073917303579929</v>
      </c>
      <c r="F9" s="2">
        <f t="shared" ca="1" si="2"/>
        <v>23.434026984342793</v>
      </c>
      <c r="G9" s="2">
        <f t="shared" ca="1" si="2"/>
        <v>27.465884730397136</v>
      </c>
      <c r="H9" s="2">
        <f t="shared" ca="1" si="2"/>
        <v>29.664566470555897</v>
      </c>
      <c r="I9" s="2">
        <f t="shared" ca="1" si="2"/>
        <v>22.478555242193838</v>
      </c>
      <c r="J9" s="2">
        <f t="shared" ca="1" si="2"/>
        <v>29.849961720503249</v>
      </c>
      <c r="K9" s="2">
        <f t="shared" ca="1" si="2"/>
        <v>27.595569422560718</v>
      </c>
      <c r="L9" s="2">
        <f t="shared" ca="1" si="2"/>
        <v>20.388409944178939</v>
      </c>
      <c r="M9" s="2">
        <f t="shared" ca="1" si="2"/>
        <v>20.889377248748385</v>
      </c>
      <c r="N9" s="2">
        <f t="shared" ca="1" si="2"/>
        <v>28.691047878730728</v>
      </c>
      <c r="O9" s="2">
        <f t="shared" ca="1" si="2"/>
        <v>25.60946781904785</v>
      </c>
      <c r="P9" s="2">
        <f t="shared" ca="1" si="2"/>
        <v>23.687091390927538</v>
      </c>
      <c r="Q9" s="2">
        <f t="shared" ca="1" si="2"/>
        <v>28.267143278717668</v>
      </c>
      <c r="R9" s="2">
        <f t="shared" ca="1" si="2"/>
        <v>25.831307041654661</v>
      </c>
      <c r="S9" s="2">
        <f t="shared" ca="1" si="2"/>
        <v>29.45857920136784</v>
      </c>
      <c r="T9" s="2">
        <f t="shared" ca="1" si="2"/>
        <v>29.347999522208561</v>
      </c>
      <c r="U9" s="2">
        <f t="shared" ca="1" si="2"/>
        <v>28.104621015310656</v>
      </c>
      <c r="V9" s="2">
        <f t="shared" ca="1" si="2"/>
        <v>26.006695234875931</v>
      </c>
      <c r="W9" s="2">
        <f t="shared" ca="1" si="2"/>
        <v>29.295194109695892</v>
      </c>
      <c r="X9" s="2">
        <f t="shared" ca="1" si="2"/>
        <v>25.297460744881874</v>
      </c>
      <c r="Y9" s="2">
        <f t="shared" ca="1" si="2"/>
        <v>25.435519891773634</v>
      </c>
      <c r="Z9" s="2">
        <f t="shared" ca="1" si="2"/>
        <v>26.965100257987356</v>
      </c>
      <c r="AA9" s="2">
        <f t="shared" ca="1" si="2"/>
        <v>29.681112932073837</v>
      </c>
      <c r="AB9" s="2">
        <f t="shared" ca="1" si="2"/>
        <v>26.013682115132788</v>
      </c>
      <c r="AC9" s="2">
        <f t="shared" ca="1" si="2"/>
        <v>26.436909917727984</v>
      </c>
      <c r="AD9" s="2">
        <f t="shared" ca="1" si="2"/>
        <v>26.351716636458509</v>
      </c>
      <c r="AE9" s="2">
        <f t="shared" ca="1" si="2"/>
        <v>29.870410582795472</v>
      </c>
      <c r="AF9" s="2">
        <f t="shared" ca="1" si="2"/>
        <v>20.405392848589248</v>
      </c>
      <c r="AG9" s="2">
        <f t="shared" ca="1" si="2"/>
        <v>25.900075804737167</v>
      </c>
      <c r="AH9" s="2">
        <f t="shared" ca="1" si="2"/>
        <v>29.753153209116402</v>
      </c>
    </row>
    <row r="10" spans="1:34">
      <c r="A10" t="str">
        <f>sets!$H$3</f>
        <v>Teff</v>
      </c>
      <c r="B10" t="str">
        <v>Oromia</v>
      </c>
      <c r="C10" s="2">
        <f t="shared" ca="1" si="3"/>
        <v>26.63830202270951</v>
      </c>
      <c r="D10" s="2">
        <f t="shared" ca="1" si="2"/>
        <v>21.919875398964948</v>
      </c>
      <c r="E10" s="2">
        <f t="shared" ca="1" si="2"/>
        <v>25.23656703009523</v>
      </c>
      <c r="F10" s="2">
        <f t="shared" ca="1" si="2"/>
        <v>26.342925180385745</v>
      </c>
      <c r="G10" s="2">
        <f t="shared" ca="1" si="2"/>
        <v>22.51722127672199</v>
      </c>
      <c r="H10" s="2">
        <f t="shared" ca="1" si="2"/>
        <v>21.883154872045232</v>
      </c>
      <c r="I10" s="2">
        <f t="shared" ca="1" si="2"/>
        <v>21.671765112958813</v>
      </c>
      <c r="J10" s="2">
        <f t="shared" ca="1" si="2"/>
        <v>21.804221409962814</v>
      </c>
      <c r="K10" s="2">
        <f t="shared" ca="1" si="2"/>
        <v>21.898469384384907</v>
      </c>
      <c r="L10" s="2">
        <f t="shared" ca="1" si="2"/>
        <v>21.489435735708106</v>
      </c>
      <c r="M10" s="2">
        <f t="shared" ca="1" si="2"/>
        <v>27.274965265769957</v>
      </c>
      <c r="N10" s="2">
        <f t="shared" ca="1" si="2"/>
        <v>23.185019130311492</v>
      </c>
      <c r="O10" s="2">
        <f t="shared" ca="1" si="2"/>
        <v>29.733558432500821</v>
      </c>
      <c r="P10" s="2">
        <f t="shared" ca="1" si="2"/>
        <v>26.103818448302452</v>
      </c>
      <c r="Q10" s="2">
        <f t="shared" ca="1" si="2"/>
        <v>26.041314527038573</v>
      </c>
      <c r="R10" s="2">
        <f t="shared" ca="1" si="2"/>
        <v>29.206272425271464</v>
      </c>
      <c r="S10" s="2">
        <f t="shared" ca="1" si="2"/>
        <v>29.723413779102504</v>
      </c>
      <c r="T10" s="2">
        <f t="shared" ca="1" si="2"/>
        <v>20.344167416404396</v>
      </c>
      <c r="U10" s="2">
        <f t="shared" ca="1" si="2"/>
        <v>26.414324532228541</v>
      </c>
      <c r="V10" s="2">
        <f t="shared" ca="1" si="2"/>
        <v>24.112112904151459</v>
      </c>
      <c r="W10" s="2">
        <f t="shared" ca="1" si="2"/>
        <v>22.642374177470401</v>
      </c>
      <c r="X10" s="2">
        <f t="shared" ca="1" si="2"/>
        <v>24.327675462168585</v>
      </c>
      <c r="Y10" s="2">
        <f t="shared" ca="1" si="2"/>
        <v>25.122780163628839</v>
      </c>
      <c r="Z10" s="2">
        <f t="shared" ca="1" si="2"/>
        <v>24.228858551891594</v>
      </c>
      <c r="AA10" s="2">
        <f t="shared" ca="1" si="2"/>
        <v>27.025951305021337</v>
      </c>
      <c r="AB10" s="2">
        <f t="shared" ca="1" si="2"/>
        <v>28.182652332697078</v>
      </c>
      <c r="AC10" s="2">
        <f t="shared" ca="1" si="2"/>
        <v>24.317548379894891</v>
      </c>
      <c r="AD10" s="2">
        <f t="shared" ca="1" si="2"/>
        <v>29.068928108191127</v>
      </c>
      <c r="AE10" s="2">
        <f t="shared" ca="1" si="2"/>
        <v>22.32391902886361</v>
      </c>
      <c r="AF10" s="2">
        <f t="shared" ca="1" si="2"/>
        <v>29.149147612900606</v>
      </c>
      <c r="AG10" s="2">
        <f t="shared" ca="1" si="2"/>
        <v>28.645065444351591</v>
      </c>
      <c r="AH10" s="2">
        <f t="shared" ca="1" si="2"/>
        <v>25.544326747619415</v>
      </c>
    </row>
    <row r="11" spans="1:34">
      <c r="A11" t="str">
        <f>sets!$H$3</f>
        <v>Teff</v>
      </c>
      <c r="B11" t="str">
        <v>Somali</v>
      </c>
      <c r="C11" s="2">
        <f t="shared" ca="1" si="3"/>
        <v>29.99695480000377</v>
      </c>
      <c r="D11" s="2">
        <f t="shared" ca="1" si="2"/>
        <v>22.397845609056844</v>
      </c>
      <c r="E11" s="2">
        <f t="shared" ca="1" si="2"/>
        <v>26.683764763729112</v>
      </c>
      <c r="F11" s="2">
        <f t="shared" ca="1" si="2"/>
        <v>29.133563699131905</v>
      </c>
      <c r="G11" s="2">
        <f t="shared" ca="1" si="2"/>
        <v>27.033592523314283</v>
      </c>
      <c r="H11" s="2">
        <f t="shared" ca="1" si="2"/>
        <v>22.897564682670073</v>
      </c>
      <c r="I11" s="2">
        <f t="shared" ca="1" si="2"/>
        <v>20.34976400276296</v>
      </c>
      <c r="J11" s="2">
        <f t="shared" ca="1" si="2"/>
        <v>25.440071157255876</v>
      </c>
      <c r="K11" s="2">
        <f t="shared" ref="K11:Z42" ca="1" si="4">(RAND()*1+2)*10</f>
        <v>21.193578905187351</v>
      </c>
      <c r="L11" s="2">
        <f t="shared" ca="1" si="4"/>
        <v>29.646266581096071</v>
      </c>
      <c r="M11" s="2">
        <f t="shared" ca="1" si="4"/>
        <v>27.996780884798142</v>
      </c>
      <c r="N11" s="2">
        <f t="shared" ca="1" si="4"/>
        <v>25.351858740029233</v>
      </c>
      <c r="O11" s="2">
        <f t="shared" ca="1" si="4"/>
        <v>23.651933235797959</v>
      </c>
      <c r="P11" s="2">
        <f t="shared" ca="1" si="4"/>
        <v>27.239388149548986</v>
      </c>
      <c r="Q11" s="2">
        <f t="shared" ca="1" si="4"/>
        <v>25.827213789343418</v>
      </c>
      <c r="R11" s="2">
        <f t="shared" ca="1" si="4"/>
        <v>21.7068420625058</v>
      </c>
      <c r="S11" s="2">
        <f t="shared" ca="1" si="4"/>
        <v>26.415310170689594</v>
      </c>
      <c r="T11" s="2">
        <f t="shared" ca="1" si="4"/>
        <v>24.860343008260742</v>
      </c>
      <c r="U11" s="2">
        <f t="shared" ca="1" si="4"/>
        <v>21.015448385829597</v>
      </c>
      <c r="V11" s="2">
        <f t="shared" ca="1" si="4"/>
        <v>22.887992440976568</v>
      </c>
      <c r="W11" s="2">
        <f t="shared" ca="1" si="4"/>
        <v>23.814453125951658</v>
      </c>
      <c r="X11" s="2">
        <f t="shared" ca="1" si="4"/>
        <v>25.559092955113691</v>
      </c>
      <c r="Y11" s="2">
        <f t="shared" ca="1" si="4"/>
        <v>20.238268862516545</v>
      </c>
      <c r="Z11" s="2">
        <f t="shared" ca="1" si="4"/>
        <v>28.417369690902298</v>
      </c>
      <c r="AA11" s="2">
        <f t="shared" ref="AA11:AH42" ca="1" si="5">(RAND()*1+2)*10</f>
        <v>25.96723598300073</v>
      </c>
      <c r="AB11" s="2">
        <f t="shared" ca="1" si="5"/>
        <v>25.706856080027958</v>
      </c>
      <c r="AC11" s="2">
        <f t="shared" ca="1" si="5"/>
        <v>23.566472081176926</v>
      </c>
      <c r="AD11" s="2">
        <f t="shared" ca="1" si="5"/>
        <v>21.702224710340595</v>
      </c>
      <c r="AE11" s="2">
        <f t="shared" ca="1" si="5"/>
        <v>23.879461348210043</v>
      </c>
      <c r="AF11" s="2">
        <f t="shared" ca="1" si="5"/>
        <v>22.856571113935189</v>
      </c>
      <c r="AG11" s="2">
        <f t="shared" ca="1" si="5"/>
        <v>27.961304911627948</v>
      </c>
      <c r="AH11" s="2">
        <f t="shared" ca="1" si="5"/>
        <v>20.421738594333032</v>
      </c>
    </row>
    <row r="12" spans="1:34">
      <c r="A12" t="str">
        <f>sets!$H$3</f>
        <v>Teff</v>
      </c>
      <c r="B12" t="str">
        <v>SNNPR</v>
      </c>
      <c r="C12" s="2">
        <f t="shared" ca="1" si="3"/>
        <v>27.162032948636128</v>
      </c>
      <c r="D12" s="2">
        <f t="shared" ca="1" si="3"/>
        <v>29.325683303089708</v>
      </c>
      <c r="E12" s="2">
        <f t="shared" ca="1" si="3"/>
        <v>24.173398320531319</v>
      </c>
      <c r="F12" s="2">
        <f t="shared" ca="1" si="3"/>
        <v>20.253518523450058</v>
      </c>
      <c r="G12" s="2">
        <f t="shared" ca="1" si="3"/>
        <v>25.284892753704185</v>
      </c>
      <c r="H12" s="2">
        <f t="shared" ca="1" si="3"/>
        <v>24.762769258677704</v>
      </c>
      <c r="I12" s="2">
        <f t="shared" ca="1" si="3"/>
        <v>21.40352543074026</v>
      </c>
      <c r="J12" s="2">
        <f t="shared" ca="1" si="3"/>
        <v>28.578163027415329</v>
      </c>
      <c r="K12" s="2">
        <f t="shared" ca="1" si="3"/>
        <v>25.150069917816104</v>
      </c>
      <c r="L12" s="2">
        <f t="shared" ca="1" si="3"/>
        <v>24.195351288831066</v>
      </c>
      <c r="M12" s="2">
        <f t="shared" ca="1" si="3"/>
        <v>24.94684043855645</v>
      </c>
      <c r="N12" s="2">
        <f t="shared" ca="1" si="3"/>
        <v>29.692298313612994</v>
      </c>
      <c r="O12" s="2">
        <f t="shared" ca="1" si="3"/>
        <v>24.716202179206121</v>
      </c>
      <c r="P12" s="2">
        <f t="shared" ca="1" si="3"/>
        <v>25.15824677980218</v>
      </c>
      <c r="Q12" s="2">
        <f t="shared" ca="1" si="3"/>
        <v>26.173539772141197</v>
      </c>
      <c r="R12" s="2">
        <f t="shared" ca="1" si="3"/>
        <v>22.869481986693714</v>
      </c>
      <c r="S12" s="2">
        <f t="shared" ca="1" si="4"/>
        <v>24.128472932033315</v>
      </c>
      <c r="T12" s="2">
        <f t="shared" ca="1" si="4"/>
        <v>25.505664463213897</v>
      </c>
      <c r="U12" s="2">
        <f t="shared" ca="1" si="4"/>
        <v>21.289069699607484</v>
      </c>
      <c r="V12" s="2">
        <f t="shared" ca="1" si="4"/>
        <v>23.248202759512967</v>
      </c>
      <c r="W12" s="2">
        <f t="shared" ca="1" si="4"/>
        <v>26.668794928470202</v>
      </c>
      <c r="X12" s="2">
        <f t="shared" ca="1" si="4"/>
        <v>27.12374828029251</v>
      </c>
      <c r="Y12" s="2">
        <f t="shared" ca="1" si="4"/>
        <v>26.403968789313254</v>
      </c>
      <c r="Z12" s="2">
        <f t="shared" ca="1" si="4"/>
        <v>25.965872814297846</v>
      </c>
      <c r="AA12" s="2">
        <f t="shared" ca="1" si="5"/>
        <v>20.500630465579892</v>
      </c>
      <c r="AB12" s="2">
        <f t="shared" ca="1" si="5"/>
        <v>24.787296412877666</v>
      </c>
      <c r="AC12" s="2">
        <f t="shared" ca="1" si="5"/>
        <v>25.19556781677705</v>
      </c>
      <c r="AD12" s="2">
        <f t="shared" ca="1" si="5"/>
        <v>24.211575329051094</v>
      </c>
      <c r="AE12" s="2">
        <f t="shared" ca="1" si="5"/>
        <v>22.027682682804016</v>
      </c>
      <c r="AF12" s="2">
        <f t="shared" ca="1" si="5"/>
        <v>24.892720973431764</v>
      </c>
      <c r="AG12" s="2">
        <f t="shared" ca="1" si="5"/>
        <v>24.245736253159272</v>
      </c>
      <c r="AH12" s="2">
        <f t="shared" ca="1" si="5"/>
        <v>26.509237515440883</v>
      </c>
    </row>
    <row r="13" spans="1:34">
      <c r="A13" t="str">
        <f>sets!$H$3</f>
        <v>Teff</v>
      </c>
      <c r="B13" t="str">
        <v>Tigray</v>
      </c>
      <c r="C13" s="2">
        <f t="shared" ca="1" si="3"/>
        <v>23.907430351433028</v>
      </c>
      <c r="D13" s="2">
        <f t="shared" ca="1" si="3"/>
        <v>29.398296001844074</v>
      </c>
      <c r="E13" s="2">
        <f t="shared" ca="1" si="3"/>
        <v>20.989793641061077</v>
      </c>
      <c r="F13" s="2">
        <f t="shared" ca="1" si="3"/>
        <v>23.858554651009133</v>
      </c>
      <c r="G13" s="2">
        <f t="shared" ca="1" si="3"/>
        <v>29.07559306119067</v>
      </c>
      <c r="H13" s="2">
        <f t="shared" ca="1" si="3"/>
        <v>20.884527227240667</v>
      </c>
      <c r="I13" s="2">
        <f t="shared" ca="1" si="3"/>
        <v>27.757718128450787</v>
      </c>
      <c r="J13" s="2">
        <f t="shared" ca="1" si="3"/>
        <v>28.188350891837196</v>
      </c>
      <c r="K13" s="2">
        <f t="shared" ca="1" si="3"/>
        <v>20.396652978192947</v>
      </c>
      <c r="L13" s="2">
        <f t="shared" ca="1" si="3"/>
        <v>22.354336568010336</v>
      </c>
      <c r="M13" s="2">
        <f t="shared" ca="1" si="3"/>
        <v>26.41899987753137</v>
      </c>
      <c r="N13" s="2">
        <f t="shared" ca="1" si="3"/>
        <v>22.586577728565722</v>
      </c>
      <c r="O13" s="2">
        <f t="shared" ca="1" si="3"/>
        <v>27.847252039484481</v>
      </c>
      <c r="P13" s="2">
        <f t="shared" ca="1" si="3"/>
        <v>29.39604711853022</v>
      </c>
      <c r="Q13" s="2">
        <f t="shared" ca="1" si="3"/>
        <v>24.612276700862559</v>
      </c>
      <c r="R13" s="2">
        <f t="shared" ca="1" si="3"/>
        <v>25.426608168027201</v>
      </c>
      <c r="S13" s="2">
        <f t="shared" ca="1" si="4"/>
        <v>27.878732128294654</v>
      </c>
      <c r="T13" s="2">
        <f t="shared" ca="1" si="4"/>
        <v>28.354429453920218</v>
      </c>
      <c r="U13" s="2">
        <f t="shared" ca="1" si="4"/>
        <v>25.239028098767776</v>
      </c>
      <c r="V13" s="2">
        <f t="shared" ca="1" si="4"/>
        <v>27.187785183879022</v>
      </c>
      <c r="W13" s="2">
        <f t="shared" ca="1" si="4"/>
        <v>26.494152658187637</v>
      </c>
      <c r="X13" s="2">
        <f t="shared" ca="1" si="4"/>
        <v>20.735145155549695</v>
      </c>
      <c r="Y13" s="2">
        <f t="shared" ca="1" si="4"/>
        <v>27.89519565182054</v>
      </c>
      <c r="Z13" s="2">
        <f t="shared" ca="1" si="4"/>
        <v>29.449586820597862</v>
      </c>
      <c r="AA13" s="2">
        <f t="shared" ca="1" si="5"/>
        <v>27.215488477492727</v>
      </c>
      <c r="AB13" s="2">
        <f t="shared" ca="1" si="5"/>
        <v>28.78853265246816</v>
      </c>
      <c r="AC13" s="2">
        <f t="shared" ca="1" si="5"/>
        <v>25.959118153190317</v>
      </c>
      <c r="AD13" s="2">
        <f t="shared" ca="1" si="5"/>
        <v>21.525365714800099</v>
      </c>
      <c r="AE13" s="2">
        <f t="shared" ca="1" si="5"/>
        <v>24.891948720146615</v>
      </c>
      <c r="AF13" s="2">
        <f t="shared" ca="1" si="5"/>
        <v>24.169508296653042</v>
      </c>
      <c r="AG13" s="2">
        <f t="shared" ca="1" si="5"/>
        <v>23.8286985191884</v>
      </c>
      <c r="AH13" s="2">
        <f t="shared" ca="1" si="5"/>
        <v>27.547865217933417</v>
      </c>
    </row>
    <row r="14" spans="1:34">
      <c r="A14" t="str">
        <f t="shared" ref="A14:A68" si="6">INDEX(Food,MATCH(A3,Food,0)+1)</f>
        <v>Sorghum</v>
      </c>
      <c r="B14" t="str">
        <f>B3</f>
        <v>AddisAbaba</v>
      </c>
      <c r="C14" s="2">
        <f t="shared" ca="1" si="3"/>
        <v>23.165530055807302</v>
      </c>
      <c r="D14" s="2">
        <f t="shared" ca="1" si="3"/>
        <v>25.180984549402126</v>
      </c>
      <c r="E14" s="2">
        <f t="shared" ca="1" si="3"/>
        <v>21.940931199322883</v>
      </c>
      <c r="F14" s="2">
        <f t="shared" ca="1" si="3"/>
        <v>22.253885107147916</v>
      </c>
      <c r="G14" s="2">
        <f t="shared" ca="1" si="3"/>
        <v>28.443696300782374</v>
      </c>
      <c r="H14" s="2">
        <f t="shared" ca="1" si="3"/>
        <v>28.620527790054631</v>
      </c>
      <c r="I14" s="2">
        <f t="shared" ca="1" si="3"/>
        <v>20.019834373754783</v>
      </c>
      <c r="J14" s="2">
        <f t="shared" ca="1" si="3"/>
        <v>25.047828523901266</v>
      </c>
      <c r="K14" s="2">
        <f t="shared" ca="1" si="3"/>
        <v>28.17037927828185</v>
      </c>
      <c r="L14" s="2">
        <f t="shared" ca="1" si="3"/>
        <v>26.999792519451002</v>
      </c>
      <c r="M14" s="2">
        <f t="shared" ca="1" si="3"/>
        <v>27.185668048042473</v>
      </c>
      <c r="N14" s="2">
        <f t="shared" ca="1" si="3"/>
        <v>20.165490362991854</v>
      </c>
      <c r="O14" s="2">
        <f t="shared" ca="1" si="3"/>
        <v>22.290168378900557</v>
      </c>
      <c r="P14" s="2">
        <f t="shared" ca="1" si="3"/>
        <v>22.048078700824494</v>
      </c>
      <c r="Q14" s="2">
        <f t="shared" ca="1" si="3"/>
        <v>22.309520332424118</v>
      </c>
      <c r="R14" s="2">
        <f t="shared" ca="1" si="3"/>
        <v>25.447379266128706</v>
      </c>
      <c r="S14" s="2">
        <f t="shared" ca="1" si="4"/>
        <v>27.136793202089848</v>
      </c>
      <c r="T14" s="2">
        <f t="shared" ca="1" si="4"/>
        <v>29.434030926667045</v>
      </c>
      <c r="U14" s="2">
        <f t="shared" ca="1" si="4"/>
        <v>24.148559544164669</v>
      </c>
      <c r="V14" s="2">
        <f t="shared" ca="1" si="4"/>
        <v>23.305052081922714</v>
      </c>
      <c r="W14" s="2">
        <f t="shared" ca="1" si="4"/>
        <v>22.077236031931005</v>
      </c>
      <c r="X14" s="2">
        <f t="shared" ca="1" si="4"/>
        <v>25.461915253056581</v>
      </c>
      <c r="Y14" s="2">
        <f t="shared" ca="1" si="4"/>
        <v>29.194014714594264</v>
      </c>
      <c r="Z14" s="2">
        <f t="shared" ca="1" si="4"/>
        <v>29.233085506473095</v>
      </c>
      <c r="AA14" s="2">
        <f t="shared" ca="1" si="5"/>
        <v>24.638704222669325</v>
      </c>
      <c r="AB14" s="2">
        <f t="shared" ca="1" si="5"/>
        <v>27.45036708819223</v>
      </c>
      <c r="AC14" s="2">
        <f t="shared" ca="1" si="5"/>
        <v>27.753818941460299</v>
      </c>
      <c r="AD14" s="2">
        <f t="shared" ca="1" si="5"/>
        <v>25.510811441272693</v>
      </c>
      <c r="AE14" s="2">
        <f t="shared" ca="1" si="5"/>
        <v>20.580973269353329</v>
      </c>
      <c r="AF14" s="2">
        <f t="shared" ca="1" si="5"/>
        <v>20.671966838918632</v>
      </c>
      <c r="AG14" s="2">
        <f t="shared" ca="1" si="5"/>
        <v>22.613158586784522</v>
      </c>
      <c r="AH14" s="2">
        <f t="shared" ca="1" si="5"/>
        <v>24.16664515651215</v>
      </c>
    </row>
    <row r="15" spans="1:34">
      <c r="A15" t="str">
        <f t="shared" si="6"/>
        <v>Sorghum</v>
      </c>
      <c r="B15" t="str">
        <f t="shared" ref="B15:B68" si="7">B4</f>
        <v>Afar</v>
      </c>
      <c r="C15" s="2">
        <f t="shared" ca="1" si="3"/>
        <v>20.843160672518696</v>
      </c>
      <c r="D15" s="2">
        <f t="shared" ca="1" si="3"/>
        <v>24.671617407262794</v>
      </c>
      <c r="E15" s="2">
        <f t="shared" ca="1" si="3"/>
        <v>29.99903040940314</v>
      </c>
      <c r="F15" s="2">
        <f t="shared" ca="1" si="3"/>
        <v>25.92031416498682</v>
      </c>
      <c r="G15" s="2">
        <f t="shared" ca="1" si="3"/>
        <v>21.077618836592066</v>
      </c>
      <c r="H15" s="2">
        <f t="shared" ca="1" si="3"/>
        <v>28.8921218040425</v>
      </c>
      <c r="I15" s="2">
        <f t="shared" ca="1" si="3"/>
        <v>24.873850923802184</v>
      </c>
      <c r="J15" s="2">
        <f t="shared" ca="1" si="3"/>
        <v>20.320844347967771</v>
      </c>
      <c r="K15" s="2">
        <f t="shared" ca="1" si="3"/>
        <v>21.240411305981905</v>
      </c>
      <c r="L15" s="2">
        <f t="shared" ca="1" si="3"/>
        <v>28.826096209435185</v>
      </c>
      <c r="M15" s="2">
        <f t="shared" ca="1" si="3"/>
        <v>20.830223556154294</v>
      </c>
      <c r="N15" s="2">
        <f t="shared" ca="1" si="3"/>
        <v>28.524969007328302</v>
      </c>
      <c r="O15" s="2">
        <f t="shared" ca="1" si="3"/>
        <v>22.812900444323894</v>
      </c>
      <c r="P15" s="2">
        <f t="shared" ca="1" si="3"/>
        <v>27.634831729784214</v>
      </c>
      <c r="Q15" s="2">
        <f t="shared" ca="1" si="3"/>
        <v>25.805730770030806</v>
      </c>
      <c r="R15" s="2">
        <f t="shared" ca="1" si="3"/>
        <v>25.646291381177949</v>
      </c>
      <c r="S15" s="2">
        <f t="shared" ca="1" si="4"/>
        <v>24.202076713564821</v>
      </c>
      <c r="T15" s="2">
        <f t="shared" ca="1" si="4"/>
        <v>20.438488038946332</v>
      </c>
      <c r="U15" s="2">
        <f t="shared" ca="1" si="4"/>
        <v>24.255017154485824</v>
      </c>
      <c r="V15" s="2">
        <f t="shared" ca="1" si="4"/>
        <v>24.039791409784492</v>
      </c>
      <c r="W15" s="2">
        <f t="shared" ca="1" si="4"/>
        <v>25.219820383176756</v>
      </c>
      <c r="X15" s="2">
        <f t="shared" ca="1" si="4"/>
        <v>22.658314368419603</v>
      </c>
      <c r="Y15" s="2">
        <f t="shared" ca="1" si="4"/>
        <v>27.475880314478033</v>
      </c>
      <c r="Z15" s="2">
        <f t="shared" ca="1" si="4"/>
        <v>22.332778882354187</v>
      </c>
      <c r="AA15" s="2">
        <f t="shared" ca="1" si="5"/>
        <v>24.250201315736078</v>
      </c>
      <c r="AB15" s="2">
        <f t="shared" ca="1" si="5"/>
        <v>27.084659039123995</v>
      </c>
      <c r="AC15" s="2">
        <f t="shared" ca="1" si="5"/>
        <v>21.225290282557779</v>
      </c>
      <c r="AD15" s="2">
        <f t="shared" ca="1" si="5"/>
        <v>24.054819930506085</v>
      </c>
      <c r="AE15" s="2">
        <f t="shared" ca="1" si="5"/>
        <v>25.588885690170372</v>
      </c>
      <c r="AF15" s="2">
        <f t="shared" ca="1" si="5"/>
        <v>22.69252237313955</v>
      </c>
      <c r="AG15" s="2">
        <f t="shared" ca="1" si="5"/>
        <v>28.681734978143485</v>
      </c>
      <c r="AH15" s="2">
        <f t="shared" ca="1" si="5"/>
        <v>24.674948424789015</v>
      </c>
    </row>
    <row r="16" spans="1:34">
      <c r="A16" t="str">
        <f t="shared" si="6"/>
        <v>Sorghum</v>
      </c>
      <c r="B16" t="str">
        <f t="shared" si="7"/>
        <v>Amhara</v>
      </c>
      <c r="C16" s="2">
        <f t="shared" ca="1" si="3"/>
        <v>28.890161346320799</v>
      </c>
      <c r="D16" s="2">
        <f t="shared" ca="1" si="3"/>
        <v>25.009569977814916</v>
      </c>
      <c r="E16" s="2">
        <f t="shared" ca="1" si="3"/>
        <v>20.470300959991341</v>
      </c>
      <c r="F16" s="2">
        <f t="shared" ca="1" si="3"/>
        <v>26.349982883635782</v>
      </c>
      <c r="G16" s="2">
        <f t="shared" ca="1" si="3"/>
        <v>24.094908571642009</v>
      </c>
      <c r="H16" s="2">
        <f t="shared" ca="1" si="3"/>
        <v>29.792551888292298</v>
      </c>
      <c r="I16" s="2">
        <f t="shared" ca="1" si="3"/>
        <v>23.06441234931696</v>
      </c>
      <c r="J16" s="2">
        <f t="shared" ca="1" si="3"/>
        <v>28.619187567838374</v>
      </c>
      <c r="K16" s="2">
        <f t="shared" ca="1" si="3"/>
        <v>23.161485541018763</v>
      </c>
      <c r="L16" s="2">
        <f t="shared" ca="1" si="3"/>
        <v>26.755770209714459</v>
      </c>
      <c r="M16" s="2">
        <f t="shared" ca="1" si="3"/>
        <v>28.900953684263214</v>
      </c>
      <c r="N16" s="2">
        <f t="shared" ca="1" si="3"/>
        <v>24.883352107790273</v>
      </c>
      <c r="O16" s="2">
        <f t="shared" ca="1" si="3"/>
        <v>25.79091633332872</v>
      </c>
      <c r="P16" s="2">
        <f t="shared" ca="1" si="3"/>
        <v>27.530345061732167</v>
      </c>
      <c r="Q16" s="2">
        <f t="shared" ca="1" si="3"/>
        <v>25.941152663205543</v>
      </c>
      <c r="R16" s="2">
        <f t="shared" ca="1" si="3"/>
        <v>26.206521969484264</v>
      </c>
      <c r="S16" s="2">
        <f t="shared" ca="1" si="4"/>
        <v>20.831901874829239</v>
      </c>
      <c r="T16" s="2">
        <f t="shared" ca="1" si="4"/>
        <v>26.316862568127526</v>
      </c>
      <c r="U16" s="2">
        <f t="shared" ca="1" si="4"/>
        <v>23.081140203764939</v>
      </c>
      <c r="V16" s="2">
        <f t="shared" ca="1" si="4"/>
        <v>21.206465110614726</v>
      </c>
      <c r="W16" s="2">
        <f t="shared" ca="1" si="4"/>
        <v>26.091016075925392</v>
      </c>
      <c r="X16" s="2">
        <f t="shared" ca="1" si="4"/>
        <v>20.99720882657634</v>
      </c>
      <c r="Y16" s="2">
        <f t="shared" ca="1" si="4"/>
        <v>29.311048099688936</v>
      </c>
      <c r="Z16" s="2">
        <f t="shared" ca="1" si="4"/>
        <v>29.744290776180655</v>
      </c>
      <c r="AA16" s="2">
        <f t="shared" ca="1" si="5"/>
        <v>20.367328804471775</v>
      </c>
      <c r="AB16" s="2">
        <f t="shared" ca="1" si="5"/>
        <v>27.61460192548553</v>
      </c>
      <c r="AC16" s="2">
        <f t="shared" ca="1" si="5"/>
        <v>27.988992816415518</v>
      </c>
      <c r="AD16" s="2">
        <f t="shared" ca="1" si="5"/>
        <v>25.930627240308013</v>
      </c>
      <c r="AE16" s="2">
        <f t="shared" ca="1" si="5"/>
        <v>24.028263845099353</v>
      </c>
      <c r="AF16" s="2">
        <f t="shared" ca="1" si="5"/>
        <v>20.161640246996456</v>
      </c>
      <c r="AG16" s="2">
        <f t="shared" ca="1" si="5"/>
        <v>24.356329725102249</v>
      </c>
      <c r="AH16" s="2">
        <f t="shared" ca="1" si="5"/>
        <v>29.778669953092354</v>
      </c>
    </row>
    <row r="17" spans="1:34">
      <c r="A17" t="str">
        <f t="shared" si="6"/>
        <v>Sorghum</v>
      </c>
      <c r="B17" t="str">
        <f t="shared" si="7"/>
        <v>Gumuz</v>
      </c>
      <c r="C17" s="2">
        <f t="shared" ca="1" si="3"/>
        <v>20.81370441471762</v>
      </c>
      <c r="D17" s="2">
        <f t="shared" ca="1" si="3"/>
        <v>22.528945275165771</v>
      </c>
      <c r="E17" s="2">
        <f t="shared" ca="1" si="3"/>
        <v>28.374106440451207</v>
      </c>
      <c r="F17" s="2">
        <f t="shared" ca="1" si="3"/>
        <v>28.3916799105073</v>
      </c>
      <c r="G17" s="2">
        <f t="shared" ca="1" si="3"/>
        <v>23.312657596692855</v>
      </c>
      <c r="H17" s="2">
        <f t="shared" ca="1" si="3"/>
        <v>25.017615790628959</v>
      </c>
      <c r="I17" s="2">
        <f t="shared" ca="1" si="3"/>
        <v>23.835578578053568</v>
      </c>
      <c r="J17" s="2">
        <f t="shared" ca="1" si="3"/>
        <v>20.646763886892337</v>
      </c>
      <c r="K17" s="2">
        <f t="shared" ca="1" si="3"/>
        <v>24.163730208927355</v>
      </c>
      <c r="L17" s="2">
        <f t="shared" ca="1" si="3"/>
        <v>27.987732870710147</v>
      </c>
      <c r="M17" s="2">
        <f t="shared" ca="1" si="3"/>
        <v>24.427984737663881</v>
      </c>
      <c r="N17" s="2">
        <f t="shared" ca="1" si="3"/>
        <v>27.524040397559627</v>
      </c>
      <c r="O17" s="2">
        <f t="shared" ca="1" si="3"/>
        <v>20.853022634166507</v>
      </c>
      <c r="P17" s="2">
        <f t="shared" ca="1" si="3"/>
        <v>25.397706337124603</v>
      </c>
      <c r="Q17" s="2">
        <f t="shared" ca="1" si="3"/>
        <v>23.90233788354233</v>
      </c>
      <c r="R17" s="2">
        <f t="shared" ca="1" si="3"/>
        <v>27.395469510626494</v>
      </c>
      <c r="S17" s="2">
        <f t="shared" ca="1" si="4"/>
        <v>20.358399020351094</v>
      </c>
      <c r="T17" s="2">
        <f t="shared" ca="1" si="4"/>
        <v>28.657013181258417</v>
      </c>
      <c r="U17" s="2">
        <f t="shared" ca="1" si="4"/>
        <v>23.609702328038761</v>
      </c>
      <c r="V17" s="2">
        <f t="shared" ca="1" si="4"/>
        <v>24.178413197286687</v>
      </c>
      <c r="W17" s="2">
        <f t="shared" ca="1" si="4"/>
        <v>20.181956929896288</v>
      </c>
      <c r="X17" s="2">
        <f t="shared" ca="1" si="4"/>
        <v>25.335385990415826</v>
      </c>
      <c r="Y17" s="2">
        <f t="shared" ca="1" si="4"/>
        <v>29.223842426159877</v>
      </c>
      <c r="Z17" s="2">
        <f t="shared" ca="1" si="4"/>
        <v>28.502554586493737</v>
      </c>
      <c r="AA17" s="2">
        <f t="shared" ca="1" si="5"/>
        <v>26.557667686630619</v>
      </c>
      <c r="AB17" s="2">
        <f t="shared" ca="1" si="5"/>
        <v>20.09488688623528</v>
      </c>
      <c r="AC17" s="2">
        <f t="shared" ca="1" si="5"/>
        <v>27.136850932437177</v>
      </c>
      <c r="AD17" s="2">
        <f t="shared" ca="1" si="5"/>
        <v>27.826708057390725</v>
      </c>
      <c r="AE17" s="2">
        <f t="shared" ca="1" si="5"/>
        <v>29.200464704176309</v>
      </c>
      <c r="AF17" s="2">
        <f t="shared" ca="1" si="5"/>
        <v>28.18403627675999</v>
      </c>
      <c r="AG17" s="2">
        <f t="shared" ca="1" si="5"/>
        <v>21.066140082415391</v>
      </c>
      <c r="AH17" s="2">
        <f t="shared" ca="1" si="5"/>
        <v>28.179991942363152</v>
      </c>
    </row>
    <row r="18" spans="1:34">
      <c r="A18" t="str">
        <f t="shared" si="6"/>
        <v>Sorghum</v>
      </c>
      <c r="B18" t="str">
        <f t="shared" si="7"/>
        <v>DireDawa</v>
      </c>
      <c r="C18" s="2">
        <f t="shared" ca="1" si="3"/>
        <v>23.274036190782358</v>
      </c>
      <c r="D18" s="2">
        <f t="shared" ca="1" si="3"/>
        <v>29.134028892353193</v>
      </c>
      <c r="E18" s="2">
        <f t="shared" ca="1" si="3"/>
        <v>20.50264613307812</v>
      </c>
      <c r="F18" s="2">
        <f t="shared" ca="1" si="3"/>
        <v>24.513379151869458</v>
      </c>
      <c r="G18" s="2">
        <f t="shared" ca="1" si="3"/>
        <v>22.407709797108307</v>
      </c>
      <c r="H18" s="2">
        <f t="shared" ca="1" si="3"/>
        <v>27.040116148007375</v>
      </c>
      <c r="I18" s="2">
        <f t="shared" ca="1" si="3"/>
        <v>24.000613367520618</v>
      </c>
      <c r="J18" s="2">
        <f t="shared" ca="1" si="3"/>
        <v>23.488847541219137</v>
      </c>
      <c r="K18" s="2">
        <f t="shared" ca="1" si="3"/>
        <v>22.595238575484696</v>
      </c>
      <c r="L18" s="2">
        <f t="shared" ca="1" si="3"/>
        <v>28.258337594819587</v>
      </c>
      <c r="M18" s="2">
        <f t="shared" ca="1" si="3"/>
        <v>26.765138614461609</v>
      </c>
      <c r="N18" s="2">
        <f t="shared" ca="1" si="3"/>
        <v>20.351183690143671</v>
      </c>
      <c r="O18" s="2">
        <f t="shared" ca="1" si="3"/>
        <v>20.219309719798744</v>
      </c>
      <c r="P18" s="2">
        <f t="shared" ca="1" si="3"/>
        <v>27.258056720972622</v>
      </c>
      <c r="Q18" s="2">
        <f t="shared" ca="1" si="3"/>
        <v>27.399881525401156</v>
      </c>
      <c r="R18" s="2">
        <f t="shared" ca="1" si="3"/>
        <v>26.343107182268106</v>
      </c>
      <c r="S18" s="2">
        <f t="shared" ca="1" si="4"/>
        <v>26.104160977209716</v>
      </c>
      <c r="T18" s="2">
        <f t="shared" ca="1" si="4"/>
        <v>24.989941215133278</v>
      </c>
      <c r="U18" s="2">
        <f t="shared" ca="1" si="4"/>
        <v>26.430245092215529</v>
      </c>
      <c r="V18" s="2">
        <f t="shared" ca="1" si="4"/>
        <v>22.341628139741808</v>
      </c>
      <c r="W18" s="2">
        <f t="shared" ca="1" si="4"/>
        <v>22.42582880618432</v>
      </c>
      <c r="X18" s="2">
        <f t="shared" ca="1" si="4"/>
        <v>23.093577963332024</v>
      </c>
      <c r="Y18" s="2">
        <f t="shared" ca="1" si="4"/>
        <v>29.60980248297572</v>
      </c>
      <c r="Z18" s="2">
        <f t="shared" ca="1" si="4"/>
        <v>27.795750166116306</v>
      </c>
      <c r="AA18" s="2">
        <f t="shared" ca="1" si="5"/>
        <v>28.087377154404884</v>
      </c>
      <c r="AB18" s="2">
        <f t="shared" ca="1" si="5"/>
        <v>21.280984267580788</v>
      </c>
      <c r="AC18" s="2">
        <f t="shared" ca="1" si="5"/>
        <v>24.398717070768889</v>
      </c>
      <c r="AD18" s="2">
        <f t="shared" ca="1" si="5"/>
        <v>24.930631650781365</v>
      </c>
      <c r="AE18" s="2">
        <f t="shared" ca="1" si="5"/>
        <v>28.516925661292682</v>
      </c>
      <c r="AF18" s="2">
        <f t="shared" ca="1" si="5"/>
        <v>23.550679268621867</v>
      </c>
      <c r="AG18" s="2">
        <f t="shared" ca="1" si="5"/>
        <v>20.645633403391948</v>
      </c>
      <c r="AH18" s="2">
        <f t="shared" ca="1" si="5"/>
        <v>29.840196756984504</v>
      </c>
    </row>
    <row r="19" spans="1:34">
      <c r="A19" t="str">
        <f t="shared" si="6"/>
        <v>Sorghum</v>
      </c>
      <c r="B19" t="str">
        <f t="shared" si="7"/>
        <v>Gambela</v>
      </c>
      <c r="C19" s="2">
        <f t="shared" ca="1" si="3"/>
        <v>27.095159785345228</v>
      </c>
      <c r="D19" s="2">
        <f t="shared" ca="1" si="3"/>
        <v>29.11715260605348</v>
      </c>
      <c r="E19" s="2">
        <f t="shared" ca="1" si="3"/>
        <v>27.121339512683583</v>
      </c>
      <c r="F19" s="2">
        <f t="shared" ca="1" si="3"/>
        <v>25.766356380439834</v>
      </c>
      <c r="G19" s="2">
        <f t="shared" ca="1" si="3"/>
        <v>22.928076947709442</v>
      </c>
      <c r="H19" s="2">
        <f t="shared" ca="1" si="3"/>
        <v>26.636580191890147</v>
      </c>
      <c r="I19" s="2">
        <f t="shared" ca="1" si="3"/>
        <v>23.117459344716313</v>
      </c>
      <c r="J19" s="2">
        <f t="shared" ca="1" si="3"/>
        <v>21.549369301832023</v>
      </c>
      <c r="K19" s="2">
        <f t="shared" ca="1" si="3"/>
        <v>29.483104755699358</v>
      </c>
      <c r="L19" s="2">
        <f t="shared" ca="1" si="3"/>
        <v>21.854892481257195</v>
      </c>
      <c r="M19" s="2">
        <f t="shared" ca="1" si="3"/>
        <v>26.656095698655598</v>
      </c>
      <c r="N19" s="2">
        <f t="shared" ca="1" si="3"/>
        <v>27.68207959737029</v>
      </c>
      <c r="O19" s="2">
        <f t="shared" ca="1" si="3"/>
        <v>21.013420886802638</v>
      </c>
      <c r="P19" s="2">
        <f t="shared" ca="1" si="3"/>
        <v>23.114555971855367</v>
      </c>
      <c r="Q19" s="2">
        <f t="shared" ca="1" si="3"/>
        <v>20.892818387025809</v>
      </c>
      <c r="R19" s="2">
        <f t="shared" ca="1" si="3"/>
        <v>20.944502803563026</v>
      </c>
      <c r="S19" s="2">
        <f t="shared" ca="1" si="4"/>
        <v>29.332262377864275</v>
      </c>
      <c r="T19" s="2">
        <f t="shared" ca="1" si="4"/>
        <v>29.554719805322733</v>
      </c>
      <c r="U19" s="2">
        <f t="shared" ca="1" si="4"/>
        <v>26.140497338547171</v>
      </c>
      <c r="V19" s="2">
        <f t="shared" ca="1" si="4"/>
        <v>29.254830739726788</v>
      </c>
      <c r="W19" s="2">
        <f t="shared" ca="1" si="4"/>
        <v>21.065737275708582</v>
      </c>
      <c r="X19" s="2">
        <f t="shared" ca="1" si="4"/>
        <v>29.040383264307788</v>
      </c>
      <c r="Y19" s="2">
        <f t="shared" ca="1" si="4"/>
        <v>20.703792261300144</v>
      </c>
      <c r="Z19" s="2">
        <f t="shared" ca="1" si="4"/>
        <v>29.199169092522705</v>
      </c>
      <c r="AA19" s="2">
        <f t="shared" ca="1" si="5"/>
        <v>27.815087731685715</v>
      </c>
      <c r="AB19" s="2">
        <f t="shared" ca="1" si="5"/>
        <v>25.748736358089602</v>
      </c>
      <c r="AC19" s="2">
        <f t="shared" ca="1" si="5"/>
        <v>28.059846436382156</v>
      </c>
      <c r="AD19" s="2">
        <f t="shared" ca="1" si="5"/>
        <v>21.748697146556218</v>
      </c>
      <c r="AE19" s="2">
        <f t="shared" ca="1" si="5"/>
        <v>24.269484436384396</v>
      </c>
      <c r="AF19" s="2">
        <f t="shared" ca="1" si="5"/>
        <v>26.608195573454637</v>
      </c>
      <c r="AG19" s="2">
        <f t="shared" ca="1" si="5"/>
        <v>25.046833246244155</v>
      </c>
      <c r="AH19" s="2">
        <f t="shared" ca="1" si="5"/>
        <v>21.348926409701711</v>
      </c>
    </row>
    <row r="20" spans="1:34">
      <c r="A20" t="str">
        <f t="shared" si="6"/>
        <v>Sorghum</v>
      </c>
      <c r="B20" t="str">
        <f t="shared" si="7"/>
        <v>Harari</v>
      </c>
      <c r="C20" s="2">
        <f t="shared" ca="1" si="3"/>
        <v>24.101580434956013</v>
      </c>
      <c r="D20" s="2">
        <f t="shared" ca="1" si="3"/>
        <v>28.181075993702688</v>
      </c>
      <c r="E20" s="2">
        <f t="shared" ca="1" si="3"/>
        <v>23.750625586190854</v>
      </c>
      <c r="F20" s="2">
        <f t="shared" ca="1" si="3"/>
        <v>24.34334196572933</v>
      </c>
      <c r="G20" s="2">
        <f t="shared" ca="1" si="3"/>
        <v>21.572449814169332</v>
      </c>
      <c r="H20" s="2">
        <f t="shared" ca="1" si="3"/>
        <v>25.993753375558803</v>
      </c>
      <c r="I20" s="2">
        <f t="shared" ca="1" si="3"/>
        <v>23.903897805284782</v>
      </c>
      <c r="J20" s="2">
        <f t="shared" ca="1" si="3"/>
        <v>28.135680953635287</v>
      </c>
      <c r="K20" s="2">
        <f t="shared" ca="1" si="3"/>
        <v>23.356390965848096</v>
      </c>
      <c r="L20" s="2">
        <f t="shared" ca="1" si="3"/>
        <v>23.792817545389035</v>
      </c>
      <c r="M20" s="2">
        <f t="shared" ca="1" si="3"/>
        <v>27.034368114484547</v>
      </c>
      <c r="N20" s="2">
        <f t="shared" ca="1" si="3"/>
        <v>21.014345227637893</v>
      </c>
      <c r="O20" s="2">
        <f t="shared" ca="1" si="3"/>
        <v>23.249058226862832</v>
      </c>
      <c r="P20" s="2">
        <f t="shared" ca="1" si="3"/>
        <v>20.771870879605785</v>
      </c>
      <c r="Q20" s="2">
        <f t="shared" ca="1" si="3"/>
        <v>27.593695187542604</v>
      </c>
      <c r="R20" s="2">
        <f t="shared" ca="1" si="3"/>
        <v>20.305730132439908</v>
      </c>
      <c r="S20" s="2">
        <f t="shared" ca="1" si="4"/>
        <v>24.055280683970317</v>
      </c>
      <c r="T20" s="2">
        <f t="shared" ca="1" si="4"/>
        <v>26.769346066774705</v>
      </c>
      <c r="U20" s="2">
        <f t="shared" ca="1" si="4"/>
        <v>29.321013940344315</v>
      </c>
      <c r="V20" s="2">
        <f t="shared" ca="1" si="4"/>
        <v>26.780494913240013</v>
      </c>
      <c r="W20" s="2">
        <f t="shared" ca="1" si="4"/>
        <v>21.764985671531505</v>
      </c>
      <c r="X20" s="2">
        <f t="shared" ca="1" si="4"/>
        <v>20.027622217457832</v>
      </c>
      <c r="Y20" s="2">
        <f t="shared" ca="1" si="4"/>
        <v>22.196688258367367</v>
      </c>
      <c r="Z20" s="2">
        <f t="shared" ca="1" si="4"/>
        <v>27.645382185130902</v>
      </c>
      <c r="AA20" s="2">
        <f t="shared" ca="1" si="5"/>
        <v>28.318166266797896</v>
      </c>
      <c r="AB20" s="2">
        <f t="shared" ca="1" si="5"/>
        <v>25.888864041393308</v>
      </c>
      <c r="AC20" s="2">
        <f t="shared" ca="1" si="5"/>
        <v>21.098426082768256</v>
      </c>
      <c r="AD20" s="2">
        <f t="shared" ca="1" si="5"/>
        <v>21.693989040783848</v>
      </c>
      <c r="AE20" s="2">
        <f t="shared" ca="1" si="5"/>
        <v>25.451480492507521</v>
      </c>
      <c r="AF20" s="2">
        <f t="shared" ca="1" si="5"/>
        <v>27.443684615319786</v>
      </c>
      <c r="AG20" s="2">
        <f t="shared" ca="1" si="5"/>
        <v>24.591629320814299</v>
      </c>
      <c r="AH20" s="2">
        <f t="shared" ca="1" si="5"/>
        <v>25.34930483668612</v>
      </c>
    </row>
    <row r="21" spans="1:34">
      <c r="A21" t="str">
        <f t="shared" si="6"/>
        <v>Sorghum</v>
      </c>
      <c r="B21" t="str">
        <f t="shared" si="7"/>
        <v>Oromia</v>
      </c>
      <c r="C21" s="2">
        <f t="shared" ca="1" si="3"/>
        <v>24.052720803900307</v>
      </c>
      <c r="D21" s="2">
        <f t="shared" ca="1" si="3"/>
        <v>29.590773194788405</v>
      </c>
      <c r="E21" s="2">
        <f t="shared" ca="1" si="3"/>
        <v>22.838403740854424</v>
      </c>
      <c r="F21" s="2">
        <f t="shared" ca="1" si="3"/>
        <v>21.315886428247932</v>
      </c>
      <c r="G21" s="2">
        <f t="shared" ca="1" si="3"/>
        <v>23.817777877834075</v>
      </c>
      <c r="H21" s="2">
        <f t="shared" ca="1" si="3"/>
        <v>22.105223776591551</v>
      </c>
      <c r="I21" s="2">
        <f t="shared" ca="1" si="3"/>
        <v>26.596040442571649</v>
      </c>
      <c r="J21" s="2">
        <f t="shared" ca="1" si="3"/>
        <v>25.998268796641423</v>
      </c>
      <c r="K21" s="2">
        <f t="shared" ca="1" si="3"/>
        <v>24.823560578487825</v>
      </c>
      <c r="L21" s="2">
        <f t="shared" ca="1" si="3"/>
        <v>24.017738207269417</v>
      </c>
      <c r="M21" s="2">
        <f t="shared" ca="1" si="3"/>
        <v>25.798972051598827</v>
      </c>
      <c r="N21" s="2">
        <f t="shared" ca="1" si="3"/>
        <v>21.553053518468815</v>
      </c>
      <c r="O21" s="2">
        <f t="shared" ca="1" si="3"/>
        <v>20.707799462940851</v>
      </c>
      <c r="P21" s="2">
        <f t="shared" ca="1" si="3"/>
        <v>22.842429429496391</v>
      </c>
      <c r="Q21" s="2">
        <f t="shared" ca="1" si="3"/>
        <v>24.041842059070536</v>
      </c>
      <c r="R21" s="2">
        <f t="shared" ca="1" si="3"/>
        <v>22.258760022669023</v>
      </c>
      <c r="S21" s="2">
        <f t="shared" ca="1" si="4"/>
        <v>22.344141376539216</v>
      </c>
      <c r="T21" s="2">
        <f t="shared" ca="1" si="4"/>
        <v>22.609815102126358</v>
      </c>
      <c r="U21" s="2">
        <f t="shared" ca="1" si="4"/>
        <v>29.815495873860435</v>
      </c>
      <c r="V21" s="2">
        <f t="shared" ca="1" si="4"/>
        <v>26.678906000880993</v>
      </c>
      <c r="W21" s="2">
        <f t="shared" ca="1" si="4"/>
        <v>26.299884460189581</v>
      </c>
      <c r="X21" s="2">
        <f t="shared" ca="1" si="4"/>
        <v>26.901310700378115</v>
      </c>
      <c r="Y21" s="2">
        <f t="shared" ca="1" si="4"/>
        <v>21.229712786765973</v>
      </c>
      <c r="Z21" s="2">
        <f t="shared" ca="1" si="4"/>
        <v>21.219012288154104</v>
      </c>
      <c r="AA21" s="2">
        <f t="shared" ca="1" si="5"/>
        <v>28.733681561226206</v>
      </c>
      <c r="AB21" s="2">
        <f t="shared" ca="1" si="5"/>
        <v>27.301376886261593</v>
      </c>
      <c r="AC21" s="2">
        <f t="shared" ca="1" si="5"/>
        <v>23.240187416031979</v>
      </c>
      <c r="AD21" s="2">
        <f t="shared" ca="1" si="5"/>
        <v>24.972269754802507</v>
      </c>
      <c r="AE21" s="2">
        <f t="shared" ca="1" si="5"/>
        <v>21.196284222105515</v>
      </c>
      <c r="AF21" s="2">
        <f t="shared" ca="1" si="5"/>
        <v>26.648663833635649</v>
      </c>
      <c r="AG21" s="2">
        <f t="shared" ca="1" si="5"/>
        <v>25.470148549735562</v>
      </c>
      <c r="AH21" s="2">
        <f t="shared" ca="1" si="5"/>
        <v>27.58454276299911</v>
      </c>
    </row>
    <row r="22" spans="1:34">
      <c r="A22" t="str">
        <f t="shared" si="6"/>
        <v>Sorghum</v>
      </c>
      <c r="B22" t="str">
        <f t="shared" si="7"/>
        <v>Somali</v>
      </c>
      <c r="C22" s="2">
        <f t="shared" ca="1" si="3"/>
        <v>25.606813647487911</v>
      </c>
      <c r="D22" s="2">
        <f t="shared" ca="1" si="3"/>
        <v>29.650392037238294</v>
      </c>
      <c r="E22" s="2">
        <f t="shared" ca="1" si="3"/>
        <v>22.151957561949715</v>
      </c>
      <c r="F22" s="2">
        <f t="shared" ca="1" si="3"/>
        <v>28.494623229203675</v>
      </c>
      <c r="G22" s="2">
        <f t="shared" ca="1" si="3"/>
        <v>21.422606204119703</v>
      </c>
      <c r="H22" s="2">
        <f t="shared" ca="1" si="3"/>
        <v>24.691615792635577</v>
      </c>
      <c r="I22" s="2">
        <f t="shared" ca="1" si="3"/>
        <v>27.900612156295502</v>
      </c>
      <c r="J22" s="2">
        <f t="shared" ca="1" si="3"/>
        <v>27.805500920926409</v>
      </c>
      <c r="K22" s="2">
        <f t="shared" ca="1" si="3"/>
        <v>26.709115399908164</v>
      </c>
      <c r="L22" s="2">
        <f t="shared" ca="1" si="3"/>
        <v>23.280928332987898</v>
      </c>
      <c r="M22" s="2">
        <f t="shared" ca="1" si="3"/>
        <v>26.359820266452267</v>
      </c>
      <c r="N22" s="2">
        <f t="shared" ca="1" si="3"/>
        <v>25.146915129827097</v>
      </c>
      <c r="O22" s="2">
        <f t="shared" ca="1" si="3"/>
        <v>26.05257701285252</v>
      </c>
      <c r="P22" s="2">
        <f t="shared" ca="1" si="3"/>
        <v>21.409682059960659</v>
      </c>
      <c r="Q22" s="2">
        <f t="shared" ca="1" si="3"/>
        <v>26.975254422802884</v>
      </c>
      <c r="R22" s="2">
        <f t="shared" ca="1" si="3"/>
        <v>21.584942986289455</v>
      </c>
      <c r="S22" s="2">
        <f t="shared" ca="1" si="4"/>
        <v>24.314403600701048</v>
      </c>
      <c r="T22" s="2">
        <f t="shared" ca="1" si="4"/>
        <v>27.608374115134922</v>
      </c>
      <c r="U22" s="2">
        <f t="shared" ca="1" si="4"/>
        <v>26.112110021853642</v>
      </c>
      <c r="V22" s="2">
        <f t="shared" ca="1" si="4"/>
        <v>26.275511659084451</v>
      </c>
      <c r="W22" s="2">
        <f t="shared" ca="1" si="4"/>
        <v>27.54227155583369</v>
      </c>
      <c r="X22" s="2">
        <f t="shared" ca="1" si="4"/>
        <v>24.514822777569471</v>
      </c>
      <c r="Y22" s="2">
        <f t="shared" ca="1" si="4"/>
        <v>28.250299498225722</v>
      </c>
      <c r="Z22" s="2">
        <f t="shared" ca="1" si="4"/>
        <v>29.519903122671359</v>
      </c>
      <c r="AA22" s="2">
        <f t="shared" ca="1" si="5"/>
        <v>24.414149234922323</v>
      </c>
      <c r="AB22" s="2">
        <f t="shared" ca="1" si="5"/>
        <v>24.806883891904214</v>
      </c>
      <c r="AC22" s="2">
        <f t="shared" ca="1" si="5"/>
        <v>29.526010122871973</v>
      </c>
      <c r="AD22" s="2">
        <f t="shared" ca="1" si="5"/>
        <v>24.696798827330625</v>
      </c>
      <c r="AE22" s="2">
        <f t="shared" ca="1" si="5"/>
        <v>28.169449142442147</v>
      </c>
      <c r="AF22" s="2">
        <f t="shared" ca="1" si="5"/>
        <v>24.814979590178972</v>
      </c>
      <c r="AG22" s="2">
        <f t="shared" ca="1" si="5"/>
        <v>29.318597228253829</v>
      </c>
      <c r="AH22" s="2">
        <f t="shared" ca="1" si="5"/>
        <v>22.246989429931105</v>
      </c>
    </row>
    <row r="23" spans="1:34">
      <c r="A23" t="str">
        <f t="shared" si="6"/>
        <v>Sorghum</v>
      </c>
      <c r="B23" t="str">
        <f t="shared" si="7"/>
        <v>SNNPR</v>
      </c>
      <c r="C23" s="2">
        <f t="shared" ca="1" si="3"/>
        <v>26.032732075239142</v>
      </c>
      <c r="D23" s="2">
        <f t="shared" ca="1" si="3"/>
        <v>29.030160751814947</v>
      </c>
      <c r="E23" s="2">
        <f t="shared" ca="1" si="3"/>
        <v>20.535433837232784</v>
      </c>
      <c r="F23" s="2">
        <f t="shared" ca="1" si="3"/>
        <v>25.916836239836591</v>
      </c>
      <c r="G23" s="2">
        <f t="shared" ca="1" si="3"/>
        <v>27.964244804292903</v>
      </c>
      <c r="H23" s="2">
        <f t="shared" ca="1" si="3"/>
        <v>23.327071659934376</v>
      </c>
      <c r="I23" s="2">
        <f t="shared" ca="1" si="3"/>
        <v>26.493379540733773</v>
      </c>
      <c r="J23" s="2">
        <f t="shared" ca="1" si="3"/>
        <v>26.928205297265251</v>
      </c>
      <c r="K23" s="2">
        <f t="shared" ca="1" si="3"/>
        <v>20.870432905716271</v>
      </c>
      <c r="L23" s="2">
        <f t="shared" ca="1" si="3"/>
        <v>29.791333965039321</v>
      </c>
      <c r="M23" s="2">
        <f t="shared" ca="1" si="3"/>
        <v>29.75342658139315</v>
      </c>
      <c r="N23" s="2">
        <f t="shared" ca="1" si="3"/>
        <v>20.764355913528952</v>
      </c>
      <c r="O23" s="2">
        <f t="shared" ca="1" si="3"/>
        <v>23.179352127960708</v>
      </c>
      <c r="P23" s="2">
        <f t="shared" ca="1" si="3"/>
        <v>28.097408332397109</v>
      </c>
      <c r="Q23" s="2">
        <f t="shared" ca="1" si="3"/>
        <v>22.614725251315193</v>
      </c>
      <c r="R23" s="2">
        <f t="shared" ca="1" si="3"/>
        <v>28.239309276974964</v>
      </c>
      <c r="S23" s="2">
        <f t="shared" ca="1" si="4"/>
        <v>28.907132949517603</v>
      </c>
      <c r="T23" s="2">
        <f t="shared" ca="1" si="4"/>
        <v>23.470044609552303</v>
      </c>
      <c r="U23" s="2">
        <f t="shared" ca="1" si="4"/>
        <v>22.737970947147467</v>
      </c>
      <c r="V23" s="2">
        <f t="shared" ca="1" si="4"/>
        <v>25.708837305208398</v>
      </c>
      <c r="W23" s="2">
        <f t="shared" ca="1" si="4"/>
        <v>29.385173520470982</v>
      </c>
      <c r="X23" s="2">
        <f t="shared" ca="1" si="4"/>
        <v>22.444822919747406</v>
      </c>
      <c r="Y23" s="2">
        <f t="shared" ca="1" si="4"/>
        <v>25.28096738146095</v>
      </c>
      <c r="Z23" s="2">
        <f t="shared" ca="1" si="4"/>
        <v>28.653604845476224</v>
      </c>
      <c r="AA23" s="2">
        <f t="shared" ca="1" si="5"/>
        <v>22.069207560132558</v>
      </c>
      <c r="AB23" s="2">
        <f t="shared" ca="1" si="5"/>
        <v>20.461622346234172</v>
      </c>
      <c r="AC23" s="2">
        <f t="shared" ca="1" si="5"/>
        <v>20.431525345972588</v>
      </c>
      <c r="AD23" s="2">
        <f t="shared" ca="1" si="5"/>
        <v>22.889519882570134</v>
      </c>
      <c r="AE23" s="2">
        <f t="shared" ca="1" si="5"/>
        <v>21.10494883652974</v>
      </c>
      <c r="AF23" s="2">
        <f t="shared" ca="1" si="5"/>
        <v>25.021864476528968</v>
      </c>
      <c r="AG23" s="2">
        <f t="shared" ca="1" si="5"/>
        <v>29.91736007855534</v>
      </c>
      <c r="AH23" s="2">
        <f t="shared" ca="1" si="5"/>
        <v>21.116846249692607</v>
      </c>
    </row>
    <row r="24" spans="1:34">
      <c r="A24" t="str">
        <f t="shared" si="6"/>
        <v>Sorghum</v>
      </c>
      <c r="B24" t="str">
        <f t="shared" si="7"/>
        <v>Tigray</v>
      </c>
      <c r="C24" s="2">
        <f t="shared" ca="1" si="3"/>
        <v>25.636373321599429</v>
      </c>
      <c r="D24" s="2">
        <f t="shared" ca="1" si="3"/>
        <v>25.736445511162785</v>
      </c>
      <c r="E24" s="2">
        <f t="shared" ca="1" si="3"/>
        <v>22.468310852975961</v>
      </c>
      <c r="F24" s="2">
        <f t="shared" ca="1" si="3"/>
        <v>27.441445767863314</v>
      </c>
      <c r="G24" s="2">
        <f t="shared" ca="1" si="3"/>
        <v>24.730342289284437</v>
      </c>
      <c r="H24" s="2">
        <f t="shared" ca="1" si="3"/>
        <v>25.970312515188123</v>
      </c>
      <c r="I24" s="2">
        <f t="shared" ca="1" si="3"/>
        <v>25.542529950328003</v>
      </c>
      <c r="J24" s="2">
        <f t="shared" ca="1" si="3"/>
        <v>23.053947463244789</v>
      </c>
      <c r="K24" s="2">
        <f t="shared" ca="1" si="3"/>
        <v>22.124380790909427</v>
      </c>
      <c r="L24" s="2">
        <f t="shared" ca="1" si="3"/>
        <v>24.612506001425047</v>
      </c>
      <c r="M24" s="2">
        <f t="shared" ca="1" si="3"/>
        <v>28.615734366297396</v>
      </c>
      <c r="N24" s="2">
        <f t="shared" ca="1" si="3"/>
        <v>25.079644746658971</v>
      </c>
      <c r="O24" s="2">
        <f t="shared" ca="1" si="3"/>
        <v>20.91959918541616</v>
      </c>
      <c r="P24" s="2">
        <f t="shared" ca="1" si="3"/>
        <v>29.690190089859318</v>
      </c>
      <c r="Q24" s="2">
        <f t="shared" ca="1" si="3"/>
        <v>25.048998492515079</v>
      </c>
      <c r="R24" s="2">
        <f t="shared" ca="1" si="3"/>
        <v>27.632125405068262</v>
      </c>
      <c r="S24" s="2">
        <f t="shared" ca="1" si="4"/>
        <v>21.614803951396205</v>
      </c>
      <c r="T24" s="2">
        <f t="shared" ca="1" si="4"/>
        <v>28.325279503470785</v>
      </c>
      <c r="U24" s="2">
        <f t="shared" ca="1" si="4"/>
        <v>28.798131652295954</v>
      </c>
      <c r="V24" s="2">
        <f t="shared" ca="1" si="4"/>
        <v>29.552141081293165</v>
      </c>
      <c r="W24" s="2">
        <f t="shared" ca="1" si="4"/>
        <v>21.445215708005701</v>
      </c>
      <c r="X24" s="2">
        <f t="shared" ca="1" si="4"/>
        <v>27.334009739962916</v>
      </c>
      <c r="Y24" s="2">
        <f t="shared" ca="1" si="4"/>
        <v>25.201575507933271</v>
      </c>
      <c r="Z24" s="2">
        <f t="shared" ca="1" si="4"/>
        <v>25.296170808613489</v>
      </c>
      <c r="AA24" s="2">
        <f t="shared" ca="1" si="5"/>
        <v>26.293659263087555</v>
      </c>
      <c r="AB24" s="2">
        <f t="shared" ca="1" si="5"/>
        <v>20.973540564736346</v>
      </c>
      <c r="AC24" s="2">
        <f t="shared" ca="1" si="5"/>
        <v>24.223963754029015</v>
      </c>
      <c r="AD24" s="2">
        <f t="shared" ca="1" si="5"/>
        <v>29.270354413816282</v>
      </c>
      <c r="AE24" s="2">
        <f t="shared" ca="1" si="5"/>
        <v>21.97583455130879</v>
      </c>
      <c r="AF24" s="2">
        <f t="shared" ca="1" si="5"/>
        <v>27.963172359963465</v>
      </c>
      <c r="AG24" s="2">
        <f t="shared" ca="1" si="5"/>
        <v>27.957355056371149</v>
      </c>
      <c r="AH24" s="2">
        <f t="shared" ca="1" si="5"/>
        <v>20.807412161581865</v>
      </c>
    </row>
    <row r="25" spans="1:34">
      <c r="A25" t="str">
        <f t="shared" si="6"/>
        <v>Maize</v>
      </c>
      <c r="B25" t="str">
        <f t="shared" si="7"/>
        <v>AddisAbaba</v>
      </c>
      <c r="C25" s="2">
        <f t="shared" ca="1" si="3"/>
        <v>27.196605532018488</v>
      </c>
      <c r="D25" s="2">
        <f t="shared" ca="1" si="3"/>
        <v>28.864097897952128</v>
      </c>
      <c r="E25" s="2">
        <f t="shared" ca="1" si="3"/>
        <v>23.484716625808481</v>
      </c>
      <c r="F25" s="2">
        <f t="shared" ca="1" si="3"/>
        <v>25.196186500688089</v>
      </c>
      <c r="G25" s="2">
        <f t="shared" ca="1" si="3"/>
        <v>28.405852902347458</v>
      </c>
      <c r="H25" s="2">
        <f t="shared" ca="1" si="3"/>
        <v>22.362769039764547</v>
      </c>
      <c r="I25" s="2">
        <f t="shared" ca="1" si="3"/>
        <v>25.908044172511229</v>
      </c>
      <c r="J25" s="2">
        <f t="shared" ca="1" si="3"/>
        <v>26.210573185770784</v>
      </c>
      <c r="K25" s="2">
        <f t="shared" ca="1" si="3"/>
        <v>20.789036186652705</v>
      </c>
      <c r="L25" s="2">
        <f t="shared" ca="1" si="3"/>
        <v>21.205739501143377</v>
      </c>
      <c r="M25" s="2">
        <f t="shared" ca="1" si="3"/>
        <v>24.28112503547392</v>
      </c>
      <c r="N25" s="2">
        <f t="shared" ca="1" si="3"/>
        <v>24.179198711441252</v>
      </c>
      <c r="O25" s="2">
        <f t="shared" ca="1" si="3"/>
        <v>26.343315768567592</v>
      </c>
      <c r="P25" s="2">
        <f t="shared" ca="1" si="3"/>
        <v>23.356229969775171</v>
      </c>
      <c r="Q25" s="2">
        <f t="shared" ca="1" si="3"/>
        <v>20.815888082556736</v>
      </c>
      <c r="R25" s="2">
        <f t="shared" ca="1" si="3"/>
        <v>26.812921492670831</v>
      </c>
      <c r="S25" s="2">
        <f t="shared" ca="1" si="4"/>
        <v>21.637916777553961</v>
      </c>
      <c r="T25" s="2">
        <f t="shared" ca="1" si="4"/>
        <v>26.635701317290561</v>
      </c>
      <c r="U25" s="2">
        <f t="shared" ca="1" si="4"/>
        <v>23.308836332410131</v>
      </c>
      <c r="V25" s="2">
        <f t="shared" ca="1" si="4"/>
        <v>29.399131698694994</v>
      </c>
      <c r="W25" s="2">
        <f t="shared" ca="1" si="4"/>
        <v>26.01515050025818</v>
      </c>
      <c r="X25" s="2">
        <f t="shared" ca="1" si="4"/>
        <v>21.810506251611098</v>
      </c>
      <c r="Y25" s="2">
        <f t="shared" ca="1" si="4"/>
        <v>23.327688963890626</v>
      </c>
      <c r="Z25" s="2">
        <f t="shared" ca="1" si="4"/>
        <v>24.039958691076542</v>
      </c>
      <c r="AA25" s="2">
        <f t="shared" ca="1" si="5"/>
        <v>25.276243696080773</v>
      </c>
      <c r="AB25" s="2">
        <f t="shared" ca="1" si="5"/>
        <v>28.765519960745287</v>
      </c>
      <c r="AC25" s="2">
        <f t="shared" ca="1" si="5"/>
        <v>23.43771438098657</v>
      </c>
      <c r="AD25" s="2">
        <f t="shared" ca="1" si="5"/>
        <v>28.519162253406726</v>
      </c>
      <c r="AE25" s="2">
        <f t="shared" ca="1" si="5"/>
        <v>22.865576367723868</v>
      </c>
      <c r="AF25" s="2">
        <f t="shared" ca="1" si="5"/>
        <v>26.797942924835539</v>
      </c>
      <c r="AG25" s="2">
        <f t="shared" ca="1" si="5"/>
        <v>26.91199263116653</v>
      </c>
      <c r="AH25" s="2">
        <f t="shared" ca="1" si="5"/>
        <v>23.732448178800219</v>
      </c>
    </row>
    <row r="26" spans="1:34">
      <c r="A26" t="str">
        <f t="shared" si="6"/>
        <v>Maize</v>
      </c>
      <c r="B26" t="str">
        <f t="shared" si="7"/>
        <v>Afar</v>
      </c>
      <c r="C26" s="2">
        <f t="shared" ca="1" si="3"/>
        <v>26.121992626389783</v>
      </c>
      <c r="D26" s="2">
        <f t="shared" ca="1" si="3"/>
        <v>23.836429697492211</v>
      </c>
      <c r="E26" s="2">
        <f t="shared" ca="1" si="3"/>
        <v>28.642014394458727</v>
      </c>
      <c r="F26" s="2">
        <f t="shared" ca="1" si="3"/>
        <v>29.848076172955231</v>
      </c>
      <c r="G26" s="2">
        <f t="shared" ca="1" si="3"/>
        <v>26.429827609357595</v>
      </c>
      <c r="H26" s="2">
        <f t="shared" ca="1" si="3"/>
        <v>20.178387340600011</v>
      </c>
      <c r="I26" s="2">
        <f t="shared" ca="1" si="3"/>
        <v>26.97084316723684</v>
      </c>
      <c r="J26" s="2">
        <f t="shared" ca="1" si="3"/>
        <v>25.955554892374742</v>
      </c>
      <c r="K26" s="2">
        <f t="shared" ca="1" si="3"/>
        <v>28.557495362491359</v>
      </c>
      <c r="L26" s="2">
        <f t="shared" ca="1" si="3"/>
        <v>29.247425822945281</v>
      </c>
      <c r="M26" s="2">
        <f t="shared" ca="1" si="3"/>
        <v>28.240894185326781</v>
      </c>
      <c r="N26" s="2">
        <f t="shared" ca="1" si="3"/>
        <v>29.672196829412755</v>
      </c>
      <c r="O26" s="2">
        <f t="shared" ca="1" si="3"/>
        <v>28.23381361036671</v>
      </c>
      <c r="P26" s="2">
        <f t="shared" ca="1" si="3"/>
        <v>28.09437472516478</v>
      </c>
      <c r="Q26" s="2">
        <f t="shared" ca="1" si="3"/>
        <v>25.522818589665892</v>
      </c>
      <c r="R26" s="2">
        <f t="shared" ca="1" si="3"/>
        <v>26.019928350440477</v>
      </c>
      <c r="S26" s="2">
        <f t="shared" ca="1" si="4"/>
        <v>20.427103173987145</v>
      </c>
      <c r="T26" s="2">
        <f t="shared" ca="1" si="4"/>
        <v>21.002178164465683</v>
      </c>
      <c r="U26" s="2">
        <f t="shared" ca="1" si="4"/>
        <v>23.796247783488489</v>
      </c>
      <c r="V26" s="2">
        <f t="shared" ca="1" si="4"/>
        <v>23.547351888480677</v>
      </c>
      <c r="W26" s="2">
        <f t="shared" ca="1" si="4"/>
        <v>29.774680837978629</v>
      </c>
      <c r="X26" s="2">
        <f t="shared" ca="1" si="4"/>
        <v>29.373478489246242</v>
      </c>
      <c r="Y26" s="2">
        <f t="shared" ca="1" si="4"/>
        <v>26.434804786063392</v>
      </c>
      <c r="Z26" s="2">
        <f t="shared" ca="1" si="4"/>
        <v>24.762038692038043</v>
      </c>
      <c r="AA26" s="2">
        <f t="shared" ca="1" si="5"/>
        <v>21.781766310893538</v>
      </c>
      <c r="AB26" s="2">
        <f t="shared" ca="1" si="5"/>
        <v>23.455922242433637</v>
      </c>
      <c r="AC26" s="2">
        <f t="shared" ca="1" si="5"/>
        <v>23.504617875574283</v>
      </c>
      <c r="AD26" s="2">
        <f t="shared" ca="1" si="5"/>
        <v>23.015591948521397</v>
      </c>
      <c r="AE26" s="2">
        <f t="shared" ca="1" si="5"/>
        <v>26.909806630774447</v>
      </c>
      <c r="AF26" s="2">
        <f t="shared" ca="1" si="5"/>
        <v>27.29843484025821</v>
      </c>
      <c r="AG26" s="2">
        <f t="shared" ca="1" si="5"/>
        <v>29.173805454327098</v>
      </c>
      <c r="AH26" s="2">
        <f t="shared" ca="1" si="5"/>
        <v>25.076509076068746</v>
      </c>
    </row>
    <row r="27" spans="1:34">
      <c r="A27" t="str">
        <f t="shared" si="6"/>
        <v>Maize</v>
      </c>
      <c r="B27" t="str">
        <f t="shared" si="7"/>
        <v>Amhara</v>
      </c>
      <c r="C27" s="2">
        <f t="shared" ca="1" si="3"/>
        <v>21.221491160722952</v>
      </c>
      <c r="D27" s="2">
        <f t="shared" ca="1" si="3"/>
        <v>25.155894609088488</v>
      </c>
      <c r="E27" s="2">
        <f t="shared" ca="1" si="3"/>
        <v>24.036926701987895</v>
      </c>
      <c r="F27" s="2">
        <f t="shared" ca="1" si="3"/>
        <v>21.799769465355787</v>
      </c>
      <c r="G27" s="2">
        <f t="shared" ca="1" si="3"/>
        <v>25.086040538593707</v>
      </c>
      <c r="H27" s="2">
        <f t="shared" ca="1" si="3"/>
        <v>22.016596957665534</v>
      </c>
      <c r="I27" s="2">
        <f t="shared" ca="1" si="3"/>
        <v>25.30909483563876</v>
      </c>
      <c r="J27" s="2">
        <f t="shared" ref="J27:Y42" ca="1" si="8">(RAND()*1+2)*10</f>
        <v>26.91740879663265</v>
      </c>
      <c r="K27" s="2">
        <f t="shared" ca="1" si="8"/>
        <v>26.858861434248812</v>
      </c>
      <c r="L27" s="2">
        <f t="shared" ca="1" si="8"/>
        <v>27.145158201411647</v>
      </c>
      <c r="M27" s="2">
        <f t="shared" ca="1" si="8"/>
        <v>29.31180622718751</v>
      </c>
      <c r="N27" s="2">
        <f t="shared" ca="1" si="8"/>
        <v>20.427019870478777</v>
      </c>
      <c r="O27" s="2">
        <f t="shared" ca="1" si="8"/>
        <v>22.163995042738502</v>
      </c>
      <c r="P27" s="2">
        <f t="shared" ca="1" si="8"/>
        <v>25.961583049477515</v>
      </c>
      <c r="Q27" s="2">
        <f t="shared" ca="1" si="8"/>
        <v>29.770655850134279</v>
      </c>
      <c r="R27" s="2">
        <f t="shared" ca="1" si="8"/>
        <v>21.324116094118033</v>
      </c>
      <c r="S27" s="2">
        <f t="shared" ca="1" si="8"/>
        <v>23.779112297494915</v>
      </c>
      <c r="T27" s="2">
        <f t="shared" ca="1" si="8"/>
        <v>25.124416156211215</v>
      </c>
      <c r="U27" s="2">
        <f t="shared" ca="1" si="8"/>
        <v>20.499191891382367</v>
      </c>
      <c r="V27" s="2">
        <f t="shared" ca="1" si="8"/>
        <v>28.041470538669824</v>
      </c>
      <c r="W27" s="2">
        <f t="shared" ca="1" si="8"/>
        <v>23.396727801690975</v>
      </c>
      <c r="X27" s="2">
        <f t="shared" ca="1" si="8"/>
        <v>25.917276452554077</v>
      </c>
      <c r="Y27" s="2">
        <f t="shared" ca="1" si="8"/>
        <v>23.120680850411578</v>
      </c>
      <c r="Z27" s="2">
        <f t="shared" ca="1" si="4"/>
        <v>26.867837764663175</v>
      </c>
      <c r="AA27" s="2">
        <f t="shared" ca="1" si="5"/>
        <v>27.172460689865112</v>
      </c>
      <c r="AB27" s="2">
        <f t="shared" ca="1" si="5"/>
        <v>26.716064026491466</v>
      </c>
      <c r="AC27" s="2">
        <f t="shared" ca="1" si="5"/>
        <v>22.468568738437263</v>
      </c>
      <c r="AD27" s="2">
        <f t="shared" ca="1" si="5"/>
        <v>22.657419062317203</v>
      </c>
      <c r="AE27" s="2">
        <f t="shared" ca="1" si="5"/>
        <v>25.899352602592884</v>
      </c>
      <c r="AF27" s="2">
        <f t="shared" ca="1" si="5"/>
        <v>22.119262052298168</v>
      </c>
      <c r="AG27" s="2">
        <f t="shared" ca="1" si="5"/>
        <v>29.077212336975332</v>
      </c>
      <c r="AH27" s="2">
        <f t="shared" ca="1" si="5"/>
        <v>24.768372983558997</v>
      </c>
    </row>
    <row r="28" spans="1:34">
      <c r="A28" t="str">
        <f t="shared" si="6"/>
        <v>Maize</v>
      </c>
      <c r="B28" t="str">
        <f t="shared" si="7"/>
        <v>Gumuz</v>
      </c>
      <c r="C28" s="2">
        <f t="shared" ref="C28:R52" ca="1" si="9">(RAND()*1+2)*10</f>
        <v>23.191386131782671</v>
      </c>
      <c r="D28" s="2">
        <f t="shared" ca="1" si="9"/>
        <v>25.260611984965095</v>
      </c>
      <c r="E28" s="2">
        <f t="shared" ca="1" si="9"/>
        <v>23.480683305698147</v>
      </c>
      <c r="F28" s="2">
        <f t="shared" ca="1" si="9"/>
        <v>25.577799161283849</v>
      </c>
      <c r="G28" s="2">
        <f t="shared" ca="1" si="9"/>
        <v>25.696338271109731</v>
      </c>
      <c r="H28" s="2">
        <f t="shared" ca="1" si="9"/>
        <v>25.815453833995498</v>
      </c>
      <c r="I28" s="2">
        <f t="shared" ca="1" si="9"/>
        <v>27.19380080652812</v>
      </c>
      <c r="J28" s="2">
        <f t="shared" ca="1" si="9"/>
        <v>21.652383097893619</v>
      </c>
      <c r="K28" s="2">
        <f t="shared" ca="1" si="9"/>
        <v>20.062042394391348</v>
      </c>
      <c r="L28" s="2">
        <f t="shared" ca="1" si="9"/>
        <v>29.686380906343473</v>
      </c>
      <c r="M28" s="2">
        <f t="shared" ca="1" si="9"/>
        <v>26.218991164052117</v>
      </c>
      <c r="N28" s="2">
        <f t="shared" ca="1" si="9"/>
        <v>22.96783099675169</v>
      </c>
      <c r="O28" s="2">
        <f t="shared" ca="1" si="9"/>
        <v>24.204400012131106</v>
      </c>
      <c r="P28" s="2">
        <f t="shared" ca="1" si="9"/>
        <v>28.346846598983618</v>
      </c>
      <c r="Q28" s="2">
        <f t="shared" ca="1" si="9"/>
        <v>22.694749564191387</v>
      </c>
      <c r="R28" s="2">
        <f t="shared" ca="1" si="9"/>
        <v>25.266280866403498</v>
      </c>
      <c r="S28" s="2">
        <f t="shared" ca="1" si="8"/>
        <v>24.681660203767663</v>
      </c>
      <c r="T28" s="2">
        <f t="shared" ca="1" si="8"/>
        <v>24.288852399664556</v>
      </c>
      <c r="U28" s="2">
        <f t="shared" ca="1" si="8"/>
        <v>23.683894706669211</v>
      </c>
      <c r="V28" s="2">
        <f t="shared" ca="1" si="8"/>
        <v>25.834011651825822</v>
      </c>
      <c r="W28" s="2">
        <f t="shared" ca="1" si="8"/>
        <v>25.797422321431181</v>
      </c>
      <c r="X28" s="2">
        <f t="shared" ca="1" si="8"/>
        <v>29.000093484633123</v>
      </c>
      <c r="Y28" s="2">
        <f t="shared" ca="1" si="8"/>
        <v>20.676581048137763</v>
      </c>
      <c r="Z28" s="2">
        <f t="shared" ca="1" si="4"/>
        <v>24.538508426481506</v>
      </c>
      <c r="AA28" s="2">
        <f t="shared" ca="1" si="5"/>
        <v>27.616884432451407</v>
      </c>
      <c r="AB28" s="2">
        <f t="shared" ca="1" si="5"/>
        <v>24.555310992792201</v>
      </c>
      <c r="AC28" s="2">
        <f t="shared" ca="1" si="5"/>
        <v>29.122266107450947</v>
      </c>
      <c r="AD28" s="2">
        <f t="shared" ca="1" si="5"/>
        <v>26.684898981861291</v>
      </c>
      <c r="AE28" s="2">
        <f t="shared" ca="1" si="5"/>
        <v>23.767729429626009</v>
      </c>
      <c r="AF28" s="2">
        <f t="shared" ca="1" si="5"/>
        <v>27.249073081058857</v>
      </c>
      <c r="AG28" s="2">
        <f t="shared" ca="1" si="5"/>
        <v>25.227612406871607</v>
      </c>
      <c r="AH28" s="2">
        <f t="shared" ca="1" si="5"/>
        <v>27.067006491443145</v>
      </c>
    </row>
    <row r="29" spans="1:34">
      <c r="A29" t="str">
        <f t="shared" si="6"/>
        <v>Maize</v>
      </c>
      <c r="B29" t="str">
        <f t="shared" si="7"/>
        <v>DireDawa</v>
      </c>
      <c r="C29" s="2">
        <f t="shared" ca="1" si="9"/>
        <v>23.290331442176839</v>
      </c>
      <c r="D29" s="2">
        <f t="shared" ca="1" si="9"/>
        <v>21.259415887281982</v>
      </c>
      <c r="E29" s="2">
        <f t="shared" ca="1" si="9"/>
        <v>24.558687100081929</v>
      </c>
      <c r="F29" s="2">
        <f t="shared" ca="1" si="9"/>
        <v>22.089923260719889</v>
      </c>
      <c r="G29" s="2">
        <f t="shared" ca="1" si="9"/>
        <v>20.310377522365222</v>
      </c>
      <c r="H29" s="2">
        <f t="shared" ca="1" si="9"/>
        <v>21.899772700660716</v>
      </c>
      <c r="I29" s="2">
        <f t="shared" ca="1" si="9"/>
        <v>25.535513085828807</v>
      </c>
      <c r="J29" s="2">
        <f t="shared" ca="1" si="9"/>
        <v>21.422355092892289</v>
      </c>
      <c r="K29" s="2">
        <f t="shared" ca="1" si="9"/>
        <v>26.785005412592589</v>
      </c>
      <c r="L29" s="2">
        <f t="shared" ca="1" si="9"/>
        <v>26.537642984869841</v>
      </c>
      <c r="M29" s="2">
        <f t="shared" ca="1" si="9"/>
        <v>21.181744421012773</v>
      </c>
      <c r="N29" s="2">
        <f t="shared" ca="1" si="9"/>
        <v>28.82212428969234</v>
      </c>
      <c r="O29" s="2">
        <f t="shared" ca="1" si="9"/>
        <v>20.278529070428405</v>
      </c>
      <c r="P29" s="2">
        <f t="shared" ca="1" si="9"/>
        <v>24.382606943233736</v>
      </c>
      <c r="Q29" s="2">
        <f t="shared" ca="1" si="9"/>
        <v>25.46858093993886</v>
      </c>
      <c r="R29" s="2">
        <f t="shared" ca="1" si="9"/>
        <v>23.155542340869147</v>
      </c>
      <c r="S29" s="2">
        <f t="shared" ca="1" si="8"/>
        <v>22.053132815161931</v>
      </c>
      <c r="T29" s="2">
        <f t="shared" ca="1" si="8"/>
        <v>27.652237727773699</v>
      </c>
      <c r="U29" s="2">
        <f t="shared" ca="1" si="8"/>
        <v>25.506256566853494</v>
      </c>
      <c r="V29" s="2">
        <f t="shared" ca="1" si="8"/>
        <v>24.232738355695979</v>
      </c>
      <c r="W29" s="2">
        <f t="shared" ca="1" si="8"/>
        <v>29.448134828009671</v>
      </c>
      <c r="X29" s="2">
        <f t="shared" ca="1" si="8"/>
        <v>28.3365934883848</v>
      </c>
      <c r="Y29" s="2">
        <f t="shared" ca="1" si="8"/>
        <v>25.703397517237381</v>
      </c>
      <c r="Z29" s="2">
        <f t="shared" ca="1" si="4"/>
        <v>27.284592009913933</v>
      </c>
      <c r="AA29" s="2">
        <f t="shared" ca="1" si="5"/>
        <v>20.622173338611912</v>
      </c>
      <c r="AB29" s="2">
        <f t="shared" ca="1" si="5"/>
        <v>26.121063269882416</v>
      </c>
      <c r="AC29" s="2">
        <f t="shared" ca="1" si="5"/>
        <v>28.183483856422949</v>
      </c>
      <c r="AD29" s="2">
        <f t="shared" ca="1" si="5"/>
        <v>24.677873635466042</v>
      </c>
      <c r="AE29" s="2">
        <f t="shared" ca="1" si="5"/>
        <v>21.785752122653168</v>
      </c>
      <c r="AF29" s="2">
        <f t="shared" ca="1" si="5"/>
        <v>22.028258712036969</v>
      </c>
      <c r="AG29" s="2">
        <f t="shared" ca="1" si="5"/>
        <v>25.12137041112257</v>
      </c>
      <c r="AH29" s="2">
        <f t="shared" ca="1" si="5"/>
        <v>29.109710547899908</v>
      </c>
    </row>
    <row r="30" spans="1:34">
      <c r="A30" t="str">
        <f t="shared" si="6"/>
        <v>Maize</v>
      </c>
      <c r="B30" t="str">
        <f t="shared" si="7"/>
        <v>Gambela</v>
      </c>
      <c r="C30" s="2">
        <f t="shared" ca="1" si="9"/>
        <v>21.013842220058358</v>
      </c>
      <c r="D30" s="2">
        <f t="shared" ca="1" si="9"/>
        <v>21.882350400493142</v>
      </c>
      <c r="E30" s="2">
        <f t="shared" ca="1" si="9"/>
        <v>24.286804197216302</v>
      </c>
      <c r="F30" s="2">
        <f t="shared" ca="1" si="9"/>
        <v>26.155488249890112</v>
      </c>
      <c r="G30" s="2">
        <f t="shared" ca="1" si="9"/>
        <v>27.246105972399238</v>
      </c>
      <c r="H30" s="2">
        <f t="shared" ca="1" si="9"/>
        <v>26.96601940522299</v>
      </c>
      <c r="I30" s="2">
        <f t="shared" ca="1" si="9"/>
        <v>22.756947223294809</v>
      </c>
      <c r="J30" s="2">
        <f t="shared" ca="1" si="9"/>
        <v>28.506337420911166</v>
      </c>
      <c r="K30" s="2">
        <f t="shared" ca="1" si="9"/>
        <v>20.273320240944951</v>
      </c>
      <c r="L30" s="2">
        <f t="shared" ca="1" si="9"/>
        <v>24.542431083859633</v>
      </c>
      <c r="M30" s="2">
        <f t="shared" ca="1" si="9"/>
        <v>26.474934823860551</v>
      </c>
      <c r="N30" s="2">
        <f t="shared" ca="1" si="9"/>
        <v>26.712684963305605</v>
      </c>
      <c r="O30" s="2">
        <f t="shared" ca="1" si="9"/>
        <v>24.762971454498278</v>
      </c>
      <c r="P30" s="2">
        <f t="shared" ca="1" si="9"/>
        <v>21.726537915036459</v>
      </c>
      <c r="Q30" s="2">
        <f t="shared" ca="1" si="9"/>
        <v>28.954385294139485</v>
      </c>
      <c r="R30" s="2">
        <f t="shared" ca="1" si="9"/>
        <v>20.350177305189181</v>
      </c>
      <c r="S30" s="2">
        <f t="shared" ca="1" si="8"/>
        <v>21.666278803103491</v>
      </c>
      <c r="T30" s="2">
        <f t="shared" ca="1" si="8"/>
        <v>28.40975697535098</v>
      </c>
      <c r="U30" s="2">
        <f t="shared" ca="1" si="8"/>
        <v>29.022262057729463</v>
      </c>
      <c r="V30" s="2">
        <f t="shared" ca="1" si="8"/>
        <v>20.903746069367344</v>
      </c>
      <c r="W30" s="2">
        <f t="shared" ca="1" si="8"/>
        <v>21.306238723838845</v>
      </c>
      <c r="X30" s="2">
        <f t="shared" ca="1" si="8"/>
        <v>27.233157321594522</v>
      </c>
      <c r="Y30" s="2">
        <f t="shared" ca="1" si="8"/>
        <v>28.179077630836975</v>
      </c>
      <c r="Z30" s="2">
        <f t="shared" ca="1" si="4"/>
        <v>22.459733311210005</v>
      </c>
      <c r="AA30" s="2">
        <f t="shared" ca="1" si="5"/>
        <v>20.426560806056283</v>
      </c>
      <c r="AB30" s="2">
        <f t="shared" ca="1" si="5"/>
        <v>27.104982422376061</v>
      </c>
      <c r="AC30" s="2">
        <f t="shared" ca="1" si="5"/>
        <v>26.200552748451781</v>
      </c>
      <c r="AD30" s="2">
        <f t="shared" ca="1" si="5"/>
        <v>24.233671683679077</v>
      </c>
      <c r="AE30" s="2">
        <f t="shared" ca="1" si="5"/>
        <v>24.896629243965165</v>
      </c>
      <c r="AF30" s="2">
        <f t="shared" ca="1" si="5"/>
        <v>27.465118439599646</v>
      </c>
      <c r="AG30" s="2">
        <f t="shared" ca="1" si="5"/>
        <v>26.384224978416761</v>
      </c>
      <c r="AH30" s="2">
        <f t="shared" ca="1" si="5"/>
        <v>25.968791524290285</v>
      </c>
    </row>
    <row r="31" spans="1:34">
      <c r="A31" t="str">
        <f t="shared" si="6"/>
        <v>Maize</v>
      </c>
      <c r="B31" t="str">
        <f t="shared" si="7"/>
        <v>Harari</v>
      </c>
      <c r="C31" s="2">
        <f t="shared" ca="1" si="9"/>
        <v>20.501847151995239</v>
      </c>
      <c r="D31" s="2">
        <f t="shared" ca="1" si="9"/>
        <v>25.73316331941761</v>
      </c>
      <c r="E31" s="2">
        <f t="shared" ca="1" si="9"/>
        <v>29.245243618284455</v>
      </c>
      <c r="F31" s="2">
        <f t="shared" ca="1" si="9"/>
        <v>22.04363110945593</v>
      </c>
      <c r="G31" s="2">
        <f t="shared" ca="1" si="9"/>
        <v>21.729421625997709</v>
      </c>
      <c r="H31" s="2">
        <f t="shared" ca="1" si="9"/>
        <v>22.063230784107517</v>
      </c>
      <c r="I31" s="2">
        <f t="shared" ca="1" si="9"/>
        <v>21.796221190999923</v>
      </c>
      <c r="J31" s="2">
        <f t="shared" ca="1" si="9"/>
        <v>27.867078524223743</v>
      </c>
      <c r="K31" s="2">
        <f t="shared" ca="1" si="9"/>
        <v>29.1233923187343</v>
      </c>
      <c r="L31" s="2">
        <f t="shared" ca="1" si="9"/>
        <v>21.987736235923833</v>
      </c>
      <c r="M31" s="2">
        <f t="shared" ca="1" si="9"/>
        <v>27.081447367658136</v>
      </c>
      <c r="N31" s="2">
        <f t="shared" ca="1" si="9"/>
        <v>22.428535857489614</v>
      </c>
      <c r="O31" s="2">
        <f t="shared" ca="1" si="9"/>
        <v>20.47024024574069</v>
      </c>
      <c r="P31" s="2">
        <f t="shared" ca="1" si="9"/>
        <v>22.987090206115131</v>
      </c>
      <c r="Q31" s="2">
        <f t="shared" ca="1" si="9"/>
        <v>25.437544023855303</v>
      </c>
      <c r="R31" s="2">
        <f t="shared" ca="1" si="9"/>
        <v>24.187102782060013</v>
      </c>
      <c r="S31" s="2">
        <f t="shared" ca="1" si="8"/>
        <v>28.703185909156854</v>
      </c>
      <c r="T31" s="2">
        <f t="shared" ca="1" si="8"/>
        <v>27.500660531886801</v>
      </c>
      <c r="U31" s="2">
        <f t="shared" ca="1" si="8"/>
        <v>29.193643548442086</v>
      </c>
      <c r="V31" s="2">
        <f t="shared" ca="1" si="8"/>
        <v>20.991576402917971</v>
      </c>
      <c r="W31" s="2">
        <f t="shared" ca="1" si="8"/>
        <v>26.586138244270874</v>
      </c>
      <c r="X31" s="2">
        <f t="shared" ca="1" si="8"/>
        <v>25.37152646939046</v>
      </c>
      <c r="Y31" s="2">
        <f t="shared" ca="1" si="8"/>
        <v>22.473801616423991</v>
      </c>
      <c r="Z31" s="2">
        <f t="shared" ca="1" si="4"/>
        <v>25.201555751797358</v>
      </c>
      <c r="AA31" s="2">
        <f t="shared" ca="1" si="5"/>
        <v>24.712395753346904</v>
      </c>
      <c r="AB31" s="2">
        <f t="shared" ca="1" si="5"/>
        <v>20.912191868948611</v>
      </c>
      <c r="AC31" s="2">
        <f t="shared" ca="1" si="5"/>
        <v>26.839052819466794</v>
      </c>
      <c r="AD31" s="2">
        <f t="shared" ca="1" si="5"/>
        <v>27.313242666688971</v>
      </c>
      <c r="AE31" s="2">
        <f t="shared" ca="1" si="5"/>
        <v>27.155101387877462</v>
      </c>
      <c r="AF31" s="2">
        <f t="shared" ca="1" si="5"/>
        <v>29.205185132129365</v>
      </c>
      <c r="AG31" s="2">
        <f t="shared" ca="1" si="5"/>
        <v>20.866451940797901</v>
      </c>
      <c r="AH31" s="2">
        <f t="shared" ca="1" si="5"/>
        <v>23.078591542707869</v>
      </c>
    </row>
    <row r="32" spans="1:34">
      <c r="A32" t="str">
        <f t="shared" si="6"/>
        <v>Maize</v>
      </c>
      <c r="B32" t="str">
        <f t="shared" si="7"/>
        <v>Oromia</v>
      </c>
      <c r="C32" s="2">
        <f t="shared" ca="1" si="9"/>
        <v>20.211359819715071</v>
      </c>
      <c r="D32" s="2">
        <f t="shared" ca="1" si="9"/>
        <v>28.972406713845157</v>
      </c>
      <c r="E32" s="2">
        <f t="shared" ca="1" si="9"/>
        <v>29.245197012967083</v>
      </c>
      <c r="F32" s="2">
        <f t="shared" ca="1" si="9"/>
        <v>26.379231865557156</v>
      </c>
      <c r="G32" s="2">
        <f t="shared" ca="1" si="9"/>
        <v>24.667395641572551</v>
      </c>
      <c r="H32" s="2">
        <f t="shared" ca="1" si="9"/>
        <v>27.574800181351968</v>
      </c>
      <c r="I32" s="2">
        <f t="shared" ca="1" si="9"/>
        <v>22.90835866533029</v>
      </c>
      <c r="J32" s="2">
        <f t="shared" ca="1" si="9"/>
        <v>27.577253414929199</v>
      </c>
      <c r="K32" s="2">
        <f t="shared" ca="1" si="9"/>
        <v>21.05382493269445</v>
      </c>
      <c r="L32" s="2">
        <f t="shared" ca="1" si="9"/>
        <v>24.566696579043654</v>
      </c>
      <c r="M32" s="2">
        <f t="shared" ca="1" si="9"/>
        <v>24.83300573863302</v>
      </c>
      <c r="N32" s="2">
        <f t="shared" ca="1" si="9"/>
        <v>28.943339304595259</v>
      </c>
      <c r="O32" s="2">
        <f t="shared" ca="1" si="9"/>
        <v>23.025924628654096</v>
      </c>
      <c r="P32" s="2">
        <f t="shared" ca="1" si="9"/>
        <v>24.345558182535434</v>
      </c>
      <c r="Q32" s="2">
        <f t="shared" ca="1" si="9"/>
        <v>25.964514300298973</v>
      </c>
      <c r="R32" s="2">
        <f t="shared" ca="1" si="9"/>
        <v>29.035147168938146</v>
      </c>
      <c r="S32" s="2">
        <f t="shared" ca="1" si="8"/>
        <v>22.630668087574364</v>
      </c>
      <c r="T32" s="2">
        <f t="shared" ca="1" si="8"/>
        <v>25.256915689062772</v>
      </c>
      <c r="U32" s="2">
        <f t="shared" ca="1" si="8"/>
        <v>20.011020357882057</v>
      </c>
      <c r="V32" s="2">
        <f t="shared" ca="1" si="8"/>
        <v>29.202669638554937</v>
      </c>
      <c r="W32" s="2">
        <f t="shared" ca="1" si="8"/>
        <v>20.558540940009614</v>
      </c>
      <c r="X32" s="2">
        <f t="shared" ca="1" si="8"/>
        <v>28.266448050761497</v>
      </c>
      <c r="Y32" s="2">
        <f t="shared" ca="1" si="8"/>
        <v>20.380196391507308</v>
      </c>
      <c r="Z32" s="2">
        <f t="shared" ca="1" si="4"/>
        <v>26.952796388332175</v>
      </c>
      <c r="AA32" s="2">
        <f t="shared" ca="1" si="5"/>
        <v>25.588831974088841</v>
      </c>
      <c r="AB32" s="2">
        <f t="shared" ca="1" si="5"/>
        <v>22.924192716336719</v>
      </c>
      <c r="AC32" s="2">
        <f t="shared" ca="1" si="5"/>
        <v>24.360209017279409</v>
      </c>
      <c r="AD32" s="2">
        <f t="shared" ca="1" si="5"/>
        <v>23.619659622369788</v>
      </c>
      <c r="AE32" s="2">
        <f t="shared" ca="1" si="5"/>
        <v>29.723478217544283</v>
      </c>
      <c r="AF32" s="2">
        <f t="shared" ca="1" si="5"/>
        <v>24.239760454625468</v>
      </c>
      <c r="AG32" s="2">
        <f t="shared" ca="1" si="5"/>
        <v>27.770145179186883</v>
      </c>
      <c r="AH32" s="2">
        <f t="shared" ca="1" si="5"/>
        <v>26.055365968741512</v>
      </c>
    </row>
    <row r="33" spans="1:34">
      <c r="A33" t="str">
        <f t="shared" si="6"/>
        <v>Maize</v>
      </c>
      <c r="B33" t="str">
        <f t="shared" si="7"/>
        <v>Somali</v>
      </c>
      <c r="C33" s="2">
        <f t="shared" ca="1" si="9"/>
        <v>20.911101863619031</v>
      </c>
      <c r="D33" s="2">
        <f t="shared" ca="1" si="9"/>
        <v>21.598741700509354</v>
      </c>
      <c r="E33" s="2">
        <f t="shared" ca="1" si="9"/>
        <v>21.171488477765699</v>
      </c>
      <c r="F33" s="2">
        <f t="shared" ca="1" si="9"/>
        <v>21.573503578265203</v>
      </c>
      <c r="G33" s="2">
        <f t="shared" ca="1" si="9"/>
        <v>28.713119205688709</v>
      </c>
      <c r="H33" s="2">
        <f t="shared" ca="1" si="9"/>
        <v>24.31250304882084</v>
      </c>
      <c r="I33" s="2">
        <f t="shared" ca="1" si="9"/>
        <v>22.402590655402193</v>
      </c>
      <c r="J33" s="2">
        <f t="shared" ca="1" si="9"/>
        <v>23.506599854401884</v>
      </c>
      <c r="K33" s="2">
        <f t="shared" ca="1" si="9"/>
        <v>20.039914728525989</v>
      </c>
      <c r="L33" s="2">
        <f t="shared" ca="1" si="9"/>
        <v>29.345559820563487</v>
      </c>
      <c r="M33" s="2">
        <f t="shared" ca="1" si="9"/>
        <v>23.834375740038389</v>
      </c>
      <c r="N33" s="2">
        <f t="shared" ca="1" si="9"/>
        <v>22.646366858178197</v>
      </c>
      <c r="O33" s="2">
        <f t="shared" ca="1" si="9"/>
        <v>29.34627206489704</v>
      </c>
      <c r="P33" s="2">
        <f t="shared" ca="1" si="9"/>
        <v>21.937116091428727</v>
      </c>
      <c r="Q33" s="2">
        <f t="shared" ca="1" si="9"/>
        <v>26.30265084813054</v>
      </c>
      <c r="R33" s="2">
        <f t="shared" ca="1" si="9"/>
        <v>25.091091983875717</v>
      </c>
      <c r="S33" s="2">
        <f t="shared" ca="1" si="8"/>
        <v>23.420791981993432</v>
      </c>
      <c r="T33" s="2">
        <f t="shared" ca="1" si="8"/>
        <v>29.06756483047516</v>
      </c>
      <c r="U33" s="2">
        <f t="shared" ca="1" si="8"/>
        <v>21.851868248579716</v>
      </c>
      <c r="V33" s="2">
        <f t="shared" ca="1" si="8"/>
        <v>29.21861558925109</v>
      </c>
      <c r="W33" s="2">
        <f t="shared" ca="1" si="8"/>
        <v>29.146995626058597</v>
      </c>
      <c r="X33" s="2">
        <f t="shared" ca="1" si="8"/>
        <v>21.320161176933965</v>
      </c>
      <c r="Y33" s="2">
        <f t="shared" ca="1" si="8"/>
        <v>26.893265059152132</v>
      </c>
      <c r="Z33" s="2">
        <f t="shared" ca="1" si="4"/>
        <v>28.572052693574502</v>
      </c>
      <c r="AA33" s="2">
        <f t="shared" ca="1" si="5"/>
        <v>21.965383626665478</v>
      </c>
      <c r="AB33" s="2">
        <f t="shared" ca="1" si="5"/>
        <v>22.779980961756369</v>
      </c>
      <c r="AC33" s="2">
        <f t="shared" ca="1" si="5"/>
        <v>22.38248393143591</v>
      </c>
      <c r="AD33" s="2">
        <f t="shared" ca="1" si="5"/>
        <v>22.933419958376675</v>
      </c>
      <c r="AE33" s="2">
        <f t="shared" ca="1" si="5"/>
        <v>25.136950065337555</v>
      </c>
      <c r="AF33" s="2">
        <f t="shared" ca="1" si="5"/>
        <v>26.738192282930626</v>
      </c>
      <c r="AG33" s="2">
        <f t="shared" ca="1" si="5"/>
        <v>29.603807990581828</v>
      </c>
      <c r="AH33" s="2">
        <f t="shared" ca="1" si="5"/>
        <v>29.82132361092324</v>
      </c>
    </row>
    <row r="34" spans="1:34">
      <c r="A34" t="str">
        <f t="shared" si="6"/>
        <v>Maize</v>
      </c>
      <c r="B34" t="str">
        <f t="shared" si="7"/>
        <v>SNNPR</v>
      </c>
      <c r="C34" s="2">
        <f t="shared" ca="1" si="9"/>
        <v>29.18815040386006</v>
      </c>
      <c r="D34" s="2">
        <f t="shared" ca="1" si="9"/>
        <v>23.834545845185971</v>
      </c>
      <c r="E34" s="2">
        <f t="shared" ca="1" si="9"/>
        <v>20.984658205695226</v>
      </c>
      <c r="F34" s="2">
        <f t="shared" ca="1" si="9"/>
        <v>21.780740041878246</v>
      </c>
      <c r="G34" s="2">
        <f t="shared" ca="1" si="9"/>
        <v>26.304907789443781</v>
      </c>
      <c r="H34" s="2">
        <f t="shared" ca="1" si="9"/>
        <v>24.983483627610102</v>
      </c>
      <c r="I34" s="2">
        <f t="shared" ca="1" si="9"/>
        <v>25.727354509856145</v>
      </c>
      <c r="J34" s="2">
        <f t="shared" ca="1" si="9"/>
        <v>29.301691492935859</v>
      </c>
      <c r="K34" s="2">
        <f t="shared" ca="1" si="9"/>
        <v>28.688777136274464</v>
      </c>
      <c r="L34" s="2">
        <f t="shared" ca="1" si="9"/>
        <v>20.838415095197949</v>
      </c>
      <c r="M34" s="2">
        <f t="shared" ca="1" si="9"/>
        <v>26.588568684270687</v>
      </c>
      <c r="N34" s="2">
        <f t="shared" ca="1" si="9"/>
        <v>24.215405153508552</v>
      </c>
      <c r="O34" s="2">
        <f t="shared" ca="1" si="9"/>
        <v>28.543503384927995</v>
      </c>
      <c r="P34" s="2">
        <f t="shared" ca="1" si="9"/>
        <v>28.262843458592531</v>
      </c>
      <c r="Q34" s="2">
        <f t="shared" ca="1" si="9"/>
        <v>27.580018422429017</v>
      </c>
      <c r="R34" s="2">
        <f t="shared" ca="1" si="9"/>
        <v>22.340907987791859</v>
      </c>
      <c r="S34" s="2">
        <f t="shared" ca="1" si="8"/>
        <v>22.464589798654607</v>
      </c>
      <c r="T34" s="2">
        <f t="shared" ca="1" si="8"/>
        <v>21.10654847730919</v>
      </c>
      <c r="U34" s="2">
        <f t="shared" ca="1" si="8"/>
        <v>20.509709396922648</v>
      </c>
      <c r="V34" s="2">
        <f t="shared" ca="1" si="8"/>
        <v>21.396469104488499</v>
      </c>
      <c r="W34" s="2">
        <f t="shared" ca="1" si="8"/>
        <v>29.184733989328326</v>
      </c>
      <c r="X34" s="2">
        <f t="shared" ca="1" si="8"/>
        <v>27.65760151295752</v>
      </c>
      <c r="Y34" s="2">
        <f t="shared" ca="1" si="8"/>
        <v>22.945979712628159</v>
      </c>
      <c r="Z34" s="2">
        <f t="shared" ca="1" si="4"/>
        <v>27.439436069713288</v>
      </c>
      <c r="AA34" s="2">
        <f t="shared" ca="1" si="5"/>
        <v>28.574010518771637</v>
      </c>
      <c r="AB34" s="2">
        <f t="shared" ca="1" si="5"/>
        <v>26.721092718449718</v>
      </c>
      <c r="AC34" s="2">
        <f t="shared" ca="1" si="5"/>
        <v>25.938536597165861</v>
      </c>
      <c r="AD34" s="2">
        <f t="shared" ca="1" si="5"/>
        <v>22.616146459724291</v>
      </c>
      <c r="AE34" s="2">
        <f t="shared" ca="1" si="5"/>
        <v>22.06554952957417</v>
      </c>
      <c r="AF34" s="2">
        <f t="shared" ca="1" si="5"/>
        <v>23.082679539718931</v>
      </c>
      <c r="AG34" s="2">
        <f t="shared" ca="1" si="5"/>
        <v>24.605849576487966</v>
      </c>
      <c r="AH34" s="2">
        <f t="shared" ca="1" si="5"/>
        <v>26.622486382976241</v>
      </c>
    </row>
    <row r="35" spans="1:34">
      <c r="A35" t="str">
        <f t="shared" si="6"/>
        <v>Maize</v>
      </c>
      <c r="B35" t="str">
        <f t="shared" si="7"/>
        <v>Tigray</v>
      </c>
      <c r="C35" s="2">
        <f t="shared" ca="1" si="9"/>
        <v>22.829198697979749</v>
      </c>
      <c r="D35" s="2">
        <f t="shared" ca="1" si="9"/>
        <v>20.239440610988545</v>
      </c>
      <c r="E35" s="2">
        <f t="shared" ca="1" si="9"/>
        <v>27.419982972991583</v>
      </c>
      <c r="F35" s="2">
        <f t="shared" ca="1" si="9"/>
        <v>20.530624253597658</v>
      </c>
      <c r="G35" s="2">
        <f t="shared" ca="1" si="9"/>
        <v>21.194867679407849</v>
      </c>
      <c r="H35" s="2">
        <f t="shared" ca="1" si="9"/>
        <v>22.286351445484236</v>
      </c>
      <c r="I35" s="2">
        <f t="shared" ca="1" si="9"/>
        <v>27.250586918532274</v>
      </c>
      <c r="J35" s="2">
        <f t="shared" ca="1" si="9"/>
        <v>29.908826340751233</v>
      </c>
      <c r="K35" s="2">
        <f t="shared" ca="1" si="9"/>
        <v>27.336103432984224</v>
      </c>
      <c r="L35" s="2">
        <f t="shared" ca="1" si="9"/>
        <v>27.636944330284265</v>
      </c>
      <c r="M35" s="2">
        <f t="shared" ca="1" si="9"/>
        <v>21.567859781024119</v>
      </c>
      <c r="N35" s="2">
        <f t="shared" ca="1" si="9"/>
        <v>26.109249719208719</v>
      </c>
      <c r="O35" s="2">
        <f t="shared" ca="1" si="9"/>
        <v>21.55460174056179</v>
      </c>
      <c r="P35" s="2">
        <f t="shared" ca="1" si="9"/>
        <v>27.108778892200331</v>
      </c>
      <c r="Q35" s="2">
        <f t="shared" ca="1" si="9"/>
        <v>28.293430082429516</v>
      </c>
      <c r="R35" s="2">
        <f t="shared" ca="1" si="9"/>
        <v>20.145593354335496</v>
      </c>
      <c r="S35" s="2">
        <f t="shared" ca="1" si="8"/>
        <v>22.144913827540627</v>
      </c>
      <c r="T35" s="2">
        <f t="shared" ca="1" si="8"/>
        <v>27.557631045224355</v>
      </c>
      <c r="U35" s="2">
        <f t="shared" ca="1" si="8"/>
        <v>21.573162887088266</v>
      </c>
      <c r="V35" s="2">
        <f t="shared" ca="1" si="8"/>
        <v>29.019404921015074</v>
      </c>
      <c r="W35" s="2">
        <f t="shared" ca="1" si="8"/>
        <v>28.980007421553779</v>
      </c>
      <c r="X35" s="2">
        <f t="shared" ca="1" si="8"/>
        <v>26.626445327415659</v>
      </c>
      <c r="Y35" s="2">
        <f t="shared" ca="1" si="8"/>
        <v>26.873825234959881</v>
      </c>
      <c r="Z35" s="2">
        <f t="shared" ca="1" si="4"/>
        <v>28.458576538422264</v>
      </c>
      <c r="AA35" s="2">
        <f t="shared" ca="1" si="5"/>
        <v>20.754330101301264</v>
      </c>
      <c r="AB35" s="2">
        <f t="shared" ca="1" si="5"/>
        <v>26.875160597119233</v>
      </c>
      <c r="AC35" s="2">
        <f t="shared" ca="1" si="5"/>
        <v>27.422732351736983</v>
      </c>
      <c r="AD35" s="2">
        <f t="shared" ca="1" si="5"/>
        <v>21.705460580035108</v>
      </c>
      <c r="AE35" s="2">
        <f t="shared" ca="1" si="5"/>
        <v>29.717501185527738</v>
      </c>
      <c r="AF35" s="2">
        <f t="shared" ca="1" si="5"/>
        <v>25.019216104051196</v>
      </c>
      <c r="AG35" s="2">
        <f t="shared" ca="1" si="5"/>
        <v>28.644894401046443</v>
      </c>
      <c r="AH35" s="2">
        <f t="shared" ca="1" si="5"/>
        <v>29.000019263247122</v>
      </c>
    </row>
    <row r="36" spans="1:34">
      <c r="A36" t="str">
        <f t="shared" si="6"/>
        <v>Lentils</v>
      </c>
      <c r="B36" t="str">
        <f t="shared" si="7"/>
        <v>AddisAbaba</v>
      </c>
      <c r="C36" s="2">
        <f t="shared" ca="1" si="9"/>
        <v>27.491136629890455</v>
      </c>
      <c r="D36" s="2">
        <f t="shared" ca="1" si="9"/>
        <v>25.556514748049764</v>
      </c>
      <c r="E36" s="2">
        <f t="shared" ca="1" si="9"/>
        <v>22.286011293672313</v>
      </c>
      <c r="F36" s="2">
        <f t="shared" ca="1" si="9"/>
        <v>29.770335982464545</v>
      </c>
      <c r="G36" s="2">
        <f t="shared" ca="1" si="9"/>
        <v>29.656691597762531</v>
      </c>
      <c r="H36" s="2">
        <f t="shared" ca="1" si="9"/>
        <v>29.679620692437698</v>
      </c>
      <c r="I36" s="2">
        <f t="shared" ca="1" si="9"/>
        <v>23.904937015446478</v>
      </c>
      <c r="J36" s="2">
        <f t="shared" ca="1" si="9"/>
        <v>24.901482850963816</v>
      </c>
      <c r="K36" s="2">
        <f t="shared" ca="1" si="9"/>
        <v>23.294857158492995</v>
      </c>
      <c r="L36" s="2">
        <f t="shared" ca="1" si="9"/>
        <v>24.906937139113644</v>
      </c>
      <c r="M36" s="2">
        <f t="shared" ca="1" si="9"/>
        <v>29.651906429312078</v>
      </c>
      <c r="N36" s="2">
        <f t="shared" ca="1" si="9"/>
        <v>29.436104416407652</v>
      </c>
      <c r="O36" s="2">
        <f t="shared" ca="1" si="9"/>
        <v>21.172064165500096</v>
      </c>
      <c r="P36" s="2">
        <f t="shared" ca="1" si="9"/>
        <v>23.238250867254912</v>
      </c>
      <c r="Q36" s="2">
        <f t="shared" ca="1" si="9"/>
        <v>26.226558907863861</v>
      </c>
      <c r="R36" s="2">
        <f t="shared" ca="1" si="9"/>
        <v>25.338888552296073</v>
      </c>
      <c r="S36" s="2">
        <f t="shared" ca="1" si="8"/>
        <v>21.706814542126711</v>
      </c>
      <c r="T36" s="2">
        <f t="shared" ca="1" si="8"/>
        <v>21.507804033636045</v>
      </c>
      <c r="U36" s="2">
        <f t="shared" ca="1" si="8"/>
        <v>22.89282290166441</v>
      </c>
      <c r="V36" s="2">
        <f t="shared" ca="1" si="8"/>
        <v>28.448387514790141</v>
      </c>
      <c r="W36" s="2">
        <f t="shared" ca="1" si="8"/>
        <v>28.295835723561492</v>
      </c>
      <c r="X36" s="2">
        <f t="shared" ca="1" si="8"/>
        <v>24.928931836549104</v>
      </c>
      <c r="Y36" s="2">
        <f t="shared" ca="1" si="8"/>
        <v>20.415711769992264</v>
      </c>
      <c r="Z36" s="2">
        <f t="shared" ca="1" si="4"/>
        <v>27.767747735845958</v>
      </c>
      <c r="AA36" s="2">
        <f t="shared" ca="1" si="5"/>
        <v>20.348519844363953</v>
      </c>
      <c r="AB36" s="2">
        <f t="shared" ca="1" si="5"/>
        <v>28.428353507271726</v>
      </c>
      <c r="AC36" s="2">
        <f t="shared" ca="1" si="5"/>
        <v>23.106034953677181</v>
      </c>
      <c r="AD36" s="2">
        <f t="shared" ca="1" si="5"/>
        <v>26.880499380536797</v>
      </c>
      <c r="AE36" s="2">
        <f t="shared" ca="1" si="5"/>
        <v>27.146185913816705</v>
      </c>
      <c r="AF36" s="2">
        <f t="shared" ca="1" si="5"/>
        <v>22.045216854739461</v>
      </c>
      <c r="AG36" s="2">
        <f t="shared" ca="1" si="5"/>
        <v>29.214430820116991</v>
      </c>
      <c r="AH36" s="2">
        <f t="shared" ca="1" si="5"/>
        <v>21.316351343391226</v>
      </c>
    </row>
    <row r="37" spans="1:34">
      <c r="A37" t="str">
        <f t="shared" si="6"/>
        <v>Lentils</v>
      </c>
      <c r="B37" t="str">
        <f t="shared" si="7"/>
        <v>Afar</v>
      </c>
      <c r="C37" s="2">
        <f t="shared" ca="1" si="9"/>
        <v>26.384572266426702</v>
      </c>
      <c r="D37" s="2">
        <f t="shared" ca="1" si="9"/>
        <v>25.376697498847175</v>
      </c>
      <c r="E37" s="2">
        <f t="shared" ca="1" si="9"/>
        <v>29.804381859658307</v>
      </c>
      <c r="F37" s="2">
        <f t="shared" ca="1" si="9"/>
        <v>28.277108464853413</v>
      </c>
      <c r="G37" s="2">
        <f t="shared" ca="1" si="9"/>
        <v>24.943643448068951</v>
      </c>
      <c r="H37" s="2">
        <f t="shared" ca="1" si="9"/>
        <v>21.475825181206822</v>
      </c>
      <c r="I37" s="2">
        <f t="shared" ca="1" si="9"/>
        <v>25.908796714619925</v>
      </c>
      <c r="J37" s="2">
        <f t="shared" ca="1" si="9"/>
        <v>22.424308068533175</v>
      </c>
      <c r="K37" s="2">
        <f t="shared" ca="1" si="9"/>
        <v>22.123626730325888</v>
      </c>
      <c r="L37" s="2">
        <f t="shared" ca="1" si="9"/>
        <v>24.219661364064216</v>
      </c>
      <c r="M37" s="2">
        <f t="shared" ca="1" si="9"/>
        <v>26.272828797297375</v>
      </c>
      <c r="N37" s="2">
        <f t="shared" ca="1" si="9"/>
        <v>27.658167660965127</v>
      </c>
      <c r="O37" s="2">
        <f t="shared" ca="1" si="9"/>
        <v>23.147730289705549</v>
      </c>
      <c r="P37" s="2">
        <f t="shared" ca="1" si="9"/>
        <v>20.723197486988543</v>
      </c>
      <c r="Q37" s="2">
        <f t="shared" ca="1" si="9"/>
        <v>21.318652084419444</v>
      </c>
      <c r="R37" s="2">
        <f t="shared" ca="1" si="9"/>
        <v>23.889271528142835</v>
      </c>
      <c r="S37" s="2">
        <f t="shared" ca="1" si="8"/>
        <v>21.980548739638799</v>
      </c>
      <c r="T37" s="2">
        <f t="shared" ca="1" si="8"/>
        <v>25.699978154648267</v>
      </c>
      <c r="U37" s="2">
        <f t="shared" ca="1" si="8"/>
        <v>29.248425510334812</v>
      </c>
      <c r="V37" s="2">
        <f t="shared" ca="1" si="8"/>
        <v>24.855194705288319</v>
      </c>
      <c r="W37" s="2">
        <f t="shared" ca="1" si="8"/>
        <v>23.380358851797787</v>
      </c>
      <c r="X37" s="2">
        <f t="shared" ca="1" si="8"/>
        <v>27.90942060536338</v>
      </c>
      <c r="Y37" s="2">
        <f t="shared" ca="1" si="8"/>
        <v>28.207414243514304</v>
      </c>
      <c r="Z37" s="2">
        <f t="shared" ca="1" si="4"/>
        <v>22.973249802511582</v>
      </c>
      <c r="AA37" s="2">
        <f t="shared" ca="1" si="5"/>
        <v>23.966654065523073</v>
      </c>
      <c r="AB37" s="2">
        <f t="shared" ca="1" si="5"/>
        <v>20.325709683819685</v>
      </c>
      <c r="AC37" s="2">
        <f t="shared" ca="1" si="5"/>
        <v>29.561570580784291</v>
      </c>
      <c r="AD37" s="2">
        <f t="shared" ca="1" si="5"/>
        <v>26.284491559261127</v>
      </c>
      <c r="AE37" s="2">
        <f t="shared" ca="1" si="5"/>
        <v>21.085522171074238</v>
      </c>
      <c r="AF37" s="2">
        <f t="shared" ca="1" si="5"/>
        <v>20.827065910638666</v>
      </c>
      <c r="AG37" s="2">
        <f t="shared" ca="1" si="5"/>
        <v>23.078743204883928</v>
      </c>
      <c r="AH37" s="2">
        <f t="shared" ca="1" si="5"/>
        <v>22.452677512190995</v>
      </c>
    </row>
    <row r="38" spans="1:34">
      <c r="A38" t="str">
        <f t="shared" si="6"/>
        <v>Lentils</v>
      </c>
      <c r="B38" t="str">
        <f t="shared" si="7"/>
        <v>Amhara</v>
      </c>
      <c r="C38" s="2">
        <f t="shared" ca="1" si="9"/>
        <v>28.456330140990758</v>
      </c>
      <c r="D38" s="2">
        <f t="shared" ca="1" si="9"/>
        <v>20.34553687131444</v>
      </c>
      <c r="E38" s="2">
        <f t="shared" ca="1" si="9"/>
        <v>22.175304914610532</v>
      </c>
      <c r="F38" s="2">
        <f t="shared" ca="1" si="9"/>
        <v>22.093555721360918</v>
      </c>
      <c r="G38" s="2">
        <f t="shared" ca="1" si="9"/>
        <v>25.408145055169182</v>
      </c>
      <c r="H38" s="2">
        <f t="shared" ca="1" si="9"/>
        <v>29.215930984586347</v>
      </c>
      <c r="I38" s="2">
        <f t="shared" ca="1" si="9"/>
        <v>22.997779381729856</v>
      </c>
      <c r="J38" s="2">
        <f t="shared" ca="1" si="9"/>
        <v>29.971402550485422</v>
      </c>
      <c r="K38" s="2">
        <f t="shared" ca="1" si="9"/>
        <v>28.000853255378615</v>
      </c>
      <c r="L38" s="2">
        <f t="shared" ca="1" si="9"/>
        <v>29.203417184299134</v>
      </c>
      <c r="M38" s="2">
        <f t="shared" ca="1" si="9"/>
        <v>26.827925820730869</v>
      </c>
      <c r="N38" s="2">
        <f t="shared" ca="1" si="9"/>
        <v>29.036068263891991</v>
      </c>
      <c r="O38" s="2">
        <f t="shared" ca="1" si="9"/>
        <v>20.664978935155595</v>
      </c>
      <c r="P38" s="2">
        <f t="shared" ca="1" si="9"/>
        <v>28.506291301581022</v>
      </c>
      <c r="Q38" s="2">
        <f t="shared" ca="1" si="9"/>
        <v>24.932993758779958</v>
      </c>
      <c r="R38" s="2">
        <f t="shared" ca="1" si="9"/>
        <v>27.48069449531566</v>
      </c>
      <c r="S38" s="2">
        <f t="shared" ca="1" si="8"/>
        <v>26.891148330977085</v>
      </c>
      <c r="T38" s="2">
        <f t="shared" ca="1" si="8"/>
        <v>21.406720616147563</v>
      </c>
      <c r="U38" s="2">
        <f t="shared" ca="1" si="8"/>
        <v>25.767362467572603</v>
      </c>
      <c r="V38" s="2">
        <f t="shared" ca="1" si="8"/>
        <v>29.637308380235186</v>
      </c>
      <c r="W38" s="2">
        <f t="shared" ca="1" si="8"/>
        <v>21.817152172950081</v>
      </c>
      <c r="X38" s="2">
        <f t="shared" ca="1" si="8"/>
        <v>24.331504019418858</v>
      </c>
      <c r="Y38" s="2">
        <f t="shared" ca="1" si="8"/>
        <v>20.104938075968221</v>
      </c>
      <c r="Z38" s="2">
        <f t="shared" ca="1" si="4"/>
        <v>21.30878064550075</v>
      </c>
      <c r="AA38" s="2">
        <f t="shared" ca="1" si="5"/>
        <v>23.144287532397222</v>
      </c>
      <c r="AB38" s="2">
        <f t="shared" ca="1" si="5"/>
        <v>28.319246470769066</v>
      </c>
      <c r="AC38" s="2">
        <f t="shared" ca="1" si="5"/>
        <v>29.261460499422331</v>
      </c>
      <c r="AD38" s="2">
        <f t="shared" ca="1" si="5"/>
        <v>27.951458404226845</v>
      </c>
      <c r="AE38" s="2">
        <f t="shared" ca="1" si="5"/>
        <v>25.851164979558181</v>
      </c>
      <c r="AF38" s="2">
        <f t="shared" ca="1" si="5"/>
        <v>28.187448516206139</v>
      </c>
      <c r="AG38" s="2">
        <f t="shared" ca="1" si="5"/>
        <v>26.791283096486858</v>
      </c>
      <c r="AH38" s="2">
        <f t="shared" ca="1" si="5"/>
        <v>26.018535190221211</v>
      </c>
    </row>
    <row r="39" spans="1:34">
      <c r="A39" t="str">
        <f t="shared" si="6"/>
        <v>Lentils</v>
      </c>
      <c r="B39" t="str">
        <f t="shared" si="7"/>
        <v>Gumuz</v>
      </c>
      <c r="C39" s="2">
        <f t="shared" ca="1" si="9"/>
        <v>29.800704750667379</v>
      </c>
      <c r="D39" s="2">
        <f t="shared" ca="1" si="9"/>
        <v>23.561237424303915</v>
      </c>
      <c r="E39" s="2">
        <f t="shared" ca="1" si="9"/>
        <v>21.462859959717161</v>
      </c>
      <c r="F39" s="2">
        <f t="shared" ca="1" si="9"/>
        <v>21.15029434480541</v>
      </c>
      <c r="G39" s="2">
        <f t="shared" ca="1" si="9"/>
        <v>21.448832346953321</v>
      </c>
      <c r="H39" s="2">
        <f t="shared" ca="1" si="9"/>
        <v>26.093904785479157</v>
      </c>
      <c r="I39" s="2">
        <f t="shared" ca="1" si="9"/>
        <v>23.496221334331349</v>
      </c>
      <c r="J39" s="2">
        <f t="shared" ca="1" si="9"/>
        <v>20.265006418970923</v>
      </c>
      <c r="K39" s="2">
        <f t="shared" ca="1" si="9"/>
        <v>25.002133492996442</v>
      </c>
      <c r="L39" s="2">
        <f t="shared" ca="1" si="9"/>
        <v>27.4840769637952</v>
      </c>
      <c r="M39" s="2">
        <f t="shared" ca="1" si="9"/>
        <v>28.905730032454208</v>
      </c>
      <c r="N39" s="2">
        <f t="shared" ca="1" si="9"/>
        <v>27.255828645502302</v>
      </c>
      <c r="O39" s="2">
        <f t="shared" ca="1" si="9"/>
        <v>27.456389927894207</v>
      </c>
      <c r="P39" s="2">
        <f t="shared" ca="1" si="9"/>
        <v>24.128012785304882</v>
      </c>
      <c r="Q39" s="2">
        <f t="shared" ca="1" si="9"/>
        <v>27.6538054322289</v>
      </c>
      <c r="R39" s="2">
        <f t="shared" ca="1" si="9"/>
        <v>23.725324226681622</v>
      </c>
      <c r="S39" s="2">
        <f t="shared" ca="1" si="8"/>
        <v>24.395417111115481</v>
      </c>
      <c r="T39" s="2">
        <f t="shared" ca="1" si="8"/>
        <v>27.987099060112026</v>
      </c>
      <c r="U39" s="2">
        <f t="shared" ca="1" si="8"/>
        <v>27.634398817578298</v>
      </c>
      <c r="V39" s="2">
        <f t="shared" ca="1" si="8"/>
        <v>27.180466754097452</v>
      </c>
      <c r="W39" s="2">
        <f t="shared" ca="1" si="8"/>
        <v>21.1069872059646</v>
      </c>
      <c r="X39" s="2">
        <f t="shared" ca="1" si="8"/>
        <v>25.943147769544748</v>
      </c>
      <c r="Y39" s="2">
        <f t="shared" ca="1" si="8"/>
        <v>22.54548670751845</v>
      </c>
      <c r="Z39" s="2">
        <f t="shared" ca="1" si="4"/>
        <v>24.203512524388493</v>
      </c>
      <c r="AA39" s="2">
        <f t="shared" ca="1" si="5"/>
        <v>21.987580346200147</v>
      </c>
      <c r="AB39" s="2">
        <f t="shared" ca="1" si="5"/>
        <v>25.10672046639511</v>
      </c>
      <c r="AC39" s="2">
        <f t="shared" ca="1" si="5"/>
        <v>20.101502157182153</v>
      </c>
      <c r="AD39" s="2">
        <f t="shared" ca="1" si="5"/>
        <v>29.294326976132012</v>
      </c>
      <c r="AE39" s="2">
        <f t="shared" ca="1" si="5"/>
        <v>27.072611750679449</v>
      </c>
      <c r="AF39" s="2">
        <f t="shared" ca="1" si="5"/>
        <v>21.389291519095714</v>
      </c>
      <c r="AG39" s="2">
        <f t="shared" ca="1" si="5"/>
        <v>29.490822068045709</v>
      </c>
      <c r="AH39" s="2">
        <f t="shared" ca="1" si="5"/>
        <v>27.251375435162586</v>
      </c>
    </row>
    <row r="40" spans="1:34">
      <c r="A40" t="str">
        <f t="shared" si="6"/>
        <v>Lentils</v>
      </c>
      <c r="B40" t="str">
        <f t="shared" si="7"/>
        <v>DireDawa</v>
      </c>
      <c r="C40" s="2">
        <f t="shared" ca="1" si="9"/>
        <v>24.248636717147551</v>
      </c>
      <c r="D40" s="2">
        <f t="shared" ca="1" si="9"/>
        <v>27.470616206331645</v>
      </c>
      <c r="E40" s="2">
        <f t="shared" ca="1" si="9"/>
        <v>27.343046242657444</v>
      </c>
      <c r="F40" s="2">
        <f t="shared" ca="1" si="9"/>
        <v>23.073049167493753</v>
      </c>
      <c r="G40" s="2">
        <f t="shared" ca="1" si="9"/>
        <v>27.872290706950984</v>
      </c>
      <c r="H40" s="2">
        <f t="shared" ca="1" si="9"/>
        <v>29.718605973397644</v>
      </c>
      <c r="I40" s="2">
        <f t="shared" ca="1" si="9"/>
        <v>24.018065703534582</v>
      </c>
      <c r="J40" s="2">
        <f t="shared" ca="1" si="9"/>
        <v>22.132907847930223</v>
      </c>
      <c r="K40" s="2">
        <f t="shared" ca="1" si="9"/>
        <v>25.515742338595906</v>
      </c>
      <c r="L40" s="2">
        <f t="shared" ca="1" si="9"/>
        <v>26.198811316223676</v>
      </c>
      <c r="M40" s="2">
        <f t="shared" ca="1" si="9"/>
        <v>27.389402796142686</v>
      </c>
      <c r="N40" s="2">
        <f t="shared" ca="1" si="9"/>
        <v>28.918942870874773</v>
      </c>
      <c r="O40" s="2">
        <f t="shared" ca="1" si="9"/>
        <v>22.731267614499334</v>
      </c>
      <c r="P40" s="2">
        <f t="shared" ca="1" si="9"/>
        <v>24.154347056346602</v>
      </c>
      <c r="Q40" s="2">
        <f t="shared" ca="1" si="9"/>
        <v>26.776445615731109</v>
      </c>
      <c r="R40" s="2">
        <f t="shared" ca="1" si="9"/>
        <v>26.27291914547806</v>
      </c>
      <c r="S40" s="2">
        <f t="shared" ca="1" si="8"/>
        <v>29.47472034735685</v>
      </c>
      <c r="T40" s="2">
        <f t="shared" ca="1" si="8"/>
        <v>29.652139050095023</v>
      </c>
      <c r="U40" s="2">
        <f t="shared" ca="1" si="8"/>
        <v>20.874084723043723</v>
      </c>
      <c r="V40" s="2">
        <f t="shared" ca="1" si="8"/>
        <v>20.135197419916189</v>
      </c>
      <c r="W40" s="2">
        <f t="shared" ca="1" si="8"/>
        <v>24.557758513597069</v>
      </c>
      <c r="X40" s="2">
        <f t="shared" ca="1" si="8"/>
        <v>23.268657273532341</v>
      </c>
      <c r="Y40" s="2">
        <f t="shared" ca="1" si="8"/>
        <v>21.743221833564348</v>
      </c>
      <c r="Z40" s="2">
        <f t="shared" ca="1" si="4"/>
        <v>24.727491801373304</v>
      </c>
      <c r="AA40" s="2">
        <f t="shared" ca="1" si="5"/>
        <v>29.407913146382004</v>
      </c>
      <c r="AB40" s="2">
        <f t="shared" ca="1" si="5"/>
        <v>21.074060327750335</v>
      </c>
      <c r="AC40" s="2">
        <f t="shared" ca="1" si="5"/>
        <v>23.096191716101281</v>
      </c>
      <c r="AD40" s="2">
        <f t="shared" ca="1" si="5"/>
        <v>22.769060687744119</v>
      </c>
      <c r="AE40" s="2">
        <f t="shared" ca="1" si="5"/>
        <v>27.850421882128416</v>
      </c>
      <c r="AF40" s="2">
        <f t="shared" ca="1" si="5"/>
        <v>28.501332447465341</v>
      </c>
      <c r="AG40" s="2">
        <f t="shared" ca="1" si="5"/>
        <v>29.257124459565066</v>
      </c>
      <c r="AH40" s="2">
        <f t="shared" ca="1" si="5"/>
        <v>24.114375457097694</v>
      </c>
    </row>
    <row r="41" spans="1:34">
      <c r="A41" t="str">
        <f t="shared" si="6"/>
        <v>Lentils</v>
      </c>
      <c r="B41" t="str">
        <f t="shared" si="7"/>
        <v>Gambela</v>
      </c>
      <c r="C41" s="2">
        <f t="shared" ca="1" si="9"/>
        <v>28.624691043693595</v>
      </c>
      <c r="D41" s="2">
        <f t="shared" ca="1" si="9"/>
        <v>26.693281921721304</v>
      </c>
      <c r="E41" s="2">
        <f t="shared" ca="1" si="9"/>
        <v>27.697574066895481</v>
      </c>
      <c r="F41" s="2">
        <f t="shared" ca="1" si="9"/>
        <v>27.972194920571827</v>
      </c>
      <c r="G41" s="2">
        <f t="shared" ca="1" si="9"/>
        <v>25.202450009895443</v>
      </c>
      <c r="H41" s="2">
        <f t="shared" ca="1" si="9"/>
        <v>23.294419012339738</v>
      </c>
      <c r="I41" s="2">
        <f t="shared" ca="1" si="9"/>
        <v>28.101586264916865</v>
      </c>
      <c r="J41" s="2">
        <f t="shared" ca="1" si="9"/>
        <v>20.570003862857451</v>
      </c>
      <c r="K41" s="2">
        <f t="shared" ca="1" si="9"/>
        <v>26.235014322895896</v>
      </c>
      <c r="L41" s="2">
        <f t="shared" ca="1" si="9"/>
        <v>23.863279546585172</v>
      </c>
      <c r="M41" s="2">
        <f t="shared" ca="1" si="9"/>
        <v>23.787869372736424</v>
      </c>
      <c r="N41" s="2">
        <f t="shared" ca="1" si="9"/>
        <v>26.155942302984482</v>
      </c>
      <c r="O41" s="2">
        <f t="shared" ca="1" si="9"/>
        <v>29.853691773880211</v>
      </c>
      <c r="P41" s="2">
        <f t="shared" ca="1" si="9"/>
        <v>20.496725489575809</v>
      </c>
      <c r="Q41" s="2">
        <f t="shared" ca="1" si="9"/>
        <v>26.576919476659945</v>
      </c>
      <c r="R41" s="2">
        <f t="shared" ca="1" si="9"/>
        <v>25.324567505640367</v>
      </c>
      <c r="S41" s="2">
        <f t="shared" ca="1" si="8"/>
        <v>20.406047221623957</v>
      </c>
      <c r="T41" s="2">
        <f t="shared" ca="1" si="8"/>
        <v>20.904399372328839</v>
      </c>
      <c r="U41" s="2">
        <f t="shared" ca="1" si="8"/>
        <v>25.532913066471892</v>
      </c>
      <c r="V41" s="2">
        <f t="shared" ca="1" si="8"/>
        <v>21.363556936123857</v>
      </c>
      <c r="W41" s="2">
        <f t="shared" ca="1" si="8"/>
        <v>27.973511945544214</v>
      </c>
      <c r="X41" s="2">
        <f t="shared" ca="1" si="8"/>
        <v>24.925676599192688</v>
      </c>
      <c r="Y41" s="2">
        <f t="shared" ca="1" si="8"/>
        <v>29.298460077709258</v>
      </c>
      <c r="Z41" s="2">
        <f t="shared" ca="1" si="4"/>
        <v>27.32366299111883</v>
      </c>
      <c r="AA41" s="2">
        <f t="shared" ca="1" si="5"/>
        <v>24.46056198975068</v>
      </c>
      <c r="AB41" s="2">
        <f t="shared" ca="1" si="5"/>
        <v>26.727212193802625</v>
      </c>
      <c r="AC41" s="2">
        <f t="shared" ca="1" si="5"/>
        <v>24.230820740196577</v>
      </c>
      <c r="AD41" s="2">
        <f t="shared" ca="1" si="5"/>
        <v>21.207125632046811</v>
      </c>
      <c r="AE41" s="2">
        <f t="shared" ca="1" si="5"/>
        <v>24.931857024879719</v>
      </c>
      <c r="AF41" s="2">
        <f t="shared" ca="1" si="5"/>
        <v>29.264816921895928</v>
      </c>
      <c r="AG41" s="2">
        <f t="shared" ca="1" si="5"/>
        <v>20.823853568778894</v>
      </c>
      <c r="AH41" s="2">
        <f t="shared" ca="1" si="5"/>
        <v>27.400772916255349</v>
      </c>
    </row>
    <row r="42" spans="1:34">
      <c r="A42" t="str">
        <f t="shared" si="6"/>
        <v>Lentils</v>
      </c>
      <c r="B42" t="str">
        <f t="shared" si="7"/>
        <v>Harari</v>
      </c>
      <c r="C42" s="2">
        <f t="shared" ca="1" si="9"/>
        <v>25.74503560631214</v>
      </c>
      <c r="D42" s="2">
        <f t="shared" ca="1" si="9"/>
        <v>26.837010052861153</v>
      </c>
      <c r="E42" s="2">
        <f t="shared" ca="1" si="9"/>
        <v>24.928271513238517</v>
      </c>
      <c r="F42" s="2">
        <f t="shared" ca="1" si="9"/>
        <v>25.724508405743194</v>
      </c>
      <c r="G42" s="2">
        <f t="shared" ca="1" si="9"/>
        <v>24.077870288050324</v>
      </c>
      <c r="H42" s="2">
        <f t="shared" ca="1" si="9"/>
        <v>29.66096269030546</v>
      </c>
      <c r="I42" s="2">
        <f t="shared" ca="1" si="9"/>
        <v>28.947281808597474</v>
      </c>
      <c r="J42" s="2">
        <f t="shared" ca="1" si="9"/>
        <v>24.838350370207635</v>
      </c>
      <c r="K42" s="2">
        <f t="shared" ca="1" si="9"/>
        <v>24.536460700260353</v>
      </c>
      <c r="L42" s="2">
        <f t="shared" ca="1" si="9"/>
        <v>27.771590616075542</v>
      </c>
      <c r="M42" s="2">
        <f t="shared" ca="1" si="9"/>
        <v>22.027936656715141</v>
      </c>
      <c r="N42" s="2">
        <f t="shared" ca="1" si="9"/>
        <v>21.939765339687639</v>
      </c>
      <c r="O42" s="2">
        <f t="shared" ca="1" si="9"/>
        <v>20.790800701104814</v>
      </c>
      <c r="P42" s="2">
        <f t="shared" ca="1" si="9"/>
        <v>20.899269946387122</v>
      </c>
      <c r="Q42" s="2">
        <f t="shared" ca="1" si="9"/>
        <v>29.267267822273379</v>
      </c>
      <c r="R42" s="2">
        <f t="shared" ca="1" si="9"/>
        <v>27.580334993144533</v>
      </c>
      <c r="S42" s="2">
        <f t="shared" ca="1" si="8"/>
        <v>25.647130369321395</v>
      </c>
      <c r="T42" s="2">
        <f t="shared" ca="1" si="8"/>
        <v>24.047918465332828</v>
      </c>
      <c r="U42" s="2">
        <f t="shared" ca="1" si="8"/>
        <v>28.285026221100807</v>
      </c>
      <c r="V42" s="2">
        <f t="shared" ca="1" si="8"/>
        <v>28.808681538819837</v>
      </c>
      <c r="W42" s="2">
        <f t="shared" ca="1" si="8"/>
        <v>21.136911159281027</v>
      </c>
      <c r="X42" s="2">
        <f t="shared" ca="1" si="8"/>
        <v>26.225597901924623</v>
      </c>
      <c r="Y42" s="2">
        <f t="shared" ca="1" si="8"/>
        <v>29.243511157194018</v>
      </c>
      <c r="Z42" s="2">
        <f t="shared" ca="1" si="4"/>
        <v>25.594166929128683</v>
      </c>
      <c r="AA42" s="2">
        <f t="shared" ca="1" si="5"/>
        <v>24.911250352028496</v>
      </c>
      <c r="AB42" s="2">
        <f t="shared" ca="1" si="5"/>
        <v>26.825264343482846</v>
      </c>
      <c r="AC42" s="2">
        <f t="shared" ca="1" si="5"/>
        <v>25.902099582617566</v>
      </c>
      <c r="AD42" s="2">
        <f t="shared" ca="1" si="5"/>
        <v>23.60133760900402</v>
      </c>
      <c r="AE42" s="2">
        <f t="shared" ca="1" si="5"/>
        <v>28.924664511915708</v>
      </c>
      <c r="AF42" s="2">
        <f t="shared" ca="1" si="5"/>
        <v>26.777623980741154</v>
      </c>
      <c r="AG42" s="2">
        <f t="shared" ca="1" si="5"/>
        <v>22.791169870884268</v>
      </c>
      <c r="AH42" s="2">
        <f t="shared" ref="D42:AH51" ca="1" si="10">(RAND()*1+2)*10</f>
        <v>29.508077883700878</v>
      </c>
    </row>
    <row r="43" spans="1:34">
      <c r="A43" t="str">
        <f t="shared" si="6"/>
        <v>Lentils</v>
      </c>
      <c r="B43" t="str">
        <f t="shared" si="7"/>
        <v>Oromia</v>
      </c>
      <c r="C43" s="2">
        <f t="shared" ca="1" si="9"/>
        <v>21.942078296427091</v>
      </c>
      <c r="D43" s="2">
        <f t="shared" ca="1" si="10"/>
        <v>27.239532538166994</v>
      </c>
      <c r="E43" s="2">
        <f t="shared" ca="1" si="10"/>
        <v>26.739754678722051</v>
      </c>
      <c r="F43" s="2">
        <f t="shared" ca="1" si="10"/>
        <v>20.583087224908809</v>
      </c>
      <c r="G43" s="2">
        <f t="shared" ca="1" si="10"/>
        <v>22.062911922540891</v>
      </c>
      <c r="H43" s="2">
        <f t="shared" ca="1" si="10"/>
        <v>24.845891848588181</v>
      </c>
      <c r="I43" s="2">
        <f t="shared" ca="1" si="10"/>
        <v>22.522197210427475</v>
      </c>
      <c r="J43" s="2">
        <f t="shared" ca="1" si="10"/>
        <v>22.341153206414109</v>
      </c>
      <c r="K43" s="2">
        <f t="shared" ca="1" si="10"/>
        <v>29.076672190312827</v>
      </c>
      <c r="L43" s="2">
        <f t="shared" ca="1" si="10"/>
        <v>20.001031573459901</v>
      </c>
      <c r="M43" s="2">
        <f t="shared" ca="1" si="10"/>
        <v>20.68089214642891</v>
      </c>
      <c r="N43" s="2">
        <f t="shared" ca="1" si="10"/>
        <v>21.798352226912403</v>
      </c>
      <c r="O43" s="2">
        <f t="shared" ca="1" si="10"/>
        <v>20.230725876286403</v>
      </c>
      <c r="P43" s="2">
        <f t="shared" ca="1" si="10"/>
        <v>26.867903486372597</v>
      </c>
      <c r="Q43" s="2">
        <f t="shared" ca="1" si="10"/>
        <v>21.066974485962071</v>
      </c>
      <c r="R43" s="2">
        <f t="shared" ca="1" si="10"/>
        <v>27.866563550073117</v>
      </c>
      <c r="S43" s="2">
        <f t="shared" ca="1" si="10"/>
        <v>28.783300592370828</v>
      </c>
      <c r="T43" s="2">
        <f t="shared" ca="1" si="10"/>
        <v>24.634152838907095</v>
      </c>
      <c r="U43" s="2">
        <f t="shared" ca="1" si="10"/>
        <v>26.28795171227306</v>
      </c>
      <c r="V43" s="2">
        <f t="shared" ca="1" si="10"/>
        <v>22.550452327960933</v>
      </c>
      <c r="W43" s="2">
        <f t="shared" ca="1" si="10"/>
        <v>24.938760462074615</v>
      </c>
      <c r="X43" s="2">
        <f t="shared" ca="1" si="10"/>
        <v>24.110075656963165</v>
      </c>
      <c r="Y43" s="2">
        <f t="shared" ca="1" si="10"/>
        <v>28.441474186241447</v>
      </c>
      <c r="Z43" s="2">
        <f t="shared" ca="1" si="10"/>
        <v>22.682354526845337</v>
      </c>
      <c r="AA43" s="2">
        <f t="shared" ca="1" si="10"/>
        <v>26.999713083148137</v>
      </c>
      <c r="AB43" s="2">
        <f t="shared" ca="1" si="10"/>
        <v>23.415265255583705</v>
      </c>
      <c r="AC43" s="2">
        <f t="shared" ca="1" si="10"/>
        <v>28.574454656491142</v>
      </c>
      <c r="AD43" s="2">
        <f t="shared" ca="1" si="10"/>
        <v>26.328847574487426</v>
      </c>
      <c r="AE43" s="2">
        <f t="shared" ca="1" si="10"/>
        <v>24.486044587536071</v>
      </c>
      <c r="AF43" s="2">
        <f t="shared" ca="1" si="10"/>
        <v>23.367857232953373</v>
      </c>
      <c r="AG43" s="2">
        <f t="shared" ca="1" si="10"/>
        <v>25.148132574019385</v>
      </c>
      <c r="AH43" s="2">
        <f t="shared" ca="1" si="10"/>
        <v>28.856802312853805</v>
      </c>
    </row>
    <row r="44" spans="1:34">
      <c r="A44" t="str">
        <f t="shared" si="6"/>
        <v>Lentils</v>
      </c>
      <c r="B44" t="str">
        <f t="shared" si="7"/>
        <v>Somali</v>
      </c>
      <c r="C44" s="2">
        <f t="shared" ca="1" si="9"/>
        <v>21.552225357058703</v>
      </c>
      <c r="D44" s="2">
        <f t="shared" ca="1" si="10"/>
        <v>26.831519257181121</v>
      </c>
      <c r="E44" s="2">
        <f t="shared" ca="1" si="10"/>
        <v>28.310913048216104</v>
      </c>
      <c r="F44" s="2">
        <f t="shared" ca="1" si="10"/>
        <v>22.178442882402273</v>
      </c>
      <c r="G44" s="2">
        <f t="shared" ca="1" si="10"/>
        <v>22.397674335454319</v>
      </c>
      <c r="H44" s="2">
        <f t="shared" ca="1" si="10"/>
        <v>22.365083747860879</v>
      </c>
      <c r="I44" s="2">
        <f t="shared" ca="1" si="10"/>
        <v>24.495166212701434</v>
      </c>
      <c r="J44" s="2">
        <f t="shared" ca="1" si="10"/>
        <v>28.934271266052761</v>
      </c>
      <c r="K44" s="2">
        <f t="shared" ca="1" si="10"/>
        <v>23.454664760224272</v>
      </c>
      <c r="L44" s="2">
        <f t="shared" ca="1" si="10"/>
        <v>26.206424255489583</v>
      </c>
      <c r="M44" s="2">
        <f t="shared" ca="1" si="10"/>
        <v>28.25149567046374</v>
      </c>
      <c r="N44" s="2">
        <f t="shared" ca="1" si="10"/>
        <v>20.845697600726783</v>
      </c>
      <c r="O44" s="2">
        <f t="shared" ca="1" si="10"/>
        <v>26.639899185740539</v>
      </c>
      <c r="P44" s="2">
        <f t="shared" ca="1" si="10"/>
        <v>21.402214464378524</v>
      </c>
      <c r="Q44" s="2">
        <f t="shared" ca="1" si="10"/>
        <v>22.583549250643888</v>
      </c>
      <c r="R44" s="2">
        <f t="shared" ca="1" si="10"/>
        <v>28.143614104084598</v>
      </c>
      <c r="S44" s="2">
        <f t="shared" ca="1" si="10"/>
        <v>26.289397539735621</v>
      </c>
      <c r="T44" s="2">
        <f t="shared" ca="1" si="10"/>
        <v>21.778086790183984</v>
      </c>
      <c r="U44" s="2">
        <f t="shared" ca="1" si="10"/>
        <v>24.892732362822791</v>
      </c>
      <c r="V44" s="2">
        <f t="shared" ca="1" si="10"/>
        <v>23.274635992766015</v>
      </c>
      <c r="W44" s="2">
        <f t="shared" ca="1" si="10"/>
        <v>20.572149097950636</v>
      </c>
      <c r="X44" s="2">
        <f t="shared" ca="1" si="10"/>
        <v>26.509569453122744</v>
      </c>
      <c r="Y44" s="2">
        <f t="shared" ca="1" si="10"/>
        <v>24.234448437284762</v>
      </c>
      <c r="Z44" s="2">
        <f t="shared" ca="1" si="10"/>
        <v>22.694617799246871</v>
      </c>
      <c r="AA44" s="2">
        <f t="shared" ca="1" si="10"/>
        <v>27.433888352073552</v>
      </c>
      <c r="AB44" s="2">
        <f t="shared" ca="1" si="10"/>
        <v>21.185103478099393</v>
      </c>
      <c r="AC44" s="2">
        <f t="shared" ca="1" si="10"/>
        <v>20.419541847556832</v>
      </c>
      <c r="AD44" s="2">
        <f t="shared" ca="1" si="10"/>
        <v>24.646122820113693</v>
      </c>
      <c r="AE44" s="2">
        <f t="shared" ca="1" si="10"/>
        <v>24.248758796869765</v>
      </c>
      <c r="AF44" s="2">
        <f t="shared" ca="1" si="10"/>
        <v>21.144061881756055</v>
      </c>
      <c r="AG44" s="2">
        <f t="shared" ca="1" si="10"/>
        <v>20.631381921436144</v>
      </c>
      <c r="AH44" s="2">
        <f t="shared" ca="1" si="10"/>
        <v>20.615558149982544</v>
      </c>
    </row>
    <row r="45" spans="1:34">
      <c r="A45" t="str">
        <f t="shared" si="6"/>
        <v>Lentils</v>
      </c>
      <c r="B45" t="str">
        <f t="shared" si="7"/>
        <v>SNNPR</v>
      </c>
      <c r="C45" s="2">
        <f t="shared" ca="1" si="9"/>
        <v>29.55601102755438</v>
      </c>
      <c r="D45" s="2">
        <f t="shared" ca="1" si="10"/>
        <v>22.546044974603344</v>
      </c>
      <c r="E45" s="2">
        <f t="shared" ca="1" si="10"/>
        <v>27.884707682646884</v>
      </c>
      <c r="F45" s="2">
        <f t="shared" ca="1" si="10"/>
        <v>27.565132280770364</v>
      </c>
      <c r="G45" s="2">
        <f t="shared" ca="1" si="10"/>
        <v>26.288873848190342</v>
      </c>
      <c r="H45" s="2">
        <f t="shared" ca="1" si="10"/>
        <v>25.432755860733455</v>
      </c>
      <c r="I45" s="2">
        <f t="shared" ca="1" si="10"/>
        <v>29.862856391685597</v>
      </c>
      <c r="J45" s="2">
        <f t="shared" ca="1" si="10"/>
        <v>20.085321226941815</v>
      </c>
      <c r="K45" s="2">
        <f t="shared" ca="1" si="10"/>
        <v>21.401191112549938</v>
      </c>
      <c r="L45" s="2">
        <f t="shared" ca="1" si="10"/>
        <v>21.3919610503652</v>
      </c>
      <c r="M45" s="2">
        <f t="shared" ca="1" si="10"/>
        <v>28.386749259637693</v>
      </c>
      <c r="N45" s="2">
        <f t="shared" ca="1" si="10"/>
        <v>24.569685583655271</v>
      </c>
      <c r="O45" s="2">
        <f t="shared" ca="1" si="10"/>
        <v>24.927209025041819</v>
      </c>
      <c r="P45" s="2">
        <f t="shared" ca="1" si="10"/>
        <v>25.451325929251336</v>
      </c>
      <c r="Q45" s="2">
        <f t="shared" ca="1" si="10"/>
        <v>20.653386027653269</v>
      </c>
      <c r="R45" s="2">
        <f t="shared" ca="1" si="10"/>
        <v>27.129899101430041</v>
      </c>
      <c r="S45" s="2">
        <f t="shared" ca="1" si="10"/>
        <v>25.001380767550124</v>
      </c>
      <c r="T45" s="2">
        <f t="shared" ca="1" si="10"/>
        <v>24.585062770599293</v>
      </c>
      <c r="U45" s="2">
        <f t="shared" ca="1" si="10"/>
        <v>20.760086861705346</v>
      </c>
      <c r="V45" s="2">
        <f t="shared" ca="1" si="10"/>
        <v>21.479462386017047</v>
      </c>
      <c r="W45" s="2">
        <f t="shared" ca="1" si="10"/>
        <v>24.431863410827717</v>
      </c>
      <c r="X45" s="2">
        <f t="shared" ca="1" si="10"/>
        <v>24.799171354064093</v>
      </c>
      <c r="Y45" s="2">
        <f t="shared" ca="1" si="10"/>
        <v>25.891305464449481</v>
      </c>
      <c r="Z45" s="2">
        <f t="shared" ca="1" si="10"/>
        <v>21.631703676430543</v>
      </c>
      <c r="AA45" s="2">
        <f t="shared" ca="1" si="10"/>
        <v>23.151067481052927</v>
      </c>
      <c r="AB45" s="2">
        <f t="shared" ca="1" si="10"/>
        <v>26.248579552334029</v>
      </c>
      <c r="AC45" s="2">
        <f t="shared" ca="1" si="10"/>
        <v>21.940711626350588</v>
      </c>
      <c r="AD45" s="2">
        <f t="shared" ca="1" si="10"/>
        <v>29.299447175789282</v>
      </c>
      <c r="AE45" s="2">
        <f t="shared" ca="1" si="10"/>
        <v>23.42522624948699</v>
      </c>
      <c r="AF45" s="2">
        <f t="shared" ca="1" si="10"/>
        <v>29.926372659028459</v>
      </c>
      <c r="AG45" s="2">
        <f t="shared" ca="1" si="10"/>
        <v>21.207259709532561</v>
      </c>
      <c r="AH45" s="2">
        <f t="shared" ca="1" si="10"/>
        <v>25.388156664274192</v>
      </c>
    </row>
    <row r="46" spans="1:34">
      <c r="A46" t="str">
        <f t="shared" si="6"/>
        <v>Lentils</v>
      </c>
      <c r="B46" t="str">
        <f t="shared" si="7"/>
        <v>Tigray</v>
      </c>
      <c r="C46" s="2">
        <f t="shared" ca="1" si="9"/>
        <v>24.762148822985431</v>
      </c>
      <c r="D46" s="2">
        <f t="shared" ca="1" si="10"/>
        <v>26.252603586522593</v>
      </c>
      <c r="E46" s="2">
        <f t="shared" ca="1" si="10"/>
        <v>29.828109014557548</v>
      </c>
      <c r="F46" s="2">
        <f t="shared" ca="1" si="10"/>
        <v>20.633494462194648</v>
      </c>
      <c r="G46" s="2">
        <f t="shared" ca="1" si="10"/>
        <v>25.166887594517053</v>
      </c>
      <c r="H46" s="2">
        <f t="shared" ca="1" si="10"/>
        <v>22.881869998956894</v>
      </c>
      <c r="I46" s="2">
        <f t="shared" ca="1" si="10"/>
        <v>27.183463399128684</v>
      </c>
      <c r="J46" s="2">
        <f t="shared" ca="1" si="10"/>
        <v>26.825063474491397</v>
      </c>
      <c r="K46" s="2">
        <f t="shared" ca="1" si="10"/>
        <v>26.048874780926315</v>
      </c>
      <c r="L46" s="2">
        <f t="shared" ca="1" si="10"/>
        <v>24.108591793636315</v>
      </c>
      <c r="M46" s="2">
        <f t="shared" ca="1" si="10"/>
        <v>23.343077840045908</v>
      </c>
      <c r="N46" s="2">
        <f t="shared" ca="1" si="10"/>
        <v>29.650119967057961</v>
      </c>
      <c r="O46" s="2">
        <f t="shared" ca="1" si="10"/>
        <v>21.378730754181309</v>
      </c>
      <c r="P46" s="2">
        <f t="shared" ca="1" si="10"/>
        <v>27.573139535473011</v>
      </c>
      <c r="Q46" s="2">
        <f t="shared" ca="1" si="10"/>
        <v>22.128481080288324</v>
      </c>
      <c r="R46" s="2">
        <f t="shared" ca="1" si="10"/>
        <v>29.91506194032031</v>
      </c>
      <c r="S46" s="2">
        <f t="shared" ca="1" si="10"/>
        <v>21.987536236298034</v>
      </c>
      <c r="T46" s="2">
        <f t="shared" ca="1" si="10"/>
        <v>22.9540814047431</v>
      </c>
      <c r="U46" s="2">
        <f t="shared" ca="1" si="10"/>
        <v>29.749323977507043</v>
      </c>
      <c r="V46" s="2">
        <f t="shared" ca="1" si="10"/>
        <v>25.900936313878962</v>
      </c>
      <c r="W46" s="2">
        <f t="shared" ca="1" si="10"/>
        <v>23.20106805860329</v>
      </c>
      <c r="X46" s="2">
        <f t="shared" ca="1" si="10"/>
        <v>26.124621639027289</v>
      </c>
      <c r="Y46" s="2">
        <f t="shared" ca="1" si="10"/>
        <v>23.362677029068628</v>
      </c>
      <c r="Z46" s="2">
        <f t="shared" ca="1" si="10"/>
        <v>26.516466277172405</v>
      </c>
      <c r="AA46" s="2">
        <f t="shared" ca="1" si="10"/>
        <v>29.218229540015823</v>
      </c>
      <c r="AB46" s="2">
        <f t="shared" ca="1" si="10"/>
        <v>27.494408601212982</v>
      </c>
      <c r="AC46" s="2">
        <f t="shared" ca="1" si="10"/>
        <v>26.005167841639537</v>
      </c>
      <c r="AD46" s="2">
        <f t="shared" ca="1" si="10"/>
        <v>25.186444062211557</v>
      </c>
      <c r="AE46" s="2">
        <f t="shared" ca="1" si="10"/>
        <v>23.997623068431704</v>
      </c>
      <c r="AF46" s="2">
        <f t="shared" ca="1" si="10"/>
        <v>22.77402767238722</v>
      </c>
      <c r="AG46" s="2">
        <f t="shared" ca="1" si="10"/>
        <v>28.846219696680055</v>
      </c>
      <c r="AH46" s="2">
        <f t="shared" ca="1" si="10"/>
        <v>20.58590451354782</v>
      </c>
    </row>
    <row r="47" spans="1:34">
      <c r="A47" t="str">
        <f t="shared" si="6"/>
        <v>Vegetables</v>
      </c>
      <c r="B47" t="str">
        <f t="shared" si="7"/>
        <v>AddisAbaba</v>
      </c>
      <c r="C47" s="2">
        <f t="shared" ca="1" si="9"/>
        <v>26.565681432580718</v>
      </c>
      <c r="D47" s="2">
        <f t="shared" ca="1" si="10"/>
        <v>22.951925803327676</v>
      </c>
      <c r="E47" s="2">
        <f t="shared" ca="1" si="10"/>
        <v>29.610247460016055</v>
      </c>
      <c r="F47" s="2">
        <f t="shared" ca="1" si="10"/>
        <v>27.861068804391454</v>
      </c>
      <c r="G47" s="2">
        <f t="shared" ca="1" si="10"/>
        <v>24.954733270725349</v>
      </c>
      <c r="H47" s="2">
        <f t="shared" ca="1" si="10"/>
        <v>22.564131523962452</v>
      </c>
      <c r="I47" s="2">
        <f t="shared" ca="1" si="10"/>
        <v>28.297774600811614</v>
      </c>
      <c r="J47" s="2">
        <f t="shared" ca="1" si="10"/>
        <v>20.002736212656053</v>
      </c>
      <c r="K47" s="2">
        <f t="shared" ca="1" si="10"/>
        <v>21.118155571538473</v>
      </c>
      <c r="L47" s="2">
        <f t="shared" ca="1" si="10"/>
        <v>28.693650137092817</v>
      </c>
      <c r="M47" s="2">
        <f t="shared" ca="1" si="10"/>
        <v>22.035824659170377</v>
      </c>
      <c r="N47" s="2">
        <f t="shared" ca="1" si="10"/>
        <v>20.97809886371877</v>
      </c>
      <c r="O47" s="2">
        <f t="shared" ca="1" si="10"/>
        <v>23.143595417313861</v>
      </c>
      <c r="P47" s="2">
        <f t="shared" ca="1" si="10"/>
        <v>24.311087766223967</v>
      </c>
      <c r="Q47" s="2">
        <f t="shared" ca="1" si="10"/>
        <v>25.93431716510208</v>
      </c>
      <c r="R47" s="2">
        <f t="shared" ca="1" si="10"/>
        <v>25.248870121943938</v>
      </c>
      <c r="S47" s="2">
        <f t="shared" ca="1" si="10"/>
        <v>25.82734752533166</v>
      </c>
      <c r="T47" s="2">
        <f t="shared" ca="1" si="10"/>
        <v>22.567794357444853</v>
      </c>
      <c r="U47" s="2">
        <f t="shared" ca="1" si="10"/>
        <v>22.77223352682315</v>
      </c>
      <c r="V47" s="2">
        <f t="shared" ca="1" si="10"/>
        <v>27.878557123011642</v>
      </c>
      <c r="W47" s="2">
        <f t="shared" ca="1" si="10"/>
        <v>22.530408609696142</v>
      </c>
      <c r="X47" s="2">
        <f t="shared" ca="1" si="10"/>
        <v>22.785138929631085</v>
      </c>
      <c r="Y47" s="2">
        <f t="shared" ca="1" si="10"/>
        <v>27.072638854233091</v>
      </c>
      <c r="Z47" s="2">
        <f t="shared" ca="1" si="10"/>
        <v>22.082227257510088</v>
      </c>
      <c r="AA47" s="2">
        <f t="shared" ca="1" si="10"/>
        <v>21.112344346595677</v>
      </c>
      <c r="AB47" s="2">
        <f t="shared" ca="1" si="10"/>
        <v>24.907527803391261</v>
      </c>
      <c r="AC47" s="2">
        <f t="shared" ca="1" si="10"/>
        <v>20.261354489658938</v>
      </c>
      <c r="AD47" s="2">
        <f t="shared" ca="1" si="10"/>
        <v>24.021308395306015</v>
      </c>
      <c r="AE47" s="2">
        <f t="shared" ca="1" si="10"/>
        <v>28.008882264287251</v>
      </c>
      <c r="AF47" s="2">
        <f t="shared" ca="1" si="10"/>
        <v>23.056127456328372</v>
      </c>
      <c r="AG47" s="2">
        <f t="shared" ca="1" si="10"/>
        <v>24.292468116821574</v>
      </c>
      <c r="AH47" s="2">
        <f t="shared" ca="1" si="10"/>
        <v>29.726231246955045</v>
      </c>
    </row>
    <row r="48" spans="1:34">
      <c r="A48" t="str">
        <f t="shared" si="6"/>
        <v>Vegetables</v>
      </c>
      <c r="B48" t="str">
        <f t="shared" si="7"/>
        <v>Afar</v>
      </c>
      <c r="C48" s="2">
        <f t="shared" ca="1" si="9"/>
        <v>21.613282341330674</v>
      </c>
      <c r="D48" s="2">
        <f t="shared" ca="1" si="10"/>
        <v>26.58993227970813</v>
      </c>
      <c r="E48" s="2">
        <f t="shared" ca="1" si="10"/>
        <v>23.909885581499935</v>
      </c>
      <c r="F48" s="2">
        <f t="shared" ca="1" si="10"/>
        <v>25.962561145056799</v>
      </c>
      <c r="G48" s="2">
        <f t="shared" ca="1" si="10"/>
        <v>28.941964632710668</v>
      </c>
      <c r="H48" s="2">
        <f t="shared" ca="1" si="10"/>
        <v>20.332925624612379</v>
      </c>
      <c r="I48" s="2">
        <f t="shared" ca="1" si="10"/>
        <v>26.230833537045935</v>
      </c>
      <c r="J48" s="2">
        <f t="shared" ca="1" si="10"/>
        <v>21.864899335387666</v>
      </c>
      <c r="K48" s="2">
        <f t="shared" ca="1" si="10"/>
        <v>21.97062759492669</v>
      </c>
      <c r="L48" s="2">
        <f t="shared" ca="1" si="10"/>
        <v>24.119229527241064</v>
      </c>
      <c r="M48" s="2">
        <f t="shared" ca="1" si="10"/>
        <v>28.326845036195625</v>
      </c>
      <c r="N48" s="2">
        <f t="shared" ca="1" si="10"/>
        <v>20.950668527020852</v>
      </c>
      <c r="O48" s="2">
        <f t="shared" ca="1" si="10"/>
        <v>24.897240572422458</v>
      </c>
      <c r="P48" s="2">
        <f t="shared" ca="1" si="10"/>
        <v>24.861128145595789</v>
      </c>
      <c r="Q48" s="2">
        <f t="shared" ca="1" si="10"/>
        <v>25.41643543829608</v>
      </c>
      <c r="R48" s="2">
        <f t="shared" ca="1" si="10"/>
        <v>26.10763344737552</v>
      </c>
      <c r="S48" s="2">
        <f t="shared" ca="1" si="10"/>
        <v>24.279952977655416</v>
      </c>
      <c r="T48" s="2">
        <f t="shared" ca="1" si="10"/>
        <v>25.501507477501523</v>
      </c>
      <c r="U48" s="2">
        <f t="shared" ca="1" si="10"/>
        <v>21.05457631275257</v>
      </c>
      <c r="V48" s="2">
        <f t="shared" ca="1" si="10"/>
        <v>26.69822155327164</v>
      </c>
      <c r="W48" s="2">
        <f t="shared" ca="1" si="10"/>
        <v>25.490930680674854</v>
      </c>
      <c r="X48" s="2">
        <f t="shared" ca="1" si="10"/>
        <v>28.052573644468453</v>
      </c>
      <c r="Y48" s="2">
        <f t="shared" ca="1" si="10"/>
        <v>25.087807081190157</v>
      </c>
      <c r="Z48" s="2">
        <f t="shared" ca="1" si="10"/>
        <v>21.949026929610902</v>
      </c>
      <c r="AA48" s="2">
        <f t="shared" ca="1" si="10"/>
        <v>29.665206983733363</v>
      </c>
      <c r="AB48" s="2">
        <f t="shared" ca="1" si="10"/>
        <v>21.338258227405099</v>
      </c>
      <c r="AC48" s="2">
        <f t="shared" ca="1" si="10"/>
        <v>25.362740431837917</v>
      </c>
      <c r="AD48" s="2">
        <f t="shared" ca="1" si="10"/>
        <v>25.555171033637642</v>
      </c>
      <c r="AE48" s="2">
        <f t="shared" ca="1" si="10"/>
        <v>20.474637371676746</v>
      </c>
      <c r="AF48" s="2">
        <f t="shared" ca="1" si="10"/>
        <v>28.230294463660833</v>
      </c>
      <c r="AG48" s="2">
        <f t="shared" ca="1" si="10"/>
        <v>26.142230768200847</v>
      </c>
      <c r="AH48" s="2">
        <f t="shared" ca="1" si="10"/>
        <v>20.820181056742886</v>
      </c>
    </row>
    <row r="49" spans="1:34">
      <c r="A49" t="str">
        <f t="shared" si="6"/>
        <v>Vegetables</v>
      </c>
      <c r="B49" t="str">
        <f t="shared" si="7"/>
        <v>Amhara</v>
      </c>
      <c r="C49" s="2">
        <f t="shared" ca="1" si="9"/>
        <v>25.304307266955448</v>
      </c>
      <c r="D49" s="2">
        <f t="shared" ca="1" si="10"/>
        <v>22.175025499274984</v>
      </c>
      <c r="E49" s="2">
        <f t="shared" ca="1" si="10"/>
        <v>26.289289931170501</v>
      </c>
      <c r="F49" s="2">
        <f t="shared" ca="1" si="10"/>
        <v>22.628955768288002</v>
      </c>
      <c r="G49" s="2">
        <f t="shared" ca="1" si="10"/>
        <v>27.634704957860315</v>
      </c>
      <c r="H49" s="2">
        <f t="shared" ca="1" si="10"/>
        <v>23.811685094534738</v>
      </c>
      <c r="I49" s="2">
        <f t="shared" ca="1" si="10"/>
        <v>25.832082924483942</v>
      </c>
      <c r="J49" s="2">
        <f t="shared" ca="1" si="10"/>
        <v>20.657741520052003</v>
      </c>
      <c r="K49" s="2">
        <f t="shared" ca="1" si="10"/>
        <v>26.789201124007043</v>
      </c>
      <c r="L49" s="2">
        <f t="shared" ca="1" si="10"/>
        <v>24.748639419991754</v>
      </c>
      <c r="M49" s="2">
        <f t="shared" ca="1" si="10"/>
        <v>20.031060006648108</v>
      </c>
      <c r="N49" s="2">
        <f t="shared" ca="1" si="10"/>
        <v>25.484645779024735</v>
      </c>
      <c r="O49" s="2">
        <f t="shared" ca="1" si="10"/>
        <v>20.858928425748474</v>
      </c>
      <c r="P49" s="2">
        <f t="shared" ca="1" si="10"/>
        <v>27.894801242521993</v>
      </c>
      <c r="Q49" s="2">
        <f t="shared" ca="1" si="10"/>
        <v>26.183693715241922</v>
      </c>
      <c r="R49" s="2">
        <f t="shared" ca="1" si="10"/>
        <v>29.755616538068757</v>
      </c>
      <c r="S49" s="2">
        <f t="shared" ca="1" si="10"/>
        <v>24.737163055473459</v>
      </c>
      <c r="T49" s="2">
        <f t="shared" ca="1" si="10"/>
        <v>22.29085992425642</v>
      </c>
      <c r="U49" s="2">
        <f t="shared" ca="1" si="10"/>
        <v>24.762844238128558</v>
      </c>
      <c r="V49" s="2">
        <f t="shared" ca="1" si="10"/>
        <v>29.488593993655329</v>
      </c>
      <c r="W49" s="2">
        <f t="shared" ca="1" si="10"/>
        <v>28.852844032919478</v>
      </c>
      <c r="X49" s="2">
        <f t="shared" ca="1" si="10"/>
        <v>24.907813566815278</v>
      </c>
      <c r="Y49" s="2">
        <f t="shared" ca="1" si="10"/>
        <v>23.561514306515182</v>
      </c>
      <c r="Z49" s="2">
        <f t="shared" ca="1" si="10"/>
        <v>26.155538887294817</v>
      </c>
      <c r="AA49" s="2">
        <f t="shared" ca="1" si="10"/>
        <v>29.419074716997436</v>
      </c>
      <c r="AB49" s="2">
        <f t="shared" ca="1" si="10"/>
        <v>26.110216029347498</v>
      </c>
      <c r="AC49" s="2">
        <f t="shared" ca="1" si="10"/>
        <v>22.870129168245974</v>
      </c>
      <c r="AD49" s="2">
        <f t="shared" ca="1" si="10"/>
        <v>22.934310321109987</v>
      </c>
      <c r="AE49" s="2">
        <f t="shared" ca="1" si="10"/>
        <v>25.930455422930791</v>
      </c>
      <c r="AF49" s="2">
        <f t="shared" ca="1" si="10"/>
        <v>25.109591987670363</v>
      </c>
      <c r="AG49" s="2">
        <f t="shared" ca="1" si="10"/>
        <v>29.820759300365228</v>
      </c>
      <c r="AH49" s="2">
        <f t="shared" ca="1" si="10"/>
        <v>27.894777221862675</v>
      </c>
    </row>
    <row r="50" spans="1:34">
      <c r="A50" t="str">
        <f t="shared" si="6"/>
        <v>Vegetables</v>
      </c>
      <c r="B50" t="str">
        <f t="shared" si="7"/>
        <v>Gumuz</v>
      </c>
      <c r="C50" s="2">
        <f t="shared" ca="1" si="9"/>
        <v>28.793955077704503</v>
      </c>
      <c r="D50" s="2">
        <f t="shared" ca="1" si="10"/>
        <v>20.629903462811129</v>
      </c>
      <c r="E50" s="2">
        <f t="shared" ca="1" si="10"/>
        <v>27.497292515103226</v>
      </c>
      <c r="F50" s="2">
        <f t="shared" ca="1" si="10"/>
        <v>29.94463924871555</v>
      </c>
      <c r="G50" s="2">
        <f t="shared" ca="1" si="10"/>
        <v>25.711465568085018</v>
      </c>
      <c r="H50" s="2">
        <f t="shared" ca="1" si="10"/>
        <v>27.641361294866819</v>
      </c>
      <c r="I50" s="2">
        <f t="shared" ca="1" si="10"/>
        <v>20.203273240668743</v>
      </c>
      <c r="J50" s="2">
        <f t="shared" ca="1" si="10"/>
        <v>21.059027756731034</v>
      </c>
      <c r="K50" s="2">
        <f t="shared" ca="1" si="10"/>
        <v>20.729512356367511</v>
      </c>
      <c r="L50" s="2">
        <f t="shared" ca="1" si="10"/>
        <v>26.733483758561619</v>
      </c>
      <c r="M50" s="2">
        <f t="shared" ca="1" si="10"/>
        <v>24.386665864888482</v>
      </c>
      <c r="N50" s="2">
        <f t="shared" ca="1" si="10"/>
        <v>23.721510963142283</v>
      </c>
      <c r="O50" s="2">
        <f t="shared" ca="1" si="10"/>
        <v>24.242436719854936</v>
      </c>
      <c r="P50" s="2">
        <f t="shared" ca="1" si="10"/>
        <v>25.174411609658264</v>
      </c>
      <c r="Q50" s="2">
        <f t="shared" ca="1" si="10"/>
        <v>20.099903451625863</v>
      </c>
      <c r="R50" s="2">
        <f t="shared" ca="1" si="10"/>
        <v>21.696800769635448</v>
      </c>
      <c r="S50" s="2">
        <f t="shared" ca="1" si="10"/>
        <v>20.335401687297878</v>
      </c>
      <c r="T50" s="2">
        <f t="shared" ca="1" si="10"/>
        <v>27.153647443217068</v>
      </c>
      <c r="U50" s="2">
        <f t="shared" ca="1" si="10"/>
        <v>20.127320869407761</v>
      </c>
      <c r="V50" s="2">
        <f t="shared" ca="1" si="10"/>
        <v>27.185587139999924</v>
      </c>
      <c r="W50" s="2">
        <f t="shared" ca="1" si="10"/>
        <v>21.137093431033641</v>
      </c>
      <c r="X50" s="2">
        <f t="shared" ca="1" si="10"/>
        <v>25.697643276645003</v>
      </c>
      <c r="Y50" s="2">
        <f t="shared" ca="1" si="10"/>
        <v>29.798639228060214</v>
      </c>
      <c r="Z50" s="2">
        <f t="shared" ca="1" si="10"/>
        <v>26.0843409628826</v>
      </c>
      <c r="AA50" s="2">
        <f t="shared" ca="1" si="10"/>
        <v>25.129009278518488</v>
      </c>
      <c r="AB50" s="2">
        <f t="shared" ca="1" si="10"/>
        <v>20.544585346630146</v>
      </c>
      <c r="AC50" s="2">
        <f t="shared" ca="1" si="10"/>
        <v>24.65261481243186</v>
      </c>
      <c r="AD50" s="2">
        <f t="shared" ca="1" si="10"/>
        <v>22.524811914387705</v>
      </c>
      <c r="AE50" s="2">
        <f t="shared" ca="1" si="10"/>
        <v>26.555509434525391</v>
      </c>
      <c r="AF50" s="2">
        <f t="shared" ca="1" si="10"/>
        <v>23.843397898720539</v>
      </c>
      <c r="AG50" s="2">
        <f t="shared" ca="1" si="10"/>
        <v>27.999823320338262</v>
      </c>
      <c r="AH50" s="2">
        <f t="shared" ca="1" si="10"/>
        <v>27.178623658684124</v>
      </c>
    </row>
    <row r="51" spans="1:34">
      <c r="A51" t="str">
        <f t="shared" si="6"/>
        <v>Vegetables</v>
      </c>
      <c r="B51" t="str">
        <f t="shared" si="7"/>
        <v>DireDawa</v>
      </c>
      <c r="C51" s="2">
        <f t="shared" ca="1" si="9"/>
        <v>22.897916833574079</v>
      </c>
      <c r="D51" s="2">
        <f t="shared" ca="1" si="10"/>
        <v>27.916508715984889</v>
      </c>
      <c r="E51" s="2">
        <f t="shared" ca="1" si="10"/>
        <v>28.262624941685957</v>
      </c>
      <c r="F51" s="2">
        <f t="shared" ca="1" si="10"/>
        <v>26.53952147199913</v>
      </c>
      <c r="G51" s="2">
        <f t="shared" ca="1" si="10"/>
        <v>23.543891214319352</v>
      </c>
      <c r="H51" s="2">
        <f t="shared" ca="1" si="10"/>
        <v>23.300807796280523</v>
      </c>
      <c r="I51" s="2">
        <f t="shared" ca="1" si="10"/>
        <v>25.520288346373412</v>
      </c>
      <c r="J51" s="2">
        <f t="shared" ref="J51:Y67" ca="1" si="11">(RAND()*1+2)*10</f>
        <v>28.904348977421353</v>
      </c>
      <c r="K51" s="2">
        <f t="shared" ca="1" si="11"/>
        <v>20.848457411682798</v>
      </c>
      <c r="L51" s="2">
        <f t="shared" ca="1" si="11"/>
        <v>25.615865623627357</v>
      </c>
      <c r="M51" s="2">
        <f t="shared" ca="1" si="11"/>
        <v>28.196765853993917</v>
      </c>
      <c r="N51" s="2">
        <f t="shared" ca="1" si="11"/>
        <v>20.92201070534967</v>
      </c>
      <c r="O51" s="2">
        <f t="shared" ca="1" si="11"/>
        <v>25.672450065150834</v>
      </c>
      <c r="P51" s="2">
        <f t="shared" ca="1" si="11"/>
        <v>29.787426629726141</v>
      </c>
      <c r="Q51" s="2">
        <f t="shared" ca="1" si="11"/>
        <v>23.701207580524549</v>
      </c>
      <c r="R51" s="2">
        <f t="shared" ca="1" si="11"/>
        <v>29.468976585534989</v>
      </c>
      <c r="S51" s="2">
        <f t="shared" ca="1" si="11"/>
        <v>25.807504555566521</v>
      </c>
      <c r="T51" s="2">
        <f t="shared" ca="1" si="11"/>
        <v>24.13238348540299</v>
      </c>
      <c r="U51" s="2">
        <f t="shared" ca="1" si="11"/>
        <v>22.164988872684873</v>
      </c>
      <c r="V51" s="2">
        <f t="shared" ca="1" si="11"/>
        <v>20.29289446440827</v>
      </c>
      <c r="W51" s="2">
        <f t="shared" ca="1" si="11"/>
        <v>28.262039569516517</v>
      </c>
      <c r="X51" s="2">
        <f t="shared" ca="1" si="11"/>
        <v>25.462254963195996</v>
      </c>
      <c r="Y51" s="2">
        <f t="shared" ca="1" si="11"/>
        <v>21.067313708143903</v>
      </c>
      <c r="Z51" s="2">
        <f t="shared" ref="Z51:AH67" ca="1" si="12">(RAND()*1+2)*10</f>
        <v>21.576876624420528</v>
      </c>
      <c r="AA51" s="2">
        <f t="shared" ca="1" si="12"/>
        <v>25.76017217578514</v>
      </c>
      <c r="AB51" s="2">
        <f t="shared" ca="1" si="12"/>
        <v>26.146576097073964</v>
      </c>
      <c r="AC51" s="2">
        <f t="shared" ca="1" si="12"/>
        <v>22.025708682206755</v>
      </c>
      <c r="AD51" s="2">
        <f t="shared" ca="1" si="12"/>
        <v>23.568600586199764</v>
      </c>
      <c r="AE51" s="2">
        <f t="shared" ca="1" si="12"/>
        <v>25.438280547686606</v>
      </c>
      <c r="AF51" s="2">
        <f t="shared" ca="1" si="12"/>
        <v>27.671615368457616</v>
      </c>
      <c r="AG51" s="2">
        <f t="shared" ca="1" si="12"/>
        <v>22.166461130908942</v>
      </c>
      <c r="AH51" s="2">
        <f t="shared" ca="1" si="12"/>
        <v>26.474103529138453</v>
      </c>
    </row>
    <row r="52" spans="1:34">
      <c r="A52" t="str">
        <f t="shared" si="6"/>
        <v>Vegetables</v>
      </c>
      <c r="B52" t="str">
        <f t="shared" si="7"/>
        <v>Gambela</v>
      </c>
      <c r="C52" s="2">
        <f t="shared" ca="1" si="9"/>
        <v>27.752503614855076</v>
      </c>
      <c r="D52" s="2">
        <f t="shared" ca="1" si="9"/>
        <v>20.091456207839794</v>
      </c>
      <c r="E52" s="2">
        <f t="shared" ca="1" si="9"/>
        <v>23.754700548962063</v>
      </c>
      <c r="F52" s="2">
        <f t="shared" ca="1" si="9"/>
        <v>27.022827606987299</v>
      </c>
      <c r="G52" s="2">
        <f t="shared" ca="1" si="9"/>
        <v>21.913364280210146</v>
      </c>
      <c r="H52" s="2">
        <f t="shared" ca="1" si="9"/>
        <v>24.494147019880636</v>
      </c>
      <c r="I52" s="2">
        <f t="shared" ref="I52:X67" ca="1" si="13">(RAND()*1+2)*10</f>
        <v>22.35525451321335</v>
      </c>
      <c r="J52" s="2">
        <f t="shared" ca="1" si="13"/>
        <v>21.309074982070825</v>
      </c>
      <c r="K52" s="2">
        <f t="shared" ca="1" si="13"/>
        <v>27.582502483565232</v>
      </c>
      <c r="L52" s="2">
        <f t="shared" ca="1" si="13"/>
        <v>21.446000706348727</v>
      </c>
      <c r="M52" s="2">
        <f t="shared" ca="1" si="13"/>
        <v>26.696668017019405</v>
      </c>
      <c r="N52" s="2">
        <f t="shared" ca="1" si="13"/>
        <v>28.70436506075222</v>
      </c>
      <c r="O52" s="2">
        <f t="shared" ca="1" si="13"/>
        <v>28.336855101596022</v>
      </c>
      <c r="P52" s="2">
        <f t="shared" ca="1" si="13"/>
        <v>22.221614536728403</v>
      </c>
      <c r="Q52" s="2">
        <f t="shared" ca="1" si="13"/>
        <v>20.210218121425967</v>
      </c>
      <c r="R52" s="2">
        <f t="shared" ca="1" si="13"/>
        <v>27.759910339762367</v>
      </c>
      <c r="S52" s="2">
        <f t="shared" ca="1" si="13"/>
        <v>22.02569724349442</v>
      </c>
      <c r="T52" s="2">
        <f t="shared" ca="1" si="13"/>
        <v>23.798216130368743</v>
      </c>
      <c r="U52" s="2">
        <f t="shared" ca="1" si="13"/>
        <v>26.248744362325898</v>
      </c>
      <c r="V52" s="2">
        <f t="shared" ca="1" si="13"/>
        <v>27.122677870236846</v>
      </c>
      <c r="W52" s="2">
        <f t="shared" ca="1" si="13"/>
        <v>25.1123120030866</v>
      </c>
      <c r="X52" s="2">
        <f t="shared" ca="1" si="13"/>
        <v>27.830559330316945</v>
      </c>
      <c r="Y52" s="2">
        <f t="shared" ca="1" si="11"/>
        <v>23.111675936568066</v>
      </c>
      <c r="Z52" s="2">
        <f t="shared" ca="1" si="12"/>
        <v>20.886978586961202</v>
      </c>
      <c r="AA52" s="2">
        <f t="shared" ca="1" si="12"/>
        <v>23.212383768310019</v>
      </c>
      <c r="AB52" s="2">
        <f t="shared" ca="1" si="12"/>
        <v>26.957629496857063</v>
      </c>
      <c r="AC52" s="2">
        <f t="shared" ca="1" si="12"/>
        <v>24.550854639174521</v>
      </c>
      <c r="AD52" s="2">
        <f t="shared" ca="1" si="12"/>
        <v>28.854325371347514</v>
      </c>
      <c r="AE52" s="2">
        <f t="shared" ca="1" si="12"/>
        <v>21.714306365300491</v>
      </c>
      <c r="AF52" s="2">
        <f t="shared" ca="1" si="12"/>
        <v>22.436880794028554</v>
      </c>
      <c r="AG52" s="2">
        <f t="shared" ca="1" si="12"/>
        <v>28.766208820720397</v>
      </c>
      <c r="AH52" s="2">
        <f t="shared" ca="1" si="12"/>
        <v>28.713115640634598</v>
      </c>
    </row>
    <row r="53" spans="1:34">
      <c r="A53" t="str">
        <f t="shared" si="6"/>
        <v>Vegetables</v>
      </c>
      <c r="B53" t="str">
        <f t="shared" si="7"/>
        <v>Harari</v>
      </c>
      <c r="C53" s="2">
        <f t="shared" ref="C53:R68" ca="1" si="14">(RAND()*1+2)*10</f>
        <v>29.402186920297524</v>
      </c>
      <c r="D53" s="2">
        <f t="shared" ca="1" si="14"/>
        <v>23.551658826528769</v>
      </c>
      <c r="E53" s="2">
        <f t="shared" ca="1" si="14"/>
        <v>22.14521564932803</v>
      </c>
      <c r="F53" s="2">
        <f t="shared" ca="1" si="14"/>
        <v>23.615206647367842</v>
      </c>
      <c r="G53" s="2">
        <f t="shared" ca="1" si="14"/>
        <v>20.129465008103487</v>
      </c>
      <c r="H53" s="2">
        <f t="shared" ca="1" si="14"/>
        <v>24.466127817768264</v>
      </c>
      <c r="I53" s="2">
        <f t="shared" ca="1" si="14"/>
        <v>27.565837253442531</v>
      </c>
      <c r="J53" s="2">
        <f t="shared" ca="1" si="14"/>
        <v>27.620797964519006</v>
      </c>
      <c r="K53" s="2">
        <f t="shared" ca="1" si="14"/>
        <v>23.114185621425175</v>
      </c>
      <c r="L53" s="2">
        <f t="shared" ca="1" si="14"/>
        <v>27.299061191437055</v>
      </c>
      <c r="M53" s="2">
        <f t="shared" ca="1" si="14"/>
        <v>28.33618685390039</v>
      </c>
      <c r="N53" s="2">
        <f t="shared" ca="1" si="14"/>
        <v>22.640195799826479</v>
      </c>
      <c r="O53" s="2">
        <f t="shared" ca="1" si="14"/>
        <v>29.033664061721105</v>
      </c>
      <c r="P53" s="2">
        <f t="shared" ca="1" si="14"/>
        <v>22.40691490728501</v>
      </c>
      <c r="Q53" s="2">
        <f t="shared" ca="1" si="14"/>
        <v>20.326085471803772</v>
      </c>
      <c r="R53" s="2">
        <f t="shared" ca="1" si="14"/>
        <v>21.324692625104138</v>
      </c>
      <c r="S53" s="2">
        <f t="shared" ca="1" si="13"/>
        <v>26.128950929017506</v>
      </c>
      <c r="T53" s="2">
        <f t="shared" ca="1" si="13"/>
        <v>28.516156237449955</v>
      </c>
      <c r="U53" s="2">
        <f t="shared" ca="1" si="13"/>
        <v>26.592508279177352</v>
      </c>
      <c r="V53" s="2">
        <f t="shared" ca="1" si="13"/>
        <v>29.521322050490831</v>
      </c>
      <c r="W53" s="2">
        <f t="shared" ca="1" si="13"/>
        <v>28.633537744436275</v>
      </c>
      <c r="X53" s="2">
        <f t="shared" ca="1" si="13"/>
        <v>25.789167330175612</v>
      </c>
      <c r="Y53" s="2">
        <f t="shared" ca="1" si="11"/>
        <v>20.241140920136289</v>
      </c>
      <c r="Z53" s="2">
        <f t="shared" ca="1" si="12"/>
        <v>25.538622802147994</v>
      </c>
      <c r="AA53" s="2">
        <f t="shared" ca="1" si="12"/>
        <v>25.684548335761068</v>
      </c>
      <c r="AB53" s="2">
        <f t="shared" ca="1" si="12"/>
        <v>20.750511019556281</v>
      </c>
      <c r="AC53" s="2">
        <f t="shared" ca="1" si="12"/>
        <v>21.978748121793473</v>
      </c>
      <c r="AD53" s="2">
        <f t="shared" ca="1" si="12"/>
        <v>29.670670138994375</v>
      </c>
      <c r="AE53" s="2">
        <f t="shared" ca="1" si="12"/>
        <v>25.520836898069909</v>
      </c>
      <c r="AF53" s="2">
        <f t="shared" ca="1" si="12"/>
        <v>27.500984842771739</v>
      </c>
      <c r="AG53" s="2">
        <f t="shared" ca="1" si="12"/>
        <v>27.436204079188133</v>
      </c>
      <c r="AH53" s="2">
        <f t="shared" ca="1" si="12"/>
        <v>21.452613367321817</v>
      </c>
    </row>
    <row r="54" spans="1:34">
      <c r="A54" t="str">
        <f t="shared" si="6"/>
        <v>Vegetables</v>
      </c>
      <c r="B54" t="str">
        <f t="shared" si="7"/>
        <v>Oromia</v>
      </c>
      <c r="C54" s="2">
        <f t="shared" ca="1" si="14"/>
        <v>27.52836399764924</v>
      </c>
      <c r="D54" s="2">
        <f t="shared" ca="1" si="14"/>
        <v>24.965314718694287</v>
      </c>
      <c r="E54" s="2">
        <f t="shared" ca="1" si="14"/>
        <v>23.708373335172588</v>
      </c>
      <c r="F54" s="2">
        <f t="shared" ca="1" si="14"/>
        <v>23.049527533489602</v>
      </c>
      <c r="G54" s="2">
        <f t="shared" ca="1" si="14"/>
        <v>24.688358442752175</v>
      </c>
      <c r="H54" s="2">
        <f t="shared" ca="1" si="14"/>
        <v>26.348945483006606</v>
      </c>
      <c r="I54" s="2">
        <f t="shared" ca="1" si="14"/>
        <v>27.479818866551611</v>
      </c>
      <c r="J54" s="2">
        <f t="shared" ca="1" si="14"/>
        <v>25.592504879000231</v>
      </c>
      <c r="K54" s="2">
        <f t="shared" ca="1" si="14"/>
        <v>24.706808653918113</v>
      </c>
      <c r="L54" s="2">
        <f t="shared" ca="1" si="14"/>
        <v>24.949684121622823</v>
      </c>
      <c r="M54" s="2">
        <f t="shared" ca="1" si="14"/>
        <v>25.663123610321943</v>
      </c>
      <c r="N54" s="2">
        <f t="shared" ca="1" si="14"/>
        <v>20.361721630485761</v>
      </c>
      <c r="O54" s="2">
        <f t="shared" ca="1" si="14"/>
        <v>25.138220640727855</v>
      </c>
      <c r="P54" s="2">
        <f t="shared" ca="1" si="14"/>
        <v>23.394246899009552</v>
      </c>
      <c r="Q54" s="2">
        <f t="shared" ca="1" si="14"/>
        <v>20.505114828174236</v>
      </c>
      <c r="R54" s="2">
        <f t="shared" ca="1" si="14"/>
        <v>24.042979844092027</v>
      </c>
      <c r="S54" s="2">
        <f t="shared" ca="1" si="13"/>
        <v>24.859840828008068</v>
      </c>
      <c r="T54" s="2">
        <f t="shared" ca="1" si="13"/>
        <v>28.810479842170022</v>
      </c>
      <c r="U54" s="2">
        <f t="shared" ca="1" si="13"/>
        <v>20.358868797108308</v>
      </c>
      <c r="V54" s="2">
        <f t="shared" ca="1" si="13"/>
        <v>20.146833318705781</v>
      </c>
      <c r="W54" s="2">
        <f t="shared" ca="1" si="13"/>
        <v>27.554432212354826</v>
      </c>
      <c r="X54" s="2">
        <f t="shared" ca="1" si="13"/>
        <v>24.721709976739699</v>
      </c>
      <c r="Y54" s="2">
        <f t="shared" ca="1" si="11"/>
        <v>28.37053949865906</v>
      </c>
      <c r="Z54" s="2">
        <f t="shared" ca="1" si="12"/>
        <v>21.40730728753833</v>
      </c>
      <c r="AA54" s="2">
        <f t="shared" ca="1" si="12"/>
        <v>28.357208549320696</v>
      </c>
      <c r="AB54" s="2">
        <f t="shared" ca="1" si="12"/>
        <v>21.877971564618267</v>
      </c>
      <c r="AC54" s="2">
        <f t="shared" ca="1" si="12"/>
        <v>29.009310898231305</v>
      </c>
      <c r="AD54" s="2">
        <f t="shared" ca="1" si="12"/>
        <v>21.914138487333503</v>
      </c>
      <c r="AE54" s="2">
        <f t="shared" ca="1" si="12"/>
        <v>21.114401516630981</v>
      </c>
      <c r="AF54" s="2">
        <f t="shared" ca="1" si="12"/>
        <v>21.639870881883425</v>
      </c>
      <c r="AG54" s="2">
        <f t="shared" ca="1" si="12"/>
        <v>26.316755952846329</v>
      </c>
      <c r="AH54" s="2">
        <f t="shared" ca="1" si="12"/>
        <v>28.616626550798831</v>
      </c>
    </row>
    <row r="55" spans="1:34">
      <c r="A55" t="str">
        <f t="shared" si="6"/>
        <v>Vegetables</v>
      </c>
      <c r="B55" t="str">
        <f t="shared" si="7"/>
        <v>Somali</v>
      </c>
      <c r="C55" s="2">
        <f t="shared" ca="1" si="14"/>
        <v>21.596158456258905</v>
      </c>
      <c r="D55" s="2">
        <f t="shared" ca="1" si="14"/>
        <v>22.825709979941749</v>
      </c>
      <c r="E55" s="2">
        <f t="shared" ca="1" si="14"/>
        <v>24.454191704621081</v>
      </c>
      <c r="F55" s="2">
        <f t="shared" ca="1" si="14"/>
        <v>25.1310338582702</v>
      </c>
      <c r="G55" s="2">
        <f t="shared" ca="1" si="14"/>
        <v>24.281614217647871</v>
      </c>
      <c r="H55" s="2">
        <f t="shared" ca="1" si="14"/>
        <v>25.940323070653971</v>
      </c>
      <c r="I55" s="2">
        <f t="shared" ca="1" si="14"/>
        <v>28.71882915276246</v>
      </c>
      <c r="J55" s="2">
        <f t="shared" ca="1" si="14"/>
        <v>22.959182051009858</v>
      </c>
      <c r="K55" s="2">
        <f t="shared" ca="1" si="14"/>
        <v>29.923221180583134</v>
      </c>
      <c r="L55" s="2">
        <f t="shared" ca="1" si="14"/>
        <v>20.785383257084561</v>
      </c>
      <c r="M55" s="2">
        <f t="shared" ca="1" si="14"/>
        <v>27.602438301938683</v>
      </c>
      <c r="N55" s="2">
        <f t="shared" ca="1" si="14"/>
        <v>28.250784413091694</v>
      </c>
      <c r="O55" s="2">
        <f t="shared" ca="1" si="14"/>
        <v>20.57757321059837</v>
      </c>
      <c r="P55" s="2">
        <f t="shared" ca="1" si="14"/>
        <v>27.372067679645696</v>
      </c>
      <c r="Q55" s="2">
        <f t="shared" ca="1" si="14"/>
        <v>25.001902172024074</v>
      </c>
      <c r="R55" s="2">
        <f t="shared" ca="1" si="14"/>
        <v>28.819614073908831</v>
      </c>
      <c r="S55" s="2">
        <f t="shared" ca="1" si="13"/>
        <v>21.844310566784308</v>
      </c>
      <c r="T55" s="2">
        <f t="shared" ca="1" si="13"/>
        <v>26.047801700581196</v>
      </c>
      <c r="U55" s="2">
        <f t="shared" ca="1" si="13"/>
        <v>22.273909575278953</v>
      </c>
      <c r="V55" s="2">
        <f t="shared" ca="1" si="13"/>
        <v>28.488296897659239</v>
      </c>
      <c r="W55" s="2">
        <f t="shared" ca="1" si="13"/>
        <v>27.837877273712976</v>
      </c>
      <c r="X55" s="2">
        <f t="shared" ca="1" si="13"/>
        <v>26.773413053705418</v>
      </c>
      <c r="Y55" s="2">
        <f t="shared" ca="1" si="11"/>
        <v>23.021204429705211</v>
      </c>
      <c r="Z55" s="2">
        <f t="shared" ca="1" si="12"/>
        <v>22.226142665401191</v>
      </c>
      <c r="AA55" s="2">
        <f t="shared" ca="1" si="12"/>
        <v>21.118380469882972</v>
      </c>
      <c r="AB55" s="2">
        <f t="shared" ca="1" si="12"/>
        <v>29.081285936358661</v>
      </c>
      <c r="AC55" s="2">
        <f t="shared" ca="1" si="12"/>
        <v>28.307874808180344</v>
      </c>
      <c r="AD55" s="2">
        <f t="shared" ca="1" si="12"/>
        <v>26.431696618125876</v>
      </c>
      <c r="AE55" s="2">
        <f t="shared" ca="1" si="12"/>
        <v>25.924018878077597</v>
      </c>
      <c r="AF55" s="2">
        <f t="shared" ca="1" si="12"/>
        <v>29.217312453001693</v>
      </c>
      <c r="AG55" s="2">
        <f t="shared" ca="1" si="12"/>
        <v>21.468728813409989</v>
      </c>
      <c r="AH55" s="2">
        <f t="shared" ca="1" si="12"/>
        <v>29.906988886922417</v>
      </c>
    </row>
    <row r="56" spans="1:34">
      <c r="A56" t="str">
        <f t="shared" si="6"/>
        <v>Vegetables</v>
      </c>
      <c r="B56" t="str">
        <f t="shared" si="7"/>
        <v>SNNPR</v>
      </c>
      <c r="C56" s="2">
        <f t="shared" ca="1" si="14"/>
        <v>22.480956705433414</v>
      </c>
      <c r="D56" s="2">
        <f t="shared" ca="1" si="14"/>
        <v>23.221241930987819</v>
      </c>
      <c r="E56" s="2">
        <f t="shared" ca="1" si="14"/>
        <v>26.012501040658211</v>
      </c>
      <c r="F56" s="2">
        <f t="shared" ca="1" si="14"/>
        <v>29.989852992920913</v>
      </c>
      <c r="G56" s="2">
        <f t="shared" ca="1" si="14"/>
        <v>26.743489396856965</v>
      </c>
      <c r="H56" s="2">
        <f t="shared" ca="1" si="14"/>
        <v>25.17421336135844</v>
      </c>
      <c r="I56" s="2">
        <f t="shared" ca="1" si="14"/>
        <v>23.721806855302905</v>
      </c>
      <c r="J56" s="2">
        <f t="shared" ca="1" si="14"/>
        <v>25.884935270393768</v>
      </c>
      <c r="K56" s="2">
        <f t="shared" ca="1" si="14"/>
        <v>28.872613916135798</v>
      </c>
      <c r="L56" s="2">
        <f t="shared" ca="1" si="14"/>
        <v>24.112314584017128</v>
      </c>
      <c r="M56" s="2">
        <f t="shared" ca="1" si="14"/>
        <v>24.827637137981856</v>
      </c>
      <c r="N56" s="2">
        <f t="shared" ca="1" si="14"/>
        <v>26.176874964850761</v>
      </c>
      <c r="O56" s="2">
        <f t="shared" ca="1" si="14"/>
        <v>23.887306034841099</v>
      </c>
      <c r="P56" s="2">
        <f t="shared" ca="1" si="14"/>
        <v>25.791165824692438</v>
      </c>
      <c r="Q56" s="2">
        <f t="shared" ca="1" si="14"/>
        <v>29.045290046811836</v>
      </c>
      <c r="R56" s="2">
        <f t="shared" ca="1" si="14"/>
        <v>22.921026719208108</v>
      </c>
      <c r="S56" s="2">
        <f t="shared" ca="1" si="13"/>
        <v>20.79087206702161</v>
      </c>
      <c r="T56" s="2">
        <f t="shared" ca="1" si="13"/>
        <v>29.101110495661363</v>
      </c>
      <c r="U56" s="2">
        <f t="shared" ca="1" si="13"/>
        <v>21.155188016565752</v>
      </c>
      <c r="V56" s="2">
        <f t="shared" ca="1" si="13"/>
        <v>26.197998757598853</v>
      </c>
      <c r="W56" s="2">
        <f t="shared" ca="1" si="13"/>
        <v>24.574798653696661</v>
      </c>
      <c r="X56" s="2">
        <f t="shared" ca="1" si="13"/>
        <v>26.038280965946349</v>
      </c>
      <c r="Y56" s="2">
        <f t="shared" ca="1" si="11"/>
        <v>23.718705224788515</v>
      </c>
      <c r="Z56" s="2">
        <f t="shared" ca="1" si="12"/>
        <v>26.971775837423877</v>
      </c>
      <c r="AA56" s="2">
        <f t="shared" ca="1" si="12"/>
        <v>25.462332850193992</v>
      </c>
      <c r="AB56" s="2">
        <f t="shared" ca="1" si="12"/>
        <v>24.645072603357349</v>
      </c>
      <c r="AC56" s="2">
        <f t="shared" ca="1" si="12"/>
        <v>23.354176003109181</v>
      </c>
      <c r="AD56" s="2">
        <f t="shared" ca="1" si="12"/>
        <v>29.06261850128368</v>
      </c>
      <c r="AE56" s="2">
        <f t="shared" ca="1" si="12"/>
        <v>25.997788292809211</v>
      </c>
      <c r="AF56" s="2">
        <f t="shared" ca="1" si="12"/>
        <v>28.169264825032798</v>
      </c>
      <c r="AG56" s="2">
        <f t="shared" ca="1" si="12"/>
        <v>20.612685267437136</v>
      </c>
      <c r="AH56" s="2">
        <f t="shared" ca="1" si="12"/>
        <v>28.967610949660383</v>
      </c>
    </row>
    <row r="57" spans="1:34">
      <c r="A57" t="str">
        <f t="shared" si="6"/>
        <v>Vegetables</v>
      </c>
      <c r="B57" t="str">
        <f t="shared" si="7"/>
        <v>Tigray</v>
      </c>
      <c r="C57" s="2">
        <f t="shared" ca="1" si="14"/>
        <v>23.079547728064711</v>
      </c>
      <c r="D57" s="2">
        <f t="shared" ca="1" si="14"/>
        <v>21.343975528231084</v>
      </c>
      <c r="E57" s="2">
        <f t="shared" ca="1" si="14"/>
        <v>25.306546037421604</v>
      </c>
      <c r="F57" s="2">
        <f t="shared" ca="1" si="14"/>
        <v>26.779546499903567</v>
      </c>
      <c r="G57" s="2">
        <f t="shared" ca="1" si="14"/>
        <v>22.042883819864766</v>
      </c>
      <c r="H57" s="2">
        <f t="shared" ca="1" si="14"/>
        <v>24.543746315807631</v>
      </c>
      <c r="I57" s="2">
        <f t="shared" ca="1" si="14"/>
        <v>23.482908300849704</v>
      </c>
      <c r="J57" s="2">
        <f t="shared" ca="1" si="14"/>
        <v>24.922689707361009</v>
      </c>
      <c r="K57" s="2">
        <f t="shared" ca="1" si="14"/>
        <v>20.745962107705729</v>
      </c>
      <c r="L57" s="2">
        <f t="shared" ca="1" si="14"/>
        <v>23.162012053622341</v>
      </c>
      <c r="M57" s="2">
        <f t="shared" ca="1" si="14"/>
        <v>21.761624237718795</v>
      </c>
      <c r="N57" s="2">
        <f t="shared" ca="1" si="14"/>
        <v>25.534778769399288</v>
      </c>
      <c r="O57" s="2">
        <f t="shared" ca="1" si="14"/>
        <v>20.682905160664831</v>
      </c>
      <c r="P57" s="2">
        <f t="shared" ca="1" si="14"/>
        <v>20.237778793710433</v>
      </c>
      <c r="Q57" s="2">
        <f t="shared" ca="1" si="14"/>
        <v>29.430691455836971</v>
      </c>
      <c r="R57" s="2">
        <f t="shared" ca="1" si="14"/>
        <v>24.924116348455364</v>
      </c>
      <c r="S57" s="2">
        <f t="shared" ca="1" si="13"/>
        <v>22.16957579487072</v>
      </c>
      <c r="T57" s="2">
        <f t="shared" ca="1" si="13"/>
        <v>24.68798845961933</v>
      </c>
      <c r="U57" s="2">
        <f t="shared" ca="1" si="13"/>
        <v>20.854946006457734</v>
      </c>
      <c r="V57" s="2">
        <f t="shared" ca="1" si="13"/>
        <v>28.859636489989569</v>
      </c>
      <c r="W57" s="2">
        <f t="shared" ca="1" si="13"/>
        <v>23.958039431234106</v>
      </c>
      <c r="X57" s="2">
        <f t="shared" ca="1" si="13"/>
        <v>25.933641486991291</v>
      </c>
      <c r="Y57" s="2">
        <f t="shared" ca="1" si="11"/>
        <v>26.827696363924339</v>
      </c>
      <c r="Z57" s="2">
        <f t="shared" ca="1" si="12"/>
        <v>25.4947106246304</v>
      </c>
      <c r="AA57" s="2">
        <f t="shared" ca="1" si="12"/>
        <v>20.003841225753412</v>
      </c>
      <c r="AB57" s="2">
        <f t="shared" ca="1" si="12"/>
        <v>28.648419384193868</v>
      </c>
      <c r="AC57" s="2">
        <f t="shared" ca="1" si="12"/>
        <v>29.309029167268285</v>
      </c>
      <c r="AD57" s="2">
        <f t="shared" ca="1" si="12"/>
        <v>20.188575454694437</v>
      </c>
      <c r="AE57" s="2">
        <f t="shared" ca="1" si="12"/>
        <v>27.104865999347901</v>
      </c>
      <c r="AF57" s="2">
        <f t="shared" ca="1" si="12"/>
        <v>24.259333969561204</v>
      </c>
      <c r="AG57" s="2">
        <f t="shared" ca="1" si="12"/>
        <v>22.579677918000662</v>
      </c>
      <c r="AH57" s="2">
        <f t="shared" ca="1" si="12"/>
        <v>22.775544004185441</v>
      </c>
    </row>
    <row r="58" spans="1:34">
      <c r="A58" t="str">
        <f t="shared" si="6"/>
        <v>Coffee</v>
      </c>
      <c r="B58" t="str">
        <f t="shared" si="7"/>
        <v>AddisAbaba</v>
      </c>
      <c r="C58" s="2">
        <f t="shared" ca="1" si="14"/>
        <v>27.97894446901882</v>
      </c>
      <c r="D58" s="2">
        <f t="shared" ca="1" si="14"/>
        <v>26.499284793442381</v>
      </c>
      <c r="E58" s="2">
        <f t="shared" ca="1" si="14"/>
        <v>20.531195199982903</v>
      </c>
      <c r="F58" s="2">
        <f t="shared" ca="1" si="14"/>
        <v>27.597020687173369</v>
      </c>
      <c r="G58" s="2">
        <f t="shared" ca="1" si="14"/>
        <v>22.375992113901813</v>
      </c>
      <c r="H58" s="2">
        <f t="shared" ca="1" si="14"/>
        <v>29.702906355372232</v>
      </c>
      <c r="I58" s="2">
        <f t="shared" ca="1" si="14"/>
        <v>28.894532550637265</v>
      </c>
      <c r="J58" s="2">
        <f t="shared" ca="1" si="14"/>
        <v>25.223876952809164</v>
      </c>
      <c r="K58" s="2">
        <f t="shared" ca="1" si="14"/>
        <v>28.492111919072226</v>
      </c>
      <c r="L58" s="2">
        <f t="shared" ca="1" si="14"/>
        <v>21.957717557630421</v>
      </c>
      <c r="M58" s="2">
        <f t="shared" ca="1" si="14"/>
        <v>29.15936049785612</v>
      </c>
      <c r="N58" s="2">
        <f t="shared" ca="1" si="14"/>
        <v>23.253449083744183</v>
      </c>
      <c r="O58" s="2">
        <f t="shared" ca="1" si="14"/>
        <v>26.378211905383541</v>
      </c>
      <c r="P58" s="2">
        <f t="shared" ca="1" si="14"/>
        <v>27.576170737537176</v>
      </c>
      <c r="Q58" s="2">
        <f t="shared" ca="1" si="14"/>
        <v>22.257523965357329</v>
      </c>
      <c r="R58" s="2">
        <f t="shared" ca="1" si="14"/>
        <v>24.85489288863835</v>
      </c>
      <c r="S58" s="2">
        <f t="shared" ca="1" si="13"/>
        <v>20.376822892987182</v>
      </c>
      <c r="T58" s="2">
        <f t="shared" ca="1" si="13"/>
        <v>22.381678601515411</v>
      </c>
      <c r="U58" s="2">
        <f t="shared" ca="1" si="13"/>
        <v>24.227642643919932</v>
      </c>
      <c r="V58" s="2">
        <f t="shared" ca="1" si="13"/>
        <v>27.272356165257104</v>
      </c>
      <c r="W58" s="2">
        <f t="shared" ca="1" si="13"/>
        <v>29.069681259230393</v>
      </c>
      <c r="X58" s="2">
        <f t="shared" ca="1" si="13"/>
        <v>22.182955531710551</v>
      </c>
      <c r="Y58" s="2">
        <f t="shared" ca="1" si="11"/>
        <v>27.843077940205873</v>
      </c>
      <c r="Z58" s="2">
        <f t="shared" ca="1" si="12"/>
        <v>29.560352682682876</v>
      </c>
      <c r="AA58" s="2">
        <f t="shared" ca="1" si="12"/>
        <v>28.728434966294571</v>
      </c>
      <c r="AB58" s="2">
        <f t="shared" ca="1" si="12"/>
        <v>27.945178944610181</v>
      </c>
      <c r="AC58" s="2">
        <f t="shared" ca="1" si="12"/>
        <v>26.113992137742571</v>
      </c>
      <c r="AD58" s="2">
        <f t="shared" ca="1" si="12"/>
        <v>21.926565605697135</v>
      </c>
      <c r="AE58" s="2">
        <f t="shared" ca="1" si="12"/>
        <v>23.244195881615191</v>
      </c>
      <c r="AF58" s="2">
        <f t="shared" ca="1" si="12"/>
        <v>26.711098397375636</v>
      </c>
      <c r="AG58" s="2">
        <f t="shared" ca="1" si="12"/>
        <v>24.286991550323979</v>
      </c>
      <c r="AH58" s="2">
        <f t="shared" ca="1" si="12"/>
        <v>20.284976252298819</v>
      </c>
    </row>
    <row r="59" spans="1:34">
      <c r="A59" t="str">
        <f t="shared" si="6"/>
        <v>Coffee</v>
      </c>
      <c r="B59" t="str">
        <f t="shared" si="7"/>
        <v>Afar</v>
      </c>
      <c r="C59" s="2">
        <f t="shared" ca="1" si="14"/>
        <v>23.58333506017054</v>
      </c>
      <c r="D59" s="2">
        <f t="shared" ca="1" si="14"/>
        <v>29.736562249632041</v>
      </c>
      <c r="E59" s="2">
        <f t="shared" ca="1" si="14"/>
        <v>28.591439590077382</v>
      </c>
      <c r="F59" s="2">
        <f t="shared" ca="1" si="14"/>
        <v>22.784911704172398</v>
      </c>
      <c r="G59" s="2">
        <f t="shared" ca="1" si="14"/>
        <v>28.591199461245161</v>
      </c>
      <c r="H59" s="2">
        <f t="shared" ca="1" si="14"/>
        <v>20.262505127498098</v>
      </c>
      <c r="I59" s="2">
        <f t="shared" ca="1" si="14"/>
        <v>25.782713466072043</v>
      </c>
      <c r="J59" s="2">
        <f t="shared" ca="1" si="14"/>
        <v>23.511875336315132</v>
      </c>
      <c r="K59" s="2">
        <f t="shared" ca="1" si="14"/>
        <v>26.62448205909245</v>
      </c>
      <c r="L59" s="2">
        <f t="shared" ca="1" si="14"/>
        <v>29.36944413738572</v>
      </c>
      <c r="M59" s="2">
        <f t="shared" ca="1" si="14"/>
        <v>26.788567135153244</v>
      </c>
      <c r="N59" s="2">
        <f t="shared" ca="1" si="14"/>
        <v>21.613642370450499</v>
      </c>
      <c r="O59" s="2">
        <f t="shared" ca="1" si="14"/>
        <v>20.808289620547811</v>
      </c>
      <c r="P59" s="2">
        <f t="shared" ca="1" si="14"/>
        <v>25.993316580067262</v>
      </c>
      <c r="Q59" s="2">
        <f t="shared" ca="1" si="14"/>
        <v>25.62151104294772</v>
      </c>
      <c r="R59" s="2">
        <f t="shared" ca="1" si="14"/>
        <v>23.701539315377069</v>
      </c>
      <c r="S59" s="2">
        <f t="shared" ca="1" si="13"/>
        <v>24.489471741917129</v>
      </c>
      <c r="T59" s="2">
        <f t="shared" ca="1" si="13"/>
        <v>20.065780169182684</v>
      </c>
      <c r="U59" s="2">
        <f t="shared" ca="1" si="13"/>
        <v>23.887128359244826</v>
      </c>
      <c r="V59" s="2">
        <f t="shared" ca="1" si="13"/>
        <v>21.6181498711938</v>
      </c>
      <c r="W59" s="2">
        <f t="shared" ca="1" si="13"/>
        <v>27.478435159139785</v>
      </c>
      <c r="X59" s="2">
        <f t="shared" ca="1" si="13"/>
        <v>20.420370487095823</v>
      </c>
      <c r="Y59" s="2">
        <f t="shared" ca="1" si="11"/>
        <v>21.782435280978675</v>
      </c>
      <c r="Z59" s="2">
        <f t="shared" ca="1" si="12"/>
        <v>20.389668822585367</v>
      </c>
      <c r="AA59" s="2">
        <f t="shared" ca="1" si="12"/>
        <v>22.302339269089352</v>
      </c>
      <c r="AB59" s="2">
        <f t="shared" ca="1" si="12"/>
        <v>26.874165338202147</v>
      </c>
      <c r="AC59" s="2">
        <f t="shared" ca="1" si="12"/>
        <v>23.213343844149136</v>
      </c>
      <c r="AD59" s="2">
        <f t="shared" ca="1" si="12"/>
        <v>26.898416256417697</v>
      </c>
      <c r="AE59" s="2">
        <f t="shared" ca="1" si="12"/>
        <v>25.843568114449891</v>
      </c>
      <c r="AF59" s="2">
        <f t="shared" ca="1" si="12"/>
        <v>27.016421545553477</v>
      </c>
      <c r="AG59" s="2">
        <f t="shared" ca="1" si="12"/>
        <v>21.17878351124201</v>
      </c>
      <c r="AH59" s="2">
        <f t="shared" ca="1" si="12"/>
        <v>24.519390581818456</v>
      </c>
    </row>
    <row r="60" spans="1:34">
      <c r="A60" t="str">
        <f t="shared" si="6"/>
        <v>Coffee</v>
      </c>
      <c r="B60" t="str">
        <f t="shared" si="7"/>
        <v>Amhara</v>
      </c>
      <c r="C60" s="2">
        <f t="shared" ca="1" si="14"/>
        <v>25.298810912061107</v>
      </c>
      <c r="D60" s="2">
        <f t="shared" ca="1" si="14"/>
        <v>23.823513029408943</v>
      </c>
      <c r="E60" s="2">
        <f t="shared" ca="1" si="14"/>
        <v>21.684407201992538</v>
      </c>
      <c r="F60" s="2">
        <f t="shared" ca="1" si="14"/>
        <v>29.922300214331287</v>
      </c>
      <c r="G60" s="2">
        <f t="shared" ca="1" si="14"/>
        <v>27.639764308440824</v>
      </c>
      <c r="H60" s="2">
        <f t="shared" ca="1" si="14"/>
        <v>26.041725940032414</v>
      </c>
      <c r="I60" s="2">
        <f t="shared" ca="1" si="14"/>
        <v>22.967778732561882</v>
      </c>
      <c r="J60" s="2">
        <f t="shared" ca="1" si="14"/>
        <v>21.220812698229047</v>
      </c>
      <c r="K60" s="2">
        <f t="shared" ca="1" si="14"/>
        <v>21.401993823148622</v>
      </c>
      <c r="L60" s="2">
        <f t="shared" ca="1" si="14"/>
        <v>23.975587880704431</v>
      </c>
      <c r="M60" s="2">
        <f t="shared" ca="1" si="14"/>
        <v>26.589039906911971</v>
      </c>
      <c r="N60" s="2">
        <f t="shared" ca="1" si="14"/>
        <v>23.749817070446074</v>
      </c>
      <c r="O60" s="2">
        <f t="shared" ca="1" si="14"/>
        <v>20.408202522033289</v>
      </c>
      <c r="P60" s="2">
        <f t="shared" ca="1" si="14"/>
        <v>27.096419062654764</v>
      </c>
      <c r="Q60" s="2">
        <f t="shared" ca="1" si="14"/>
        <v>29.604530274964809</v>
      </c>
      <c r="R60" s="2">
        <f t="shared" ca="1" si="14"/>
        <v>29.442141051754469</v>
      </c>
      <c r="S60" s="2">
        <f t="shared" ca="1" si="13"/>
        <v>24.957588447670382</v>
      </c>
      <c r="T60" s="2">
        <f t="shared" ca="1" si="13"/>
        <v>25.35370280759512</v>
      </c>
      <c r="U60" s="2">
        <f t="shared" ca="1" si="13"/>
        <v>26.011291522275464</v>
      </c>
      <c r="V60" s="2">
        <f t="shared" ca="1" si="13"/>
        <v>24.096491918904679</v>
      </c>
      <c r="W60" s="2">
        <f t="shared" ca="1" si="13"/>
        <v>21.013659366075768</v>
      </c>
      <c r="X60" s="2">
        <f t="shared" ca="1" si="13"/>
        <v>25.852493829771419</v>
      </c>
      <c r="Y60" s="2">
        <f t="shared" ca="1" si="11"/>
        <v>27.027710764576053</v>
      </c>
      <c r="Z60" s="2">
        <f t="shared" ca="1" si="12"/>
        <v>20.520548030338631</v>
      </c>
      <c r="AA60" s="2">
        <f t="shared" ca="1" si="12"/>
        <v>24.167553535649215</v>
      </c>
      <c r="AB60" s="2">
        <f t="shared" ca="1" si="12"/>
        <v>24.446006167687372</v>
      </c>
      <c r="AC60" s="2">
        <f t="shared" ca="1" si="12"/>
        <v>27.526144320178435</v>
      </c>
      <c r="AD60" s="2">
        <f t="shared" ca="1" si="12"/>
        <v>27.529176959178695</v>
      </c>
      <c r="AE60" s="2">
        <f t="shared" ca="1" si="12"/>
        <v>29.026966435756549</v>
      </c>
      <c r="AF60" s="2">
        <f t="shared" ca="1" si="12"/>
        <v>22.955889947334306</v>
      </c>
      <c r="AG60" s="2">
        <f t="shared" ca="1" si="12"/>
        <v>21.039524491934355</v>
      </c>
      <c r="AH60" s="2">
        <f t="shared" ca="1" si="12"/>
        <v>25.452121398500299</v>
      </c>
    </row>
    <row r="61" spans="1:34">
      <c r="A61" t="str">
        <f t="shared" si="6"/>
        <v>Coffee</v>
      </c>
      <c r="B61" t="str">
        <f t="shared" si="7"/>
        <v>Gumuz</v>
      </c>
      <c r="C61" s="2">
        <f t="shared" ca="1" si="14"/>
        <v>24.560379805138297</v>
      </c>
      <c r="D61" s="2">
        <f t="shared" ca="1" si="14"/>
        <v>24.397494703571642</v>
      </c>
      <c r="E61" s="2">
        <f t="shared" ca="1" si="14"/>
        <v>20.628993696308939</v>
      </c>
      <c r="F61" s="2">
        <f t="shared" ca="1" si="14"/>
        <v>24.745003517566758</v>
      </c>
      <c r="G61" s="2">
        <f t="shared" ca="1" si="14"/>
        <v>29.137041825410446</v>
      </c>
      <c r="H61" s="2">
        <f t="shared" ca="1" si="14"/>
        <v>23.783295459333232</v>
      </c>
      <c r="I61" s="2">
        <f t="shared" ca="1" si="14"/>
        <v>27.893757995738614</v>
      </c>
      <c r="J61" s="2">
        <f t="shared" ca="1" si="14"/>
        <v>22.19071893218095</v>
      </c>
      <c r="K61" s="2">
        <f t="shared" ca="1" si="14"/>
        <v>23.12694620240665</v>
      </c>
      <c r="L61" s="2">
        <f t="shared" ca="1" si="14"/>
        <v>27.574168402951805</v>
      </c>
      <c r="M61" s="2">
        <f t="shared" ca="1" si="14"/>
        <v>26.601262785011812</v>
      </c>
      <c r="N61" s="2">
        <f t="shared" ca="1" si="14"/>
        <v>29.41596095982019</v>
      </c>
      <c r="O61" s="2">
        <f t="shared" ca="1" si="14"/>
        <v>29.15048221751757</v>
      </c>
      <c r="P61" s="2">
        <f t="shared" ca="1" si="14"/>
        <v>25.953367242297489</v>
      </c>
      <c r="Q61" s="2">
        <f t="shared" ca="1" si="14"/>
        <v>27.911163076757248</v>
      </c>
      <c r="R61" s="2">
        <f t="shared" ca="1" si="14"/>
        <v>20.251749583452906</v>
      </c>
      <c r="S61" s="2">
        <f t="shared" ca="1" si="13"/>
        <v>29.632196897780183</v>
      </c>
      <c r="T61" s="2">
        <f t="shared" ca="1" si="13"/>
        <v>25.60720707496943</v>
      </c>
      <c r="U61" s="2">
        <f t="shared" ca="1" si="13"/>
        <v>20.749051269970483</v>
      </c>
      <c r="V61" s="2">
        <f t="shared" ca="1" si="13"/>
        <v>21.271644162377797</v>
      </c>
      <c r="W61" s="2">
        <f t="shared" ca="1" si="13"/>
        <v>27.543793766064375</v>
      </c>
      <c r="X61" s="2">
        <f t="shared" ca="1" si="13"/>
        <v>20.322809416669926</v>
      </c>
      <c r="Y61" s="2">
        <f t="shared" ca="1" si="11"/>
        <v>29.45175224630696</v>
      </c>
      <c r="Z61" s="2">
        <f t="shared" ca="1" si="12"/>
        <v>27.753111177281205</v>
      </c>
      <c r="AA61" s="2">
        <f t="shared" ca="1" si="12"/>
        <v>22.100981532062768</v>
      </c>
      <c r="AB61" s="2">
        <f t="shared" ca="1" si="12"/>
        <v>25.221017485523454</v>
      </c>
      <c r="AC61" s="2">
        <f t="shared" ca="1" si="12"/>
        <v>20.202786940022165</v>
      </c>
      <c r="AD61" s="2">
        <f t="shared" ca="1" si="12"/>
        <v>20.467844725162571</v>
      </c>
      <c r="AE61" s="2">
        <f t="shared" ca="1" si="12"/>
        <v>20.568487175941396</v>
      </c>
      <c r="AF61" s="2">
        <f t="shared" ca="1" si="12"/>
        <v>20.299987611117132</v>
      </c>
      <c r="AG61" s="2">
        <f t="shared" ca="1" si="12"/>
        <v>26.822906022564581</v>
      </c>
      <c r="AH61" s="2">
        <f t="shared" ca="1" si="12"/>
        <v>24.373625756952165</v>
      </c>
    </row>
    <row r="62" spans="1:34">
      <c r="A62" t="str">
        <f t="shared" si="6"/>
        <v>Coffee</v>
      </c>
      <c r="B62" t="str">
        <f t="shared" si="7"/>
        <v>DireDawa</v>
      </c>
      <c r="C62" s="2">
        <f t="shared" ca="1" si="14"/>
        <v>21.443347810315409</v>
      </c>
      <c r="D62" s="2">
        <f t="shared" ca="1" si="14"/>
        <v>22.923289366751476</v>
      </c>
      <c r="E62" s="2">
        <f t="shared" ca="1" si="14"/>
        <v>28.357589601594082</v>
      </c>
      <c r="F62" s="2">
        <f t="shared" ca="1" si="14"/>
        <v>25.438905228569439</v>
      </c>
      <c r="G62" s="2">
        <f t="shared" ca="1" si="14"/>
        <v>21.217155859622494</v>
      </c>
      <c r="H62" s="2">
        <f t="shared" ca="1" si="14"/>
        <v>26.516365056038076</v>
      </c>
      <c r="I62" s="2">
        <f t="shared" ca="1" si="14"/>
        <v>23.429044247639833</v>
      </c>
      <c r="J62" s="2">
        <f t="shared" ca="1" si="14"/>
        <v>26.848169477293876</v>
      </c>
      <c r="K62" s="2">
        <f t="shared" ca="1" si="14"/>
        <v>21.678526825340438</v>
      </c>
      <c r="L62" s="2">
        <f t="shared" ca="1" si="14"/>
        <v>21.939436658084528</v>
      </c>
      <c r="M62" s="2">
        <f t="shared" ca="1" si="14"/>
        <v>28.670745255014154</v>
      </c>
      <c r="N62" s="2">
        <f t="shared" ca="1" si="14"/>
        <v>26.584981225893518</v>
      </c>
      <c r="O62" s="2">
        <f t="shared" ca="1" si="14"/>
        <v>28.205183677262543</v>
      </c>
      <c r="P62" s="2">
        <f t="shared" ca="1" si="14"/>
        <v>25.204332080650197</v>
      </c>
      <c r="Q62" s="2">
        <f t="shared" ca="1" si="14"/>
        <v>29.264293628572485</v>
      </c>
      <c r="R62" s="2">
        <f t="shared" ca="1" si="14"/>
        <v>25.857040082735807</v>
      </c>
      <c r="S62" s="2">
        <f t="shared" ca="1" si="13"/>
        <v>20.511167754837587</v>
      </c>
      <c r="T62" s="2">
        <f t="shared" ca="1" si="13"/>
        <v>23.687602887487166</v>
      </c>
      <c r="U62" s="2">
        <f t="shared" ca="1" si="13"/>
        <v>28.096779887023651</v>
      </c>
      <c r="V62" s="2">
        <f t="shared" ca="1" si="13"/>
        <v>24.491828648147276</v>
      </c>
      <c r="W62" s="2">
        <f t="shared" ca="1" si="13"/>
        <v>22.461236119431042</v>
      </c>
      <c r="X62" s="2">
        <f t="shared" ca="1" si="13"/>
        <v>22.724945596888439</v>
      </c>
      <c r="Y62" s="2">
        <f t="shared" ca="1" si="11"/>
        <v>25.749280273123208</v>
      </c>
      <c r="Z62" s="2">
        <f t="shared" ca="1" si="12"/>
        <v>24.909554622188228</v>
      </c>
      <c r="AA62" s="2">
        <f t="shared" ca="1" si="12"/>
        <v>22.601254847163421</v>
      </c>
      <c r="AB62" s="2">
        <f t="shared" ca="1" si="12"/>
        <v>24.070509952240666</v>
      </c>
      <c r="AC62" s="2">
        <f t="shared" ca="1" si="12"/>
        <v>29.134407226794789</v>
      </c>
      <c r="AD62" s="2">
        <f t="shared" ca="1" si="12"/>
        <v>23.246110832528714</v>
      </c>
      <c r="AE62" s="2">
        <f t="shared" ca="1" si="12"/>
        <v>20.813975564675758</v>
      </c>
      <c r="AF62" s="2">
        <f t="shared" ca="1" si="12"/>
        <v>20.408255986708163</v>
      </c>
      <c r="AG62" s="2">
        <f t="shared" ca="1" si="12"/>
        <v>26.065445026920862</v>
      </c>
      <c r="AH62" s="2">
        <f t="shared" ca="1" si="12"/>
        <v>29.934095595817386</v>
      </c>
    </row>
    <row r="63" spans="1:34">
      <c r="A63" t="str">
        <f t="shared" si="6"/>
        <v>Coffee</v>
      </c>
      <c r="B63" t="str">
        <f t="shared" si="7"/>
        <v>Gambela</v>
      </c>
      <c r="C63" s="2">
        <f t="shared" ca="1" si="14"/>
        <v>28.589128039696554</v>
      </c>
      <c r="D63" s="2">
        <f t="shared" ca="1" si="14"/>
        <v>29.254063657194873</v>
      </c>
      <c r="E63" s="2">
        <f t="shared" ca="1" si="14"/>
        <v>22.704607753716537</v>
      </c>
      <c r="F63" s="2">
        <f t="shared" ca="1" si="14"/>
        <v>24.458740696019795</v>
      </c>
      <c r="G63" s="2">
        <f t="shared" ca="1" si="14"/>
        <v>23.723106139661958</v>
      </c>
      <c r="H63" s="2">
        <f t="shared" ca="1" si="14"/>
        <v>26.897621627393708</v>
      </c>
      <c r="I63" s="2">
        <f t="shared" ca="1" si="14"/>
        <v>22.423116251687457</v>
      </c>
      <c r="J63" s="2">
        <f t="shared" ca="1" si="14"/>
        <v>25.834000678937397</v>
      </c>
      <c r="K63" s="2">
        <f t="shared" ca="1" si="14"/>
        <v>27.80690132889039</v>
      </c>
      <c r="L63" s="2">
        <f t="shared" ca="1" si="14"/>
        <v>28.451279558343991</v>
      </c>
      <c r="M63" s="2">
        <f t="shared" ca="1" si="14"/>
        <v>26.087865758855429</v>
      </c>
      <c r="N63" s="2">
        <f t="shared" ca="1" si="14"/>
        <v>25.316551412716457</v>
      </c>
      <c r="O63" s="2">
        <f t="shared" ca="1" si="14"/>
        <v>29.873846617726429</v>
      </c>
      <c r="P63" s="2">
        <f t="shared" ca="1" si="14"/>
        <v>23.935518903576209</v>
      </c>
      <c r="Q63" s="2">
        <f t="shared" ca="1" si="14"/>
        <v>21.981022669175182</v>
      </c>
      <c r="R63" s="2">
        <f t="shared" ca="1" si="14"/>
        <v>24.673980021972849</v>
      </c>
      <c r="S63" s="2">
        <f t="shared" ca="1" si="13"/>
        <v>23.143921423978483</v>
      </c>
      <c r="T63" s="2">
        <f t="shared" ca="1" si="13"/>
        <v>27.707885422202288</v>
      </c>
      <c r="U63" s="2">
        <f t="shared" ca="1" si="13"/>
        <v>21.14035235069295</v>
      </c>
      <c r="V63" s="2">
        <f t="shared" ca="1" si="13"/>
        <v>29.644142543514953</v>
      </c>
      <c r="W63" s="2">
        <f t="shared" ca="1" si="13"/>
        <v>20.254155592868113</v>
      </c>
      <c r="X63" s="2">
        <f t="shared" ca="1" si="13"/>
        <v>20.997130230658314</v>
      </c>
      <c r="Y63" s="2">
        <f t="shared" ca="1" si="11"/>
        <v>24.82824880902486</v>
      </c>
      <c r="Z63" s="2">
        <f t="shared" ca="1" si="12"/>
        <v>24.149624082215876</v>
      </c>
      <c r="AA63" s="2">
        <f t="shared" ca="1" si="12"/>
        <v>24.015867732003869</v>
      </c>
      <c r="AB63" s="2">
        <f t="shared" ca="1" si="12"/>
        <v>26.382532249640896</v>
      </c>
      <c r="AC63" s="2">
        <f t="shared" ca="1" si="12"/>
        <v>21.239573020159646</v>
      </c>
      <c r="AD63" s="2">
        <f t="shared" ca="1" si="12"/>
        <v>21.848151669852221</v>
      </c>
      <c r="AE63" s="2">
        <f t="shared" ca="1" si="12"/>
        <v>27.959488287624428</v>
      </c>
      <c r="AF63" s="2">
        <f t="shared" ca="1" si="12"/>
        <v>27.045887398477642</v>
      </c>
      <c r="AG63" s="2">
        <f t="shared" ca="1" si="12"/>
        <v>21.756842114860891</v>
      </c>
      <c r="AH63" s="2">
        <f t="shared" ca="1" si="12"/>
        <v>24.052488993554398</v>
      </c>
    </row>
    <row r="64" spans="1:34">
      <c r="A64" t="str">
        <f t="shared" si="6"/>
        <v>Coffee</v>
      </c>
      <c r="B64" t="str">
        <f t="shared" si="7"/>
        <v>Harari</v>
      </c>
      <c r="C64" s="2">
        <f t="shared" ca="1" si="14"/>
        <v>22.425749266335124</v>
      </c>
      <c r="D64" s="2">
        <f t="shared" ca="1" si="14"/>
        <v>25.065279063702096</v>
      </c>
      <c r="E64" s="2">
        <f t="shared" ca="1" si="14"/>
        <v>21.346064914757498</v>
      </c>
      <c r="F64" s="2">
        <f t="shared" ca="1" si="14"/>
        <v>22.632717418629149</v>
      </c>
      <c r="G64" s="2">
        <f t="shared" ca="1" si="14"/>
        <v>21.645730117968228</v>
      </c>
      <c r="H64" s="2">
        <f t="shared" ca="1" si="14"/>
        <v>29.9939001123509</v>
      </c>
      <c r="I64" s="2">
        <f t="shared" ca="1" si="14"/>
        <v>22.03981930443792</v>
      </c>
      <c r="J64" s="2">
        <f t="shared" ca="1" si="14"/>
        <v>25.669352861260148</v>
      </c>
      <c r="K64" s="2">
        <f t="shared" ca="1" si="14"/>
        <v>29.040913430546134</v>
      </c>
      <c r="L64" s="2">
        <f t="shared" ca="1" si="14"/>
        <v>26.342515802153361</v>
      </c>
      <c r="M64" s="2">
        <f t="shared" ca="1" si="14"/>
        <v>28.274254397381537</v>
      </c>
      <c r="N64" s="2">
        <f t="shared" ca="1" si="14"/>
        <v>21.7049758726234</v>
      </c>
      <c r="O64" s="2">
        <f t="shared" ca="1" si="14"/>
        <v>25.050482666622162</v>
      </c>
      <c r="P64" s="2">
        <f t="shared" ca="1" si="14"/>
        <v>20.018625140309179</v>
      </c>
      <c r="Q64" s="2">
        <f t="shared" ca="1" si="14"/>
        <v>25.246886627605765</v>
      </c>
      <c r="R64" s="2">
        <f t="shared" ca="1" si="14"/>
        <v>22.420384230113292</v>
      </c>
      <c r="S64" s="2">
        <f t="shared" ca="1" si="13"/>
        <v>21.496065751376982</v>
      </c>
      <c r="T64" s="2">
        <f t="shared" ca="1" si="13"/>
        <v>20.235491027828083</v>
      </c>
      <c r="U64" s="2">
        <f t="shared" ca="1" si="13"/>
        <v>24.84061602347127</v>
      </c>
      <c r="V64" s="2">
        <f t="shared" ca="1" si="13"/>
        <v>27.475240692256865</v>
      </c>
      <c r="W64" s="2">
        <f t="shared" ca="1" si="13"/>
        <v>26.664896038238336</v>
      </c>
      <c r="X64" s="2">
        <f t="shared" ca="1" si="13"/>
        <v>28.028728948897562</v>
      </c>
      <c r="Y64" s="2">
        <f t="shared" ca="1" si="11"/>
        <v>26.968430381583222</v>
      </c>
      <c r="Z64" s="2">
        <f t="shared" ca="1" si="12"/>
        <v>29.837961797442336</v>
      </c>
      <c r="AA64" s="2">
        <f t="shared" ca="1" si="12"/>
        <v>25.027103547448913</v>
      </c>
      <c r="AB64" s="2">
        <f t="shared" ca="1" si="12"/>
        <v>25.508879138360602</v>
      </c>
      <c r="AC64" s="2">
        <f t="shared" ca="1" si="12"/>
        <v>23.666798018860703</v>
      </c>
      <c r="AD64" s="2">
        <f t="shared" ca="1" si="12"/>
        <v>20.784149388842504</v>
      </c>
      <c r="AE64" s="2">
        <f t="shared" ca="1" si="12"/>
        <v>27.261980930327965</v>
      </c>
      <c r="AF64" s="2">
        <f t="shared" ca="1" si="12"/>
        <v>27.188806973201789</v>
      </c>
      <c r="AG64" s="2">
        <f t="shared" ca="1" si="12"/>
        <v>23.35794408349301</v>
      </c>
      <c r="AH64" s="2">
        <f t="shared" ca="1" si="12"/>
        <v>29.248752077325165</v>
      </c>
    </row>
    <row r="65" spans="1:34">
      <c r="A65" t="str">
        <f t="shared" si="6"/>
        <v>Coffee</v>
      </c>
      <c r="B65" t="str">
        <f t="shared" si="7"/>
        <v>Oromia</v>
      </c>
      <c r="C65" s="2">
        <f t="shared" ca="1" si="14"/>
        <v>29.61857954118782</v>
      </c>
      <c r="D65" s="2">
        <f t="shared" ca="1" si="14"/>
        <v>23.160809238537464</v>
      </c>
      <c r="E65" s="2">
        <f t="shared" ca="1" si="14"/>
        <v>24.77558779940518</v>
      </c>
      <c r="F65" s="2">
        <f t="shared" ca="1" si="14"/>
        <v>29.86486081242273</v>
      </c>
      <c r="G65" s="2">
        <f t="shared" ca="1" si="14"/>
        <v>27.109442847686303</v>
      </c>
      <c r="H65" s="2">
        <f t="shared" ca="1" si="14"/>
        <v>23.303328201253748</v>
      </c>
      <c r="I65" s="2">
        <f t="shared" ca="1" si="14"/>
        <v>29.342518636440893</v>
      </c>
      <c r="J65" s="2">
        <f t="shared" ca="1" si="14"/>
        <v>24.257069418486516</v>
      </c>
      <c r="K65" s="2">
        <f t="shared" ca="1" si="14"/>
        <v>26.414053907294658</v>
      </c>
      <c r="L65" s="2">
        <f t="shared" ca="1" si="14"/>
        <v>29.844424228838037</v>
      </c>
      <c r="M65" s="2">
        <f t="shared" ca="1" si="14"/>
        <v>28.601349024579537</v>
      </c>
      <c r="N65" s="2">
        <f t="shared" ca="1" si="14"/>
        <v>29.861008570490451</v>
      </c>
      <c r="O65" s="2">
        <f t="shared" ca="1" si="14"/>
        <v>27.347887489564677</v>
      </c>
      <c r="P65" s="2">
        <f t="shared" ca="1" si="14"/>
        <v>26.625605592712912</v>
      </c>
      <c r="Q65" s="2">
        <f t="shared" ca="1" si="14"/>
        <v>20.285874488874928</v>
      </c>
      <c r="R65" s="2">
        <f t="shared" ca="1" si="14"/>
        <v>28.173206034033356</v>
      </c>
      <c r="S65" s="2">
        <f t="shared" ca="1" si="13"/>
        <v>29.359728323351312</v>
      </c>
      <c r="T65" s="2">
        <f t="shared" ca="1" si="13"/>
        <v>26.602063446661468</v>
      </c>
      <c r="U65" s="2">
        <f t="shared" ca="1" si="13"/>
        <v>29.570420794254254</v>
      </c>
      <c r="V65" s="2">
        <f t="shared" ca="1" si="13"/>
        <v>23.589326367977336</v>
      </c>
      <c r="W65" s="2">
        <f t="shared" ca="1" si="13"/>
        <v>25.530545281497183</v>
      </c>
      <c r="X65" s="2">
        <f t="shared" ca="1" si="13"/>
        <v>22.819144614506406</v>
      </c>
      <c r="Y65" s="2">
        <f t="shared" ca="1" si="11"/>
        <v>24.819028321705908</v>
      </c>
      <c r="Z65" s="2">
        <f t="shared" ca="1" si="12"/>
        <v>22.357770403088558</v>
      </c>
      <c r="AA65" s="2">
        <f t="shared" ca="1" si="12"/>
        <v>24.446456693403857</v>
      </c>
      <c r="AB65" s="2">
        <f t="shared" ca="1" si="12"/>
        <v>24.396716330902414</v>
      </c>
      <c r="AC65" s="2">
        <f t="shared" ca="1" si="12"/>
        <v>22.735937880292862</v>
      </c>
      <c r="AD65" s="2">
        <f t="shared" ca="1" si="12"/>
        <v>21.067989027702474</v>
      </c>
      <c r="AE65" s="2">
        <f t="shared" ca="1" si="12"/>
        <v>22.364590025332486</v>
      </c>
      <c r="AF65" s="2">
        <f t="shared" ca="1" si="12"/>
        <v>23.238047974625403</v>
      </c>
      <c r="AG65" s="2">
        <f t="shared" ca="1" si="12"/>
        <v>29.83483542299048</v>
      </c>
      <c r="AH65" s="2">
        <f t="shared" ca="1" si="12"/>
        <v>26.38156472883508</v>
      </c>
    </row>
    <row r="66" spans="1:34">
      <c r="A66" t="str">
        <f t="shared" si="6"/>
        <v>Coffee</v>
      </c>
      <c r="B66" t="str">
        <f t="shared" si="7"/>
        <v>Somali</v>
      </c>
      <c r="C66" s="2">
        <f t="shared" ca="1" si="14"/>
        <v>26.276591556836522</v>
      </c>
      <c r="D66" s="2">
        <f t="shared" ca="1" si="14"/>
        <v>28.490077221827192</v>
      </c>
      <c r="E66" s="2">
        <f t="shared" ca="1" si="14"/>
        <v>29.399413484167319</v>
      </c>
      <c r="F66" s="2">
        <f t="shared" ca="1" si="14"/>
        <v>24.329789528089041</v>
      </c>
      <c r="G66" s="2">
        <f t="shared" ca="1" si="14"/>
        <v>28.982983195957772</v>
      </c>
      <c r="H66" s="2">
        <f t="shared" ca="1" si="14"/>
        <v>23.186892733346561</v>
      </c>
      <c r="I66" s="2">
        <f t="shared" ca="1" si="14"/>
        <v>27.4725005446141</v>
      </c>
      <c r="J66" s="2">
        <f t="shared" ca="1" si="14"/>
        <v>27.751834318666564</v>
      </c>
      <c r="K66" s="2">
        <f t="shared" ca="1" si="14"/>
        <v>20.096985456138057</v>
      </c>
      <c r="L66" s="2">
        <f t="shared" ca="1" si="14"/>
        <v>21.78094156918884</v>
      </c>
      <c r="M66" s="2">
        <f t="shared" ca="1" si="14"/>
        <v>26.470940573392141</v>
      </c>
      <c r="N66" s="2">
        <f t="shared" ca="1" si="14"/>
        <v>23.741974115831081</v>
      </c>
      <c r="O66" s="2">
        <f t="shared" ca="1" si="14"/>
        <v>22.547737515952882</v>
      </c>
      <c r="P66" s="2">
        <f t="shared" ca="1" si="14"/>
        <v>21.633194636102662</v>
      </c>
      <c r="Q66" s="2">
        <f t="shared" ca="1" si="14"/>
        <v>20.545055879114152</v>
      </c>
      <c r="R66" s="2">
        <f t="shared" ca="1" si="14"/>
        <v>29.338440160626369</v>
      </c>
      <c r="S66" s="2">
        <f t="shared" ca="1" si="13"/>
        <v>24.641281793682825</v>
      </c>
      <c r="T66" s="2">
        <f t="shared" ca="1" si="13"/>
        <v>26.26455929640132</v>
      </c>
      <c r="U66" s="2">
        <f t="shared" ca="1" si="13"/>
        <v>21.597924715504789</v>
      </c>
      <c r="V66" s="2">
        <f t="shared" ca="1" si="13"/>
        <v>28.12513846576379</v>
      </c>
      <c r="W66" s="2">
        <f t="shared" ca="1" si="13"/>
        <v>25.012748091516652</v>
      </c>
      <c r="X66" s="2">
        <f t="shared" ca="1" si="13"/>
        <v>25.697276923783001</v>
      </c>
      <c r="Y66" s="2">
        <f t="shared" ca="1" si="11"/>
        <v>21.806159840804497</v>
      </c>
      <c r="Z66" s="2">
        <f t="shared" ca="1" si="12"/>
        <v>29.693027840976164</v>
      </c>
      <c r="AA66" s="2">
        <f t="shared" ca="1" si="12"/>
        <v>28.445732025092141</v>
      </c>
      <c r="AB66" s="2">
        <f t="shared" ca="1" si="12"/>
        <v>22.964177949132779</v>
      </c>
      <c r="AC66" s="2">
        <f t="shared" ca="1" si="12"/>
        <v>29.26458891865235</v>
      </c>
      <c r="AD66" s="2">
        <f t="shared" ca="1" si="12"/>
        <v>20.694946301090486</v>
      </c>
      <c r="AE66" s="2">
        <f t="shared" ca="1" si="12"/>
        <v>24.074287850917678</v>
      </c>
      <c r="AF66" s="2">
        <f t="shared" ca="1" si="12"/>
        <v>24.100502272457703</v>
      </c>
      <c r="AG66" s="2">
        <f t="shared" ca="1" si="12"/>
        <v>21.038766002702836</v>
      </c>
      <c r="AH66" s="2">
        <f t="shared" ca="1" si="12"/>
        <v>22.532997029854577</v>
      </c>
    </row>
    <row r="67" spans="1:34">
      <c r="A67" t="str">
        <f t="shared" si="6"/>
        <v>Coffee</v>
      </c>
      <c r="B67" t="str">
        <f t="shared" si="7"/>
        <v>SNNPR</v>
      </c>
      <c r="C67" s="2">
        <f t="shared" ca="1" si="14"/>
        <v>22.497304065012969</v>
      </c>
      <c r="D67" s="2">
        <f t="shared" ca="1" si="14"/>
        <v>27.164935910443152</v>
      </c>
      <c r="E67" s="2">
        <f t="shared" ca="1" si="14"/>
        <v>28.821991395725149</v>
      </c>
      <c r="F67" s="2">
        <f t="shared" ca="1" si="14"/>
        <v>26.285661066719115</v>
      </c>
      <c r="G67" s="2">
        <f t="shared" ca="1" si="14"/>
        <v>21.166483891301297</v>
      </c>
      <c r="H67" s="2">
        <f t="shared" ca="1" si="14"/>
        <v>23.896392565373791</v>
      </c>
      <c r="I67" s="2">
        <f t="shared" ca="1" si="14"/>
        <v>23.548723652853113</v>
      </c>
      <c r="J67" s="2">
        <f t="shared" ca="1" si="14"/>
        <v>28.685088584393448</v>
      </c>
      <c r="K67" s="2">
        <f t="shared" ca="1" si="14"/>
        <v>23.826010941100037</v>
      </c>
      <c r="L67" s="2">
        <f t="shared" ca="1" si="14"/>
        <v>28.579401527579144</v>
      </c>
      <c r="M67" s="2">
        <f t="shared" ca="1" si="14"/>
        <v>29.157566097320363</v>
      </c>
      <c r="N67" s="2">
        <f t="shared" ca="1" si="14"/>
        <v>22.97265603100368</v>
      </c>
      <c r="O67" s="2">
        <f t="shared" ca="1" si="14"/>
        <v>25.10878933644813</v>
      </c>
      <c r="P67" s="2">
        <f t="shared" ca="1" si="14"/>
        <v>25.305816980159157</v>
      </c>
      <c r="Q67" s="2">
        <f t="shared" ca="1" si="14"/>
        <v>20.515300098553034</v>
      </c>
      <c r="R67" s="2">
        <f t="shared" ca="1" si="14"/>
        <v>20.11493209762881</v>
      </c>
      <c r="S67" s="2">
        <f t="shared" ca="1" si="13"/>
        <v>26.25508985796592</v>
      </c>
      <c r="T67" s="2">
        <f t="shared" ca="1" si="13"/>
        <v>27.372144205915312</v>
      </c>
      <c r="U67" s="2">
        <f t="shared" ca="1" si="13"/>
        <v>21.808793470198033</v>
      </c>
      <c r="V67" s="2">
        <f t="shared" ca="1" si="13"/>
        <v>28.022222055145512</v>
      </c>
      <c r="W67" s="2">
        <f t="shared" ca="1" si="13"/>
        <v>25.511183913300357</v>
      </c>
      <c r="X67" s="2">
        <f t="shared" ca="1" si="13"/>
        <v>22.092417966431835</v>
      </c>
      <c r="Y67" s="2">
        <f t="shared" ca="1" si="11"/>
        <v>22.608645746471332</v>
      </c>
      <c r="Z67" s="2">
        <f t="shared" ca="1" si="12"/>
        <v>29.078062807250447</v>
      </c>
      <c r="AA67" s="2">
        <f t="shared" ca="1" si="12"/>
        <v>23.317262749911535</v>
      </c>
      <c r="AB67" s="2">
        <f t="shared" ca="1" si="12"/>
        <v>25.243209247358052</v>
      </c>
      <c r="AC67" s="2">
        <f t="shared" ca="1" si="12"/>
        <v>26.446641995235698</v>
      </c>
      <c r="AD67" s="2">
        <f t="shared" ca="1" si="12"/>
        <v>24.232655513727956</v>
      </c>
      <c r="AE67" s="2">
        <f t="shared" ca="1" si="12"/>
        <v>21.348263243860302</v>
      </c>
      <c r="AF67" s="2">
        <f t="shared" ca="1" si="12"/>
        <v>28.427953999546524</v>
      </c>
      <c r="AG67" s="2">
        <f t="shared" ca="1" si="12"/>
        <v>27.126948943680873</v>
      </c>
      <c r="AH67" s="2">
        <f t="shared" ca="1" si="12"/>
        <v>20.127518324543608</v>
      </c>
    </row>
    <row r="68" spans="1:34">
      <c r="A68" t="str">
        <f t="shared" si="6"/>
        <v>Coffee</v>
      </c>
      <c r="B68" t="str">
        <f t="shared" si="7"/>
        <v>Tigray</v>
      </c>
      <c r="C68" s="2">
        <f t="shared" ca="1" si="14"/>
        <v>20.625129615508975</v>
      </c>
      <c r="D68" s="2">
        <f t="shared" ca="1" si="14"/>
        <v>23.295253404300716</v>
      </c>
      <c r="E68" s="2">
        <f t="shared" ca="1" si="14"/>
        <v>26.995864944930577</v>
      </c>
      <c r="F68" s="2">
        <f t="shared" ca="1" si="14"/>
        <v>28.518625581967978</v>
      </c>
      <c r="G68" s="2">
        <f t="shared" ca="1" si="14"/>
        <v>21.548996088288142</v>
      </c>
      <c r="H68" s="2">
        <f t="shared" ca="1" si="14"/>
        <v>22.341477639830408</v>
      </c>
      <c r="I68" s="2">
        <f t="shared" ca="1" si="14"/>
        <v>29.888167695682242</v>
      </c>
      <c r="J68" s="2">
        <f t="shared" ca="1" si="14"/>
        <v>22.677628379853367</v>
      </c>
      <c r="K68" s="2">
        <f t="shared" ca="1" si="14"/>
        <v>20.818145471862159</v>
      </c>
      <c r="L68" s="2">
        <f t="shared" ca="1" si="14"/>
        <v>23.625781933644106</v>
      </c>
      <c r="M68" s="2">
        <f t="shared" ca="1" si="14"/>
        <v>27.292511485888266</v>
      </c>
      <c r="N68" s="2">
        <f t="shared" ca="1" si="14"/>
        <v>20.946937002405971</v>
      </c>
      <c r="O68" s="2">
        <f t="shared" ca="1" si="14"/>
        <v>20.530858426506544</v>
      </c>
      <c r="P68" s="2">
        <f t="shared" ca="1" si="14"/>
        <v>26.875149271390715</v>
      </c>
      <c r="Q68" s="2">
        <f t="shared" ca="1" si="14"/>
        <v>28.951022743223778</v>
      </c>
      <c r="R68" s="2">
        <f t="shared" ref="R68:AH68" ca="1" si="15">(RAND()*1+2)*10</f>
        <v>25.811198504600902</v>
      </c>
      <c r="S68" s="2">
        <f t="shared" ca="1" si="15"/>
        <v>24.020278953262697</v>
      </c>
      <c r="T68" s="2">
        <f t="shared" ca="1" si="15"/>
        <v>20.324206153214178</v>
      </c>
      <c r="U68" s="2">
        <f t="shared" ca="1" si="15"/>
        <v>29.006115793481023</v>
      </c>
      <c r="V68" s="2">
        <f t="shared" ca="1" si="15"/>
        <v>21.168765909209878</v>
      </c>
      <c r="W68" s="2">
        <f t="shared" ca="1" si="15"/>
        <v>22.077740235236362</v>
      </c>
      <c r="X68" s="2">
        <f t="shared" ca="1" si="15"/>
        <v>27.121164898846565</v>
      </c>
      <c r="Y68" s="2">
        <f t="shared" ca="1" si="15"/>
        <v>26.855183471590919</v>
      </c>
      <c r="Z68" s="2">
        <f t="shared" ca="1" si="15"/>
        <v>21.040969444891914</v>
      </c>
      <c r="AA68" s="2">
        <f t="shared" ca="1" si="15"/>
        <v>25.112105440456073</v>
      </c>
      <c r="AB68" s="2">
        <f t="shared" ca="1" si="15"/>
        <v>23.817694151662185</v>
      </c>
      <c r="AC68" s="2">
        <f t="shared" ca="1" si="15"/>
        <v>23.753088234638724</v>
      </c>
      <c r="AD68" s="2">
        <f t="shared" ca="1" si="15"/>
        <v>25.504321438488319</v>
      </c>
      <c r="AE68" s="2">
        <f t="shared" ca="1" si="15"/>
        <v>26.898019943191787</v>
      </c>
      <c r="AF68" s="2">
        <f t="shared" ca="1" si="15"/>
        <v>20.674062142718324</v>
      </c>
      <c r="AG68" s="2">
        <f t="shared" ca="1" si="15"/>
        <v>25.16841055119993</v>
      </c>
      <c r="AH68" s="2">
        <f t="shared" ca="1" si="15"/>
        <v>20.262377994574972</v>
      </c>
    </row>
  </sheetData>
  <pageMargins left="0.75" right="0.75" top="1" bottom="1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G13"/>
  <sheetViews>
    <sheetView tabSelected="1" zoomScale="85" zoomScaleNormal="85" workbookViewId="0">
      <selection activeCell="B3" sqref="B3:AG13"/>
    </sheetView>
  </sheetViews>
  <sheetFormatPr defaultRowHeight="15.75"/>
  <cols>
    <col min="1" max="1" width="10.75" bestFit="1" customWidth="1"/>
  </cols>
  <sheetData>
    <row r="1" spans="1:33">
      <c r="B1">
        <v>2015</v>
      </c>
      <c r="C1">
        <v>2015</v>
      </c>
      <c r="D1">
        <f>B1+1</f>
        <v>2016</v>
      </c>
      <c r="E1">
        <f t="shared" ref="E1:AG1" si="0">C1+1</f>
        <v>2016</v>
      </c>
      <c r="F1">
        <f t="shared" si="0"/>
        <v>2017</v>
      </c>
      <c r="G1">
        <f t="shared" si="0"/>
        <v>2017</v>
      </c>
      <c r="H1">
        <f t="shared" si="0"/>
        <v>2018</v>
      </c>
      <c r="I1">
        <f t="shared" si="0"/>
        <v>2018</v>
      </c>
      <c r="J1">
        <f t="shared" si="0"/>
        <v>2019</v>
      </c>
      <c r="K1">
        <f t="shared" si="0"/>
        <v>2019</v>
      </c>
      <c r="L1">
        <f t="shared" si="0"/>
        <v>2020</v>
      </c>
      <c r="M1">
        <f t="shared" si="0"/>
        <v>2020</v>
      </c>
      <c r="N1">
        <f t="shared" si="0"/>
        <v>2021</v>
      </c>
      <c r="O1">
        <f t="shared" si="0"/>
        <v>2021</v>
      </c>
      <c r="P1">
        <f t="shared" si="0"/>
        <v>2022</v>
      </c>
      <c r="Q1">
        <f t="shared" si="0"/>
        <v>2022</v>
      </c>
      <c r="R1">
        <f t="shared" si="0"/>
        <v>2023</v>
      </c>
      <c r="S1">
        <f t="shared" si="0"/>
        <v>2023</v>
      </c>
      <c r="T1">
        <f t="shared" si="0"/>
        <v>2024</v>
      </c>
      <c r="U1">
        <f t="shared" si="0"/>
        <v>2024</v>
      </c>
      <c r="V1">
        <f t="shared" si="0"/>
        <v>2025</v>
      </c>
      <c r="W1">
        <f t="shared" si="0"/>
        <v>2025</v>
      </c>
      <c r="X1">
        <f t="shared" si="0"/>
        <v>2026</v>
      </c>
      <c r="Y1">
        <f t="shared" si="0"/>
        <v>2026</v>
      </c>
      <c r="Z1">
        <f t="shared" si="0"/>
        <v>2027</v>
      </c>
      <c r="AA1">
        <f t="shared" si="0"/>
        <v>2027</v>
      </c>
      <c r="AB1">
        <f t="shared" si="0"/>
        <v>2028</v>
      </c>
      <c r="AC1">
        <f t="shared" si="0"/>
        <v>2028</v>
      </c>
      <c r="AD1">
        <f t="shared" si="0"/>
        <v>2029</v>
      </c>
      <c r="AE1">
        <f t="shared" si="0"/>
        <v>2029</v>
      </c>
      <c r="AF1">
        <f t="shared" si="0"/>
        <v>2030</v>
      </c>
      <c r="AG1">
        <f t="shared" si="0"/>
        <v>2030</v>
      </c>
    </row>
    <row r="2" spans="1:33">
      <c r="B2" t="str">
        <f t="array" ref="B2:C2">TRANSPOSE(Seasons)</f>
        <v>Belg</v>
      </c>
      <c r="C2" t="str">
        <v>Kremt</v>
      </c>
      <c r="D2" t="str">
        <f>B2</f>
        <v>Belg</v>
      </c>
      <c r="E2" t="str">
        <f t="shared" ref="E2:AG2" si="1">C2</f>
        <v>Kremt</v>
      </c>
      <c r="F2" t="str">
        <f t="shared" si="1"/>
        <v>Belg</v>
      </c>
      <c r="G2" t="str">
        <f t="shared" si="1"/>
        <v>Kremt</v>
      </c>
      <c r="H2" t="str">
        <f t="shared" si="1"/>
        <v>Belg</v>
      </c>
      <c r="I2" t="str">
        <f t="shared" si="1"/>
        <v>Kremt</v>
      </c>
      <c r="J2" t="str">
        <f t="shared" si="1"/>
        <v>Belg</v>
      </c>
      <c r="K2" t="str">
        <f t="shared" si="1"/>
        <v>Kremt</v>
      </c>
      <c r="L2" t="str">
        <f t="shared" si="1"/>
        <v>Belg</v>
      </c>
      <c r="M2" t="str">
        <f t="shared" si="1"/>
        <v>Kremt</v>
      </c>
      <c r="N2" t="str">
        <f t="shared" si="1"/>
        <v>Belg</v>
      </c>
      <c r="O2" t="str">
        <f t="shared" si="1"/>
        <v>Kremt</v>
      </c>
      <c r="P2" t="str">
        <f t="shared" si="1"/>
        <v>Belg</v>
      </c>
      <c r="Q2" t="str">
        <f t="shared" si="1"/>
        <v>Kremt</v>
      </c>
      <c r="R2" t="str">
        <f t="shared" si="1"/>
        <v>Belg</v>
      </c>
      <c r="S2" t="str">
        <f t="shared" si="1"/>
        <v>Kremt</v>
      </c>
      <c r="T2" t="str">
        <f t="shared" si="1"/>
        <v>Belg</v>
      </c>
      <c r="U2" t="str">
        <f t="shared" si="1"/>
        <v>Kremt</v>
      </c>
      <c r="V2" t="str">
        <f t="shared" si="1"/>
        <v>Belg</v>
      </c>
      <c r="W2" t="str">
        <f t="shared" si="1"/>
        <v>Kremt</v>
      </c>
      <c r="X2" t="str">
        <f t="shared" si="1"/>
        <v>Belg</v>
      </c>
      <c r="Y2" t="str">
        <f t="shared" si="1"/>
        <v>Kremt</v>
      </c>
      <c r="Z2" t="str">
        <f t="shared" si="1"/>
        <v>Belg</v>
      </c>
      <c r="AA2" t="str">
        <f t="shared" si="1"/>
        <v>Kremt</v>
      </c>
      <c r="AB2" t="str">
        <f t="shared" si="1"/>
        <v>Belg</v>
      </c>
      <c r="AC2" t="str">
        <f t="shared" si="1"/>
        <v>Kremt</v>
      </c>
      <c r="AD2" t="str">
        <f t="shared" si="1"/>
        <v>Belg</v>
      </c>
      <c r="AE2" t="str">
        <f t="shared" si="1"/>
        <v>Kremt</v>
      </c>
      <c r="AF2" t="str">
        <f t="shared" si="1"/>
        <v>Belg</v>
      </c>
      <c r="AG2" t="str">
        <f t="shared" si="1"/>
        <v>Kremt</v>
      </c>
    </row>
    <row r="3" spans="1:33">
      <c r="A3" t="str">
        <f t="array" ref="A3:A13">Nodes</f>
        <v>AddisAbaba</v>
      </c>
      <c r="B3" s="2">
        <f ca="1">500+RAND()*20</f>
        <v>513.92554217473617</v>
      </c>
      <c r="C3" s="2">
        <f ca="1">400+RAND()*25</f>
        <v>420.32701325182109</v>
      </c>
      <c r="D3" s="2">
        <f ca="1">500+RAND()*20</f>
        <v>513.79302319686474</v>
      </c>
      <c r="E3" s="2">
        <f ca="1">400+RAND()*25</f>
        <v>416.2812047454189</v>
      </c>
      <c r="F3" s="2">
        <f ca="1">500+RAND()*20</f>
        <v>507.60893571022433</v>
      </c>
      <c r="G3" s="2">
        <f ca="1">400+RAND()*25</f>
        <v>411.4581526003879</v>
      </c>
      <c r="H3" s="2">
        <f ca="1">500+RAND()*20</f>
        <v>515.86230949954245</v>
      </c>
      <c r="I3" s="2">
        <f ca="1">400+RAND()*25</f>
        <v>415.93107110122128</v>
      </c>
      <c r="J3" s="2">
        <f ca="1">500+RAND()*20</f>
        <v>503.85628182165692</v>
      </c>
      <c r="K3" s="2">
        <f ca="1">400+RAND()*25</f>
        <v>402.51598315156173</v>
      </c>
      <c r="L3" s="2">
        <f ca="1">500+RAND()*20</f>
        <v>505.92056889261261</v>
      </c>
      <c r="M3" s="2">
        <f ca="1">400+RAND()*25</f>
        <v>418.71860238580132</v>
      </c>
      <c r="N3" s="2">
        <f ca="1">500+RAND()*20</f>
        <v>508.07756911446285</v>
      </c>
      <c r="O3" s="2">
        <f ca="1">400+RAND()*25</f>
        <v>401.46880390870331</v>
      </c>
      <c r="P3" s="2">
        <f ca="1">500+RAND()*20</f>
        <v>514.1183463066792</v>
      </c>
      <c r="Q3" s="2">
        <f ca="1">400+RAND()*25</f>
        <v>400.61659512856352</v>
      </c>
      <c r="R3" s="2">
        <f ca="1">500+RAND()*20</f>
        <v>505.24704997465227</v>
      </c>
      <c r="S3" s="2">
        <f ca="1">400+RAND()*25</f>
        <v>404.39999365462262</v>
      </c>
      <c r="T3" s="2">
        <f ca="1">500+RAND()*20</f>
        <v>515.97537207468679</v>
      </c>
      <c r="U3" s="2">
        <f ca="1">400+RAND()*25</f>
        <v>417.59072083530828</v>
      </c>
      <c r="V3" s="2">
        <f ca="1">500+RAND()*20</f>
        <v>511.05852243182215</v>
      </c>
      <c r="W3" s="2">
        <f ca="1">400+RAND()*25</f>
        <v>402.68269278202087</v>
      </c>
      <c r="X3" s="2">
        <f ca="1">500+RAND()*20</f>
        <v>519.94415403363803</v>
      </c>
      <c r="Y3" s="2">
        <f ca="1">400+RAND()*25</f>
        <v>414.39780729947785</v>
      </c>
      <c r="Z3" s="2">
        <f ca="1">500+RAND()*20</f>
        <v>508.12070161318542</v>
      </c>
      <c r="AA3" s="2">
        <f ca="1">400+RAND()*25</f>
        <v>420.8073599828486</v>
      </c>
      <c r="AB3" s="2">
        <f ca="1">500+RAND()*20</f>
        <v>502.41613007753807</v>
      </c>
      <c r="AC3" s="2">
        <f ca="1">400+RAND()*25</f>
        <v>415.85731873075446</v>
      </c>
      <c r="AD3" s="2">
        <f ca="1">500+RAND()*20</f>
        <v>506.45400153408735</v>
      </c>
      <c r="AE3" s="2">
        <f ca="1">400+RAND()*25</f>
        <v>408.1482533472211</v>
      </c>
      <c r="AF3" s="2">
        <f ca="1">500+RAND()*20</f>
        <v>500.2461910642773</v>
      </c>
      <c r="AG3" s="2">
        <f ca="1">400+RAND()*25</f>
        <v>403.84498964653</v>
      </c>
    </row>
    <row r="4" spans="1:33">
      <c r="A4" t="str">
        <v>Afar</v>
      </c>
      <c r="B4" s="2">
        <f ca="1">50+RAND()*7</f>
        <v>53.102678743904747</v>
      </c>
      <c r="C4" s="2">
        <f ca="1">40+RAND()*5</f>
        <v>43.037497530688341</v>
      </c>
      <c r="D4" s="2">
        <f ca="1">50+RAND()*7</f>
        <v>52.619959541137341</v>
      </c>
      <c r="E4" s="2">
        <f ca="1">40+RAND()*5</f>
        <v>40.201984350709367</v>
      </c>
      <c r="F4" s="2">
        <f ca="1">50+RAND()*7</f>
        <v>50.468853071451065</v>
      </c>
      <c r="G4" s="2">
        <f ca="1">40+RAND()*5</f>
        <v>40.99497519641713</v>
      </c>
      <c r="H4" s="2">
        <f ca="1">50+RAND()*7</f>
        <v>51.652083100117864</v>
      </c>
      <c r="I4" s="2">
        <f ca="1">40+RAND()*5</f>
        <v>42.391177572741448</v>
      </c>
      <c r="J4" s="2">
        <f ca="1">50+RAND()*7</f>
        <v>54.817648154375306</v>
      </c>
      <c r="K4" s="2">
        <f ca="1">40+RAND()*5</f>
        <v>43.056383477056016</v>
      </c>
      <c r="L4" s="2">
        <f ca="1">50+RAND()*7</f>
        <v>54.511125768135031</v>
      </c>
      <c r="M4" s="2">
        <f ca="1">40+RAND()*5</f>
        <v>44.978349686520318</v>
      </c>
      <c r="N4" s="2">
        <f ca="1">50+RAND()*7</f>
        <v>51.986343041511127</v>
      </c>
      <c r="O4" s="2">
        <f ca="1">40+RAND()*5</f>
        <v>41.151410578328402</v>
      </c>
      <c r="P4" s="2">
        <f ca="1">50+RAND()*7</f>
        <v>56.21701396653971</v>
      </c>
      <c r="Q4" s="2">
        <f ca="1">40+RAND()*5</f>
        <v>44.178687143591752</v>
      </c>
      <c r="R4" s="2">
        <f ca="1">50+RAND()*7</f>
        <v>52.208460727430648</v>
      </c>
      <c r="S4" s="2">
        <f ca="1">40+RAND()*5</f>
        <v>41.494018819433137</v>
      </c>
      <c r="T4" s="2">
        <f ca="1">50+RAND()*7</f>
        <v>50.32008256630413</v>
      </c>
      <c r="U4" s="2">
        <f ca="1">40+RAND()*5</f>
        <v>41.446487549545829</v>
      </c>
      <c r="V4" s="2">
        <f ca="1">50+RAND()*7</f>
        <v>51.253829141460962</v>
      </c>
      <c r="W4" s="2">
        <f ca="1">40+RAND()*5</f>
        <v>44.677540676814488</v>
      </c>
      <c r="X4" s="2">
        <f ca="1">50+RAND()*7</f>
        <v>50.239731955354287</v>
      </c>
      <c r="Y4" s="2">
        <f ca="1">40+RAND()*5</f>
        <v>43.876490314275365</v>
      </c>
      <c r="Z4" s="2">
        <f ca="1">50+RAND()*7</f>
        <v>54.054666128023854</v>
      </c>
      <c r="AA4" s="2">
        <f ca="1">40+RAND()*5</f>
        <v>42.615655213525756</v>
      </c>
      <c r="AB4" s="2">
        <f ca="1">50+RAND()*7</f>
        <v>52.755718814559337</v>
      </c>
      <c r="AC4" s="2">
        <f ca="1">40+RAND()*5</f>
        <v>42.837870826660996</v>
      </c>
      <c r="AD4" s="2">
        <f ca="1">50+RAND()*7</f>
        <v>51.815192228600175</v>
      </c>
      <c r="AE4" s="2">
        <f ca="1">40+RAND()*5</f>
        <v>40.976760018637378</v>
      </c>
      <c r="AF4" s="2">
        <f ca="1">50+RAND()*7</f>
        <v>51.552627546074589</v>
      </c>
      <c r="AG4" s="2">
        <f ca="1">40+RAND()*5</f>
        <v>41.948813925814548</v>
      </c>
    </row>
    <row r="5" spans="1:33">
      <c r="A5" t="str">
        <v>Amhara</v>
      </c>
      <c r="B5" s="2">
        <f t="shared" ref="B5:B13" ca="1" si="2">50+RAND()*7</f>
        <v>53.149485407052921</v>
      </c>
      <c r="C5" s="2">
        <f t="shared" ref="C5:C13" ca="1" si="3">40+RAND()*5</f>
        <v>42.767719457211157</v>
      </c>
      <c r="D5" s="2">
        <f t="shared" ref="D5:D13" ca="1" si="4">50+RAND()*7</f>
        <v>54.551240259564935</v>
      </c>
      <c r="E5" s="2">
        <f t="shared" ref="E5:E13" ca="1" si="5">40+RAND()*5</f>
        <v>44.525118750160935</v>
      </c>
      <c r="F5" s="2">
        <f t="shared" ref="F5:F13" ca="1" si="6">50+RAND()*7</f>
        <v>51.830514466331955</v>
      </c>
      <c r="G5" s="2">
        <f t="shared" ref="G5:G13" ca="1" si="7">40+RAND()*5</f>
        <v>41.5432007401132</v>
      </c>
      <c r="H5" s="2">
        <f t="shared" ref="H5:H13" ca="1" si="8">50+RAND()*7</f>
        <v>51.643728472509288</v>
      </c>
      <c r="I5" s="2">
        <f t="shared" ref="I5:I13" ca="1" si="9">40+RAND()*5</f>
        <v>43.547278258662494</v>
      </c>
      <c r="J5" s="2">
        <f t="shared" ref="J5:J13" ca="1" si="10">50+RAND()*7</f>
        <v>53.517805411330919</v>
      </c>
      <c r="K5" s="2">
        <f t="shared" ref="K5:K13" ca="1" si="11">40+RAND()*5</f>
        <v>41.416218691269485</v>
      </c>
      <c r="L5" s="2">
        <f t="shared" ref="L5:L13" ca="1" si="12">50+RAND()*7</f>
        <v>53.475681386798385</v>
      </c>
      <c r="M5" s="2">
        <f t="shared" ref="M5:M13" ca="1" si="13">40+RAND()*5</f>
        <v>44.732617513432729</v>
      </c>
      <c r="N5" s="2">
        <f t="shared" ref="N5:N13" ca="1" si="14">50+RAND()*7</f>
        <v>56.378014904636096</v>
      </c>
      <c r="O5" s="2">
        <f t="shared" ref="O5:O13" ca="1" si="15">40+RAND()*5</f>
        <v>44.622328195301428</v>
      </c>
      <c r="P5" s="2">
        <f t="shared" ref="P5:P13" ca="1" si="16">50+RAND()*7</f>
        <v>52.129919671244977</v>
      </c>
      <c r="Q5" s="2">
        <f t="shared" ref="Q5:Q13" ca="1" si="17">40+RAND()*5</f>
        <v>43.949421119466891</v>
      </c>
      <c r="R5" s="2">
        <f t="shared" ref="R5:R13" ca="1" si="18">50+RAND()*7</f>
        <v>51.90114469998894</v>
      </c>
      <c r="S5" s="2">
        <f t="shared" ref="S5:S13" ca="1" si="19">40+RAND()*5</f>
        <v>44.961202617155216</v>
      </c>
      <c r="T5" s="2">
        <f t="shared" ref="T5:T13" ca="1" si="20">50+RAND()*7</f>
        <v>54.346363692508696</v>
      </c>
      <c r="U5" s="2">
        <f t="shared" ref="U5:U13" ca="1" si="21">40+RAND()*5</f>
        <v>40.749256328132098</v>
      </c>
      <c r="V5" s="2">
        <f t="shared" ref="V5:V13" ca="1" si="22">50+RAND()*7</f>
        <v>53.14567980670904</v>
      </c>
      <c r="W5" s="2">
        <f t="shared" ref="W5:W13" ca="1" si="23">40+RAND()*5</f>
        <v>44.1157943889433</v>
      </c>
      <c r="X5" s="2">
        <f t="shared" ref="X5:X13" ca="1" si="24">50+RAND()*7</f>
        <v>50.710969431124667</v>
      </c>
      <c r="Y5" s="2">
        <f t="shared" ref="Y5:Y13" ca="1" si="25">40+RAND()*5</f>
        <v>42.809261839045654</v>
      </c>
      <c r="Z5" s="2">
        <f t="shared" ref="Z5:Z13" ca="1" si="26">50+RAND()*7</f>
        <v>51.909853720467737</v>
      </c>
      <c r="AA5" s="2">
        <f t="shared" ref="AA5:AA13" ca="1" si="27">40+RAND()*5</f>
        <v>40.798450090953438</v>
      </c>
      <c r="AB5" s="2">
        <f t="shared" ref="AB5:AB13" ca="1" si="28">50+RAND()*7</f>
        <v>53.99284464853951</v>
      </c>
      <c r="AC5" s="2">
        <f t="shared" ref="AC5:AC13" ca="1" si="29">40+RAND()*5</f>
        <v>41.72082504700132</v>
      </c>
      <c r="AD5" s="2">
        <f t="shared" ref="AD5:AD13" ca="1" si="30">50+RAND()*7</f>
        <v>56.094347041623081</v>
      </c>
      <c r="AE5" s="2">
        <f t="shared" ref="AE5:AE13" ca="1" si="31">40+RAND()*5</f>
        <v>42.600114213231187</v>
      </c>
      <c r="AF5" s="2">
        <f t="shared" ref="AF5:AF13" ca="1" si="32">50+RAND()*7</f>
        <v>53.36653936223297</v>
      </c>
      <c r="AG5" s="2">
        <f t="shared" ref="AG5:AG13" ca="1" si="33">40+RAND()*5</f>
        <v>42.420297553982202</v>
      </c>
    </row>
    <row r="6" spans="1:33">
      <c r="A6" t="str">
        <v>Gumuz</v>
      </c>
      <c r="B6" s="2">
        <f t="shared" ca="1" si="2"/>
        <v>52.242243344786516</v>
      </c>
      <c r="C6" s="2">
        <f t="shared" ca="1" si="3"/>
        <v>40.595520901084384</v>
      </c>
      <c r="D6" s="2">
        <f t="shared" ca="1" si="4"/>
        <v>52.683804789826276</v>
      </c>
      <c r="E6" s="2">
        <f t="shared" ca="1" si="5"/>
        <v>43.401252476756014</v>
      </c>
      <c r="F6" s="2">
        <f t="shared" ca="1" si="6"/>
        <v>53.636999304173855</v>
      </c>
      <c r="G6" s="2">
        <f t="shared" ca="1" si="7"/>
        <v>41.207799472260362</v>
      </c>
      <c r="H6" s="2">
        <f t="shared" ca="1" si="8"/>
        <v>54.001254169379123</v>
      </c>
      <c r="I6" s="2">
        <f t="shared" ca="1" si="9"/>
        <v>40.755593938135242</v>
      </c>
      <c r="J6" s="2">
        <f t="shared" ca="1" si="10"/>
        <v>50.823981561504851</v>
      </c>
      <c r="K6" s="2">
        <f t="shared" ca="1" si="11"/>
        <v>40.863704312552684</v>
      </c>
      <c r="L6" s="2">
        <f t="shared" ca="1" si="12"/>
        <v>50.412950638157646</v>
      </c>
      <c r="M6" s="2">
        <f t="shared" ca="1" si="13"/>
        <v>41.275737627920869</v>
      </c>
      <c r="N6" s="2">
        <f t="shared" ca="1" si="14"/>
        <v>53.959595576004318</v>
      </c>
      <c r="O6" s="2">
        <f t="shared" ca="1" si="15"/>
        <v>41.899894719907905</v>
      </c>
      <c r="P6" s="2">
        <f t="shared" ca="1" si="16"/>
        <v>50.642235129203023</v>
      </c>
      <c r="Q6" s="2">
        <f t="shared" ca="1" si="17"/>
        <v>42.57848677364418</v>
      </c>
      <c r="R6" s="2">
        <f t="shared" ca="1" si="18"/>
        <v>56.85083483898768</v>
      </c>
      <c r="S6" s="2">
        <f t="shared" ca="1" si="19"/>
        <v>42.571279771235218</v>
      </c>
      <c r="T6" s="2">
        <f t="shared" ca="1" si="20"/>
        <v>53.899813474524443</v>
      </c>
      <c r="U6" s="2">
        <f t="shared" ca="1" si="21"/>
        <v>40.68201181367499</v>
      </c>
      <c r="V6" s="2">
        <f t="shared" ca="1" si="22"/>
        <v>52.977094564367128</v>
      </c>
      <c r="W6" s="2">
        <f t="shared" ca="1" si="23"/>
        <v>44.46499764503001</v>
      </c>
      <c r="X6" s="2">
        <f t="shared" ca="1" si="24"/>
        <v>50.845155197281379</v>
      </c>
      <c r="Y6" s="2">
        <f t="shared" ca="1" si="25"/>
        <v>41.086786692393439</v>
      </c>
      <c r="Z6" s="2">
        <f t="shared" ca="1" si="26"/>
        <v>50.627343395203724</v>
      </c>
      <c r="AA6" s="2">
        <f t="shared" ca="1" si="27"/>
        <v>44.196667148820971</v>
      </c>
      <c r="AB6" s="2">
        <f t="shared" ca="1" si="28"/>
        <v>52.492739219849405</v>
      </c>
      <c r="AC6" s="2">
        <f t="shared" ca="1" si="29"/>
        <v>42.36111930500865</v>
      </c>
      <c r="AD6" s="2">
        <f t="shared" ca="1" si="30"/>
        <v>55.996551657089491</v>
      </c>
      <c r="AE6" s="2">
        <f t="shared" ca="1" si="31"/>
        <v>43.056154949662442</v>
      </c>
      <c r="AF6" s="2">
        <f t="shared" ca="1" si="32"/>
        <v>56.760648078727598</v>
      </c>
      <c r="AG6" s="2">
        <f t="shared" ca="1" si="33"/>
        <v>41.255421670327372</v>
      </c>
    </row>
    <row r="7" spans="1:33">
      <c r="A7" t="str">
        <v>DireDawa</v>
      </c>
      <c r="B7" s="2">
        <f t="shared" ca="1" si="2"/>
        <v>51.771627703796547</v>
      </c>
      <c r="C7" s="2">
        <f t="shared" ca="1" si="3"/>
        <v>43.554616736951495</v>
      </c>
      <c r="D7" s="2">
        <f t="shared" ca="1" si="4"/>
        <v>55.068907649687375</v>
      </c>
      <c r="E7" s="2">
        <f t="shared" ca="1" si="5"/>
        <v>41.795023537896469</v>
      </c>
      <c r="F7" s="2">
        <f t="shared" ca="1" si="6"/>
        <v>52.946108619973103</v>
      </c>
      <c r="G7" s="2">
        <f t="shared" ca="1" si="7"/>
        <v>40.480862099577521</v>
      </c>
      <c r="H7" s="2">
        <f t="shared" ca="1" si="8"/>
        <v>50.793389524221993</v>
      </c>
      <c r="I7" s="2">
        <f t="shared" ca="1" si="9"/>
        <v>40.737041212073336</v>
      </c>
      <c r="J7" s="2">
        <f t="shared" ca="1" si="10"/>
        <v>51.204289690320159</v>
      </c>
      <c r="K7" s="2">
        <f t="shared" ca="1" si="11"/>
        <v>40.51224165400609</v>
      </c>
      <c r="L7" s="2">
        <f t="shared" ca="1" si="12"/>
        <v>51.923682748930666</v>
      </c>
      <c r="M7" s="2">
        <f t="shared" ca="1" si="13"/>
        <v>44.600343282216222</v>
      </c>
      <c r="N7" s="2">
        <f t="shared" ca="1" si="14"/>
        <v>52.652390537220477</v>
      </c>
      <c r="O7" s="2">
        <f t="shared" ca="1" si="15"/>
        <v>41.466063245110043</v>
      </c>
      <c r="P7" s="2">
        <f t="shared" ca="1" si="16"/>
        <v>55.590685161589626</v>
      </c>
      <c r="Q7" s="2">
        <f t="shared" ca="1" si="17"/>
        <v>40.089932206686449</v>
      </c>
      <c r="R7" s="2">
        <f t="shared" ca="1" si="18"/>
        <v>54.658613209172749</v>
      </c>
      <c r="S7" s="2">
        <f t="shared" ca="1" si="19"/>
        <v>43.748419038326816</v>
      </c>
      <c r="T7" s="2">
        <f t="shared" ca="1" si="20"/>
        <v>51.814548076230167</v>
      </c>
      <c r="U7" s="2">
        <f t="shared" ca="1" si="21"/>
        <v>44.474294779922424</v>
      </c>
      <c r="V7" s="2">
        <f t="shared" ca="1" si="22"/>
        <v>51.887018161671094</v>
      </c>
      <c r="W7" s="2">
        <f t="shared" ca="1" si="23"/>
        <v>42.516008166068886</v>
      </c>
      <c r="X7" s="2">
        <f t="shared" ca="1" si="24"/>
        <v>52.924298621170969</v>
      </c>
      <c r="Y7" s="2">
        <f t="shared" ca="1" si="25"/>
        <v>41.721940368704146</v>
      </c>
      <c r="Z7" s="2">
        <f t="shared" ca="1" si="26"/>
        <v>53.748078774005108</v>
      </c>
      <c r="AA7" s="2">
        <f t="shared" ca="1" si="27"/>
        <v>44.154882310977243</v>
      </c>
      <c r="AB7" s="2">
        <f t="shared" ca="1" si="28"/>
        <v>50.154223113219793</v>
      </c>
      <c r="AC7" s="2">
        <f t="shared" ca="1" si="29"/>
        <v>44.651463316157347</v>
      </c>
      <c r="AD7" s="2">
        <f t="shared" ca="1" si="30"/>
        <v>56.398389792357648</v>
      </c>
      <c r="AE7" s="2">
        <f t="shared" ca="1" si="31"/>
        <v>44.916982586175536</v>
      </c>
      <c r="AF7" s="2">
        <f t="shared" ca="1" si="32"/>
        <v>50.715432585840169</v>
      </c>
      <c r="AG7" s="2">
        <f t="shared" ca="1" si="33"/>
        <v>41.496660970471275</v>
      </c>
    </row>
    <row r="8" spans="1:33">
      <c r="A8" t="str">
        <v>Gambela</v>
      </c>
      <c r="B8" s="2">
        <f t="shared" ca="1" si="2"/>
        <v>50.480769942477174</v>
      </c>
      <c r="C8" s="2">
        <f t="shared" ca="1" si="3"/>
        <v>44.860101740941651</v>
      </c>
      <c r="D8" s="2">
        <f t="shared" ca="1" si="4"/>
        <v>53.854814064572608</v>
      </c>
      <c r="E8" s="2">
        <f t="shared" ca="1" si="5"/>
        <v>41.700544695094415</v>
      </c>
      <c r="F8" s="2">
        <f t="shared" ca="1" si="6"/>
        <v>56.162955941745324</v>
      </c>
      <c r="G8" s="2">
        <f t="shared" ca="1" si="7"/>
        <v>41.811746620111627</v>
      </c>
      <c r="H8" s="2">
        <f t="shared" ca="1" si="8"/>
        <v>53.896331222484974</v>
      </c>
      <c r="I8" s="2">
        <f t="shared" ca="1" si="9"/>
        <v>44.782152241198382</v>
      </c>
      <c r="J8" s="2">
        <f t="shared" ca="1" si="10"/>
        <v>54.497911223215347</v>
      </c>
      <c r="K8" s="2">
        <f t="shared" ca="1" si="11"/>
        <v>41.803092071344352</v>
      </c>
      <c r="L8" s="2">
        <f t="shared" ca="1" si="12"/>
        <v>52.895593188405087</v>
      </c>
      <c r="M8" s="2">
        <f t="shared" ca="1" si="13"/>
        <v>43.716598912883676</v>
      </c>
      <c r="N8" s="2">
        <f t="shared" ca="1" si="14"/>
        <v>53.412894240163936</v>
      </c>
      <c r="O8" s="2">
        <f t="shared" ca="1" si="15"/>
        <v>41.303381523313689</v>
      </c>
      <c r="P8" s="2">
        <f t="shared" ca="1" si="16"/>
        <v>52.568157233810304</v>
      </c>
      <c r="Q8" s="2">
        <f t="shared" ca="1" si="17"/>
        <v>43.341948772971136</v>
      </c>
      <c r="R8" s="2">
        <f t="shared" ca="1" si="18"/>
        <v>52.665348281347228</v>
      </c>
      <c r="S8" s="2">
        <f t="shared" ca="1" si="19"/>
        <v>41.410267955153202</v>
      </c>
      <c r="T8" s="2">
        <f t="shared" ca="1" si="20"/>
        <v>53.875563123651553</v>
      </c>
      <c r="U8" s="2">
        <f t="shared" ca="1" si="21"/>
        <v>40.607683688045775</v>
      </c>
      <c r="V8" s="2">
        <f t="shared" ca="1" si="22"/>
        <v>56.69165993959048</v>
      </c>
      <c r="W8" s="2">
        <f t="shared" ca="1" si="23"/>
        <v>44.10070538115199</v>
      </c>
      <c r="X8" s="2">
        <f t="shared" ca="1" si="24"/>
        <v>52.589901806465946</v>
      </c>
      <c r="Y8" s="2">
        <f t="shared" ca="1" si="25"/>
        <v>44.092796184551233</v>
      </c>
      <c r="Z8" s="2">
        <f t="shared" ca="1" si="26"/>
        <v>56.582301164502965</v>
      </c>
      <c r="AA8" s="2">
        <f t="shared" ca="1" si="27"/>
        <v>43.289096604615601</v>
      </c>
      <c r="AB8" s="2">
        <f t="shared" ca="1" si="28"/>
        <v>52.372202609401498</v>
      </c>
      <c r="AC8" s="2">
        <f t="shared" ca="1" si="29"/>
        <v>43.500570910240214</v>
      </c>
      <c r="AD8" s="2">
        <f t="shared" ca="1" si="30"/>
        <v>51.459618978072591</v>
      </c>
      <c r="AE8" s="2">
        <f t="shared" ca="1" si="31"/>
        <v>42.684024748409392</v>
      </c>
      <c r="AF8" s="2">
        <f t="shared" ca="1" si="32"/>
        <v>53.88314531359174</v>
      </c>
      <c r="AG8" s="2">
        <f t="shared" ca="1" si="33"/>
        <v>40.515250236242963</v>
      </c>
    </row>
    <row r="9" spans="1:33">
      <c r="A9" t="str">
        <v>Harari</v>
      </c>
      <c r="B9" s="2">
        <f t="shared" ca="1" si="2"/>
        <v>51.60700435106709</v>
      </c>
      <c r="C9" s="2">
        <f t="shared" ca="1" si="3"/>
        <v>42.936534557671166</v>
      </c>
      <c r="D9" s="2">
        <f t="shared" ca="1" si="4"/>
        <v>51.721888648372357</v>
      </c>
      <c r="E9" s="2">
        <f t="shared" ca="1" si="5"/>
        <v>42.507161360599625</v>
      </c>
      <c r="F9" s="2">
        <f t="shared" ca="1" si="6"/>
        <v>54.761700266495922</v>
      </c>
      <c r="G9" s="2">
        <f t="shared" ca="1" si="7"/>
        <v>44.909740396278551</v>
      </c>
      <c r="H9" s="2">
        <f t="shared" ca="1" si="8"/>
        <v>52.151644459964487</v>
      </c>
      <c r="I9" s="2">
        <f t="shared" ca="1" si="9"/>
        <v>43.344609979573633</v>
      </c>
      <c r="J9" s="2">
        <f t="shared" ca="1" si="10"/>
        <v>56.056763322500373</v>
      </c>
      <c r="K9" s="2">
        <f t="shared" ca="1" si="11"/>
        <v>41.111582728921832</v>
      </c>
      <c r="L9" s="2">
        <f t="shared" ca="1" si="12"/>
        <v>53.856169721929781</v>
      </c>
      <c r="M9" s="2">
        <f t="shared" ca="1" si="13"/>
        <v>42.916651237566541</v>
      </c>
      <c r="N9" s="2">
        <f t="shared" ca="1" si="14"/>
        <v>56.224233893147499</v>
      </c>
      <c r="O9" s="2">
        <f t="shared" ca="1" si="15"/>
        <v>41.304527904132584</v>
      </c>
      <c r="P9" s="2">
        <f t="shared" ca="1" si="16"/>
        <v>50.492576831933071</v>
      </c>
      <c r="Q9" s="2">
        <f t="shared" ca="1" si="17"/>
        <v>40.371218523718035</v>
      </c>
      <c r="R9" s="2">
        <f t="shared" ca="1" si="18"/>
        <v>52.922411431857107</v>
      </c>
      <c r="S9" s="2">
        <f t="shared" ca="1" si="19"/>
        <v>40.391620154652117</v>
      </c>
      <c r="T9" s="2">
        <f t="shared" ca="1" si="20"/>
        <v>54.560948252329958</v>
      </c>
      <c r="U9" s="2">
        <f t="shared" ca="1" si="21"/>
        <v>43.885426047546865</v>
      </c>
      <c r="V9" s="2">
        <f t="shared" ca="1" si="22"/>
        <v>51.764539378183265</v>
      </c>
      <c r="W9" s="2">
        <f t="shared" ca="1" si="23"/>
        <v>42.277913906783091</v>
      </c>
      <c r="X9" s="2">
        <f t="shared" ca="1" si="24"/>
        <v>54.238064371837488</v>
      </c>
      <c r="Y9" s="2">
        <f t="shared" ca="1" si="25"/>
        <v>43.592464347950816</v>
      </c>
      <c r="Z9" s="2">
        <f t="shared" ca="1" si="26"/>
        <v>56.678638947457628</v>
      </c>
      <c r="AA9" s="2">
        <f t="shared" ca="1" si="27"/>
        <v>42.160959545207461</v>
      </c>
      <c r="AB9" s="2">
        <f t="shared" ca="1" si="28"/>
        <v>51.710507211362405</v>
      </c>
      <c r="AC9" s="2">
        <f t="shared" ca="1" si="29"/>
        <v>43.358857339708919</v>
      </c>
      <c r="AD9" s="2">
        <f t="shared" ca="1" si="30"/>
        <v>51.632423833787144</v>
      </c>
      <c r="AE9" s="2">
        <f t="shared" ca="1" si="31"/>
        <v>44.505313518489586</v>
      </c>
      <c r="AF9" s="2">
        <f t="shared" ca="1" si="32"/>
        <v>50.719519845209518</v>
      </c>
      <c r="AG9" s="2">
        <f t="shared" ca="1" si="33"/>
        <v>43.022723219951111</v>
      </c>
    </row>
    <row r="10" spans="1:33">
      <c r="A10" t="str">
        <v>Oromia</v>
      </c>
      <c r="B10" s="2">
        <f t="shared" ca="1" si="2"/>
        <v>55.281281805981898</v>
      </c>
      <c r="C10" s="2">
        <f t="shared" ca="1" si="3"/>
        <v>40.475308788712148</v>
      </c>
      <c r="D10" s="2">
        <f t="shared" ca="1" si="4"/>
        <v>56.531424501444903</v>
      </c>
      <c r="E10" s="2">
        <f t="shared" ca="1" si="5"/>
        <v>43.174089030790107</v>
      </c>
      <c r="F10" s="2">
        <f t="shared" ca="1" si="6"/>
        <v>51.493133483465186</v>
      </c>
      <c r="G10" s="2">
        <f t="shared" ca="1" si="7"/>
        <v>41.091317129716209</v>
      </c>
      <c r="H10" s="2">
        <f t="shared" ca="1" si="8"/>
        <v>51.750767820000696</v>
      </c>
      <c r="I10" s="2">
        <f t="shared" ca="1" si="9"/>
        <v>44.33623694243596</v>
      </c>
      <c r="J10" s="2">
        <f t="shared" ca="1" si="10"/>
        <v>51.352046673719187</v>
      </c>
      <c r="K10" s="2">
        <f t="shared" ca="1" si="11"/>
        <v>41.622869429423318</v>
      </c>
      <c r="L10" s="2">
        <f t="shared" ca="1" si="12"/>
        <v>56.950042445854258</v>
      </c>
      <c r="M10" s="2">
        <f t="shared" ca="1" si="13"/>
        <v>44.813859440730511</v>
      </c>
      <c r="N10" s="2">
        <f t="shared" ca="1" si="14"/>
        <v>51.672101799054914</v>
      </c>
      <c r="O10" s="2">
        <f t="shared" ca="1" si="15"/>
        <v>44.340757660050116</v>
      </c>
      <c r="P10" s="2">
        <f t="shared" ca="1" si="16"/>
        <v>53.45928495504338</v>
      </c>
      <c r="Q10" s="2">
        <f t="shared" ca="1" si="17"/>
        <v>44.247265062088843</v>
      </c>
      <c r="R10" s="2">
        <f t="shared" ca="1" si="18"/>
        <v>53.391498306443268</v>
      </c>
      <c r="S10" s="2">
        <f t="shared" ca="1" si="19"/>
        <v>43.283435582924746</v>
      </c>
      <c r="T10" s="2">
        <f t="shared" ca="1" si="20"/>
        <v>51.443822930308066</v>
      </c>
      <c r="U10" s="2">
        <f t="shared" ca="1" si="21"/>
        <v>40.157522779977903</v>
      </c>
      <c r="V10" s="2">
        <f t="shared" ca="1" si="22"/>
        <v>55.000379439019724</v>
      </c>
      <c r="W10" s="2">
        <f t="shared" ca="1" si="23"/>
        <v>41.635355056582213</v>
      </c>
      <c r="X10" s="2">
        <f t="shared" ca="1" si="24"/>
        <v>53.884332858167035</v>
      </c>
      <c r="Y10" s="2">
        <f t="shared" ca="1" si="25"/>
        <v>44.234799921381388</v>
      </c>
      <c r="Z10" s="2">
        <f t="shared" ca="1" si="26"/>
        <v>54.181853627348744</v>
      </c>
      <c r="AA10" s="2">
        <f t="shared" ca="1" si="27"/>
        <v>41.727162957418578</v>
      </c>
      <c r="AB10" s="2">
        <f t="shared" ca="1" si="28"/>
        <v>55.908166827804997</v>
      </c>
      <c r="AC10" s="2">
        <f t="shared" ca="1" si="29"/>
        <v>41.278049882897719</v>
      </c>
      <c r="AD10" s="2">
        <f t="shared" ca="1" si="30"/>
        <v>51.385149574367233</v>
      </c>
      <c r="AE10" s="2">
        <f t="shared" ca="1" si="31"/>
        <v>44.437894168079779</v>
      </c>
      <c r="AF10" s="2">
        <f t="shared" ca="1" si="32"/>
        <v>51.088453815165217</v>
      </c>
      <c r="AG10" s="2">
        <f t="shared" ca="1" si="33"/>
        <v>42.48264314921915</v>
      </c>
    </row>
    <row r="11" spans="1:33">
      <c r="A11" t="str">
        <v>Somali</v>
      </c>
      <c r="B11" s="2">
        <f t="shared" ca="1" si="2"/>
        <v>50.735414825292402</v>
      </c>
      <c r="C11" s="2">
        <f t="shared" ca="1" si="3"/>
        <v>41.831502402907141</v>
      </c>
      <c r="D11" s="2">
        <f t="shared" ca="1" si="4"/>
        <v>56.398732175346261</v>
      </c>
      <c r="E11" s="2">
        <f t="shared" ca="1" si="5"/>
        <v>44.61644231565004</v>
      </c>
      <c r="F11" s="2">
        <f t="shared" ca="1" si="6"/>
        <v>54.318087115589762</v>
      </c>
      <c r="G11" s="2">
        <f t="shared" ca="1" si="7"/>
        <v>41.029835729772195</v>
      </c>
      <c r="H11" s="2">
        <f t="shared" ca="1" si="8"/>
        <v>53.431192285517625</v>
      </c>
      <c r="I11" s="2">
        <f t="shared" ca="1" si="9"/>
        <v>43.321709741271981</v>
      </c>
      <c r="J11" s="2">
        <f t="shared" ca="1" si="10"/>
        <v>52.732806243744598</v>
      </c>
      <c r="K11" s="2">
        <f t="shared" ca="1" si="11"/>
        <v>42.775091433663363</v>
      </c>
      <c r="L11" s="2">
        <f t="shared" ca="1" si="12"/>
        <v>51.366725360631349</v>
      </c>
      <c r="M11" s="2">
        <f t="shared" ca="1" si="13"/>
        <v>40.253185033509283</v>
      </c>
      <c r="N11" s="2">
        <f t="shared" ca="1" si="14"/>
        <v>52.958507597283749</v>
      </c>
      <c r="O11" s="2">
        <f t="shared" ca="1" si="15"/>
        <v>40.545776535835458</v>
      </c>
      <c r="P11" s="2">
        <f t="shared" ca="1" si="16"/>
        <v>54.03749678036958</v>
      </c>
      <c r="Q11" s="2">
        <f t="shared" ca="1" si="17"/>
        <v>42.114796194339014</v>
      </c>
      <c r="R11" s="2">
        <f t="shared" ca="1" si="18"/>
        <v>51.728383060149767</v>
      </c>
      <c r="S11" s="2">
        <f t="shared" ca="1" si="19"/>
        <v>43.63384142886963</v>
      </c>
      <c r="T11" s="2">
        <f t="shared" ca="1" si="20"/>
        <v>50.579231297315303</v>
      </c>
      <c r="U11" s="2">
        <f t="shared" ca="1" si="21"/>
        <v>43.188616127499891</v>
      </c>
      <c r="V11" s="2">
        <f t="shared" ca="1" si="22"/>
        <v>53.941441691866906</v>
      </c>
      <c r="W11" s="2">
        <f t="shared" ca="1" si="23"/>
        <v>41.066637729174047</v>
      </c>
      <c r="X11" s="2">
        <f t="shared" ca="1" si="24"/>
        <v>51.881403897096718</v>
      </c>
      <c r="Y11" s="2">
        <f t="shared" ca="1" si="25"/>
        <v>42.847471669780568</v>
      </c>
      <c r="Z11" s="2">
        <f t="shared" ca="1" si="26"/>
        <v>56.475618594522366</v>
      </c>
      <c r="AA11" s="2">
        <f t="shared" ca="1" si="27"/>
        <v>40.86288239903061</v>
      </c>
      <c r="AB11" s="2">
        <f t="shared" ca="1" si="28"/>
        <v>50.681617156913894</v>
      </c>
      <c r="AC11" s="2">
        <f t="shared" ca="1" si="29"/>
        <v>43.545328824039849</v>
      </c>
      <c r="AD11" s="2">
        <f t="shared" ca="1" si="30"/>
        <v>53.772567529465576</v>
      </c>
      <c r="AE11" s="2">
        <f t="shared" ca="1" si="31"/>
        <v>44.912703132029279</v>
      </c>
      <c r="AF11" s="2">
        <f t="shared" ca="1" si="32"/>
        <v>55.903115488233162</v>
      </c>
      <c r="AG11" s="2">
        <f t="shared" ca="1" si="33"/>
        <v>42.985122578194279</v>
      </c>
    </row>
    <row r="12" spans="1:33">
      <c r="A12" t="str">
        <v>SNNPR</v>
      </c>
      <c r="B12" s="2">
        <f t="shared" ca="1" si="2"/>
        <v>55.314143262786516</v>
      </c>
      <c r="C12" s="2">
        <f t="shared" ca="1" si="3"/>
        <v>42.215139188537847</v>
      </c>
      <c r="D12" s="2">
        <f t="shared" ca="1" si="4"/>
        <v>56.68001478815566</v>
      </c>
      <c r="E12" s="2">
        <f t="shared" ca="1" si="5"/>
        <v>40.279631183245513</v>
      </c>
      <c r="F12" s="2">
        <f t="shared" ca="1" si="6"/>
        <v>56.181917983480865</v>
      </c>
      <c r="G12" s="2">
        <f t="shared" ca="1" si="7"/>
        <v>40.104443794026466</v>
      </c>
      <c r="H12" s="2">
        <f t="shared" ca="1" si="8"/>
        <v>53.760259992787979</v>
      </c>
      <c r="I12" s="2">
        <f t="shared" ca="1" si="9"/>
        <v>40.70077015703373</v>
      </c>
      <c r="J12" s="2">
        <f t="shared" ca="1" si="10"/>
        <v>52.47894650983681</v>
      </c>
      <c r="K12" s="2">
        <f t="shared" ca="1" si="11"/>
        <v>43.767153679868557</v>
      </c>
      <c r="L12" s="2">
        <f t="shared" ca="1" si="12"/>
        <v>50.051358535934931</v>
      </c>
      <c r="M12" s="2">
        <f t="shared" ca="1" si="13"/>
        <v>40.095158897717141</v>
      </c>
      <c r="N12" s="2">
        <f t="shared" ca="1" si="14"/>
        <v>53.297513098450338</v>
      </c>
      <c r="O12" s="2">
        <f t="shared" ca="1" si="15"/>
        <v>40.895672111177454</v>
      </c>
      <c r="P12" s="2">
        <f t="shared" ca="1" si="16"/>
        <v>51.209597280765152</v>
      </c>
      <c r="Q12" s="2">
        <f t="shared" ca="1" si="17"/>
        <v>41.428763726183085</v>
      </c>
      <c r="R12" s="2">
        <f t="shared" ca="1" si="18"/>
        <v>50.100930378637798</v>
      </c>
      <c r="S12" s="2">
        <f t="shared" ca="1" si="19"/>
        <v>44.411393436827439</v>
      </c>
      <c r="T12" s="2">
        <f t="shared" ca="1" si="20"/>
        <v>51.871551612487863</v>
      </c>
      <c r="U12" s="2">
        <f t="shared" ca="1" si="21"/>
        <v>44.143815027134806</v>
      </c>
      <c r="V12" s="2">
        <f t="shared" ca="1" si="22"/>
        <v>50.493113730137708</v>
      </c>
      <c r="W12" s="2">
        <f t="shared" ca="1" si="23"/>
        <v>44.917644448363788</v>
      </c>
      <c r="X12" s="2">
        <f t="shared" ca="1" si="24"/>
        <v>52.758417367136524</v>
      </c>
      <c r="Y12" s="2">
        <f t="shared" ca="1" si="25"/>
        <v>43.200151655561974</v>
      </c>
      <c r="Z12" s="2">
        <f t="shared" ca="1" si="26"/>
        <v>54.944952851935369</v>
      </c>
      <c r="AA12" s="2">
        <f t="shared" ca="1" si="27"/>
        <v>42.967326899818957</v>
      </c>
      <c r="AB12" s="2">
        <f t="shared" ca="1" si="28"/>
        <v>50.349090984918597</v>
      </c>
      <c r="AC12" s="2">
        <f t="shared" ca="1" si="29"/>
        <v>42.3039346033718</v>
      </c>
      <c r="AD12" s="2">
        <f t="shared" ca="1" si="30"/>
        <v>53.136124431095674</v>
      </c>
      <c r="AE12" s="2">
        <f t="shared" ca="1" si="31"/>
        <v>41.130209815809678</v>
      </c>
      <c r="AF12" s="2">
        <f t="shared" ca="1" si="32"/>
        <v>53.270455794511378</v>
      </c>
      <c r="AG12" s="2">
        <f t="shared" ca="1" si="33"/>
        <v>41.146753350585428</v>
      </c>
    </row>
    <row r="13" spans="1:33">
      <c r="A13" t="str">
        <v>Tigray</v>
      </c>
      <c r="B13" s="2">
        <f t="shared" ca="1" si="2"/>
        <v>51.479629143335011</v>
      </c>
      <c r="C13" s="2">
        <f t="shared" ca="1" si="3"/>
        <v>42.378947054943609</v>
      </c>
      <c r="D13" s="2">
        <f t="shared" ca="1" si="4"/>
        <v>52.943089949512014</v>
      </c>
      <c r="E13" s="2">
        <f t="shared" ca="1" si="5"/>
        <v>43.253078263725712</v>
      </c>
      <c r="F13" s="2">
        <f t="shared" ca="1" si="6"/>
        <v>52.167875592930876</v>
      </c>
      <c r="G13" s="2">
        <f t="shared" ca="1" si="7"/>
        <v>40.501896335253903</v>
      </c>
      <c r="H13" s="2">
        <f t="shared" ca="1" si="8"/>
        <v>53.852185715486165</v>
      </c>
      <c r="I13" s="2">
        <f t="shared" ca="1" si="9"/>
        <v>40.443765232655018</v>
      </c>
      <c r="J13" s="2">
        <f t="shared" ca="1" si="10"/>
        <v>53.360848518513478</v>
      </c>
      <c r="K13" s="2">
        <f t="shared" ca="1" si="11"/>
        <v>43.611064240586671</v>
      </c>
      <c r="L13" s="2">
        <f t="shared" ca="1" si="12"/>
        <v>50.956127139062865</v>
      </c>
      <c r="M13" s="2">
        <f t="shared" ca="1" si="13"/>
        <v>43.241442519948826</v>
      </c>
      <c r="N13" s="2">
        <f t="shared" ca="1" si="14"/>
        <v>53.358071572322594</v>
      </c>
      <c r="O13" s="2">
        <f t="shared" ca="1" si="15"/>
        <v>43.379576064909713</v>
      </c>
      <c r="P13" s="2">
        <f t="shared" ca="1" si="16"/>
        <v>51.737014970667232</v>
      </c>
      <c r="Q13" s="2">
        <f t="shared" ca="1" si="17"/>
        <v>42.011495199118357</v>
      </c>
      <c r="R13" s="2">
        <f t="shared" ca="1" si="18"/>
        <v>54.667933601789429</v>
      </c>
      <c r="S13" s="2">
        <f t="shared" ca="1" si="19"/>
        <v>44.434194143773929</v>
      </c>
      <c r="T13" s="2">
        <f t="shared" ca="1" si="20"/>
        <v>51.281855783007558</v>
      </c>
      <c r="U13" s="2">
        <f t="shared" ca="1" si="21"/>
        <v>42.318318135499545</v>
      </c>
      <c r="V13" s="2">
        <f t="shared" ca="1" si="22"/>
        <v>54.240911675869079</v>
      </c>
      <c r="W13" s="2">
        <f t="shared" ca="1" si="23"/>
        <v>44.783886564538676</v>
      </c>
      <c r="X13" s="2">
        <f t="shared" ca="1" si="24"/>
        <v>54.104265122848368</v>
      </c>
      <c r="Y13" s="2">
        <f t="shared" ca="1" si="25"/>
        <v>43.671250587479122</v>
      </c>
      <c r="Z13" s="2">
        <f t="shared" ca="1" si="26"/>
        <v>53.004877816089888</v>
      </c>
      <c r="AA13" s="2">
        <f t="shared" ca="1" si="27"/>
        <v>43.81238678709439</v>
      </c>
      <c r="AB13" s="2">
        <f t="shared" ca="1" si="28"/>
        <v>50.617644588911752</v>
      </c>
      <c r="AC13" s="2">
        <f t="shared" ca="1" si="29"/>
        <v>41.211819818570518</v>
      </c>
      <c r="AD13" s="2">
        <f t="shared" ca="1" si="30"/>
        <v>54.787890666202095</v>
      </c>
      <c r="AE13" s="2">
        <f t="shared" ca="1" si="31"/>
        <v>40.194341325017284</v>
      </c>
      <c r="AF13" s="2">
        <f t="shared" ca="1" si="32"/>
        <v>53.856169053324223</v>
      </c>
      <c r="AG13" s="2">
        <f t="shared" ca="1" si="33"/>
        <v>40.200086218199196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index</vt:lpstr>
      <vt:lpstr>Cattle</vt:lpstr>
      <vt:lpstr>sets</vt:lpstr>
      <vt:lpstr>Roads</vt:lpstr>
      <vt:lpstr>ElecLine</vt:lpstr>
      <vt:lpstr>DiscFact</vt:lpstr>
      <vt:lpstr>Crop</vt:lpstr>
      <vt:lpstr>CYF</vt:lpstr>
      <vt:lpstr>aFAO</vt:lpstr>
      <vt:lpstr>DemInt</vt:lpstr>
      <vt:lpstr>DemSlope</vt:lpstr>
      <vt:lpstr>Elec</vt:lpstr>
      <vt:lpstr>Crops</vt:lpstr>
      <vt:lpstr>Food</vt:lpstr>
      <vt:lpstr>Nodes</vt:lpstr>
      <vt:lpstr>ElecLine!RoadList</vt:lpstr>
      <vt:lpstr>RoadList</vt:lpstr>
      <vt:lpstr>Seasons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Sriram Sankaranarayanan</dc:creator>
  <cp:lastModifiedBy>Sriram</cp:lastModifiedBy>
  <dcterms:created xsi:type="dcterms:W3CDTF">2017-04-05T21:54:55Z</dcterms:created>
  <dcterms:modified xsi:type="dcterms:W3CDTF">2017-07-21T20:23:25Z</dcterms:modified>
</cp:coreProperties>
</file>