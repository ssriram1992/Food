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Sauleh\Code\Food\NewModel\Data\"/>
    </mc:Choice>
  </mc:AlternateContent>
  <bookViews>
    <workbookView xWindow="0" yWindow="465" windowWidth="20220" windowHeight="7065" tabRatio="664" activeTab="6"/>
  </bookViews>
  <sheets>
    <sheet name="index" sheetId="1" r:id="rId1"/>
    <sheet name="Cattle" sheetId="8" r:id="rId2"/>
    <sheet name="sets" sheetId="3" r:id="rId3"/>
    <sheet name="Roads" sheetId="5" r:id="rId4"/>
    <sheet name="ElecLine" sheetId="10" r:id="rId5"/>
    <sheet name="DiscFact" sheetId="6" r:id="rId6"/>
    <sheet name="Crop" sheetId="7" r:id="rId7"/>
    <sheet name="CYF" sheetId="4" r:id="rId8"/>
    <sheet name="aFAO" sheetId="11" r:id="rId9"/>
    <sheet name="DemInt" sheetId="14" r:id="rId10"/>
    <sheet name="DemSlope" sheetId="15" r:id="rId11"/>
    <sheet name="Elec" sheetId="9" r:id="rId12"/>
  </sheets>
  <definedNames>
    <definedName name="_xlnm._FilterDatabase" localSheetId="4" hidden="1">ElecLine!$A$21:$B$86</definedName>
    <definedName name="_xlnm._FilterDatabase" localSheetId="0" hidden="1">index!$A$1:$E$29</definedName>
    <definedName name="_xlnm._FilterDatabase" localSheetId="3" hidden="1">Roads!$A$21:$B$86</definedName>
    <definedName name="_xlnm._FilterDatabase" localSheetId="2" hidden="1">sets!$F$2:$F$13</definedName>
    <definedName name="Crops">sets!$J$3:$J$62</definedName>
    <definedName name="Food">sets!$H$3:$H$62</definedName>
    <definedName name="Nodes">sets!$F$3:$F$62</definedName>
    <definedName name="RoadList" localSheetId="4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C15" i="7" l="1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C14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C4" i="7"/>
  <c r="C5" i="7"/>
  <c r="C6" i="7"/>
  <c r="C7" i="7"/>
  <c r="C8" i="7"/>
  <c r="C9" i="7"/>
  <c r="C10" i="7"/>
  <c r="C11" i="7"/>
  <c r="C12" i="7"/>
  <c r="C13" i="7"/>
  <c r="C3" i="7"/>
  <c r="H163" i="7"/>
  <c r="I163" i="7"/>
  <c r="J163" i="7"/>
  <c r="K163" i="7"/>
  <c r="L163" i="7"/>
  <c r="M163" i="7"/>
  <c r="H164" i="7"/>
  <c r="I164" i="7"/>
  <c r="J164" i="7"/>
  <c r="K164" i="7"/>
  <c r="L164" i="7"/>
  <c r="M164" i="7"/>
  <c r="H165" i="7"/>
  <c r="I165" i="7"/>
  <c r="J165" i="7"/>
  <c r="K165" i="7"/>
  <c r="L165" i="7"/>
  <c r="M165" i="7"/>
  <c r="H166" i="7"/>
  <c r="I166" i="7"/>
  <c r="J166" i="7"/>
  <c r="K166" i="7"/>
  <c r="L166" i="7"/>
  <c r="M166" i="7"/>
  <c r="H167" i="7"/>
  <c r="I167" i="7"/>
  <c r="J167" i="7"/>
  <c r="K167" i="7"/>
  <c r="L167" i="7"/>
  <c r="M167" i="7"/>
  <c r="H168" i="7"/>
  <c r="I168" i="7"/>
  <c r="J168" i="7"/>
  <c r="K168" i="7"/>
  <c r="L168" i="7"/>
  <c r="M168" i="7"/>
  <c r="H169" i="7"/>
  <c r="I169" i="7"/>
  <c r="J169" i="7"/>
  <c r="K169" i="7"/>
  <c r="L169" i="7"/>
  <c r="M169" i="7"/>
  <c r="H170" i="7"/>
  <c r="I170" i="7"/>
  <c r="J170" i="7"/>
  <c r="K170" i="7"/>
  <c r="L170" i="7"/>
  <c r="M170" i="7"/>
  <c r="H171" i="7"/>
  <c r="I171" i="7"/>
  <c r="J171" i="7"/>
  <c r="K171" i="7"/>
  <c r="L171" i="7"/>
  <c r="M171" i="7"/>
  <c r="H172" i="7"/>
  <c r="I172" i="7"/>
  <c r="J172" i="7"/>
  <c r="K172" i="7"/>
  <c r="L172" i="7"/>
  <c r="M172" i="7"/>
  <c r="I162" i="7"/>
  <c r="J162" i="7"/>
  <c r="K162" i="7"/>
  <c r="L162" i="7"/>
  <c r="M162" i="7"/>
  <c r="H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C162" i="7"/>
  <c r="D162" i="7"/>
  <c r="E162" i="7"/>
  <c r="F162" i="7"/>
  <c r="G162" i="7"/>
  <c r="B162" i="7"/>
  <c r="H161" i="7" a="1"/>
  <c r="H161" i="7"/>
  <c r="I161" i="7"/>
  <c r="J161" i="7"/>
  <c r="K161" i="7"/>
  <c r="L161" i="7"/>
  <c r="M161" i="7"/>
  <c r="A69" i="15"/>
  <c r="B69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A70" i="15"/>
  <c r="B70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A71" i="15"/>
  <c r="B71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A72" i="15"/>
  <c r="B72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A73" i="15"/>
  <c r="B73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A74" i="15"/>
  <c r="B74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A75" i="15"/>
  <c r="B75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A76" i="15"/>
  <c r="B76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A77" i="15"/>
  <c r="B77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78" i="15"/>
  <c r="B78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A79" i="15"/>
  <c r="B79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A80" i="15"/>
  <c r="B80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A81" i="15"/>
  <c r="B81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A82" i="15"/>
  <c r="B82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A83" i="15"/>
  <c r="B83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A84" i="15"/>
  <c r="B84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A85" i="15"/>
  <c r="B85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86" i="15"/>
  <c r="B86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A87" i="15"/>
  <c r="B87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A88" i="15"/>
  <c r="B88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89" i="15"/>
  <c r="B89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A90" i="15"/>
  <c r="B90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A69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70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71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72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73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74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75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76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77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78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79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80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81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82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83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84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85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86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87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88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89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90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G131" i="8"/>
  <c r="G130" i="8"/>
  <c r="G129" i="8"/>
  <c r="G128" i="8"/>
  <c r="G127" i="8"/>
  <c r="G126" i="8"/>
  <c r="G125" i="8"/>
  <c r="G124" i="8"/>
  <c r="G123" i="8"/>
  <c r="G122" i="8"/>
  <c r="G121" i="8"/>
  <c r="AH68" i="14"/>
  <c r="AG68" i="14"/>
  <c r="AF68" i="14"/>
  <c r="AE68" i="14"/>
  <c r="AD68" i="14"/>
  <c r="AC68" i="14"/>
  <c r="AB68" i="14"/>
  <c r="AA68" i="14"/>
  <c r="Z68" i="14"/>
  <c r="Y68" i="14"/>
  <c r="X68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K68" i="14"/>
  <c r="J68" i="14"/>
  <c r="I68" i="14"/>
  <c r="H68" i="14"/>
  <c r="G68" i="14"/>
  <c r="F68" i="14"/>
  <c r="E68" i="14"/>
  <c r="D68" i="14"/>
  <c r="C68" i="14"/>
  <c r="AH67" i="14"/>
  <c r="AG67" i="14"/>
  <c r="AF67" i="14"/>
  <c r="AE67" i="14"/>
  <c r="AD67" i="14"/>
  <c r="AC67" i="14"/>
  <c r="AB67" i="14"/>
  <c r="AA67" i="14"/>
  <c r="Z67" i="14"/>
  <c r="Y67" i="14"/>
  <c r="X67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K67" i="14"/>
  <c r="J67" i="14"/>
  <c r="I67" i="14"/>
  <c r="H67" i="14"/>
  <c r="G67" i="14"/>
  <c r="F67" i="14"/>
  <c r="E67" i="14"/>
  <c r="D67" i="14"/>
  <c r="C67" i="14"/>
  <c r="AH66" i="14"/>
  <c r="AG66" i="14"/>
  <c r="AF66" i="14"/>
  <c r="AE66" i="14"/>
  <c r="AD66" i="14"/>
  <c r="AC66" i="14"/>
  <c r="AB66" i="14"/>
  <c r="AA66" i="14"/>
  <c r="Z66" i="14"/>
  <c r="Y66" i="14"/>
  <c r="X66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K66" i="14"/>
  <c r="J66" i="14"/>
  <c r="I66" i="14"/>
  <c r="H66" i="14"/>
  <c r="G66" i="14"/>
  <c r="F66" i="14"/>
  <c r="E66" i="14"/>
  <c r="D66" i="14"/>
  <c r="C66" i="14"/>
  <c r="AH65" i="14"/>
  <c r="AG65" i="14"/>
  <c r="AF65" i="14"/>
  <c r="AE65" i="14"/>
  <c r="AD65" i="14"/>
  <c r="AC65" i="14"/>
  <c r="AB65" i="14"/>
  <c r="AA65" i="14"/>
  <c r="Z65" i="14"/>
  <c r="Y65" i="14"/>
  <c r="X65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K65" i="14"/>
  <c r="J65" i="14"/>
  <c r="I65" i="14"/>
  <c r="H65" i="14"/>
  <c r="G65" i="14"/>
  <c r="F65" i="14"/>
  <c r="E65" i="14"/>
  <c r="D65" i="14"/>
  <c r="C65" i="14"/>
  <c r="AH64" i="14"/>
  <c r="AG64" i="14"/>
  <c r="AF64" i="14"/>
  <c r="AE64" i="14"/>
  <c r="AD64" i="14"/>
  <c r="AC64" i="14"/>
  <c r="AB64" i="14"/>
  <c r="AA64" i="14"/>
  <c r="Z64" i="14"/>
  <c r="Y64" i="14"/>
  <c r="X64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K64" i="14"/>
  <c r="J64" i="14"/>
  <c r="I64" i="14"/>
  <c r="H64" i="14"/>
  <c r="G64" i="14"/>
  <c r="F64" i="14"/>
  <c r="E64" i="14"/>
  <c r="D64" i="14"/>
  <c r="C64" i="14"/>
  <c r="AH63" i="14"/>
  <c r="AG63" i="14"/>
  <c r="AF63" i="14"/>
  <c r="AE63" i="14"/>
  <c r="AD63" i="14"/>
  <c r="AC63" i="14"/>
  <c r="AB63" i="14"/>
  <c r="AA63" i="14"/>
  <c r="Z63" i="14"/>
  <c r="Y63" i="14"/>
  <c r="X63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AH62" i="14"/>
  <c r="AG62" i="14"/>
  <c r="AF62" i="14"/>
  <c r="AE62" i="14"/>
  <c r="AD62" i="14"/>
  <c r="AC62" i="14"/>
  <c r="AB62" i="14"/>
  <c r="AA62" i="14"/>
  <c r="Z62" i="14"/>
  <c r="Y62" i="14"/>
  <c r="X62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K62" i="14"/>
  <c r="J62" i="14"/>
  <c r="I62" i="14"/>
  <c r="H62" i="14"/>
  <c r="G62" i="14"/>
  <c r="F62" i="14"/>
  <c r="E62" i="14"/>
  <c r="D62" i="14"/>
  <c r="C62" i="14"/>
  <c r="AH61" i="14"/>
  <c r="AG61" i="14"/>
  <c r="AF61" i="14"/>
  <c r="AE61" i="14"/>
  <c r="AD61" i="14"/>
  <c r="AC61" i="14"/>
  <c r="AB61" i="14"/>
  <c r="AA61" i="14"/>
  <c r="Z61" i="14"/>
  <c r="Y61" i="14"/>
  <c r="X61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K61" i="14"/>
  <c r="J61" i="14"/>
  <c r="I61" i="14"/>
  <c r="H61" i="14"/>
  <c r="G61" i="14"/>
  <c r="F61" i="14"/>
  <c r="E61" i="14"/>
  <c r="D61" i="14"/>
  <c r="C61" i="14"/>
  <c r="AH60" i="14"/>
  <c r="AG60" i="14"/>
  <c r="AF60" i="14"/>
  <c r="AE60" i="14"/>
  <c r="AD60" i="14"/>
  <c r="AC60" i="14"/>
  <c r="AB60" i="14"/>
  <c r="AA60" i="14"/>
  <c r="Z60" i="14"/>
  <c r="Y60" i="14"/>
  <c r="X60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K60" i="14"/>
  <c r="J60" i="14"/>
  <c r="I60" i="14"/>
  <c r="H60" i="14"/>
  <c r="G60" i="14"/>
  <c r="F60" i="14"/>
  <c r="E60" i="14"/>
  <c r="D60" i="14"/>
  <c r="C60" i="14"/>
  <c r="AH59" i="14"/>
  <c r="AG59" i="14"/>
  <c r="AF59" i="14"/>
  <c r="AE59" i="14"/>
  <c r="AD59" i="14"/>
  <c r="AC59" i="14"/>
  <c r="AB59" i="14"/>
  <c r="AA59" i="14"/>
  <c r="Z59" i="14"/>
  <c r="Y59" i="14"/>
  <c r="X59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K59" i="14"/>
  <c r="J59" i="14"/>
  <c r="I59" i="14"/>
  <c r="H59" i="14"/>
  <c r="G59" i="14"/>
  <c r="F59" i="14"/>
  <c r="E59" i="14"/>
  <c r="D59" i="14"/>
  <c r="C59" i="14"/>
  <c r="AH58" i="14"/>
  <c r="AG58" i="14"/>
  <c r="AF58" i="14"/>
  <c r="AE58" i="14"/>
  <c r="AD58" i="14"/>
  <c r="AC58" i="14"/>
  <c r="AB58" i="14"/>
  <c r="AA58" i="14"/>
  <c r="Z58" i="14"/>
  <c r="Y58" i="14"/>
  <c r="X58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K58" i="14"/>
  <c r="J58" i="14"/>
  <c r="I58" i="14"/>
  <c r="H58" i="14"/>
  <c r="G58" i="14"/>
  <c r="F58" i="14"/>
  <c r="E58" i="14"/>
  <c r="D58" i="14"/>
  <c r="C58" i="14"/>
  <c r="AH57" i="14"/>
  <c r="AG57" i="14"/>
  <c r="AF57" i="14"/>
  <c r="AE57" i="14"/>
  <c r="AD57" i="14"/>
  <c r="AC57" i="14"/>
  <c r="AB57" i="14"/>
  <c r="AA57" i="14"/>
  <c r="Z57" i="14"/>
  <c r="Y57" i="14"/>
  <c r="X57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K57" i="14"/>
  <c r="J57" i="14"/>
  <c r="I57" i="14"/>
  <c r="H57" i="14"/>
  <c r="G57" i="14"/>
  <c r="F57" i="14"/>
  <c r="E57" i="14"/>
  <c r="D57" i="14"/>
  <c r="C57" i="14"/>
  <c r="AH56" i="14"/>
  <c r="AG56" i="14"/>
  <c r="AF56" i="14"/>
  <c r="AE56" i="14"/>
  <c r="AD56" i="14"/>
  <c r="AC56" i="14"/>
  <c r="AB56" i="14"/>
  <c r="AA56" i="14"/>
  <c r="Z56" i="14"/>
  <c r="Y56" i="14"/>
  <c r="X56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AH55" i="14"/>
  <c r="AG55" i="14"/>
  <c r="AF55" i="14"/>
  <c r="AE55" i="14"/>
  <c r="AD55" i="14"/>
  <c r="AC55" i="14"/>
  <c r="AB55" i="14"/>
  <c r="AA55" i="14"/>
  <c r="Z55" i="14"/>
  <c r="Y55" i="14"/>
  <c r="X55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K55" i="14"/>
  <c r="J55" i="14"/>
  <c r="I55" i="14"/>
  <c r="H55" i="14"/>
  <c r="G55" i="14"/>
  <c r="F55" i="14"/>
  <c r="E55" i="14"/>
  <c r="D55" i="14"/>
  <c r="C55" i="14"/>
  <c r="AH54" i="14"/>
  <c r="AG54" i="14"/>
  <c r="AF54" i="14"/>
  <c r="AE54" i="14"/>
  <c r="AD54" i="14"/>
  <c r="AC54" i="14"/>
  <c r="AB54" i="14"/>
  <c r="AA54" i="14"/>
  <c r="Z54" i="14"/>
  <c r="Y54" i="14"/>
  <c r="X54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K54" i="14"/>
  <c r="J54" i="14"/>
  <c r="I54" i="14"/>
  <c r="H54" i="14"/>
  <c r="G54" i="14"/>
  <c r="F54" i="14"/>
  <c r="E54" i="14"/>
  <c r="D54" i="14"/>
  <c r="C54" i="14"/>
  <c r="AH53" i="14"/>
  <c r="AG53" i="14"/>
  <c r="AF53" i="14"/>
  <c r="AE53" i="14"/>
  <c r="AD53" i="14"/>
  <c r="AC53" i="14"/>
  <c r="AB53" i="14"/>
  <c r="AA53" i="14"/>
  <c r="Z53" i="14"/>
  <c r="Y53" i="14"/>
  <c r="X53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K53" i="14"/>
  <c r="J53" i="14"/>
  <c r="I53" i="14"/>
  <c r="H53" i="14"/>
  <c r="G53" i="14"/>
  <c r="F53" i="14"/>
  <c r="E53" i="14"/>
  <c r="D53" i="14"/>
  <c r="C53" i="14"/>
  <c r="AH52" i="14"/>
  <c r="AG52" i="14"/>
  <c r="AF52" i="14"/>
  <c r="AE52" i="14"/>
  <c r="AD52" i="14"/>
  <c r="AC52" i="14"/>
  <c r="AB52" i="14"/>
  <c r="AA52" i="14"/>
  <c r="Z52" i="14"/>
  <c r="Y52" i="14"/>
  <c r="X52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K52" i="14"/>
  <c r="J52" i="14"/>
  <c r="I52" i="14"/>
  <c r="H52" i="14"/>
  <c r="G52" i="14"/>
  <c r="F52" i="14"/>
  <c r="E52" i="14"/>
  <c r="D52" i="14"/>
  <c r="C52" i="14"/>
  <c r="AH51" i="14"/>
  <c r="AG51" i="14"/>
  <c r="AF51" i="14"/>
  <c r="AE51" i="14"/>
  <c r="AD51" i="14"/>
  <c r="AC51" i="14"/>
  <c r="AB51" i="14"/>
  <c r="AA51" i="14"/>
  <c r="Z51" i="14"/>
  <c r="Y51" i="14"/>
  <c r="X51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K51" i="14"/>
  <c r="J51" i="14"/>
  <c r="I51" i="14"/>
  <c r="H51" i="14"/>
  <c r="G51" i="14"/>
  <c r="F51" i="14"/>
  <c r="E51" i="14"/>
  <c r="D51" i="14"/>
  <c r="C51" i="14"/>
  <c r="AH50" i="14"/>
  <c r="AG50" i="14"/>
  <c r="AF50" i="14"/>
  <c r="AE50" i="14"/>
  <c r="AD50" i="14"/>
  <c r="AC50" i="14"/>
  <c r="AB50" i="14"/>
  <c r="AA50" i="14"/>
  <c r="Z50" i="14"/>
  <c r="Y50" i="14"/>
  <c r="X50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K50" i="14"/>
  <c r="J50" i="14"/>
  <c r="I50" i="14"/>
  <c r="H50" i="14"/>
  <c r="G50" i="14"/>
  <c r="F50" i="14"/>
  <c r="E50" i="14"/>
  <c r="D50" i="14"/>
  <c r="C50" i="14"/>
  <c r="AH49" i="14"/>
  <c r="AG49" i="14"/>
  <c r="AF49" i="14"/>
  <c r="AE49" i="14"/>
  <c r="AD49" i="14"/>
  <c r="AC49" i="14"/>
  <c r="AB49" i="14"/>
  <c r="AA49" i="14"/>
  <c r="Z49" i="14"/>
  <c r="Y49" i="14"/>
  <c r="X49" i="14"/>
  <c r="W49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AH48" i="14"/>
  <c r="AG48" i="14"/>
  <c r="AF48" i="14"/>
  <c r="AE48" i="14"/>
  <c r="AD48" i="14"/>
  <c r="AC48" i="14"/>
  <c r="AB48" i="14"/>
  <c r="AA48" i="14"/>
  <c r="Z48" i="14"/>
  <c r="Y48" i="14"/>
  <c r="X48" i="14"/>
  <c r="W48" i="14"/>
  <c r="V48" i="14"/>
  <c r="U48" i="14"/>
  <c r="T48" i="14"/>
  <c r="S48" i="14"/>
  <c r="R48" i="14"/>
  <c r="Q48" i="14"/>
  <c r="P48" i="14"/>
  <c r="O48" i="14"/>
  <c r="N48" i="14"/>
  <c r="M48" i="14"/>
  <c r="L48" i="14"/>
  <c r="K48" i="14"/>
  <c r="J48" i="14"/>
  <c r="I48" i="14"/>
  <c r="H48" i="14"/>
  <c r="G48" i="14"/>
  <c r="F48" i="14"/>
  <c r="E48" i="14"/>
  <c r="D48" i="14"/>
  <c r="C48" i="14"/>
  <c r="AH47" i="14"/>
  <c r="AG47" i="14"/>
  <c r="AF47" i="14"/>
  <c r="AE47" i="14"/>
  <c r="AD47" i="14"/>
  <c r="AC47" i="14"/>
  <c r="AB47" i="14"/>
  <c r="AA47" i="14"/>
  <c r="Z47" i="14"/>
  <c r="Y47" i="14"/>
  <c r="X47" i="14"/>
  <c r="W47" i="14"/>
  <c r="V47" i="14"/>
  <c r="U47" i="14"/>
  <c r="T47" i="14"/>
  <c r="S47" i="14"/>
  <c r="R47" i="14"/>
  <c r="Q47" i="14"/>
  <c r="P47" i="14"/>
  <c r="O47" i="14"/>
  <c r="N47" i="14"/>
  <c r="M47" i="14"/>
  <c r="L47" i="14"/>
  <c r="K47" i="14"/>
  <c r="J47" i="14"/>
  <c r="I47" i="14"/>
  <c r="H47" i="14"/>
  <c r="G47" i="14"/>
  <c r="F47" i="14"/>
  <c r="E47" i="14"/>
  <c r="D47" i="14"/>
  <c r="C47" i="14"/>
  <c r="AH46" i="14"/>
  <c r="AG46" i="14"/>
  <c r="AF46" i="14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G46" i="14"/>
  <c r="F46" i="14"/>
  <c r="E46" i="14"/>
  <c r="D46" i="14"/>
  <c r="C46" i="14"/>
  <c r="AH45" i="14"/>
  <c r="AG45" i="14"/>
  <c r="AF45" i="14"/>
  <c r="AE45" i="14"/>
  <c r="AD45" i="14"/>
  <c r="AC45" i="14"/>
  <c r="AB45" i="14"/>
  <c r="AA45" i="14"/>
  <c r="Z45" i="14"/>
  <c r="Y45" i="14"/>
  <c r="X45" i="14"/>
  <c r="W45" i="14"/>
  <c r="V45" i="14"/>
  <c r="U45" i="14"/>
  <c r="T45" i="14"/>
  <c r="S45" i="14"/>
  <c r="R45" i="14"/>
  <c r="Q45" i="14"/>
  <c r="P45" i="14"/>
  <c r="O45" i="14"/>
  <c r="N45" i="14"/>
  <c r="M45" i="14"/>
  <c r="L45" i="14"/>
  <c r="K45" i="14"/>
  <c r="J45" i="14"/>
  <c r="I45" i="14"/>
  <c r="H45" i="14"/>
  <c r="G45" i="14"/>
  <c r="F45" i="14"/>
  <c r="E45" i="14"/>
  <c r="D45" i="14"/>
  <c r="C45" i="14"/>
  <c r="AH44" i="14"/>
  <c r="AG44" i="14"/>
  <c r="AF44" i="14"/>
  <c r="AE44" i="14"/>
  <c r="AD44" i="14"/>
  <c r="AC44" i="14"/>
  <c r="AB44" i="14"/>
  <c r="AA44" i="14"/>
  <c r="Z44" i="14"/>
  <c r="Y44" i="14"/>
  <c r="X44" i="14"/>
  <c r="W44" i="14"/>
  <c r="V44" i="14"/>
  <c r="U44" i="14"/>
  <c r="T44" i="14"/>
  <c r="S44" i="14"/>
  <c r="R44" i="14"/>
  <c r="Q44" i="14"/>
  <c r="P44" i="14"/>
  <c r="O44" i="14"/>
  <c r="N44" i="14"/>
  <c r="M44" i="14"/>
  <c r="L44" i="14"/>
  <c r="K44" i="14"/>
  <c r="J44" i="14"/>
  <c r="I44" i="14"/>
  <c r="H44" i="14"/>
  <c r="G44" i="14"/>
  <c r="F44" i="14"/>
  <c r="E44" i="14"/>
  <c r="D44" i="14"/>
  <c r="C44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AH41" i="14"/>
  <c r="AG41" i="14"/>
  <c r="AF41" i="14"/>
  <c r="AE41" i="14"/>
  <c r="AD41" i="14"/>
  <c r="AC41" i="14"/>
  <c r="AB41" i="14"/>
  <c r="AA41" i="14"/>
  <c r="Z41" i="14"/>
  <c r="Y41" i="14"/>
  <c r="X41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AH40" i="14"/>
  <c r="AG40" i="14"/>
  <c r="AF40" i="14"/>
  <c r="AE40" i="14"/>
  <c r="AD40" i="14"/>
  <c r="AC40" i="14"/>
  <c r="AB40" i="14"/>
  <c r="AA40" i="14"/>
  <c r="Z40" i="14"/>
  <c r="Y40" i="14"/>
  <c r="X40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AH39" i="14"/>
  <c r="AG39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H38" i="14"/>
  <c r="AG38" i="14"/>
  <c r="AF38" i="14"/>
  <c r="AE38" i="14"/>
  <c r="AD38" i="14"/>
  <c r="AC38" i="14"/>
  <c r="AB38" i="14"/>
  <c r="AA38" i="14"/>
  <c r="Z38" i="14"/>
  <c r="Y38" i="14"/>
  <c r="X38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AH37" i="14"/>
  <c r="AG37" i="14"/>
  <c r="AF37" i="14"/>
  <c r="AE37" i="14"/>
  <c r="AD37" i="14"/>
  <c r="AC37" i="14"/>
  <c r="AB37" i="14"/>
  <c r="AA37" i="14"/>
  <c r="Z37" i="14"/>
  <c r="Y37" i="14"/>
  <c r="X37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H35" i="14"/>
  <c r="AG35" i="14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AH34" i="14"/>
  <c r="AG34" i="14"/>
  <c r="AF34" i="14"/>
  <c r="AE34" i="14"/>
  <c r="AD34" i="14"/>
  <c r="AC34" i="14"/>
  <c r="AB34" i="14"/>
  <c r="AA34" i="14"/>
  <c r="Z34" i="14"/>
  <c r="Y34" i="14"/>
  <c r="X34" i="14"/>
  <c r="W34" i="14"/>
  <c r="V34" i="14"/>
  <c r="U34" i="14"/>
  <c r="T34" i="14"/>
  <c r="S34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C34" i="14"/>
  <c r="AH33" i="14"/>
  <c r="AG33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C32" i="14"/>
  <c r="AH31" i="14"/>
  <c r="AG31" i="14"/>
  <c r="AF31" i="14"/>
  <c r="AE31" i="14"/>
  <c r="AD31" i="14"/>
  <c r="AC31" i="14"/>
  <c r="AB31" i="14"/>
  <c r="AA31" i="14"/>
  <c r="Z31" i="14"/>
  <c r="Y31" i="14"/>
  <c r="X31" i="14"/>
  <c r="W31" i="14"/>
  <c r="V31" i="14"/>
  <c r="U31" i="14"/>
  <c r="T31" i="14"/>
  <c r="S31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C31" i="14"/>
  <c r="AH30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C29" i="14"/>
  <c r="AH28" i="14"/>
  <c r="AG28" i="14"/>
  <c r="AF28" i="14"/>
  <c r="AE28" i="14"/>
  <c r="AD28" i="14"/>
  <c r="AC28" i="14"/>
  <c r="AB28" i="14"/>
  <c r="AA28" i="14"/>
  <c r="Z28" i="14"/>
  <c r="Y28" i="14"/>
  <c r="X28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C26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C25" i="14"/>
  <c r="AH24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AH23" i="14"/>
  <c r="AG23" i="14"/>
  <c r="AF23" i="14"/>
  <c r="AE23" i="14"/>
  <c r="AD23" i="14"/>
  <c r="AC23" i="14"/>
  <c r="AB23" i="14"/>
  <c r="AA23" i="14"/>
  <c r="Z23" i="14"/>
  <c r="Y23" i="14"/>
  <c r="X23" i="14"/>
  <c r="W23" i="14"/>
  <c r="V23" i="14"/>
  <c r="U23" i="14"/>
  <c r="T23" i="14"/>
  <c r="S23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C23" i="14"/>
  <c r="AH22" i="14"/>
  <c r="AG22" i="14"/>
  <c r="AF22" i="14"/>
  <c r="AE22" i="14"/>
  <c r="AD22" i="14"/>
  <c r="AC22" i="14"/>
  <c r="AB22" i="14"/>
  <c r="AA22" i="14"/>
  <c r="Z22" i="14"/>
  <c r="Y22" i="14"/>
  <c r="X22" i="14"/>
  <c r="W22" i="14"/>
  <c r="V22" i="14"/>
  <c r="U22" i="14"/>
  <c r="T22" i="14"/>
  <c r="S22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C22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H20" i="14"/>
  <c r="AG20" i="14"/>
  <c r="AF20" i="14"/>
  <c r="AE20" i="14"/>
  <c r="AD20" i="14"/>
  <c r="AC20" i="14"/>
  <c r="AB20" i="14"/>
  <c r="AA20" i="14"/>
  <c r="Z20" i="14"/>
  <c r="Y20" i="14"/>
  <c r="X20" i="14"/>
  <c r="W20" i="14"/>
  <c r="V20" i="14"/>
  <c r="U20" i="14"/>
  <c r="T20" i="14"/>
  <c r="S20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C20" i="14"/>
  <c r="AH19" i="14"/>
  <c r="AG19" i="14"/>
  <c r="AF19" i="14"/>
  <c r="AE19" i="14"/>
  <c r="AD19" i="14"/>
  <c r="AC19" i="14"/>
  <c r="AB19" i="14"/>
  <c r="AA19" i="14"/>
  <c r="Z19" i="14"/>
  <c r="Y19" i="14"/>
  <c r="X19" i="14"/>
  <c r="W19" i="14"/>
  <c r="V19" i="14"/>
  <c r="U19" i="14"/>
  <c r="T19" i="14"/>
  <c r="S19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AH18" i="14"/>
  <c r="AG18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H17" i="14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U17" i="14"/>
  <c r="T17" i="14"/>
  <c r="S17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C17" i="14"/>
  <c r="AH16" i="14"/>
  <c r="AG16" i="14"/>
  <c r="AF16" i="14"/>
  <c r="AE16" i="14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C16" i="14"/>
  <c r="AH15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C14" i="14"/>
  <c r="AH13" i="14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S13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C13" i="14"/>
  <c r="AH12" i="14"/>
  <c r="AG12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H11" i="14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AH10" i="14"/>
  <c r="AG10" i="14"/>
  <c r="AF10" i="14"/>
  <c r="AE10" i="14"/>
  <c r="AD10" i="14"/>
  <c r="AC10" i="14"/>
  <c r="AB10" i="14"/>
  <c r="AA10" i="14"/>
  <c r="Z10" i="14"/>
  <c r="Y10" i="14"/>
  <c r="X10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E10" i="14"/>
  <c r="D10" i="14"/>
  <c r="C10" i="14"/>
  <c r="AH9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AH7" i="14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E7" i="14"/>
  <c r="D7" i="14"/>
  <c r="C7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5" i="14"/>
  <c r="F5" i="14"/>
  <c r="E5" i="14"/>
  <c r="D5" i="14"/>
  <c r="C5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E3" i="14"/>
  <c r="D3" i="14"/>
  <c r="C3" i="14"/>
  <c r="F2" i="7"/>
  <c r="H2" i="7"/>
  <c r="J2" i="7"/>
  <c r="L2" i="7"/>
  <c r="N2" i="7"/>
  <c r="P2" i="7"/>
  <c r="R2" i="7"/>
  <c r="T2" i="7"/>
  <c r="V2" i="7"/>
  <c r="X2" i="7"/>
  <c r="Z2" i="7"/>
  <c r="AB2" i="7"/>
  <c r="AD2" i="7"/>
  <c r="AF2" i="7"/>
  <c r="AH2" i="7"/>
  <c r="E2" i="7"/>
  <c r="G2" i="7"/>
  <c r="I2" i="7"/>
  <c r="K2" i="7"/>
  <c r="M2" i="7"/>
  <c r="O2" i="7"/>
  <c r="Q2" i="7"/>
  <c r="S2" i="7"/>
  <c r="U2" i="7"/>
  <c r="W2" i="7"/>
  <c r="Y2" i="7"/>
  <c r="AA2" i="7"/>
  <c r="AC2" i="7"/>
  <c r="AE2" i="7"/>
  <c r="AG2" i="7"/>
  <c r="C1" i="7" a="1"/>
  <c r="D1" i="7"/>
  <c r="F1" i="7"/>
  <c r="H1" i="7"/>
  <c r="J1" i="7"/>
  <c r="L1" i="7"/>
  <c r="N1" i="7"/>
  <c r="P1" i="7"/>
  <c r="R1" i="7"/>
  <c r="T1" i="7"/>
  <c r="V1" i="7"/>
  <c r="X1" i="7"/>
  <c r="Z1" i="7"/>
  <c r="AB1" i="7"/>
  <c r="AD1" i="7"/>
  <c r="AF1" i="7"/>
  <c r="AH1" i="7"/>
  <c r="C1" i="7"/>
  <c r="E1" i="7"/>
  <c r="G1" i="7"/>
  <c r="I1" i="7"/>
  <c r="K1" i="7"/>
  <c r="M1" i="7"/>
  <c r="O1" i="7"/>
  <c r="Q1" i="7"/>
  <c r="S1" i="7"/>
  <c r="U1" i="7"/>
  <c r="W1" i="7"/>
  <c r="Y1" i="7"/>
  <c r="AA1" i="7"/>
  <c r="AC1" i="7"/>
  <c r="AE1" i="7"/>
  <c r="AG1" i="7"/>
  <c r="F2" i="4"/>
  <c r="H2" i="4"/>
  <c r="J2" i="4"/>
  <c r="L2" i="4"/>
  <c r="N2" i="4"/>
  <c r="P2" i="4"/>
  <c r="R2" i="4"/>
  <c r="T2" i="4"/>
  <c r="V2" i="4"/>
  <c r="X2" i="4"/>
  <c r="Z2" i="4"/>
  <c r="AB2" i="4"/>
  <c r="AD2" i="4"/>
  <c r="AF2" i="4"/>
  <c r="AH2" i="4"/>
  <c r="E2" i="4"/>
  <c r="G2" i="4"/>
  <c r="I2" i="4"/>
  <c r="K2" i="4"/>
  <c r="M2" i="4"/>
  <c r="O2" i="4"/>
  <c r="Q2" i="4"/>
  <c r="S2" i="4"/>
  <c r="U2" i="4"/>
  <c r="W2" i="4"/>
  <c r="Y2" i="4"/>
  <c r="AA2" i="4"/>
  <c r="AC2" i="4"/>
  <c r="AE2" i="4"/>
  <c r="AG2" i="4"/>
  <c r="C1" i="4" a="1"/>
  <c r="D1" i="4"/>
  <c r="F1" i="4"/>
  <c r="H1" i="4"/>
  <c r="J1" i="4"/>
  <c r="L1" i="4"/>
  <c r="N1" i="4"/>
  <c r="P1" i="4"/>
  <c r="R1" i="4"/>
  <c r="T1" i="4"/>
  <c r="V1" i="4"/>
  <c r="X1" i="4"/>
  <c r="Z1" i="4"/>
  <c r="AB1" i="4"/>
  <c r="AD1" i="4"/>
  <c r="AF1" i="4"/>
  <c r="AH1" i="4"/>
  <c r="C1" i="4"/>
  <c r="E1" i="4"/>
  <c r="G1" i="4"/>
  <c r="I1" i="4"/>
  <c r="K1" i="4"/>
  <c r="M1" i="4"/>
  <c r="O1" i="4"/>
  <c r="Q1" i="4"/>
  <c r="S1" i="4"/>
  <c r="U1" i="4"/>
  <c r="W1" i="4"/>
  <c r="Y1" i="4"/>
  <c r="AA1" i="4"/>
  <c r="AC1" i="4"/>
  <c r="AE1" i="4"/>
  <c r="AG1" i="4"/>
  <c r="F2" i="11"/>
  <c r="H2" i="11"/>
  <c r="J2" i="11"/>
  <c r="L2" i="11"/>
  <c r="N2" i="11"/>
  <c r="P2" i="11"/>
  <c r="R2" i="11"/>
  <c r="T2" i="11"/>
  <c r="V2" i="11"/>
  <c r="X2" i="11"/>
  <c r="Z2" i="11"/>
  <c r="AB2" i="11"/>
  <c r="AD2" i="11"/>
  <c r="AF2" i="11"/>
  <c r="AH2" i="11"/>
  <c r="E2" i="11"/>
  <c r="G2" i="11"/>
  <c r="I2" i="11"/>
  <c r="K2" i="11"/>
  <c r="M2" i="11"/>
  <c r="O2" i="11"/>
  <c r="Q2" i="11"/>
  <c r="S2" i="11"/>
  <c r="U2" i="11"/>
  <c r="W2" i="11"/>
  <c r="Y2" i="11"/>
  <c r="AA2" i="11"/>
  <c r="AC2" i="11"/>
  <c r="AE2" i="11"/>
  <c r="AG2" i="11"/>
  <c r="C1" i="11" a="1"/>
  <c r="D1" i="11"/>
  <c r="F1" i="11"/>
  <c r="H1" i="11"/>
  <c r="J1" i="11"/>
  <c r="L1" i="11"/>
  <c r="N1" i="11"/>
  <c r="P1" i="11"/>
  <c r="R1" i="11"/>
  <c r="T1" i="11"/>
  <c r="V1" i="11"/>
  <c r="X1" i="11"/>
  <c r="Z1" i="11"/>
  <c r="AB1" i="11"/>
  <c r="AD1" i="11"/>
  <c r="AF1" i="11"/>
  <c r="AH1" i="11"/>
  <c r="C1" i="11"/>
  <c r="E1" i="11"/>
  <c r="G1" i="11"/>
  <c r="I1" i="11"/>
  <c r="K1" i="11"/>
  <c r="M1" i="11"/>
  <c r="O1" i="11"/>
  <c r="Q1" i="11"/>
  <c r="S1" i="11"/>
  <c r="U1" i="11"/>
  <c r="W1" i="11"/>
  <c r="Y1" i="11"/>
  <c r="AA1" i="11"/>
  <c r="AC1" i="11"/>
  <c r="AE1" i="11"/>
  <c r="AG1" i="11"/>
  <c r="E2" i="9"/>
  <c r="G2" i="9"/>
  <c r="I2" i="9"/>
  <c r="K2" i="9"/>
  <c r="M2" i="9"/>
  <c r="O2" i="9"/>
  <c r="Q2" i="9"/>
  <c r="S2" i="9"/>
  <c r="U2" i="9"/>
  <c r="W2" i="9"/>
  <c r="Y2" i="9"/>
  <c r="AA2" i="9"/>
  <c r="AC2" i="9"/>
  <c r="AE2" i="9"/>
  <c r="AG2" i="9"/>
  <c r="D2" i="9"/>
  <c r="F2" i="9"/>
  <c r="H2" i="9"/>
  <c r="J2" i="9"/>
  <c r="L2" i="9"/>
  <c r="N2" i="9"/>
  <c r="P2" i="9"/>
  <c r="R2" i="9"/>
  <c r="T2" i="9"/>
  <c r="V2" i="9"/>
  <c r="X2" i="9"/>
  <c r="Z2" i="9"/>
  <c r="AB2" i="9"/>
  <c r="AD2" i="9"/>
  <c r="AF2" i="9"/>
  <c r="B1" i="9" a="1"/>
  <c r="C1" i="9"/>
  <c r="E1" i="9"/>
  <c r="G1" i="9"/>
  <c r="I1" i="9"/>
  <c r="K1" i="9"/>
  <c r="M1" i="9"/>
  <c r="O1" i="9"/>
  <c r="Q1" i="9"/>
  <c r="S1" i="9"/>
  <c r="U1" i="9"/>
  <c r="W1" i="9"/>
  <c r="Y1" i="9"/>
  <c r="AA1" i="9"/>
  <c r="AC1" i="9"/>
  <c r="AE1" i="9"/>
  <c r="AG1" i="9"/>
  <c r="B1" i="9"/>
  <c r="D1" i="9"/>
  <c r="F1" i="9"/>
  <c r="H1" i="9"/>
  <c r="J1" i="9"/>
  <c r="L1" i="9"/>
  <c r="N1" i="9"/>
  <c r="P1" i="9"/>
  <c r="R1" i="9"/>
  <c r="T1" i="9"/>
  <c r="V1" i="9"/>
  <c r="X1" i="9"/>
  <c r="Z1" i="9"/>
  <c r="AB1" i="9"/>
  <c r="AD1" i="9"/>
  <c r="AF1" i="9"/>
  <c r="F2" i="15"/>
  <c r="H2" i="15"/>
  <c r="J2" i="15"/>
  <c r="L2" i="15"/>
  <c r="N2" i="15"/>
  <c r="P2" i="15"/>
  <c r="R2" i="15"/>
  <c r="T2" i="15"/>
  <c r="V2" i="15"/>
  <c r="X2" i="15"/>
  <c r="Z2" i="15"/>
  <c r="AB2" i="15"/>
  <c r="AD2" i="15"/>
  <c r="AF2" i="15"/>
  <c r="AH2" i="15"/>
  <c r="E2" i="15"/>
  <c r="G2" i="15"/>
  <c r="I2" i="15"/>
  <c r="K2" i="15"/>
  <c r="M2" i="15"/>
  <c r="O2" i="15"/>
  <c r="Q2" i="15"/>
  <c r="S2" i="15"/>
  <c r="U2" i="15"/>
  <c r="W2" i="15"/>
  <c r="Y2" i="15"/>
  <c r="AA2" i="15"/>
  <c r="AC2" i="15"/>
  <c r="AE2" i="15"/>
  <c r="AG2" i="15"/>
  <c r="C1" i="15" a="1"/>
  <c r="D1" i="15"/>
  <c r="F1" i="15"/>
  <c r="H1" i="15"/>
  <c r="J1" i="15"/>
  <c r="L1" i="15"/>
  <c r="N1" i="15"/>
  <c r="P1" i="15"/>
  <c r="R1" i="15"/>
  <c r="T1" i="15"/>
  <c r="V1" i="15"/>
  <c r="X1" i="15"/>
  <c r="Z1" i="15"/>
  <c r="AB1" i="15"/>
  <c r="AD1" i="15"/>
  <c r="AF1" i="15"/>
  <c r="AH1" i="15"/>
  <c r="C1" i="15"/>
  <c r="E1" i="15"/>
  <c r="G1" i="15"/>
  <c r="I1" i="15"/>
  <c r="K1" i="15"/>
  <c r="M1" i="15"/>
  <c r="O1" i="15"/>
  <c r="Q1" i="15"/>
  <c r="S1" i="15"/>
  <c r="U1" i="15"/>
  <c r="W1" i="15"/>
  <c r="Y1" i="15"/>
  <c r="AA1" i="15"/>
  <c r="AC1" i="15"/>
  <c r="AE1" i="15"/>
  <c r="AG1" i="15"/>
  <c r="F2" i="14"/>
  <c r="H2" i="14"/>
  <c r="J2" i="14"/>
  <c r="L2" i="14"/>
  <c r="N2" i="14"/>
  <c r="P2" i="14"/>
  <c r="R2" i="14"/>
  <c r="T2" i="14"/>
  <c r="V2" i="14"/>
  <c r="X2" i="14"/>
  <c r="Z2" i="14"/>
  <c r="AB2" i="14"/>
  <c r="AD2" i="14"/>
  <c r="AF2" i="14"/>
  <c r="AH2" i="14"/>
  <c r="E2" i="14"/>
  <c r="G2" i="14"/>
  <c r="I2" i="14"/>
  <c r="K2" i="14"/>
  <c r="M2" i="14"/>
  <c r="O2" i="14"/>
  <c r="Q2" i="14"/>
  <c r="S2" i="14"/>
  <c r="U2" i="14"/>
  <c r="W2" i="14"/>
  <c r="Y2" i="14"/>
  <c r="AA2" i="14"/>
  <c r="AC2" i="14"/>
  <c r="AE2" i="14"/>
  <c r="AG2" i="14"/>
  <c r="C1" i="14" a="1"/>
  <c r="D1" i="14"/>
  <c r="F1" i="14"/>
  <c r="H1" i="14"/>
  <c r="J1" i="14"/>
  <c r="L1" i="14"/>
  <c r="N1" i="14"/>
  <c r="P1" i="14"/>
  <c r="R1" i="14"/>
  <c r="T1" i="14"/>
  <c r="V1" i="14"/>
  <c r="X1" i="14"/>
  <c r="Z1" i="14"/>
  <c r="AB1" i="14"/>
  <c r="AD1" i="14"/>
  <c r="AF1" i="14"/>
  <c r="AH1" i="14"/>
  <c r="C1" i="14"/>
  <c r="E1" i="14"/>
  <c r="G1" i="14"/>
  <c r="I1" i="14"/>
  <c r="K1" i="14"/>
  <c r="M1" i="14"/>
  <c r="O1" i="14"/>
  <c r="Q1" i="14"/>
  <c r="S1" i="14"/>
  <c r="U1" i="14"/>
  <c r="W1" i="14"/>
  <c r="Y1" i="14"/>
  <c r="AA1" i="14"/>
  <c r="AC1" i="14"/>
  <c r="AE1" i="14"/>
  <c r="AG1" i="14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C3" i="15"/>
  <c r="B123" i="8"/>
  <c r="B124" i="8"/>
  <c r="B125" i="8"/>
  <c r="B126" i="8"/>
  <c r="B127" i="8"/>
  <c r="B128" i="8"/>
  <c r="B129" i="8"/>
  <c r="B130" i="8"/>
  <c r="B131" i="8"/>
  <c r="B122" i="8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C3" i="9"/>
  <c r="B3" i="9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4" i="11"/>
  <c r="C4" i="11"/>
  <c r="D3" i="11"/>
  <c r="C3" i="11"/>
  <c r="AK12" i="5"/>
  <c r="AJ12" i="5"/>
  <c r="AI12" i="5"/>
  <c r="AH12" i="5"/>
  <c r="AG12" i="5"/>
  <c r="AF12" i="5"/>
  <c r="AE12" i="5"/>
  <c r="AD12" i="5"/>
  <c r="AC12" i="5"/>
  <c r="AL11" i="5"/>
  <c r="AJ11" i="5"/>
  <c r="AI11" i="5"/>
  <c r="AH11" i="5"/>
  <c r="AG11" i="5"/>
  <c r="AF11" i="5"/>
  <c r="AE11" i="5"/>
  <c r="AD11" i="5"/>
  <c r="AC11" i="5"/>
  <c r="AL10" i="5"/>
  <c r="AK10" i="5"/>
  <c r="AI10" i="5"/>
  <c r="AH10" i="5"/>
  <c r="AG10" i="5"/>
  <c r="AF10" i="5"/>
  <c r="AE10" i="5"/>
  <c r="AD10" i="5"/>
  <c r="AC10" i="5"/>
  <c r="AL9" i="5"/>
  <c r="AK9" i="5"/>
  <c r="AJ9" i="5"/>
  <c r="AH9" i="5"/>
  <c r="AG9" i="5"/>
  <c r="AF9" i="5"/>
  <c r="AE9" i="5"/>
  <c r="AD9" i="5"/>
  <c r="AC9" i="5"/>
  <c r="AL8" i="5"/>
  <c r="AK8" i="5"/>
  <c r="AJ8" i="5"/>
  <c r="AI8" i="5"/>
  <c r="AG8" i="5"/>
  <c r="AF8" i="5"/>
  <c r="AE8" i="5"/>
  <c r="AD8" i="5"/>
  <c r="AC8" i="5"/>
  <c r="AL7" i="5"/>
  <c r="AK7" i="5"/>
  <c r="AJ7" i="5"/>
  <c r="AI7" i="5"/>
  <c r="AH7" i="5"/>
  <c r="AF7" i="5"/>
  <c r="AE7" i="5"/>
  <c r="AD7" i="5"/>
  <c r="AC7" i="5"/>
  <c r="AL6" i="5"/>
  <c r="AK6" i="5"/>
  <c r="AJ6" i="5"/>
  <c r="AI6" i="5"/>
  <c r="AH6" i="5"/>
  <c r="AG6" i="5"/>
  <c r="AE6" i="5"/>
  <c r="AD6" i="5"/>
  <c r="AC6" i="5"/>
  <c r="AL5" i="5"/>
  <c r="AK5" i="5"/>
  <c r="AJ5" i="5"/>
  <c r="AI5" i="5"/>
  <c r="AH5" i="5"/>
  <c r="AG5" i="5"/>
  <c r="AF5" i="5"/>
  <c r="AD5" i="5"/>
  <c r="AC5" i="5"/>
  <c r="AL4" i="5"/>
  <c r="AK4" i="5"/>
  <c r="AJ4" i="5"/>
  <c r="AI4" i="5"/>
  <c r="AH4" i="5"/>
  <c r="AG4" i="5"/>
  <c r="AF4" i="5"/>
  <c r="AE4" i="5"/>
  <c r="AC4" i="5"/>
  <c r="AL3" i="5"/>
  <c r="AK3" i="5"/>
  <c r="AJ3" i="5"/>
  <c r="AI3" i="5"/>
  <c r="AH3" i="5"/>
  <c r="AG3" i="5"/>
  <c r="AF3" i="5"/>
  <c r="AE3" i="5"/>
  <c r="AD3" i="5"/>
  <c r="X12" i="5"/>
  <c r="W12" i="5"/>
  <c r="V12" i="5"/>
  <c r="U12" i="5"/>
  <c r="T12" i="5"/>
  <c r="S12" i="5"/>
  <c r="R12" i="5"/>
  <c r="Q12" i="5"/>
  <c r="P12" i="5"/>
  <c r="Y11" i="5"/>
  <c r="W11" i="5"/>
  <c r="V11" i="5"/>
  <c r="U11" i="5"/>
  <c r="T11" i="5"/>
  <c r="S11" i="5"/>
  <c r="R11" i="5"/>
  <c r="Q11" i="5"/>
  <c r="P11" i="5"/>
  <c r="Y10" i="5"/>
  <c r="X10" i="5"/>
  <c r="V10" i="5"/>
  <c r="U10" i="5"/>
  <c r="T10" i="5"/>
  <c r="S10" i="5"/>
  <c r="R10" i="5"/>
  <c r="Q10" i="5"/>
  <c r="P10" i="5"/>
  <c r="Y9" i="5"/>
  <c r="X9" i="5"/>
  <c r="W9" i="5"/>
  <c r="U9" i="5"/>
  <c r="T9" i="5"/>
  <c r="S9" i="5"/>
  <c r="R9" i="5"/>
  <c r="Q9" i="5"/>
  <c r="P9" i="5"/>
  <c r="Y8" i="5"/>
  <c r="X8" i="5"/>
  <c r="W8" i="5"/>
  <c r="V8" i="5"/>
  <c r="T8" i="5"/>
  <c r="S8" i="5"/>
  <c r="R8" i="5"/>
  <c r="Q8" i="5"/>
  <c r="P8" i="5"/>
  <c r="Y7" i="5"/>
  <c r="X7" i="5"/>
  <c r="W7" i="5"/>
  <c r="V7" i="5"/>
  <c r="U7" i="5"/>
  <c r="S7" i="5"/>
  <c r="R7" i="5"/>
  <c r="Q7" i="5"/>
  <c r="P7" i="5"/>
  <c r="Y6" i="5"/>
  <c r="X6" i="5"/>
  <c r="W6" i="5"/>
  <c r="V6" i="5"/>
  <c r="U6" i="5"/>
  <c r="T6" i="5"/>
  <c r="R6" i="5"/>
  <c r="Q6" i="5"/>
  <c r="P6" i="5"/>
  <c r="Y5" i="5"/>
  <c r="X5" i="5"/>
  <c r="W5" i="5"/>
  <c r="V5" i="5"/>
  <c r="U5" i="5"/>
  <c r="T5" i="5"/>
  <c r="S5" i="5"/>
  <c r="Q5" i="5"/>
  <c r="P5" i="5"/>
  <c r="Y4" i="5"/>
  <c r="X4" i="5"/>
  <c r="W4" i="5"/>
  <c r="V4" i="5"/>
  <c r="U4" i="5"/>
  <c r="T4" i="5"/>
  <c r="S4" i="5"/>
  <c r="R4" i="5"/>
  <c r="P4" i="5"/>
  <c r="Y3" i="5"/>
  <c r="X3" i="5"/>
  <c r="W3" i="5"/>
  <c r="V3" i="5"/>
  <c r="U3" i="5"/>
  <c r="T3" i="5"/>
  <c r="S3" i="5"/>
  <c r="R3" i="5"/>
  <c r="Q3" i="5"/>
  <c r="C162" i="8"/>
  <c r="D162" i="8"/>
  <c r="E162" i="8"/>
  <c r="F162" i="8"/>
  <c r="G162" i="8"/>
  <c r="H162" i="8"/>
  <c r="I162" i="8"/>
  <c r="J162" i="8"/>
  <c r="K162" i="8"/>
  <c r="L162" i="8"/>
  <c r="M162" i="8"/>
  <c r="N162" i="8"/>
  <c r="O162" i="8"/>
  <c r="P162" i="8"/>
  <c r="Q162" i="8"/>
  <c r="C163" i="8"/>
  <c r="D163" i="8"/>
  <c r="E163" i="8"/>
  <c r="F163" i="8"/>
  <c r="G163" i="8"/>
  <c r="H163" i="8"/>
  <c r="I163" i="8"/>
  <c r="J163" i="8"/>
  <c r="K163" i="8"/>
  <c r="L163" i="8"/>
  <c r="M163" i="8"/>
  <c r="N163" i="8"/>
  <c r="O163" i="8"/>
  <c r="P163" i="8"/>
  <c r="Q163" i="8"/>
  <c r="C164" i="8"/>
  <c r="D164" i="8"/>
  <c r="E164" i="8"/>
  <c r="F164" i="8"/>
  <c r="G164" i="8"/>
  <c r="H164" i="8"/>
  <c r="I164" i="8"/>
  <c r="J164" i="8"/>
  <c r="K164" i="8"/>
  <c r="L164" i="8"/>
  <c r="M164" i="8"/>
  <c r="N164" i="8"/>
  <c r="O164" i="8"/>
  <c r="P164" i="8"/>
  <c r="Q164" i="8"/>
  <c r="C165" i="8"/>
  <c r="D165" i="8"/>
  <c r="E165" i="8"/>
  <c r="F165" i="8"/>
  <c r="G165" i="8"/>
  <c r="H165" i="8"/>
  <c r="I165" i="8"/>
  <c r="J165" i="8"/>
  <c r="K165" i="8"/>
  <c r="L165" i="8"/>
  <c r="M165" i="8"/>
  <c r="N165" i="8"/>
  <c r="O165" i="8"/>
  <c r="P165" i="8"/>
  <c r="Q165" i="8"/>
  <c r="C166" i="8"/>
  <c r="D166" i="8"/>
  <c r="E166" i="8"/>
  <c r="F166" i="8"/>
  <c r="G166" i="8"/>
  <c r="H166" i="8"/>
  <c r="I166" i="8"/>
  <c r="J166" i="8"/>
  <c r="K166" i="8"/>
  <c r="L166" i="8"/>
  <c r="M166" i="8"/>
  <c r="N166" i="8"/>
  <c r="O166" i="8"/>
  <c r="P166" i="8"/>
  <c r="Q166" i="8"/>
  <c r="C167" i="8"/>
  <c r="D167" i="8"/>
  <c r="E167" i="8"/>
  <c r="F167" i="8"/>
  <c r="G167" i="8"/>
  <c r="H167" i="8"/>
  <c r="I167" i="8"/>
  <c r="J167" i="8"/>
  <c r="K167" i="8"/>
  <c r="L167" i="8"/>
  <c r="M167" i="8"/>
  <c r="N167" i="8"/>
  <c r="O167" i="8"/>
  <c r="P167" i="8"/>
  <c r="Q167" i="8"/>
  <c r="C168" i="8"/>
  <c r="D168" i="8"/>
  <c r="E168" i="8"/>
  <c r="F168" i="8"/>
  <c r="G168" i="8"/>
  <c r="H168" i="8"/>
  <c r="I168" i="8"/>
  <c r="J168" i="8"/>
  <c r="K168" i="8"/>
  <c r="L168" i="8"/>
  <c r="M168" i="8"/>
  <c r="N168" i="8"/>
  <c r="O168" i="8"/>
  <c r="P168" i="8"/>
  <c r="Q168" i="8"/>
  <c r="C169" i="8"/>
  <c r="D169" i="8"/>
  <c r="E169" i="8"/>
  <c r="F169" i="8"/>
  <c r="G169" i="8"/>
  <c r="H169" i="8"/>
  <c r="I169" i="8"/>
  <c r="J169" i="8"/>
  <c r="K169" i="8"/>
  <c r="L169" i="8"/>
  <c r="M169" i="8"/>
  <c r="N169" i="8"/>
  <c r="O169" i="8"/>
  <c r="P169" i="8"/>
  <c r="Q169" i="8"/>
  <c r="C170" i="8"/>
  <c r="D170" i="8"/>
  <c r="E170" i="8"/>
  <c r="F170" i="8"/>
  <c r="G170" i="8"/>
  <c r="H170" i="8"/>
  <c r="I170" i="8"/>
  <c r="J170" i="8"/>
  <c r="K170" i="8"/>
  <c r="L170" i="8"/>
  <c r="M170" i="8"/>
  <c r="N170" i="8"/>
  <c r="O170" i="8"/>
  <c r="P170" i="8"/>
  <c r="Q170" i="8"/>
  <c r="C171" i="8"/>
  <c r="D171" i="8"/>
  <c r="E171" i="8"/>
  <c r="F171" i="8"/>
  <c r="G171" i="8"/>
  <c r="H171" i="8"/>
  <c r="I171" i="8"/>
  <c r="J171" i="8"/>
  <c r="K171" i="8"/>
  <c r="L171" i="8"/>
  <c r="M171" i="8"/>
  <c r="N171" i="8"/>
  <c r="O171" i="8"/>
  <c r="P171" i="8"/>
  <c r="Q171" i="8"/>
  <c r="C172" i="8"/>
  <c r="D172" i="8"/>
  <c r="E172" i="8"/>
  <c r="F172" i="8"/>
  <c r="G172" i="8"/>
  <c r="H172" i="8"/>
  <c r="I172" i="8"/>
  <c r="J172" i="8"/>
  <c r="K172" i="8"/>
  <c r="L172" i="8"/>
  <c r="M172" i="8"/>
  <c r="N172" i="8"/>
  <c r="O172" i="8"/>
  <c r="P172" i="8"/>
  <c r="Q172" i="8"/>
  <c r="B163" i="8"/>
  <c r="B164" i="8"/>
  <c r="B165" i="8"/>
  <c r="B166" i="8"/>
  <c r="B167" i="8"/>
  <c r="B168" i="8"/>
  <c r="B169" i="8"/>
  <c r="B170" i="8"/>
  <c r="B171" i="8"/>
  <c r="B172" i="8"/>
  <c r="B162" i="8"/>
  <c r="B142" i="8" a="1"/>
  <c r="B142" i="8"/>
  <c r="C142" i="8"/>
  <c r="D142" i="8"/>
  <c r="E142" i="8"/>
  <c r="F142" i="8"/>
  <c r="G142" i="8"/>
  <c r="H142" i="8"/>
  <c r="I142" i="8"/>
  <c r="J142" i="8"/>
  <c r="K142" i="8"/>
  <c r="L142" i="8"/>
  <c r="M142" i="8"/>
  <c r="N142" i="8"/>
  <c r="O142" i="8"/>
  <c r="P142" i="8"/>
  <c r="Q142" i="8"/>
  <c r="B143" i="8"/>
  <c r="C143" i="8"/>
  <c r="D143" i="8"/>
  <c r="E143" i="8"/>
  <c r="F143" i="8"/>
  <c r="G143" i="8"/>
  <c r="H143" i="8"/>
  <c r="I143" i="8"/>
  <c r="J143" i="8"/>
  <c r="K143" i="8"/>
  <c r="L143" i="8"/>
  <c r="M143" i="8"/>
  <c r="N143" i="8"/>
  <c r="O143" i="8"/>
  <c r="P143" i="8"/>
  <c r="Q143" i="8"/>
  <c r="B144" i="8"/>
  <c r="C144" i="8"/>
  <c r="D144" i="8"/>
  <c r="E144" i="8"/>
  <c r="F144" i="8"/>
  <c r="G144" i="8"/>
  <c r="H144" i="8"/>
  <c r="I144" i="8"/>
  <c r="J144" i="8"/>
  <c r="K144" i="8"/>
  <c r="L144" i="8"/>
  <c r="M144" i="8"/>
  <c r="N144" i="8"/>
  <c r="O144" i="8"/>
  <c r="P144" i="8"/>
  <c r="Q144" i="8"/>
  <c r="B145" i="8"/>
  <c r="C145" i="8"/>
  <c r="D145" i="8"/>
  <c r="E145" i="8"/>
  <c r="F145" i="8"/>
  <c r="G145" i="8"/>
  <c r="H145" i="8"/>
  <c r="I145" i="8"/>
  <c r="J145" i="8"/>
  <c r="K145" i="8"/>
  <c r="L145" i="8"/>
  <c r="M145" i="8"/>
  <c r="N145" i="8"/>
  <c r="O145" i="8"/>
  <c r="P145" i="8"/>
  <c r="Q145" i="8"/>
  <c r="B146" i="8"/>
  <c r="C146" i="8"/>
  <c r="D146" i="8"/>
  <c r="E146" i="8"/>
  <c r="F146" i="8"/>
  <c r="G146" i="8"/>
  <c r="H146" i="8"/>
  <c r="I146" i="8"/>
  <c r="J146" i="8"/>
  <c r="K146" i="8"/>
  <c r="L146" i="8"/>
  <c r="M146" i="8"/>
  <c r="N146" i="8"/>
  <c r="O146" i="8"/>
  <c r="P146" i="8"/>
  <c r="Q146" i="8"/>
  <c r="B147" i="8"/>
  <c r="C147" i="8"/>
  <c r="D147" i="8"/>
  <c r="E147" i="8"/>
  <c r="F147" i="8"/>
  <c r="G147" i="8"/>
  <c r="H147" i="8"/>
  <c r="I147" i="8"/>
  <c r="J147" i="8"/>
  <c r="K147" i="8"/>
  <c r="L147" i="8"/>
  <c r="M147" i="8"/>
  <c r="N147" i="8"/>
  <c r="O147" i="8"/>
  <c r="P147" i="8"/>
  <c r="Q147" i="8"/>
  <c r="B148" i="8"/>
  <c r="C148" i="8"/>
  <c r="D148" i="8"/>
  <c r="E148" i="8"/>
  <c r="F148" i="8"/>
  <c r="G148" i="8"/>
  <c r="H148" i="8"/>
  <c r="I148" i="8"/>
  <c r="J148" i="8"/>
  <c r="K148" i="8"/>
  <c r="L148" i="8"/>
  <c r="M148" i="8"/>
  <c r="N148" i="8"/>
  <c r="O148" i="8"/>
  <c r="P148" i="8"/>
  <c r="Q148" i="8"/>
  <c r="B149" i="8"/>
  <c r="C149" i="8"/>
  <c r="D149" i="8"/>
  <c r="E149" i="8"/>
  <c r="F149" i="8"/>
  <c r="G149" i="8"/>
  <c r="H149" i="8"/>
  <c r="I149" i="8"/>
  <c r="J149" i="8"/>
  <c r="K149" i="8"/>
  <c r="L149" i="8"/>
  <c r="M149" i="8"/>
  <c r="N149" i="8"/>
  <c r="O149" i="8"/>
  <c r="P149" i="8"/>
  <c r="Q149" i="8"/>
  <c r="B150" i="8"/>
  <c r="C150" i="8"/>
  <c r="D150" i="8"/>
  <c r="E150" i="8"/>
  <c r="F150" i="8"/>
  <c r="G150" i="8"/>
  <c r="H150" i="8"/>
  <c r="I150" i="8"/>
  <c r="J150" i="8"/>
  <c r="K150" i="8"/>
  <c r="L150" i="8"/>
  <c r="M150" i="8"/>
  <c r="N150" i="8"/>
  <c r="O150" i="8"/>
  <c r="P150" i="8"/>
  <c r="Q150" i="8"/>
  <c r="B151" i="8"/>
  <c r="C151" i="8"/>
  <c r="D151" i="8"/>
  <c r="E151" i="8"/>
  <c r="F151" i="8"/>
  <c r="G151" i="8"/>
  <c r="H151" i="8"/>
  <c r="I151" i="8"/>
  <c r="J151" i="8"/>
  <c r="K151" i="8"/>
  <c r="L151" i="8"/>
  <c r="M151" i="8"/>
  <c r="N151" i="8"/>
  <c r="O151" i="8"/>
  <c r="P151" i="8"/>
  <c r="Q151" i="8"/>
  <c r="B152" i="8"/>
  <c r="C152" i="8"/>
  <c r="D152" i="8"/>
  <c r="E152" i="8"/>
  <c r="F152" i="8"/>
  <c r="G152" i="8"/>
  <c r="H152" i="8"/>
  <c r="I152" i="8"/>
  <c r="J152" i="8"/>
  <c r="K152" i="8"/>
  <c r="L152" i="8"/>
  <c r="M152" i="8"/>
  <c r="N152" i="8"/>
  <c r="O152" i="8"/>
  <c r="P152" i="8"/>
  <c r="Q152" i="8"/>
  <c r="A162" i="8" a="1"/>
  <c r="A162" i="8"/>
  <c r="A163" i="8"/>
  <c r="A164" i="8"/>
  <c r="A165" i="8"/>
  <c r="A166" i="8"/>
  <c r="A167" i="8"/>
  <c r="A168" i="8"/>
  <c r="A169" i="8"/>
  <c r="A170" i="8"/>
  <c r="A171" i="8"/>
  <c r="A172" i="8"/>
  <c r="B161" i="8" a="1"/>
  <c r="B161" i="8"/>
  <c r="C161" i="8"/>
  <c r="D161" i="8"/>
  <c r="E161" i="8"/>
  <c r="F161" i="8"/>
  <c r="G161" i="8"/>
  <c r="H161" i="8"/>
  <c r="I161" i="8"/>
  <c r="J161" i="8"/>
  <c r="K161" i="8"/>
  <c r="L161" i="8"/>
  <c r="M161" i="8"/>
  <c r="N161" i="8"/>
  <c r="O161" i="8"/>
  <c r="P161" i="8"/>
  <c r="Q161" i="8"/>
  <c r="A142" i="8" a="1"/>
  <c r="A142" i="8"/>
  <c r="A143" i="8"/>
  <c r="A144" i="8"/>
  <c r="A145" i="8"/>
  <c r="A146" i="8"/>
  <c r="A147" i="8"/>
  <c r="A148" i="8"/>
  <c r="A149" i="8"/>
  <c r="A150" i="8"/>
  <c r="A151" i="8"/>
  <c r="A152" i="8"/>
  <c r="B141" i="8" a="1"/>
  <c r="B141" i="8"/>
  <c r="C141" i="8"/>
  <c r="D141" i="8"/>
  <c r="E141" i="8"/>
  <c r="F141" i="8"/>
  <c r="G141" i="8"/>
  <c r="H141" i="8"/>
  <c r="I141" i="8"/>
  <c r="J141" i="8"/>
  <c r="K141" i="8"/>
  <c r="L141" i="8"/>
  <c r="M141" i="8"/>
  <c r="N141" i="8"/>
  <c r="O141" i="8"/>
  <c r="P141" i="8"/>
  <c r="Q141" i="8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G4" i="9"/>
  <c r="AF4" i="9"/>
  <c r="AE4" i="9"/>
  <c r="AD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A3" i="9" a="1"/>
  <c r="A12" i="9"/>
  <c r="A11" i="9"/>
  <c r="A10" i="9"/>
  <c r="A9" i="9"/>
  <c r="A8" i="9"/>
  <c r="A7" i="9"/>
  <c r="A6" i="9"/>
  <c r="A5" i="9"/>
  <c r="A4" i="9"/>
  <c r="A3" i="9"/>
  <c r="A13" i="9"/>
  <c r="B3" i="15" a="1"/>
  <c r="B13" i="15"/>
  <c r="B24" i="15"/>
  <c r="B35" i="15"/>
  <c r="B46" i="15"/>
  <c r="B57" i="15"/>
  <c r="B68" i="15"/>
  <c r="A13" i="15"/>
  <c r="A24" i="15"/>
  <c r="A35" i="15"/>
  <c r="A46" i="15"/>
  <c r="A57" i="15"/>
  <c r="A68" i="15"/>
  <c r="B12" i="15"/>
  <c r="B23" i="15"/>
  <c r="B34" i="15"/>
  <c r="B45" i="15"/>
  <c r="B56" i="15"/>
  <c r="B67" i="15"/>
  <c r="A12" i="15"/>
  <c r="A23" i="15"/>
  <c r="A34" i="15"/>
  <c r="A45" i="15"/>
  <c r="A56" i="15"/>
  <c r="A67" i="15"/>
  <c r="B11" i="15"/>
  <c r="B22" i="15"/>
  <c r="B33" i="15"/>
  <c r="B44" i="15"/>
  <c r="B55" i="15"/>
  <c r="B66" i="15"/>
  <c r="A11" i="15"/>
  <c r="A22" i="15"/>
  <c r="A33" i="15"/>
  <c r="A44" i="15"/>
  <c r="A55" i="15"/>
  <c r="A66" i="15"/>
  <c r="B10" i="15"/>
  <c r="B21" i="15"/>
  <c r="B32" i="15"/>
  <c r="B43" i="15"/>
  <c r="B54" i="15"/>
  <c r="B65" i="15"/>
  <c r="A10" i="15"/>
  <c r="A21" i="15"/>
  <c r="A32" i="15"/>
  <c r="A43" i="15"/>
  <c r="A54" i="15"/>
  <c r="A65" i="15"/>
  <c r="B9" i="15"/>
  <c r="B20" i="15"/>
  <c r="B31" i="15"/>
  <c r="B42" i="15"/>
  <c r="B53" i="15"/>
  <c r="B64" i="15"/>
  <c r="A9" i="15"/>
  <c r="A20" i="15"/>
  <c r="A31" i="15"/>
  <c r="A42" i="15"/>
  <c r="A53" i="15"/>
  <c r="A64" i="15"/>
  <c r="B8" i="15"/>
  <c r="B19" i="15"/>
  <c r="B30" i="15"/>
  <c r="B41" i="15"/>
  <c r="B52" i="15"/>
  <c r="B63" i="15"/>
  <c r="A8" i="15"/>
  <c r="A19" i="15"/>
  <c r="A30" i="15"/>
  <c r="A41" i="15"/>
  <c r="A52" i="15"/>
  <c r="A63" i="15"/>
  <c r="B7" i="15"/>
  <c r="B18" i="15"/>
  <c r="B29" i="15"/>
  <c r="B40" i="15"/>
  <c r="B51" i="15"/>
  <c r="B62" i="15"/>
  <c r="A7" i="15"/>
  <c r="A18" i="15"/>
  <c r="A29" i="15"/>
  <c r="A40" i="15"/>
  <c r="A51" i="15"/>
  <c r="A62" i="15"/>
  <c r="B6" i="15"/>
  <c r="B17" i="15"/>
  <c r="B28" i="15"/>
  <c r="B39" i="15"/>
  <c r="B50" i="15"/>
  <c r="B61" i="15"/>
  <c r="A6" i="15"/>
  <c r="A17" i="15"/>
  <c r="A28" i="15"/>
  <c r="A39" i="15"/>
  <c r="A50" i="15"/>
  <c r="A61" i="15"/>
  <c r="B5" i="15"/>
  <c r="B16" i="15"/>
  <c r="B27" i="15"/>
  <c r="B38" i="15"/>
  <c r="B49" i="15"/>
  <c r="B60" i="15"/>
  <c r="A5" i="15"/>
  <c r="A16" i="15"/>
  <c r="A27" i="15"/>
  <c r="A38" i="15"/>
  <c r="A49" i="15"/>
  <c r="A60" i="15"/>
  <c r="B4" i="15"/>
  <c r="B15" i="15"/>
  <c r="B26" i="15"/>
  <c r="B37" i="15"/>
  <c r="B48" i="15"/>
  <c r="B59" i="15"/>
  <c r="A4" i="15"/>
  <c r="A15" i="15"/>
  <c r="A26" i="15"/>
  <c r="A37" i="15"/>
  <c r="A48" i="15"/>
  <c r="A59" i="15"/>
  <c r="B3" i="15"/>
  <c r="B14" i="15"/>
  <c r="B25" i="15"/>
  <c r="B36" i="15"/>
  <c r="B47" i="15"/>
  <c r="B58" i="15"/>
  <c r="A3" i="15"/>
  <c r="A14" i="15"/>
  <c r="A25" i="15"/>
  <c r="A36" i="15"/>
  <c r="A47" i="15"/>
  <c r="A58" i="15"/>
  <c r="B3" i="14" a="1"/>
  <c r="B13" i="14"/>
  <c r="B24" i="14"/>
  <c r="B35" i="14"/>
  <c r="B46" i="14"/>
  <c r="B57" i="14"/>
  <c r="B68" i="14"/>
  <c r="A13" i="14"/>
  <c r="A24" i="14"/>
  <c r="A35" i="14"/>
  <c r="A46" i="14"/>
  <c r="A57" i="14"/>
  <c r="A68" i="14"/>
  <c r="B12" i="14"/>
  <c r="B23" i="14"/>
  <c r="B34" i="14"/>
  <c r="B45" i="14"/>
  <c r="B56" i="14"/>
  <c r="B67" i="14"/>
  <c r="A12" i="14"/>
  <c r="A23" i="14"/>
  <c r="A34" i="14"/>
  <c r="A45" i="14"/>
  <c r="A56" i="14"/>
  <c r="A67" i="14"/>
  <c r="B11" i="14"/>
  <c r="B22" i="14"/>
  <c r="B33" i="14"/>
  <c r="B44" i="14"/>
  <c r="B55" i="14"/>
  <c r="B66" i="14"/>
  <c r="A11" i="14"/>
  <c r="A22" i="14"/>
  <c r="A33" i="14"/>
  <c r="A44" i="14"/>
  <c r="A55" i="14"/>
  <c r="A66" i="14"/>
  <c r="B10" i="14"/>
  <c r="B21" i="14"/>
  <c r="B32" i="14"/>
  <c r="B43" i="14"/>
  <c r="B54" i="14"/>
  <c r="B65" i="14"/>
  <c r="A10" i="14"/>
  <c r="A21" i="14"/>
  <c r="A32" i="14"/>
  <c r="A43" i="14"/>
  <c r="A54" i="14"/>
  <c r="A65" i="14"/>
  <c r="B9" i="14"/>
  <c r="B20" i="14"/>
  <c r="B31" i="14"/>
  <c r="B42" i="14"/>
  <c r="B53" i="14"/>
  <c r="B64" i="14"/>
  <c r="A9" i="14"/>
  <c r="A20" i="14"/>
  <c r="A31" i="14"/>
  <c r="A42" i="14"/>
  <c r="A53" i="14"/>
  <c r="A64" i="14"/>
  <c r="B8" i="14"/>
  <c r="B19" i="14"/>
  <c r="B30" i="14"/>
  <c r="B41" i="14"/>
  <c r="B52" i="14"/>
  <c r="B63" i="14"/>
  <c r="A8" i="14"/>
  <c r="A19" i="14"/>
  <c r="A30" i="14"/>
  <c r="A41" i="14"/>
  <c r="A52" i="14"/>
  <c r="A63" i="14"/>
  <c r="B7" i="14"/>
  <c r="B18" i="14"/>
  <c r="B29" i="14"/>
  <c r="B40" i="14"/>
  <c r="B51" i="14"/>
  <c r="B62" i="14"/>
  <c r="A7" i="14"/>
  <c r="A18" i="14"/>
  <c r="A29" i="14"/>
  <c r="A40" i="14"/>
  <c r="A51" i="14"/>
  <c r="A62" i="14"/>
  <c r="B6" i="14"/>
  <c r="B17" i="14"/>
  <c r="B28" i="14"/>
  <c r="B39" i="14"/>
  <c r="B50" i="14"/>
  <c r="B61" i="14"/>
  <c r="A6" i="14"/>
  <c r="A17" i="14"/>
  <c r="A28" i="14"/>
  <c r="A39" i="14"/>
  <c r="A50" i="14"/>
  <c r="A61" i="14"/>
  <c r="B5" i="14"/>
  <c r="B16" i="14"/>
  <c r="B27" i="14"/>
  <c r="B38" i="14"/>
  <c r="B49" i="14"/>
  <c r="B60" i="14"/>
  <c r="A5" i="14"/>
  <c r="A16" i="14"/>
  <c r="A27" i="14"/>
  <c r="A38" i="14"/>
  <c r="A49" i="14"/>
  <c r="A60" i="14"/>
  <c r="B4" i="14"/>
  <c r="B15" i="14"/>
  <c r="B26" i="14"/>
  <c r="B37" i="14"/>
  <c r="B48" i="14"/>
  <c r="B59" i="14"/>
  <c r="A4" i="14"/>
  <c r="A15" i="14"/>
  <c r="A26" i="14"/>
  <c r="A37" i="14"/>
  <c r="A48" i="14"/>
  <c r="A59" i="14"/>
  <c r="B3" i="14"/>
  <c r="B14" i="14"/>
  <c r="B25" i="14"/>
  <c r="B36" i="14"/>
  <c r="B47" i="14"/>
  <c r="B58" i="14"/>
  <c r="A3" i="14"/>
  <c r="A14" i="14"/>
  <c r="A25" i="14"/>
  <c r="A36" i="14"/>
  <c r="A47" i="14"/>
  <c r="A58" i="14"/>
  <c r="B161" i="7" a="1"/>
  <c r="B161" i="7"/>
  <c r="C161" i="7"/>
  <c r="D161" i="7"/>
  <c r="E161" i="7"/>
  <c r="F161" i="7"/>
  <c r="G161" i="7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E47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E48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AA48" i="11"/>
  <c r="AB48" i="11"/>
  <c r="AC48" i="11"/>
  <c r="AD48" i="11"/>
  <c r="AE48" i="11"/>
  <c r="AF48" i="11"/>
  <c r="AG48" i="11"/>
  <c r="AH48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E50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E51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E52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E62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E63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E64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E65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E66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E67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E68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B3" i="11" a="1"/>
  <c r="B13" i="11"/>
  <c r="B24" i="11"/>
  <c r="B35" i="11"/>
  <c r="B46" i="11"/>
  <c r="B57" i="11"/>
  <c r="B68" i="11"/>
  <c r="A13" i="11"/>
  <c r="A24" i="11"/>
  <c r="A35" i="11"/>
  <c r="A46" i="11"/>
  <c r="A57" i="11"/>
  <c r="A68" i="11"/>
  <c r="B12" i="11"/>
  <c r="B23" i="11"/>
  <c r="B34" i="11"/>
  <c r="B45" i="11"/>
  <c r="B56" i="11"/>
  <c r="B67" i="11"/>
  <c r="A12" i="11"/>
  <c r="A23" i="11"/>
  <c r="A34" i="11"/>
  <c r="A45" i="11"/>
  <c r="A56" i="11"/>
  <c r="A67" i="11"/>
  <c r="B11" i="11"/>
  <c r="B22" i="11"/>
  <c r="B33" i="11"/>
  <c r="B44" i="11"/>
  <c r="B55" i="11"/>
  <c r="B66" i="11"/>
  <c r="A11" i="11"/>
  <c r="A22" i="11"/>
  <c r="A33" i="11"/>
  <c r="A44" i="11"/>
  <c r="A55" i="11"/>
  <c r="A66" i="11"/>
  <c r="B10" i="11"/>
  <c r="B21" i="11"/>
  <c r="B32" i="11"/>
  <c r="B43" i="11"/>
  <c r="B54" i="11"/>
  <c r="B65" i="11"/>
  <c r="A10" i="11"/>
  <c r="A21" i="11"/>
  <c r="A32" i="11"/>
  <c r="A43" i="11"/>
  <c r="A54" i="11"/>
  <c r="A65" i="11"/>
  <c r="B9" i="11"/>
  <c r="B20" i="11"/>
  <c r="B31" i="11"/>
  <c r="B42" i="11"/>
  <c r="B53" i="11"/>
  <c r="B64" i="11"/>
  <c r="A9" i="11"/>
  <c r="A20" i="11"/>
  <c r="A31" i="11"/>
  <c r="A42" i="11"/>
  <c r="A53" i="11"/>
  <c r="A64" i="11"/>
  <c r="B8" i="11"/>
  <c r="B19" i="11"/>
  <c r="B30" i="11"/>
  <c r="B41" i="11"/>
  <c r="B52" i="11"/>
  <c r="B63" i="11"/>
  <c r="A8" i="11"/>
  <c r="A19" i="11"/>
  <c r="A30" i="11"/>
  <c r="A41" i="11"/>
  <c r="A52" i="11"/>
  <c r="A63" i="11"/>
  <c r="B7" i="11"/>
  <c r="B18" i="11"/>
  <c r="B29" i="11"/>
  <c r="B40" i="11"/>
  <c r="B51" i="11"/>
  <c r="B62" i="11"/>
  <c r="A7" i="11"/>
  <c r="A18" i="11"/>
  <c r="A29" i="11"/>
  <c r="A40" i="11"/>
  <c r="A51" i="11"/>
  <c r="A62" i="11"/>
  <c r="B6" i="11"/>
  <c r="B17" i="11"/>
  <c r="B28" i="11"/>
  <c r="B39" i="11"/>
  <c r="B50" i="11"/>
  <c r="B61" i="11"/>
  <c r="A6" i="11"/>
  <c r="A17" i="11"/>
  <c r="A28" i="11"/>
  <c r="A39" i="11"/>
  <c r="A50" i="11"/>
  <c r="A61" i="11"/>
  <c r="B5" i="11"/>
  <c r="B16" i="11"/>
  <c r="B27" i="11"/>
  <c r="B38" i="11"/>
  <c r="B49" i="11"/>
  <c r="B60" i="11"/>
  <c r="A5" i="11"/>
  <c r="A16" i="11"/>
  <c r="A27" i="11"/>
  <c r="A38" i="11"/>
  <c r="A49" i="11"/>
  <c r="A60" i="11"/>
  <c r="B4" i="11"/>
  <c r="B15" i="11"/>
  <c r="B26" i="11"/>
  <c r="B37" i="11"/>
  <c r="B48" i="11"/>
  <c r="B59" i="11"/>
  <c r="A4" i="11"/>
  <c r="A15" i="11"/>
  <c r="A26" i="11"/>
  <c r="A37" i="11"/>
  <c r="A48" i="11"/>
  <c r="A59" i="11"/>
  <c r="B3" i="11"/>
  <c r="B14" i="11"/>
  <c r="B25" i="11"/>
  <c r="B36" i="11"/>
  <c r="B47" i="11"/>
  <c r="B58" i="11"/>
  <c r="A3" i="11"/>
  <c r="A14" i="11"/>
  <c r="A25" i="11"/>
  <c r="A36" i="11"/>
  <c r="A47" i="11"/>
  <c r="A58" i="11"/>
  <c r="AK12" i="10"/>
  <c r="AJ12" i="10"/>
  <c r="AI12" i="10"/>
  <c r="AH12" i="10"/>
  <c r="AG12" i="10"/>
  <c r="AF12" i="10"/>
  <c r="AE12" i="10"/>
  <c r="AD12" i="10"/>
  <c r="AC12" i="10"/>
  <c r="X12" i="10"/>
  <c r="W12" i="10"/>
  <c r="V12" i="10"/>
  <c r="U12" i="10"/>
  <c r="T12" i="10"/>
  <c r="S12" i="10"/>
  <c r="R12" i="10"/>
  <c r="Q12" i="10"/>
  <c r="P12" i="10"/>
  <c r="AL11" i="10"/>
  <c r="AJ11" i="10"/>
  <c r="AI11" i="10"/>
  <c r="AH11" i="10"/>
  <c r="AG11" i="10"/>
  <c r="AF11" i="10"/>
  <c r="AE11" i="10"/>
  <c r="AD11" i="10"/>
  <c r="AC11" i="10"/>
  <c r="Y11" i="10"/>
  <c r="W11" i="10"/>
  <c r="V11" i="10"/>
  <c r="U11" i="10"/>
  <c r="T11" i="10"/>
  <c r="S11" i="10"/>
  <c r="R11" i="10"/>
  <c r="Q11" i="10"/>
  <c r="P11" i="10"/>
  <c r="AL10" i="10"/>
  <c r="AK10" i="10"/>
  <c r="AI10" i="10"/>
  <c r="AH10" i="10"/>
  <c r="AG10" i="10"/>
  <c r="AF10" i="10"/>
  <c r="AE10" i="10"/>
  <c r="AD10" i="10"/>
  <c r="AC10" i="10"/>
  <c r="Y10" i="10"/>
  <c r="X10" i="10"/>
  <c r="V10" i="10"/>
  <c r="U10" i="10"/>
  <c r="T10" i="10"/>
  <c r="S10" i="10"/>
  <c r="R10" i="10"/>
  <c r="Q10" i="10"/>
  <c r="P10" i="10"/>
  <c r="AL9" i="10"/>
  <c r="AK9" i="10"/>
  <c r="AJ9" i="10"/>
  <c r="AH9" i="10"/>
  <c r="AG9" i="10"/>
  <c r="AF9" i="10"/>
  <c r="AE9" i="10"/>
  <c r="AD9" i="10"/>
  <c r="AC9" i="10"/>
  <c r="Y9" i="10"/>
  <c r="X9" i="10"/>
  <c r="W9" i="10"/>
  <c r="U9" i="10"/>
  <c r="T9" i="10"/>
  <c r="S9" i="10"/>
  <c r="R9" i="10"/>
  <c r="Q9" i="10"/>
  <c r="P9" i="10"/>
  <c r="AL8" i="10"/>
  <c r="AK8" i="10"/>
  <c r="AJ8" i="10"/>
  <c r="AI8" i="10"/>
  <c r="AG8" i="10"/>
  <c r="AF8" i="10"/>
  <c r="AE8" i="10"/>
  <c r="AD8" i="10"/>
  <c r="AC8" i="10"/>
  <c r="Y8" i="10"/>
  <c r="X8" i="10"/>
  <c r="W8" i="10"/>
  <c r="V8" i="10"/>
  <c r="T8" i="10"/>
  <c r="S8" i="10"/>
  <c r="R8" i="10"/>
  <c r="Q8" i="10"/>
  <c r="P8" i="10"/>
  <c r="AL7" i="10"/>
  <c r="AK7" i="10"/>
  <c r="AJ7" i="10"/>
  <c r="AI7" i="10"/>
  <c r="AH7" i="10"/>
  <c r="AF7" i="10"/>
  <c r="AE7" i="10"/>
  <c r="AD7" i="10"/>
  <c r="AC7" i="10"/>
  <c r="Y7" i="10"/>
  <c r="X7" i="10"/>
  <c r="W7" i="10"/>
  <c r="V7" i="10"/>
  <c r="U7" i="10"/>
  <c r="S7" i="10"/>
  <c r="R7" i="10"/>
  <c r="Q7" i="10"/>
  <c r="P7" i="10"/>
  <c r="AL6" i="10"/>
  <c r="AK6" i="10"/>
  <c r="AJ6" i="10"/>
  <c r="AI6" i="10"/>
  <c r="AH6" i="10"/>
  <c r="AG6" i="10"/>
  <c r="AE6" i="10"/>
  <c r="AD6" i="10"/>
  <c r="AC6" i="10"/>
  <c r="Y6" i="10"/>
  <c r="X6" i="10"/>
  <c r="W6" i="10"/>
  <c r="V6" i="10"/>
  <c r="U6" i="10"/>
  <c r="T6" i="10"/>
  <c r="R6" i="10"/>
  <c r="Q6" i="10"/>
  <c r="P6" i="10"/>
  <c r="AL5" i="10"/>
  <c r="AK5" i="10"/>
  <c r="AJ5" i="10"/>
  <c r="AI5" i="10"/>
  <c r="AH5" i="10"/>
  <c r="AG5" i="10"/>
  <c r="AF5" i="10"/>
  <c r="AD5" i="10"/>
  <c r="AC5" i="10"/>
  <c r="Y5" i="10"/>
  <c r="X5" i="10"/>
  <c r="W5" i="10"/>
  <c r="V5" i="10"/>
  <c r="U5" i="10"/>
  <c r="T5" i="10"/>
  <c r="S5" i="10"/>
  <c r="Q5" i="10"/>
  <c r="P5" i="10"/>
  <c r="AL4" i="10"/>
  <c r="AK4" i="10"/>
  <c r="AJ4" i="10"/>
  <c r="AI4" i="10"/>
  <c r="AH4" i="10"/>
  <c r="AG4" i="10"/>
  <c r="AF4" i="10"/>
  <c r="AE4" i="10"/>
  <c r="AC4" i="10"/>
  <c r="Y4" i="10"/>
  <c r="X4" i="10"/>
  <c r="W4" i="10"/>
  <c r="V4" i="10"/>
  <c r="U4" i="10"/>
  <c r="T4" i="10"/>
  <c r="S4" i="10"/>
  <c r="R4" i="10"/>
  <c r="P4" i="10"/>
  <c r="AL3" i="10"/>
  <c r="AK3" i="10"/>
  <c r="AJ3" i="10"/>
  <c r="AI3" i="10"/>
  <c r="AH3" i="10"/>
  <c r="AG3" i="10"/>
  <c r="AF3" i="10"/>
  <c r="AE3" i="10"/>
  <c r="AD3" i="10"/>
  <c r="Y3" i="10"/>
  <c r="X3" i="10"/>
  <c r="W3" i="10"/>
  <c r="V3" i="10"/>
  <c r="U3" i="10"/>
  <c r="T3" i="10"/>
  <c r="S3" i="10"/>
  <c r="R3" i="10"/>
  <c r="Q3" i="10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L12" i="10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B2" i="10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A1" i="6" a="1"/>
  <c r="A1" i="6"/>
  <c r="B4" i="3"/>
  <c r="A2" i="6"/>
  <c r="B5" i="3"/>
  <c r="A3" i="6"/>
  <c r="B6" i="3"/>
  <c r="A4" i="6"/>
  <c r="B7" i="3"/>
  <c r="A5" i="6"/>
  <c r="B8" i="3"/>
  <c r="A6" i="6"/>
  <c r="B9" i="3"/>
  <c r="A7" i="6"/>
  <c r="B10" i="3"/>
  <c r="A8" i="6"/>
  <c r="B11" i="3"/>
  <c r="A9" i="6"/>
  <c r="B12" i="3"/>
  <c r="A10" i="6"/>
  <c r="B13" i="3"/>
  <c r="A11" i="6"/>
  <c r="B14" i="3"/>
  <c r="A12" i="6"/>
  <c r="B15" i="3"/>
  <c r="A13" i="6"/>
  <c r="B16" i="3"/>
  <c r="A14" i="6"/>
  <c r="B17" i="3"/>
  <c r="A15" i="6"/>
  <c r="B18" i="3"/>
  <c r="A16" i="6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I24" i="5" a="1"/>
  <c r="I24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35" i="5" a="1"/>
  <c r="I36" i="5" a="1"/>
  <c r="I37" i="5" a="1"/>
  <c r="I38" i="5" a="1"/>
  <c r="I26" i="5"/>
  <c r="I27" i="5"/>
  <c r="I28" i="5"/>
  <c r="I29" i="5"/>
  <c r="I30" i="5"/>
  <c r="I31" i="5"/>
  <c r="I32" i="5"/>
  <c r="I33" i="5"/>
  <c r="I35" i="5"/>
  <c r="I36" i="5"/>
  <c r="I37" i="5"/>
  <c r="I38" i="5"/>
  <c r="E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F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G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H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I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J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K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L3" i="5"/>
  <c r="B4" i="5"/>
  <c r="C4" i="5"/>
  <c r="D4" i="5"/>
  <c r="E4" i="5"/>
  <c r="F4" i="5"/>
  <c r="G4" i="5"/>
  <c r="H4" i="5"/>
  <c r="I4" i="5"/>
  <c r="J4" i="5"/>
  <c r="K4" i="5"/>
  <c r="L4" i="5"/>
  <c r="B5" i="5"/>
  <c r="C5" i="5"/>
  <c r="D5" i="5"/>
  <c r="E5" i="5"/>
  <c r="F5" i="5"/>
  <c r="G5" i="5"/>
  <c r="H5" i="5"/>
  <c r="I5" i="5"/>
  <c r="J5" i="5"/>
  <c r="K5" i="5"/>
  <c r="L5" i="5"/>
  <c r="B6" i="5"/>
  <c r="C6" i="5"/>
  <c r="D6" i="5"/>
  <c r="E6" i="5"/>
  <c r="F6" i="5"/>
  <c r="G6" i="5"/>
  <c r="H6" i="5"/>
  <c r="I6" i="5"/>
  <c r="J6" i="5"/>
  <c r="K6" i="5"/>
  <c r="L6" i="5"/>
  <c r="B7" i="5"/>
  <c r="C7" i="5"/>
  <c r="D7" i="5"/>
  <c r="E7" i="5"/>
  <c r="F7" i="5"/>
  <c r="G7" i="5"/>
  <c r="H7" i="5"/>
  <c r="I7" i="5"/>
  <c r="J7" i="5"/>
  <c r="K7" i="5"/>
  <c r="L7" i="5"/>
  <c r="B8" i="5"/>
  <c r="C8" i="5"/>
  <c r="D8" i="5"/>
  <c r="E8" i="5"/>
  <c r="F8" i="5"/>
  <c r="G8" i="5"/>
  <c r="H8" i="5"/>
  <c r="I8" i="5"/>
  <c r="J8" i="5"/>
  <c r="K8" i="5"/>
  <c r="L8" i="5"/>
  <c r="B9" i="5"/>
  <c r="C9" i="5"/>
  <c r="D9" i="5"/>
  <c r="E9" i="5"/>
  <c r="F9" i="5"/>
  <c r="G9" i="5"/>
  <c r="H9" i="5"/>
  <c r="I9" i="5"/>
  <c r="J9" i="5"/>
  <c r="K9" i="5"/>
  <c r="L9" i="5"/>
  <c r="B10" i="5"/>
  <c r="C10" i="5"/>
  <c r="D10" i="5"/>
  <c r="E10" i="5"/>
  <c r="F10" i="5"/>
  <c r="G10" i="5"/>
  <c r="H10" i="5"/>
  <c r="I10" i="5"/>
  <c r="J10" i="5"/>
  <c r="K10" i="5"/>
  <c r="L10" i="5"/>
  <c r="B11" i="5"/>
  <c r="C11" i="5"/>
  <c r="D11" i="5"/>
  <c r="E11" i="5"/>
  <c r="F11" i="5"/>
  <c r="G11" i="5"/>
  <c r="H11" i="5"/>
  <c r="I11" i="5"/>
  <c r="J11" i="5"/>
  <c r="K11" i="5"/>
  <c r="L11" i="5"/>
  <c r="B12" i="5"/>
  <c r="C12" i="5"/>
  <c r="D12" i="5"/>
  <c r="E12" i="5"/>
  <c r="F12" i="5"/>
  <c r="G12" i="5"/>
  <c r="H12" i="5"/>
  <c r="I12" i="5"/>
  <c r="J12" i="5"/>
  <c r="K12" i="5"/>
  <c r="L12" i="5"/>
  <c r="C2" i="5"/>
  <c r="D2" i="5"/>
  <c r="E2" i="5"/>
  <c r="F2" i="5"/>
  <c r="G2" i="5"/>
  <c r="H2" i="5"/>
  <c r="I2" i="5"/>
  <c r="J2" i="5"/>
  <c r="K2" i="5"/>
  <c r="L2" i="5"/>
  <c r="B2" i="5"/>
  <c r="K121" i="8" a="1"/>
  <c r="K121" i="8"/>
  <c r="K122" i="8"/>
  <c r="K123" i="8"/>
  <c r="K124" i="8"/>
  <c r="K125" i="8"/>
  <c r="K126" i="8"/>
  <c r="K127" i="8"/>
  <c r="K128" i="8"/>
  <c r="K129" i="8"/>
  <c r="K130" i="8"/>
  <c r="K131" i="8"/>
  <c r="F121" i="8" a="1"/>
  <c r="F121" i="8"/>
  <c r="F122" i="8"/>
  <c r="F123" i="8"/>
  <c r="F124" i="8"/>
  <c r="F125" i="8"/>
  <c r="F126" i="8"/>
  <c r="F127" i="8"/>
  <c r="F128" i="8"/>
  <c r="F129" i="8"/>
  <c r="F130" i="8"/>
  <c r="F131" i="8"/>
  <c r="A121" i="8" a="1"/>
  <c r="A121" i="8"/>
  <c r="A122" i="8"/>
  <c r="A123" i="8"/>
  <c r="A124" i="8"/>
  <c r="A125" i="8"/>
  <c r="A126" i="8"/>
  <c r="A127" i="8"/>
  <c r="A128" i="8"/>
  <c r="A129" i="8"/>
  <c r="A130" i="8"/>
  <c r="A131" i="8"/>
  <c r="A82" i="8" a="1"/>
  <c r="A82" i="8"/>
  <c r="A83" i="8"/>
  <c r="A84" i="8"/>
  <c r="A85" i="8"/>
  <c r="A86" i="8"/>
  <c r="A87" i="8"/>
  <c r="A88" i="8"/>
  <c r="A89" i="8"/>
  <c r="A90" i="8"/>
  <c r="A91" i="8"/>
  <c r="A92" i="8"/>
  <c r="B81" i="8" a="1"/>
  <c r="B81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A62" i="8" a="1"/>
  <c r="A62" i="8"/>
  <c r="A63" i="8"/>
  <c r="A64" i="8"/>
  <c r="A65" i="8"/>
  <c r="A66" i="8"/>
  <c r="A67" i="8"/>
  <c r="A68" i="8"/>
  <c r="A69" i="8"/>
  <c r="A70" i="8"/>
  <c r="A71" i="8"/>
  <c r="A72" i="8"/>
  <c r="B61" i="8" a="1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A42" i="8" a="1"/>
  <c r="A42" i="8"/>
  <c r="A43" i="8"/>
  <c r="A44" i="8"/>
  <c r="A45" i="8"/>
  <c r="A46" i="8"/>
  <c r="A47" i="8"/>
  <c r="A48" i="8"/>
  <c r="A49" i="8"/>
  <c r="A50" i="8"/>
  <c r="A51" i="8"/>
  <c r="A52" i="8"/>
  <c r="B41" i="8" a="1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A22" i="8" a="1"/>
  <c r="A22" i="8"/>
  <c r="A23" i="8"/>
  <c r="A24" i="8"/>
  <c r="A25" i="8"/>
  <c r="A26" i="8"/>
  <c r="A27" i="8"/>
  <c r="A28" i="8"/>
  <c r="A29" i="8"/>
  <c r="A30" i="8"/>
  <c r="A31" i="8"/>
  <c r="A32" i="8"/>
  <c r="B21" i="8" a="1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A2" i="8" a="1"/>
  <c r="A2" i="8"/>
  <c r="A3" i="8"/>
  <c r="A4" i="8"/>
  <c r="A5" i="8"/>
  <c r="A6" i="8"/>
  <c r="A7" i="8"/>
  <c r="A8" i="8"/>
  <c r="A9" i="8"/>
  <c r="A10" i="8"/>
  <c r="A11" i="8"/>
  <c r="A12" i="8"/>
  <c r="B1" i="8" a="1"/>
  <c r="B1" i="8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A162" i="7" a="1"/>
  <c r="A162" i="7"/>
  <c r="A163" i="7"/>
  <c r="A164" i="7"/>
  <c r="A165" i="7"/>
  <c r="A166" i="7"/>
  <c r="A167" i="7"/>
  <c r="A168" i="7"/>
  <c r="A169" i="7"/>
  <c r="A170" i="7"/>
  <c r="A171" i="7"/>
  <c r="A172" i="7"/>
  <c r="A141" i="7" a="1"/>
  <c r="A141" i="7"/>
  <c r="A142" i="7"/>
  <c r="A143" i="7"/>
  <c r="A144" i="7"/>
  <c r="A145" i="7"/>
  <c r="A146" i="7"/>
  <c r="A147" i="7"/>
  <c r="A148" i="7"/>
  <c r="A149" i="7"/>
  <c r="A150" i="7"/>
  <c r="A151" i="7"/>
  <c r="A122" i="7" a="1"/>
  <c r="A122" i="7"/>
  <c r="A123" i="7"/>
  <c r="A124" i="7"/>
  <c r="A125" i="7"/>
  <c r="A126" i="7"/>
  <c r="A127" i="7"/>
  <c r="A128" i="7"/>
  <c r="A129" i="7"/>
  <c r="A130" i="7"/>
  <c r="A131" i="7"/>
  <c r="A132" i="7"/>
  <c r="B121" i="7" a="1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B101" i="7" a="1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A102" i="7" a="1"/>
  <c r="A102" i="7"/>
  <c r="A103" i="7"/>
  <c r="A104" i="7"/>
  <c r="A105" i="7"/>
  <c r="A106" i="7"/>
  <c r="A107" i="7"/>
  <c r="A108" i="7"/>
  <c r="A109" i="7"/>
  <c r="A110" i="7"/>
  <c r="A111" i="7"/>
  <c r="A112" i="7"/>
  <c r="B3" i="4" a="1"/>
  <c r="B3" i="4"/>
  <c r="B3" i="7"/>
  <c r="B4" i="4"/>
  <c r="B4" i="7"/>
  <c r="B5" i="4"/>
  <c r="B5" i="7"/>
  <c r="B6" i="4"/>
  <c r="B6" i="7"/>
  <c r="B7" i="4"/>
  <c r="B7" i="7"/>
  <c r="B8" i="4"/>
  <c r="B8" i="7"/>
  <c r="B9" i="4"/>
  <c r="B9" i="7"/>
  <c r="B10" i="4"/>
  <c r="B10" i="7"/>
  <c r="B11" i="4"/>
  <c r="B11" i="7"/>
  <c r="B12" i="4"/>
  <c r="B12" i="7"/>
  <c r="B13" i="4"/>
  <c r="B13" i="7"/>
  <c r="B14" i="4"/>
  <c r="B14" i="7"/>
  <c r="B15" i="4"/>
  <c r="B15" i="7"/>
  <c r="B16" i="4"/>
  <c r="B16" i="7"/>
  <c r="B17" i="4"/>
  <c r="B17" i="7"/>
  <c r="B18" i="4"/>
  <c r="B18" i="7"/>
  <c r="B19" i="4"/>
  <c r="B19" i="7"/>
  <c r="B20" i="4"/>
  <c r="B20" i="7"/>
  <c r="B21" i="4"/>
  <c r="B21" i="7"/>
  <c r="B22" i="4"/>
  <c r="B22" i="7"/>
  <c r="B23" i="4"/>
  <c r="B23" i="7"/>
  <c r="B24" i="4"/>
  <c r="B24" i="7"/>
  <c r="B25" i="4"/>
  <c r="B25" i="7"/>
  <c r="B26" i="4"/>
  <c r="B26" i="7"/>
  <c r="B27" i="4"/>
  <c r="B27" i="7"/>
  <c r="B28" i="4"/>
  <c r="B28" i="7"/>
  <c r="B29" i="4"/>
  <c r="B29" i="7"/>
  <c r="B30" i="4"/>
  <c r="B30" i="7"/>
  <c r="B31" i="4"/>
  <c r="B31" i="7"/>
  <c r="B32" i="4"/>
  <c r="B32" i="7"/>
  <c r="B33" i="4"/>
  <c r="B33" i="7"/>
  <c r="B34" i="4"/>
  <c r="B34" i="7"/>
  <c r="B35" i="4"/>
  <c r="B35" i="7"/>
  <c r="B36" i="4"/>
  <c r="B36" i="7"/>
  <c r="B37" i="4"/>
  <c r="B37" i="7"/>
  <c r="B38" i="4"/>
  <c r="B38" i="7"/>
  <c r="B39" i="4"/>
  <c r="B39" i="7"/>
  <c r="B40" i="4"/>
  <c r="B40" i="7"/>
  <c r="B41" i="4"/>
  <c r="B41" i="7"/>
  <c r="B42" i="4"/>
  <c r="B42" i="7"/>
  <c r="B43" i="4"/>
  <c r="B43" i="7"/>
  <c r="B44" i="4"/>
  <c r="B44" i="7"/>
  <c r="B45" i="4"/>
  <c r="B45" i="7"/>
  <c r="B46" i="4"/>
  <c r="B46" i="7"/>
  <c r="B47" i="4"/>
  <c r="B47" i="7"/>
  <c r="B48" i="4"/>
  <c r="B48" i="7"/>
  <c r="B49" i="4"/>
  <c r="B49" i="7"/>
  <c r="B50" i="4"/>
  <c r="B50" i="7"/>
  <c r="B51" i="4"/>
  <c r="B51" i="7"/>
  <c r="B52" i="4"/>
  <c r="B52" i="7"/>
  <c r="B53" i="4"/>
  <c r="B53" i="7"/>
  <c r="B54" i="4"/>
  <c r="B54" i="7"/>
  <c r="B55" i="4"/>
  <c r="B55" i="7"/>
  <c r="B56" i="4"/>
  <c r="B56" i="7"/>
  <c r="B57" i="4"/>
  <c r="B57" i="7"/>
  <c r="B58" i="4"/>
  <c r="B58" i="7"/>
  <c r="B59" i="4"/>
  <c r="B59" i="7"/>
  <c r="B60" i="4"/>
  <c r="B60" i="7"/>
  <c r="B61" i="4"/>
  <c r="B61" i="7"/>
  <c r="B62" i="4"/>
  <c r="B62" i="7"/>
  <c r="B63" i="4"/>
  <c r="B63" i="7"/>
  <c r="B64" i="4"/>
  <c r="B64" i="7"/>
  <c r="B65" i="4"/>
  <c r="B65" i="7"/>
  <c r="B66" i="4"/>
  <c r="B66" i="7"/>
  <c r="B67" i="4"/>
  <c r="B67" i="7"/>
  <c r="B68" i="4"/>
  <c r="B68" i="7"/>
  <c r="A4" i="4"/>
  <c r="A4" i="7"/>
  <c r="A5" i="4"/>
  <c r="A5" i="7"/>
  <c r="A6" i="4"/>
  <c r="A6" i="7"/>
  <c r="A7" i="4"/>
  <c r="A7" i="7"/>
  <c r="A8" i="4"/>
  <c r="A8" i="7"/>
  <c r="A9" i="4"/>
  <c r="A9" i="7"/>
  <c r="A10" i="4"/>
  <c r="A10" i="7"/>
  <c r="A11" i="4"/>
  <c r="A11" i="7"/>
  <c r="A12" i="4"/>
  <c r="A12" i="7"/>
  <c r="A13" i="4"/>
  <c r="A13" i="7"/>
  <c r="A3" i="4"/>
  <c r="A14" i="4"/>
  <c r="A14" i="7"/>
  <c r="A15" i="4"/>
  <c r="A15" i="7"/>
  <c r="A16" i="4"/>
  <c r="A16" i="7"/>
  <c r="A17" i="4"/>
  <c r="A17" i="7"/>
  <c r="A18" i="4"/>
  <c r="A18" i="7"/>
  <c r="A19" i="4"/>
  <c r="A19" i="7"/>
  <c r="A20" i="4"/>
  <c r="A20" i="7"/>
  <c r="A21" i="4"/>
  <c r="A21" i="7"/>
  <c r="A22" i="4"/>
  <c r="A22" i="7"/>
  <c r="A23" i="4"/>
  <c r="A23" i="7"/>
  <c r="A24" i="4"/>
  <c r="A24" i="7"/>
  <c r="A25" i="4"/>
  <c r="A25" i="7"/>
  <c r="A26" i="4"/>
  <c r="A26" i="7"/>
  <c r="A27" i="4"/>
  <c r="A27" i="7"/>
  <c r="A28" i="4"/>
  <c r="A28" i="7"/>
  <c r="A29" i="4"/>
  <c r="A29" i="7"/>
  <c r="A30" i="4"/>
  <c r="A30" i="7"/>
  <c r="A31" i="4"/>
  <c r="A31" i="7"/>
  <c r="A32" i="4"/>
  <c r="A32" i="7"/>
  <c r="A33" i="4"/>
  <c r="A33" i="7"/>
  <c r="A34" i="4"/>
  <c r="A34" i="7"/>
  <c r="A35" i="4"/>
  <c r="A35" i="7"/>
  <c r="A36" i="4"/>
  <c r="A36" i="7"/>
  <c r="A37" i="4"/>
  <c r="A37" i="7"/>
  <c r="A38" i="4"/>
  <c r="A38" i="7"/>
  <c r="A39" i="4"/>
  <c r="A39" i="7"/>
  <c r="A40" i="4"/>
  <c r="A40" i="7"/>
  <c r="A41" i="4"/>
  <c r="A41" i="7"/>
  <c r="A42" i="4"/>
  <c r="A42" i="7"/>
  <c r="A43" i="4"/>
  <c r="A43" i="7"/>
  <c r="A44" i="4"/>
  <c r="A44" i="7"/>
  <c r="A45" i="4"/>
  <c r="A45" i="7"/>
  <c r="A46" i="4"/>
  <c r="A46" i="7"/>
  <c r="A47" i="4"/>
  <c r="A47" i="7"/>
  <c r="A48" i="4"/>
  <c r="A48" i="7"/>
  <c r="A49" i="4"/>
  <c r="A49" i="7"/>
  <c r="A50" i="4"/>
  <c r="A50" i="7"/>
  <c r="A51" i="4"/>
  <c r="A51" i="7"/>
  <c r="A52" i="4"/>
  <c r="A52" i="7"/>
  <c r="A53" i="4"/>
  <c r="A53" i="7"/>
  <c r="A54" i="4"/>
  <c r="A54" i="7"/>
  <c r="A55" i="4"/>
  <c r="A55" i="7"/>
  <c r="A56" i="4"/>
  <c r="A56" i="7"/>
  <c r="A57" i="4"/>
  <c r="A57" i="7"/>
  <c r="A58" i="4"/>
  <c r="A58" i="7"/>
  <c r="A59" i="4"/>
  <c r="A59" i="7"/>
  <c r="A60" i="4"/>
  <c r="A60" i="7"/>
  <c r="A61" i="4"/>
  <c r="A61" i="7"/>
  <c r="A62" i="4"/>
  <c r="A62" i="7"/>
  <c r="A63" i="4"/>
  <c r="A63" i="7"/>
  <c r="A64" i="4"/>
  <c r="A64" i="7"/>
  <c r="A65" i="4"/>
  <c r="A65" i="7"/>
  <c r="A66" i="4"/>
  <c r="A66" i="7"/>
  <c r="A67" i="4"/>
  <c r="A67" i="7"/>
  <c r="A68" i="4"/>
  <c r="A68" i="7"/>
  <c r="A3" i="7"/>
</calcChain>
</file>

<file path=xl/sharedStrings.xml><?xml version="1.0" encoding="utf-8"?>
<sst xmlns="http://schemas.openxmlformats.org/spreadsheetml/2006/main" count="743" uniqueCount="96">
  <si>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</si>
  <si>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</si>
  <si>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</si>
  <si>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</si>
  <si>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</si>
  <si>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</si>
  <si>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</si>
  <si>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</si>
  <si>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</si>
  <si>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</si>
  <si>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</si>
  <si>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</si>
  <si>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</si>
  <si>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</si>
  <si>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</si>
  <si>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</si>
  <si>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</si>
  <si>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Maize</t>
  </si>
  <si>
    <t>Coffee</t>
  </si>
  <si>
    <t>SNNPR</t>
  </si>
  <si>
    <t>Sorghum</t>
  </si>
  <si>
    <t>Vegetables</t>
  </si>
  <si>
    <t>Beef</t>
  </si>
  <si>
    <t>Milk</t>
  </si>
  <si>
    <t>Lentils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</si>
  <si>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</si>
  <si>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</si>
  <si>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</si>
  <si>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</si>
  <si>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</si>
  <si>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</si>
  <si>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</si>
  <si>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</si>
  <si>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</si>
  <si>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</si>
  <si>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</si>
  <si>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</si>
  <si>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</si>
  <si>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</si>
  <si>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</si>
  <si>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</si>
  <si>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</si>
  <si>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</si>
  <si>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</si>
  <si>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</si>
  <si>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</si>
  <si>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</si>
  <si>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</si>
  <si>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</si>
  <si>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</si>
  <si>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</si>
  <si>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</si>
  <si>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</si>
  <si>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</si>
  <si>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</si>
  <si>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</si>
  <si>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</si>
  <si>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</si>
  <si>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</si>
  <si>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</si>
  <si>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</si>
  <si>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</si>
  <si>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</si>
  <si>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</si>
  <si>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</si>
  <si>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</si>
  <si>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</si>
  <si>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</si>
  <si>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</si>
  <si>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</si>
  <si>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</si>
  <si>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</si>
  <si>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</si>
  <si>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</si>
  <si>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Year</t>
  </si>
  <si>
    <t>Season</t>
  </si>
  <si>
    <t>Node</t>
  </si>
  <si>
    <t>FoodItem</t>
  </si>
  <si>
    <t>Crop</t>
  </si>
  <si>
    <t>sets!j3</t>
  </si>
  <si>
    <t>Road</t>
  </si>
  <si>
    <t>aFAO</t>
  </si>
  <si>
    <t>aFAO!A1</t>
  </si>
  <si>
    <t>C_prod</t>
  </si>
  <si>
    <t>Crop!A1</t>
  </si>
  <si>
    <t>DemInt</t>
  </si>
  <si>
    <t>DemSlope</t>
  </si>
  <si>
    <t>DemInt!A1</t>
  </si>
  <si>
    <t>DemSlope!A1</t>
  </si>
  <si>
    <t>Base_Elec_Dem</t>
  </si>
  <si>
    <t>Elec!A1</t>
  </si>
  <si>
    <t>MilkYield</t>
  </si>
  <si>
    <t>BeefYield</t>
  </si>
  <si>
    <t>Cattle!A141</t>
  </si>
  <si>
    <t>Cattle!A161</t>
  </si>
  <si>
    <t>Crop!A160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</si>
</sst>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3" borderId="0" xfId="0" applyFill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zoomScale="85" zoomScaleNormal="85" workbookViewId="0">
      <selection activeCell="C14" sqref="C14"/>
    </sheetView>
  </sheetViews>
  <sheetFormatPr defaultColWidth="11" defaultRowHeight="15.75"/>
  <cols>
    <col min="2" max="2" width="14.5" bestFit="1" customWidth="1"/>
    <col min="3" max="3" width="12.375" bestFit="1" customWidth="1"/>
  </cols>
  <sheetData>
    <row r="1" spans="1:5">
      <c r="D1" t="s">
        <v>31</v>
      </c>
      <c r="E1" t="s">
        <v>32</v>
      </c>
    </row>
    <row r="2" spans="1:5">
      <c r="A2" t="s">
        <v>33</v>
      </c>
      <c r="B2" s="9" t="s">
        <v>81</v>
      </c>
      <c r="C2" t="s">
        <v>82</v>
      </c>
      <c r="D2">
        <v>2</v>
      </c>
      <c r="E2">
        <v>2</v>
      </c>
    </row>
    <row r="3" spans="1:5">
      <c r="A3" t="s">
        <v>33</v>
      </c>
      <c r="B3" t="s">
        <v>44</v>
      </c>
      <c r="C3" t="s">
        <v>45</v>
      </c>
      <c r="D3">
        <v>1</v>
      </c>
      <c r="E3">
        <v>1</v>
      </c>
    </row>
    <row r="4" spans="1:5">
      <c r="A4" t="s">
        <v>33</v>
      </c>
      <c r="B4" t="s">
        <v>46</v>
      </c>
      <c r="C4" t="s">
        <v>47</v>
      </c>
      <c r="D4">
        <v>1</v>
      </c>
      <c r="E4">
        <v>1</v>
      </c>
    </row>
    <row r="5" spans="1:5">
      <c r="A5" t="s">
        <v>33</v>
      </c>
      <c r="B5" t="s">
        <v>48</v>
      </c>
      <c r="C5" t="s">
        <v>50</v>
      </c>
      <c r="D5">
        <v>1</v>
      </c>
      <c r="E5">
        <v>1</v>
      </c>
    </row>
    <row r="6" spans="1:5">
      <c r="A6" t="s">
        <v>33</v>
      </c>
      <c r="B6" t="s">
        <v>49</v>
      </c>
      <c r="C6" t="s">
        <v>51</v>
      </c>
      <c r="D6">
        <v>1</v>
      </c>
      <c r="E6">
        <v>1</v>
      </c>
    </row>
    <row r="7" spans="1:5">
      <c r="A7" t="s">
        <v>33</v>
      </c>
      <c r="B7" t="s">
        <v>52</v>
      </c>
      <c r="C7" t="s">
        <v>53</v>
      </c>
      <c r="D7">
        <v>1</v>
      </c>
      <c r="E7">
        <v>1</v>
      </c>
    </row>
    <row r="8" spans="1:5">
      <c r="A8" t="s">
        <v>33</v>
      </c>
      <c r="B8" t="s">
        <v>54</v>
      </c>
      <c r="C8" t="s">
        <v>55</v>
      </c>
      <c r="D8">
        <v>1</v>
      </c>
      <c r="E8">
        <v>1</v>
      </c>
    </row>
    <row r="9" spans="1:5">
      <c r="A9" t="s">
        <v>33</v>
      </c>
      <c r="B9" t="s">
        <v>57</v>
      </c>
      <c r="C9" t="s">
        <v>56</v>
      </c>
      <c r="D9">
        <v>1</v>
      </c>
      <c r="E9">
        <v>0</v>
      </c>
    </row>
    <row r="10" spans="1:5">
      <c r="A10" t="s">
        <v>33</v>
      </c>
      <c r="B10" t="s">
        <v>58</v>
      </c>
      <c r="C10" t="s">
        <v>66</v>
      </c>
      <c r="D10">
        <v>1</v>
      </c>
      <c r="E10">
        <v>0</v>
      </c>
    </row>
    <row r="11" spans="1:5">
      <c r="A11" t="s">
        <v>33</v>
      </c>
      <c r="B11" t="s">
        <v>59</v>
      </c>
      <c r="C11" t="s">
        <v>67</v>
      </c>
      <c r="D11">
        <v>1</v>
      </c>
      <c r="E11">
        <v>0</v>
      </c>
    </row>
    <row r="12" spans="1:5">
      <c r="A12" t="s">
        <v>33</v>
      </c>
      <c r="B12" s="9" t="s">
        <v>92</v>
      </c>
      <c r="C12" t="s">
        <v>93</v>
      </c>
      <c r="D12">
        <v>1</v>
      </c>
      <c r="E12">
        <v>1</v>
      </c>
    </row>
    <row r="13" spans="1:5">
      <c r="A13" t="s">
        <v>33</v>
      </c>
      <c r="B13" s="9" t="s">
        <v>91</v>
      </c>
      <c r="C13" t="s">
        <v>94</v>
      </c>
      <c r="D13">
        <v>1</v>
      </c>
      <c r="E13">
        <v>1</v>
      </c>
    </row>
    <row r="14" spans="1:5">
      <c r="A14" t="s">
        <v>33</v>
      </c>
      <c r="B14" t="s">
        <v>83</v>
      </c>
      <c r="C14" t="s">
        <v>84</v>
      </c>
      <c r="D14">
        <v>2</v>
      </c>
      <c r="E14">
        <v>2</v>
      </c>
    </row>
    <row r="15" spans="1:5">
      <c r="A15" t="s">
        <v>33</v>
      </c>
      <c r="B15" t="s">
        <v>39</v>
      </c>
      <c r="C15" t="s">
        <v>41</v>
      </c>
      <c r="D15">
        <v>1</v>
      </c>
      <c r="E15">
        <v>1</v>
      </c>
    </row>
    <row r="16" spans="1:5">
      <c r="A16" t="s">
        <v>33</v>
      </c>
      <c r="B16" t="s">
        <v>40</v>
      </c>
      <c r="C16" t="s">
        <v>42</v>
      </c>
      <c r="D16">
        <v>1</v>
      </c>
      <c r="E16">
        <v>1</v>
      </c>
    </row>
    <row r="17" spans="1:5">
      <c r="A17" t="s">
        <v>33</v>
      </c>
      <c r="B17" s="9" t="s">
        <v>64</v>
      </c>
      <c r="C17" t="s">
        <v>43</v>
      </c>
      <c r="D17">
        <v>1</v>
      </c>
      <c r="E17">
        <v>0</v>
      </c>
    </row>
    <row r="18" spans="1:5">
      <c r="A18" t="s">
        <v>33</v>
      </c>
      <c r="B18" s="9" t="s">
        <v>65</v>
      </c>
      <c r="C18" t="s">
        <v>95</v>
      </c>
      <c r="D18">
        <v>1</v>
      </c>
      <c r="E18">
        <v>2</v>
      </c>
    </row>
    <row r="19" spans="1:5">
      <c r="A19" t="s">
        <v>33</v>
      </c>
      <c r="B19" s="9" t="s">
        <v>34</v>
      </c>
      <c r="C19" t="s">
        <v>35</v>
      </c>
      <c r="D19">
        <v>2</v>
      </c>
      <c r="E19">
        <v>2</v>
      </c>
    </row>
    <row r="20" spans="1:5">
      <c r="A20" t="s">
        <v>33</v>
      </c>
      <c r="B20" s="9" t="s">
        <v>37</v>
      </c>
      <c r="C20" t="s">
        <v>38</v>
      </c>
      <c r="D20">
        <v>1</v>
      </c>
      <c r="E20">
        <v>0</v>
      </c>
    </row>
    <row r="21" spans="1:5">
      <c r="A21" t="s">
        <v>25</v>
      </c>
      <c r="B21" s="9" t="s">
        <v>68</v>
      </c>
      <c r="C21" t="s">
        <v>69</v>
      </c>
      <c r="D21">
        <v>1</v>
      </c>
      <c r="E21">
        <v>1</v>
      </c>
    </row>
    <row r="22" spans="1:5">
      <c r="A22" t="s">
        <v>25</v>
      </c>
      <c r="B22" s="9" t="s">
        <v>80</v>
      </c>
      <c r="C22" t="s">
        <v>36</v>
      </c>
      <c r="D22">
        <v>1</v>
      </c>
      <c r="E22">
        <v>1</v>
      </c>
    </row>
    <row r="23" spans="1:5">
      <c r="A23" t="s">
        <v>33</v>
      </c>
      <c r="B23" t="s">
        <v>72</v>
      </c>
      <c r="C23" t="s">
        <v>73</v>
      </c>
      <c r="D23">
        <v>1</v>
      </c>
      <c r="E23">
        <v>1</v>
      </c>
    </row>
    <row r="24" spans="1:5">
      <c r="A24" t="s">
        <v>33</v>
      </c>
      <c r="B24" t="s">
        <v>70</v>
      </c>
      <c r="C24" t="s">
        <v>71</v>
      </c>
      <c r="D24">
        <v>1</v>
      </c>
      <c r="E24">
        <v>1</v>
      </c>
    </row>
    <row r="25" spans="1:5">
      <c r="A25" t="s">
        <v>25</v>
      </c>
      <c r="B25" s="9" t="s">
        <v>74</v>
      </c>
      <c r="C25" t="s">
        <v>26</v>
      </c>
      <c r="D25">
        <v>1</v>
      </c>
      <c r="E25">
        <v>0</v>
      </c>
    </row>
    <row r="26" spans="1:5">
      <c r="A26" t="s">
        <v>25</v>
      </c>
      <c r="B26" s="9" t="s">
        <v>75</v>
      </c>
      <c r="C26" t="s">
        <v>27</v>
      </c>
      <c r="D26">
        <v>1</v>
      </c>
      <c r="E26">
        <v>0</v>
      </c>
    </row>
    <row r="27" spans="1:5">
      <c r="A27" t="s">
        <v>25</v>
      </c>
      <c r="B27" s="9" t="s">
        <v>76</v>
      </c>
      <c r="C27" t="s">
        <v>28</v>
      </c>
      <c r="D27">
        <v>1</v>
      </c>
      <c r="E27">
        <v>0</v>
      </c>
    </row>
    <row r="28" spans="1:5">
      <c r="A28" t="s">
        <v>25</v>
      </c>
      <c r="B28" s="9" t="s">
        <v>77</v>
      </c>
      <c r="C28" t="s">
        <v>29</v>
      </c>
      <c r="D28">
        <v>1</v>
      </c>
      <c r="E28">
        <v>0</v>
      </c>
    </row>
    <row r="29" spans="1:5">
      <c r="A29" t="s">
        <v>25</v>
      </c>
      <c r="B29" s="9" t="s">
        <v>78</v>
      </c>
      <c r="C29" t="s">
        <v>79</v>
      </c>
      <c r="D29">
        <v>1</v>
      </c>
      <c r="E29">
        <v>0</v>
      </c>
    </row>
    <row r="30" spans="1:5">
      <c r="A30" t="s">
        <v>33</v>
      </c>
      <c r="B30" s="9" t="s">
        <v>85</v>
      </c>
      <c r="C30" t="s">
        <v>87</v>
      </c>
      <c r="D30">
        <v>2</v>
      </c>
      <c r="E30">
        <v>2</v>
      </c>
    </row>
    <row r="31" spans="1:5">
      <c r="A31" t="s">
        <v>33</v>
      </c>
      <c r="B31" s="9" t="s">
        <v>86</v>
      </c>
      <c r="C31" t="s">
        <v>88</v>
      </c>
      <c r="D31">
        <v>2</v>
      </c>
      <c r="E31">
        <v>2</v>
      </c>
    </row>
    <row r="32" spans="1:5">
      <c r="A32" t="s">
        <v>33</v>
      </c>
      <c r="B32" s="9" t="s">
        <v>89</v>
      </c>
      <c r="C32" t="s">
        <v>90</v>
      </c>
      <c r="D32">
        <v>1</v>
      </c>
      <c r="E32">
        <v>2</v>
      </c>
    </row>
  </sheetData>
  <autoFilter ref="A1:E29">
    <sortState ref="A2:E28">
      <sortCondition ref="C1:C28"/>
    </sortState>
  </autoFilter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172"/>
  <sheetViews>
    <sheetView topLeftCell="A88" zoomScale="85" zoomScaleNormal="85" workbookViewId="0"/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17">
      <c r="B1">
        <f t="array" ref="B1:Q1">TRANSPOSE(Years)</f>
        <v>2015</v>
      </c>
      <c r="C1">
        <v>2016</v>
      </c>
      <c r="D1">
        <v>2017</v>
      </c>
      <c r="E1">
        <v>2018</v>
      </c>
      <c r="F1">
        <v>2019</v>
      </c>
      <c r="G1">
        <v>2020</v>
      </c>
      <c r="H1">
        <v>2021</v>
      </c>
      <c r="I1">
        <v>2022</v>
      </c>
      <c r="J1">
        <v>2023</v>
      </c>
      <c r="K1">
        <v>2024</v>
      </c>
      <c r="L1">
        <v>2025</v>
      </c>
      <c r="M1">
        <v>2026</v>
      </c>
      <c r="N1">
        <v>2027</v>
      </c>
      <c r="O1">
        <v>2028</v>
      </c>
      <c r="P1">
        <v>2029</v>
      </c>
      <c r="Q1">
        <v>2030</v>
      </c>
    </row>
    <row r="2" spans="1:17">
      <c r="A2" t="str">
        <f t="array" ref="A2:A12">Nodes</f>
        <v>AddisAbaba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t="str">
        <v>Afar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>
      <c r="A4" t="str">
        <v>Amhara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>
      <c r="A5" t="str">
        <v>Gumuz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>
      <c r="A6" t="str">
        <v>DireDawa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>
      <c r="A7" t="str">
        <v>Gambela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>
      <c r="A8" t="str">
        <v>Harari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>
      <c r="A9" t="str">
        <v>Oromia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>
      <c r="A10" t="str">
        <v>Somali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>
      <c r="A11" t="str">
        <v>SNNPR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>
      <c r="A12" t="str">
        <v>Tigray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21" spans="1:17">
      <c r="B21">
        <f t="array" ref="B21:Q21">TRANSPOSE(Years)</f>
        <v>2015</v>
      </c>
      <c r="C21">
        <v>2016</v>
      </c>
      <c r="D21">
        <v>2017</v>
      </c>
      <c r="E21">
        <v>2018</v>
      </c>
      <c r="F21">
        <v>2019</v>
      </c>
      <c r="G21">
        <v>2020</v>
      </c>
      <c r="H21">
        <v>2021</v>
      </c>
      <c r="I21">
        <v>2022</v>
      </c>
      <c r="J21">
        <v>2023</v>
      </c>
      <c r="K21">
        <v>2024</v>
      </c>
      <c r="L21">
        <v>2025</v>
      </c>
      <c r="M21">
        <v>2026</v>
      </c>
      <c r="N21">
        <v>2027</v>
      </c>
      <c r="O21">
        <v>2028</v>
      </c>
      <c r="P21">
        <v>2029</v>
      </c>
      <c r="Q21">
        <v>2030</v>
      </c>
    </row>
    <row r="22" spans="1:17">
      <c r="A22" t="str">
        <f t="array" ref="A22:A32">Nodes</f>
        <v>AddisAbaba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>
      <c r="A23" t="str">
        <v>Afar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>
      <c r="A24" t="str">
        <v>Amhara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>
      <c r="A25" t="str">
        <v>Gumuz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>
      <c r="A26" t="str">
        <v>DireDawa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>
      <c r="A27" t="str">
        <v>Gambela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>
      <c r="A28" t="str">
        <v>Harari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>
      <c r="A29" t="str">
        <v>Oromia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>
      <c r="A30" t="str">
        <v>Somali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>
      <c r="A31" t="str">
        <v>SNNPR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>
      <c r="A32" t="str">
        <v>Tigray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41" spans="1:17">
      <c r="B41">
        <f t="array" ref="B41:Q41">TRANSPOSE(Years)</f>
        <v>2015</v>
      </c>
      <c r="C41">
        <v>2016</v>
      </c>
      <c r="D41">
        <v>2017</v>
      </c>
      <c r="E41">
        <v>2018</v>
      </c>
      <c r="F41">
        <v>2019</v>
      </c>
      <c r="G41">
        <v>2020</v>
      </c>
      <c r="H41">
        <v>2021</v>
      </c>
      <c r="I41">
        <v>2022</v>
      </c>
      <c r="J41">
        <v>2023</v>
      </c>
      <c r="K41">
        <v>2024</v>
      </c>
      <c r="L41">
        <v>2025</v>
      </c>
      <c r="M41">
        <v>2026</v>
      </c>
      <c r="N41">
        <v>2027</v>
      </c>
      <c r="O41">
        <v>2028</v>
      </c>
      <c r="P41">
        <v>2029</v>
      </c>
      <c r="Q41">
        <v>2030</v>
      </c>
    </row>
    <row r="42" spans="1:17">
      <c r="A42" t="str">
        <f t="array" ref="A42:A52">Nodes</f>
        <v>AddisAbaba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</row>
    <row r="43" spans="1:17">
      <c r="A43" t="str">
        <v>Afar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</row>
    <row r="44" spans="1:17">
      <c r="A44" t="str">
        <v>Amhara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</row>
    <row r="45" spans="1:17">
      <c r="A45" t="str">
        <v>Gumuz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</row>
    <row r="46" spans="1:17">
      <c r="A46" t="str">
        <v>DireDawa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</row>
    <row r="47" spans="1:17">
      <c r="A47" t="str">
        <v>Gambela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</row>
    <row r="48" spans="1:17">
      <c r="A48" t="str">
        <v>Harari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</row>
    <row r="49" spans="1:17">
      <c r="A49" t="str">
        <v>Oromia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</row>
    <row r="50" spans="1:17">
      <c r="A50" t="str">
        <v>Somali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  <c r="J50">
        <v>1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</row>
    <row r="51" spans="1:17">
      <c r="A51" t="str">
        <v>SNNPR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</row>
    <row r="52" spans="1:17">
      <c r="A52" t="str">
        <v>Tigray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</row>
    <row r="61" spans="1:17">
      <c r="B61">
        <f t="array" ref="B61:Q61">TRANSPOSE(Years)</f>
        <v>2015</v>
      </c>
      <c r="C61">
        <v>2016</v>
      </c>
      <c r="D61">
        <v>2017</v>
      </c>
      <c r="E61">
        <v>2018</v>
      </c>
      <c r="F61">
        <v>2019</v>
      </c>
      <c r="G61">
        <v>2020</v>
      </c>
      <c r="H61">
        <v>2021</v>
      </c>
      <c r="I61">
        <v>2022</v>
      </c>
      <c r="J61">
        <v>2023</v>
      </c>
      <c r="K61">
        <v>2024</v>
      </c>
      <c r="L61">
        <v>2025</v>
      </c>
      <c r="M61">
        <v>2026</v>
      </c>
      <c r="N61">
        <v>2027</v>
      </c>
      <c r="O61">
        <v>2028</v>
      </c>
      <c r="P61">
        <v>2029</v>
      </c>
      <c r="Q61">
        <v>2030</v>
      </c>
    </row>
    <row r="62" spans="1:17">
      <c r="A62" t="str">
        <f t="array" ref="A62:A72">Nodes</f>
        <v>AddisAbaba</v>
      </c>
      <c r="B62">
        <v>0.7</v>
      </c>
      <c r="C62">
        <v>0.7</v>
      </c>
      <c r="D62">
        <v>0.7</v>
      </c>
      <c r="E62">
        <v>0.7</v>
      </c>
      <c r="F62">
        <v>0.7</v>
      </c>
      <c r="G62">
        <v>0.7</v>
      </c>
      <c r="H62">
        <v>0.7</v>
      </c>
      <c r="I62">
        <v>0.7</v>
      </c>
      <c r="J62">
        <v>0.7</v>
      </c>
      <c r="K62">
        <v>0.7</v>
      </c>
      <c r="L62">
        <v>0.7</v>
      </c>
      <c r="M62">
        <v>0.7</v>
      </c>
      <c r="N62">
        <v>0.7</v>
      </c>
      <c r="O62">
        <v>0.7</v>
      </c>
      <c r="P62">
        <v>0.7</v>
      </c>
      <c r="Q62">
        <v>0.7</v>
      </c>
    </row>
    <row r="63" spans="1:17">
      <c r="A63" t="str">
        <v>Afar</v>
      </c>
      <c r="B63">
        <v>0.7</v>
      </c>
      <c r="C63">
        <v>0.7</v>
      </c>
      <c r="D63">
        <v>0.7</v>
      </c>
      <c r="E63">
        <v>0.7</v>
      </c>
      <c r="F63">
        <v>0.7</v>
      </c>
      <c r="G63">
        <v>0.7</v>
      </c>
      <c r="H63">
        <v>0.7</v>
      </c>
      <c r="I63">
        <v>0.7</v>
      </c>
      <c r="J63">
        <v>0.7</v>
      </c>
      <c r="K63">
        <v>0.7</v>
      </c>
      <c r="L63">
        <v>0.7</v>
      </c>
      <c r="M63">
        <v>0.7</v>
      </c>
      <c r="N63">
        <v>0.7</v>
      </c>
      <c r="O63">
        <v>0.7</v>
      </c>
      <c r="P63">
        <v>0.7</v>
      </c>
      <c r="Q63">
        <v>0.7</v>
      </c>
    </row>
    <row r="64" spans="1:17">
      <c r="A64" t="str">
        <v>Amhara</v>
      </c>
      <c r="B64">
        <v>0.7</v>
      </c>
      <c r="C64">
        <v>0.7</v>
      </c>
      <c r="D64">
        <v>0.7</v>
      </c>
      <c r="E64">
        <v>0.7</v>
      </c>
      <c r="F64">
        <v>0.7</v>
      </c>
      <c r="G64">
        <v>0.7</v>
      </c>
      <c r="H64">
        <v>0.7</v>
      </c>
      <c r="I64">
        <v>0.7</v>
      </c>
      <c r="J64">
        <v>0.7</v>
      </c>
      <c r="K64">
        <v>0.7</v>
      </c>
      <c r="L64">
        <v>0.7</v>
      </c>
      <c r="M64">
        <v>0.7</v>
      </c>
      <c r="N64">
        <v>0.7</v>
      </c>
      <c r="O64">
        <v>0.7</v>
      </c>
      <c r="P64">
        <v>0.7</v>
      </c>
      <c r="Q64">
        <v>0.7</v>
      </c>
    </row>
    <row r="65" spans="1:17">
      <c r="A65" t="str">
        <v>Gumuz</v>
      </c>
      <c r="B65">
        <v>0.7</v>
      </c>
      <c r="C65">
        <v>0.7</v>
      </c>
      <c r="D65">
        <v>0.7</v>
      </c>
      <c r="E65">
        <v>0.7</v>
      </c>
      <c r="F65">
        <v>0.7</v>
      </c>
      <c r="G65">
        <v>0.7</v>
      </c>
      <c r="H65">
        <v>0.7</v>
      </c>
      <c r="I65">
        <v>0.7</v>
      </c>
      <c r="J65">
        <v>0.7</v>
      </c>
      <c r="K65">
        <v>0.7</v>
      </c>
      <c r="L65">
        <v>0.7</v>
      </c>
      <c r="M65">
        <v>0.7</v>
      </c>
      <c r="N65">
        <v>0.7</v>
      </c>
      <c r="O65">
        <v>0.7</v>
      </c>
      <c r="P65">
        <v>0.7</v>
      </c>
      <c r="Q65">
        <v>0.7</v>
      </c>
    </row>
    <row r="66" spans="1:17">
      <c r="A66" t="str">
        <v>DireDawa</v>
      </c>
      <c r="B66">
        <v>0.7</v>
      </c>
      <c r="C66">
        <v>0.7</v>
      </c>
      <c r="D66">
        <v>0.7</v>
      </c>
      <c r="E66">
        <v>0.7</v>
      </c>
      <c r="F66">
        <v>0.7</v>
      </c>
      <c r="G66">
        <v>0.7</v>
      </c>
      <c r="H66">
        <v>0.7</v>
      </c>
      <c r="I66">
        <v>0.7</v>
      </c>
      <c r="J66">
        <v>0.7</v>
      </c>
      <c r="K66">
        <v>0.7</v>
      </c>
      <c r="L66">
        <v>0.7</v>
      </c>
      <c r="M66">
        <v>0.7</v>
      </c>
      <c r="N66">
        <v>0.7</v>
      </c>
      <c r="O66">
        <v>0.7</v>
      </c>
      <c r="P66">
        <v>0.7</v>
      </c>
      <c r="Q66">
        <v>0.7</v>
      </c>
    </row>
    <row r="67" spans="1:17">
      <c r="A67" t="str">
        <v>Gambela</v>
      </c>
      <c r="B67">
        <v>0.7</v>
      </c>
      <c r="C67">
        <v>0.7</v>
      </c>
      <c r="D67">
        <v>0.7</v>
      </c>
      <c r="E67">
        <v>0.7</v>
      </c>
      <c r="F67">
        <v>0.7</v>
      </c>
      <c r="G67">
        <v>0.7</v>
      </c>
      <c r="H67">
        <v>0.7</v>
      </c>
      <c r="I67">
        <v>0.7</v>
      </c>
      <c r="J67">
        <v>0.7</v>
      </c>
      <c r="K67">
        <v>0.7</v>
      </c>
      <c r="L67">
        <v>0.7</v>
      </c>
      <c r="M67">
        <v>0.7</v>
      </c>
      <c r="N67">
        <v>0.7</v>
      </c>
      <c r="O67">
        <v>0.7</v>
      </c>
      <c r="P67">
        <v>0.7</v>
      </c>
      <c r="Q67">
        <v>0.7</v>
      </c>
    </row>
    <row r="68" spans="1:17">
      <c r="A68" t="str">
        <v>Harari</v>
      </c>
      <c r="B68">
        <v>0.7</v>
      </c>
      <c r="C68">
        <v>0.7</v>
      </c>
      <c r="D68">
        <v>0.7</v>
      </c>
      <c r="E68">
        <v>0.7</v>
      </c>
      <c r="F68">
        <v>0.7</v>
      </c>
      <c r="G68">
        <v>0.7</v>
      </c>
      <c r="H68">
        <v>0.7</v>
      </c>
      <c r="I68">
        <v>0.7</v>
      </c>
      <c r="J68">
        <v>0.7</v>
      </c>
      <c r="K68">
        <v>0.7</v>
      </c>
      <c r="L68">
        <v>0.7</v>
      </c>
      <c r="M68">
        <v>0.7</v>
      </c>
      <c r="N68">
        <v>0.7</v>
      </c>
      <c r="O68">
        <v>0.7</v>
      </c>
      <c r="P68">
        <v>0.7</v>
      </c>
      <c r="Q68">
        <v>0.7</v>
      </c>
    </row>
    <row r="69" spans="1:17">
      <c r="A69" t="str">
        <v>Oromia</v>
      </c>
      <c r="B69">
        <v>0.7</v>
      </c>
      <c r="C69">
        <v>0.7</v>
      </c>
      <c r="D69">
        <v>0.7</v>
      </c>
      <c r="E69">
        <v>0.7</v>
      </c>
      <c r="F69">
        <v>0.7</v>
      </c>
      <c r="G69">
        <v>0.7</v>
      </c>
      <c r="H69">
        <v>0.7</v>
      </c>
      <c r="I69">
        <v>0.7</v>
      </c>
      <c r="J69">
        <v>0.7</v>
      </c>
      <c r="K69">
        <v>0.7</v>
      </c>
      <c r="L69">
        <v>0.7</v>
      </c>
      <c r="M69">
        <v>0.7</v>
      </c>
      <c r="N69">
        <v>0.7</v>
      </c>
      <c r="O69">
        <v>0.7</v>
      </c>
      <c r="P69">
        <v>0.7</v>
      </c>
      <c r="Q69">
        <v>0.7</v>
      </c>
    </row>
    <row r="70" spans="1:17">
      <c r="A70" t="str">
        <v>Somali</v>
      </c>
      <c r="B70">
        <v>0.7</v>
      </c>
      <c r="C70">
        <v>0.7</v>
      </c>
      <c r="D70">
        <v>0.7</v>
      </c>
      <c r="E70">
        <v>0.7</v>
      </c>
      <c r="F70">
        <v>0.7</v>
      </c>
      <c r="G70">
        <v>0.7</v>
      </c>
      <c r="H70">
        <v>0.7</v>
      </c>
      <c r="I70">
        <v>0.7</v>
      </c>
      <c r="J70">
        <v>0.7</v>
      </c>
      <c r="K70">
        <v>0.7</v>
      </c>
      <c r="L70">
        <v>0.7</v>
      </c>
      <c r="M70">
        <v>0.7</v>
      </c>
      <c r="N70">
        <v>0.7</v>
      </c>
      <c r="O70">
        <v>0.7</v>
      </c>
      <c r="P70">
        <v>0.7</v>
      </c>
      <c r="Q70">
        <v>0.7</v>
      </c>
    </row>
    <row r="71" spans="1:17">
      <c r="A71" t="str">
        <v>SNNPR</v>
      </c>
      <c r="B71">
        <v>0.7</v>
      </c>
      <c r="C71">
        <v>0.7</v>
      </c>
      <c r="D71">
        <v>0.7</v>
      </c>
      <c r="E71">
        <v>0.7</v>
      </c>
      <c r="F71">
        <v>0.7</v>
      </c>
      <c r="G71">
        <v>0.7</v>
      </c>
      <c r="H71">
        <v>0.7</v>
      </c>
      <c r="I71">
        <v>0.7</v>
      </c>
      <c r="J71">
        <v>0.7</v>
      </c>
      <c r="K71">
        <v>0.7</v>
      </c>
      <c r="L71">
        <v>0.7</v>
      </c>
      <c r="M71">
        <v>0.7</v>
      </c>
      <c r="N71">
        <v>0.7</v>
      </c>
      <c r="O71">
        <v>0.7</v>
      </c>
      <c r="P71">
        <v>0.7</v>
      </c>
      <c r="Q71">
        <v>0.7</v>
      </c>
    </row>
    <row r="72" spans="1:17">
      <c r="A72" t="str">
        <v>Tigray</v>
      </c>
      <c r="B72">
        <v>0.7</v>
      </c>
      <c r="C72">
        <v>0.7</v>
      </c>
      <c r="D72">
        <v>0.7</v>
      </c>
      <c r="E72">
        <v>0.7</v>
      </c>
      <c r="F72">
        <v>0.7</v>
      </c>
      <c r="G72">
        <v>0.7</v>
      </c>
      <c r="H72">
        <v>0.7</v>
      </c>
      <c r="I72">
        <v>0.7</v>
      </c>
      <c r="J72">
        <v>0.7</v>
      </c>
      <c r="K72">
        <v>0.7</v>
      </c>
      <c r="L72">
        <v>0.7</v>
      </c>
      <c r="M72">
        <v>0.7</v>
      </c>
      <c r="N72">
        <v>0.7</v>
      </c>
      <c r="O72">
        <v>0.7</v>
      </c>
      <c r="P72">
        <v>0.7</v>
      </c>
      <c r="Q72">
        <v>0.7</v>
      </c>
    </row>
    <row r="81" spans="1:17">
      <c r="B81">
        <f t="array" ref="B81:Q81">TRANSPOSE(Years)</f>
        <v>2015</v>
      </c>
      <c r="C81">
        <v>2016</v>
      </c>
      <c r="D81">
        <v>2017</v>
      </c>
      <c r="E81">
        <v>2018</v>
      </c>
      <c r="F81">
        <v>2019</v>
      </c>
      <c r="G81">
        <v>2020</v>
      </c>
      <c r="H81">
        <v>2021</v>
      </c>
      <c r="I81">
        <v>2022</v>
      </c>
      <c r="J81">
        <v>2023</v>
      </c>
      <c r="K81">
        <v>2024</v>
      </c>
      <c r="L81">
        <v>2025</v>
      </c>
      <c r="M81">
        <v>2026</v>
      </c>
      <c r="N81">
        <v>2027</v>
      </c>
      <c r="O81">
        <v>2028</v>
      </c>
      <c r="P81">
        <v>2029</v>
      </c>
      <c r="Q81">
        <v>2030</v>
      </c>
    </row>
    <row r="82" spans="1:17">
      <c r="A82" t="str">
        <f t="array" ref="A82:A92">Nodes</f>
        <v>AddisAbaba</v>
      </c>
      <c r="B82">
        <v>10</v>
      </c>
      <c r="C82">
        <v>10</v>
      </c>
      <c r="D82">
        <v>10</v>
      </c>
      <c r="E82">
        <v>10</v>
      </c>
      <c r="F82">
        <v>10</v>
      </c>
      <c r="G82">
        <v>10</v>
      </c>
      <c r="H82">
        <v>10</v>
      </c>
      <c r="I82">
        <v>10</v>
      </c>
      <c r="J82">
        <v>10</v>
      </c>
      <c r="K82">
        <v>10</v>
      </c>
      <c r="L82">
        <v>10</v>
      </c>
      <c r="M82">
        <v>10</v>
      </c>
      <c r="N82">
        <v>10</v>
      </c>
      <c r="O82">
        <v>10</v>
      </c>
      <c r="P82">
        <v>10</v>
      </c>
      <c r="Q82">
        <v>10</v>
      </c>
    </row>
    <row r="83" spans="1:17">
      <c r="A83" t="str">
        <v>Afar</v>
      </c>
      <c r="B83">
        <v>10</v>
      </c>
      <c r="C83">
        <v>10</v>
      </c>
      <c r="D83">
        <v>10</v>
      </c>
      <c r="E83">
        <v>10</v>
      </c>
      <c r="F83">
        <v>10</v>
      </c>
      <c r="G83">
        <v>10</v>
      </c>
      <c r="H83">
        <v>10</v>
      </c>
      <c r="I83">
        <v>10</v>
      </c>
      <c r="J83">
        <v>10</v>
      </c>
      <c r="K83">
        <v>10</v>
      </c>
      <c r="L83">
        <v>10</v>
      </c>
      <c r="M83">
        <v>10</v>
      </c>
      <c r="N83">
        <v>10</v>
      </c>
      <c r="O83">
        <v>10</v>
      </c>
      <c r="P83">
        <v>10</v>
      </c>
      <c r="Q83">
        <v>10</v>
      </c>
    </row>
    <row r="84" spans="1:17">
      <c r="A84" t="str">
        <v>Amhara</v>
      </c>
      <c r="B84">
        <v>10</v>
      </c>
      <c r="C84">
        <v>10</v>
      </c>
      <c r="D84">
        <v>10</v>
      </c>
      <c r="E84">
        <v>10</v>
      </c>
      <c r="F84">
        <v>10</v>
      </c>
      <c r="G84">
        <v>10</v>
      </c>
      <c r="H84">
        <v>10</v>
      </c>
      <c r="I84">
        <v>10</v>
      </c>
      <c r="J84">
        <v>10</v>
      </c>
      <c r="K84">
        <v>10</v>
      </c>
      <c r="L84">
        <v>10</v>
      </c>
      <c r="M84">
        <v>10</v>
      </c>
      <c r="N84">
        <v>10</v>
      </c>
      <c r="O84">
        <v>10</v>
      </c>
      <c r="P84">
        <v>10</v>
      </c>
      <c r="Q84">
        <v>10</v>
      </c>
    </row>
    <row r="85" spans="1:17">
      <c r="A85" t="str">
        <v>Gumuz</v>
      </c>
      <c r="B85">
        <v>10</v>
      </c>
      <c r="C85">
        <v>10</v>
      </c>
      <c r="D85">
        <v>10</v>
      </c>
      <c r="E85">
        <v>10</v>
      </c>
      <c r="F85">
        <v>10</v>
      </c>
      <c r="G85">
        <v>10</v>
      </c>
      <c r="H85">
        <v>10</v>
      </c>
      <c r="I85">
        <v>10</v>
      </c>
      <c r="J85">
        <v>10</v>
      </c>
      <c r="K85">
        <v>10</v>
      </c>
      <c r="L85">
        <v>10</v>
      </c>
      <c r="M85">
        <v>10</v>
      </c>
      <c r="N85">
        <v>10</v>
      </c>
      <c r="O85">
        <v>10</v>
      </c>
      <c r="P85">
        <v>10</v>
      </c>
      <c r="Q85">
        <v>10</v>
      </c>
    </row>
    <row r="86" spans="1:17">
      <c r="A86" t="str">
        <v>DireDawa</v>
      </c>
      <c r="B86">
        <v>10</v>
      </c>
      <c r="C86">
        <v>10</v>
      </c>
      <c r="D86">
        <v>10</v>
      </c>
      <c r="E86">
        <v>10</v>
      </c>
      <c r="F86">
        <v>10</v>
      </c>
      <c r="G86">
        <v>10</v>
      </c>
      <c r="H86">
        <v>10</v>
      </c>
      <c r="I86">
        <v>10</v>
      </c>
      <c r="J86">
        <v>10</v>
      </c>
      <c r="K86">
        <v>10</v>
      </c>
      <c r="L86">
        <v>10</v>
      </c>
      <c r="M86">
        <v>10</v>
      </c>
      <c r="N86">
        <v>10</v>
      </c>
      <c r="O86">
        <v>10</v>
      </c>
      <c r="P86">
        <v>10</v>
      </c>
      <c r="Q86">
        <v>10</v>
      </c>
    </row>
    <row r="87" spans="1:17">
      <c r="A87" t="str">
        <v>Gambela</v>
      </c>
      <c r="B87">
        <v>10</v>
      </c>
      <c r="C87">
        <v>10</v>
      </c>
      <c r="D87">
        <v>10</v>
      </c>
      <c r="E87">
        <v>10</v>
      </c>
      <c r="F87">
        <v>10</v>
      </c>
      <c r="G87">
        <v>10</v>
      </c>
      <c r="H87">
        <v>10</v>
      </c>
      <c r="I87">
        <v>10</v>
      </c>
      <c r="J87">
        <v>10</v>
      </c>
      <c r="K87">
        <v>10</v>
      </c>
      <c r="L87">
        <v>10</v>
      </c>
      <c r="M87">
        <v>10</v>
      </c>
      <c r="N87">
        <v>10</v>
      </c>
      <c r="O87">
        <v>10</v>
      </c>
      <c r="P87">
        <v>10</v>
      </c>
      <c r="Q87">
        <v>10</v>
      </c>
    </row>
    <row r="88" spans="1:17">
      <c r="A88" t="str">
        <v>Harari</v>
      </c>
      <c r="B88">
        <v>10</v>
      </c>
      <c r="C88">
        <v>10</v>
      </c>
      <c r="D88">
        <v>10</v>
      </c>
      <c r="E88">
        <v>10</v>
      </c>
      <c r="F88">
        <v>10</v>
      </c>
      <c r="G88">
        <v>10</v>
      </c>
      <c r="H88">
        <v>10</v>
      </c>
      <c r="I88">
        <v>10</v>
      </c>
      <c r="J88">
        <v>10</v>
      </c>
      <c r="K88">
        <v>10</v>
      </c>
      <c r="L88">
        <v>10</v>
      </c>
      <c r="M88">
        <v>10</v>
      </c>
      <c r="N88">
        <v>10</v>
      </c>
      <c r="O88">
        <v>10</v>
      </c>
      <c r="P88">
        <v>10</v>
      </c>
      <c r="Q88">
        <v>10</v>
      </c>
    </row>
    <row r="89" spans="1:17">
      <c r="A89" t="str">
        <v>Oromia</v>
      </c>
      <c r="B89">
        <v>10</v>
      </c>
      <c r="C89">
        <v>10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  <c r="P89">
        <v>10</v>
      </c>
      <c r="Q89">
        <v>10</v>
      </c>
    </row>
    <row r="90" spans="1:17">
      <c r="A90" t="str">
        <v>Somali</v>
      </c>
      <c r="B90">
        <v>10</v>
      </c>
      <c r="C90">
        <v>10</v>
      </c>
      <c r="D90">
        <v>10</v>
      </c>
      <c r="E90">
        <v>10</v>
      </c>
      <c r="F90">
        <v>10</v>
      </c>
      <c r="G90">
        <v>10</v>
      </c>
      <c r="H90">
        <v>10</v>
      </c>
      <c r="I90">
        <v>10</v>
      </c>
      <c r="J90">
        <v>10</v>
      </c>
      <c r="K90">
        <v>10</v>
      </c>
      <c r="L90">
        <v>10</v>
      </c>
      <c r="M90">
        <v>10</v>
      </c>
      <c r="N90">
        <v>10</v>
      </c>
      <c r="O90">
        <v>10</v>
      </c>
      <c r="P90">
        <v>10</v>
      </c>
      <c r="Q90">
        <v>10</v>
      </c>
    </row>
    <row r="91" spans="1:17">
      <c r="A91" t="str">
        <v>SNNPR</v>
      </c>
      <c r="B91">
        <v>10</v>
      </c>
      <c r="C91">
        <v>10</v>
      </c>
      <c r="D91">
        <v>10</v>
      </c>
      <c r="E91">
        <v>10</v>
      </c>
      <c r="F91">
        <v>10</v>
      </c>
      <c r="G91">
        <v>10</v>
      </c>
      <c r="H91">
        <v>10</v>
      </c>
      <c r="I91">
        <v>10</v>
      </c>
      <c r="J91">
        <v>10</v>
      </c>
      <c r="K91">
        <v>10</v>
      </c>
      <c r="L91">
        <v>10</v>
      </c>
      <c r="M91">
        <v>10</v>
      </c>
      <c r="N91">
        <v>10</v>
      </c>
      <c r="O91">
        <v>10</v>
      </c>
      <c r="P91">
        <v>10</v>
      </c>
      <c r="Q91">
        <v>10</v>
      </c>
    </row>
    <row r="92" spans="1:17">
      <c r="A92" t="str">
        <v>Tigray</v>
      </c>
      <c r="B92">
        <v>10</v>
      </c>
      <c r="C92">
        <v>10</v>
      </c>
      <c r="D92">
        <v>10</v>
      </c>
      <c r="E92">
        <v>10</v>
      </c>
      <c r="F92">
        <v>10</v>
      </c>
      <c r="G92">
        <v>10</v>
      </c>
      <c r="H92">
        <v>10</v>
      </c>
      <c r="I92">
        <v>10</v>
      </c>
      <c r="J92">
        <v>10</v>
      </c>
      <c r="K92">
        <v>10</v>
      </c>
      <c r="L92">
        <v>10</v>
      </c>
      <c r="M92">
        <v>10</v>
      </c>
      <c r="N92">
        <v>10</v>
      </c>
      <c r="O92">
        <v>10</v>
      </c>
      <c r="P92">
        <v>10</v>
      </c>
      <c r="Q92">
        <v>10</v>
      </c>
    </row>
    <row r="101" spans="1:12">
      <c r="B101" t="s">
        <v>5</v>
      </c>
      <c r="C101" t="s">
        <v>6</v>
      </c>
      <c r="D101" t="s">
        <v>7</v>
      </c>
      <c r="E101" t="s">
        <v>8</v>
      </c>
      <c r="F101" t="s">
        <v>9</v>
      </c>
      <c r="G101" t="s">
        <v>10</v>
      </c>
      <c r="H101" t="s">
        <v>11</v>
      </c>
      <c r="I101" t="s">
        <v>12</v>
      </c>
      <c r="J101" t="s">
        <v>13</v>
      </c>
      <c r="K101" t="s">
        <v>19</v>
      </c>
      <c r="L101" t="s">
        <v>14</v>
      </c>
    </row>
    <row r="102" spans="1:12">
      <c r="A102" t="s">
        <v>5</v>
      </c>
      <c r="B102">
        <v>0.1</v>
      </c>
      <c r="C102">
        <v>0.1</v>
      </c>
      <c r="D102">
        <v>0.1</v>
      </c>
      <c r="E102">
        <v>0.1</v>
      </c>
      <c r="F102">
        <v>0.1</v>
      </c>
      <c r="G102">
        <v>0.1</v>
      </c>
      <c r="H102">
        <v>0.1</v>
      </c>
      <c r="I102">
        <v>0.1</v>
      </c>
      <c r="J102">
        <v>0.1</v>
      </c>
      <c r="K102">
        <v>0.1</v>
      </c>
      <c r="L102">
        <v>0.1</v>
      </c>
    </row>
    <row r="103" spans="1:12">
      <c r="A103" t="s">
        <v>6</v>
      </c>
      <c r="B103">
        <v>0.1</v>
      </c>
      <c r="C103">
        <v>0.1</v>
      </c>
      <c r="D103">
        <v>0.1</v>
      </c>
      <c r="E103">
        <v>0.1</v>
      </c>
      <c r="F103">
        <v>0.1</v>
      </c>
      <c r="G103">
        <v>0.1</v>
      </c>
      <c r="H103">
        <v>0.1</v>
      </c>
      <c r="I103">
        <v>0.1</v>
      </c>
      <c r="J103">
        <v>0.1</v>
      </c>
      <c r="K103">
        <v>0.1</v>
      </c>
      <c r="L103">
        <v>0.1</v>
      </c>
    </row>
    <row r="104" spans="1:12">
      <c r="A104" t="s">
        <v>7</v>
      </c>
      <c r="B104">
        <v>0.1</v>
      </c>
      <c r="C104">
        <v>0.1</v>
      </c>
      <c r="D104">
        <v>0.1</v>
      </c>
      <c r="E104">
        <v>0.1</v>
      </c>
      <c r="F104">
        <v>0.1</v>
      </c>
      <c r="G104">
        <v>0.1</v>
      </c>
      <c r="H104">
        <v>0.1</v>
      </c>
      <c r="I104">
        <v>0.1</v>
      </c>
      <c r="J104">
        <v>0.1</v>
      </c>
      <c r="K104">
        <v>0.1</v>
      </c>
      <c r="L104">
        <v>0.1</v>
      </c>
    </row>
    <row r="105" spans="1:12">
      <c r="A105" t="s">
        <v>8</v>
      </c>
      <c r="B105">
        <v>0.1</v>
      </c>
      <c r="C105">
        <v>0.1</v>
      </c>
      <c r="D105">
        <v>0.1</v>
      </c>
      <c r="E105">
        <v>0.1</v>
      </c>
      <c r="F105">
        <v>0.1</v>
      </c>
      <c r="G105">
        <v>0.1</v>
      </c>
      <c r="H105">
        <v>0.1</v>
      </c>
      <c r="I105">
        <v>0.1</v>
      </c>
      <c r="J105">
        <v>0.1</v>
      </c>
      <c r="K105">
        <v>0.1</v>
      </c>
      <c r="L105">
        <v>0.1</v>
      </c>
    </row>
    <row r="106" spans="1:12">
      <c r="A106" t="s">
        <v>9</v>
      </c>
      <c r="B106">
        <v>0.1</v>
      </c>
      <c r="C106">
        <v>0.1</v>
      </c>
      <c r="D106">
        <v>0.1</v>
      </c>
      <c r="E106">
        <v>0.1</v>
      </c>
      <c r="F106">
        <v>0.1</v>
      </c>
      <c r="G106">
        <v>0.1</v>
      </c>
      <c r="H106">
        <v>0.1</v>
      </c>
      <c r="I106">
        <v>0.1</v>
      </c>
      <c r="J106">
        <v>0.1</v>
      </c>
      <c r="K106">
        <v>0.1</v>
      </c>
      <c r="L106">
        <v>0.1</v>
      </c>
    </row>
    <row r="107" spans="1:12">
      <c r="A107" t="s">
        <v>10</v>
      </c>
      <c r="B107">
        <v>0.1</v>
      </c>
      <c r="C107">
        <v>0.1</v>
      </c>
      <c r="D107">
        <v>0.1</v>
      </c>
      <c r="E107">
        <v>0.1</v>
      </c>
      <c r="F107">
        <v>0.1</v>
      </c>
      <c r="G107">
        <v>0.1</v>
      </c>
      <c r="H107">
        <v>0.1</v>
      </c>
      <c r="I107">
        <v>0.1</v>
      </c>
      <c r="J107">
        <v>0.1</v>
      </c>
      <c r="K107">
        <v>0.1</v>
      </c>
      <c r="L107">
        <v>0.1</v>
      </c>
    </row>
    <row r="108" spans="1:12">
      <c r="A108" t="s">
        <v>11</v>
      </c>
      <c r="B108">
        <v>0.1</v>
      </c>
      <c r="C108">
        <v>0.1</v>
      </c>
      <c r="D108">
        <v>0.1</v>
      </c>
      <c r="E108">
        <v>0.1</v>
      </c>
      <c r="F108">
        <v>0.1</v>
      </c>
      <c r="G108">
        <v>0.1</v>
      </c>
      <c r="H108">
        <v>0.1</v>
      </c>
      <c r="I108">
        <v>0.1</v>
      </c>
      <c r="J108">
        <v>0.1</v>
      </c>
      <c r="K108">
        <v>0.1</v>
      </c>
      <c r="L108">
        <v>0.1</v>
      </c>
    </row>
    <row r="109" spans="1:12">
      <c r="A109" t="s">
        <v>12</v>
      </c>
      <c r="B109">
        <v>0.1</v>
      </c>
      <c r="C109">
        <v>0.1</v>
      </c>
      <c r="D109">
        <v>0.1</v>
      </c>
      <c r="E109">
        <v>0.1</v>
      </c>
      <c r="F109">
        <v>0.1</v>
      </c>
      <c r="G109">
        <v>0.1</v>
      </c>
      <c r="H109">
        <v>0.1</v>
      </c>
      <c r="I109">
        <v>0.1</v>
      </c>
      <c r="J109">
        <v>0.1</v>
      </c>
      <c r="K109">
        <v>0.1</v>
      </c>
      <c r="L109">
        <v>0.1</v>
      </c>
    </row>
    <row r="110" spans="1:12">
      <c r="A110" t="s">
        <v>13</v>
      </c>
      <c r="B110">
        <v>0.1</v>
      </c>
      <c r="C110">
        <v>0.1</v>
      </c>
      <c r="D110">
        <v>0.1</v>
      </c>
      <c r="E110">
        <v>0.1</v>
      </c>
      <c r="F110">
        <v>0.1</v>
      </c>
      <c r="G110">
        <v>0.1</v>
      </c>
      <c r="H110">
        <v>0.1</v>
      </c>
      <c r="I110">
        <v>0.1</v>
      </c>
      <c r="J110">
        <v>0.1</v>
      </c>
      <c r="K110">
        <v>0.1</v>
      </c>
      <c r="L110">
        <v>0.1</v>
      </c>
    </row>
    <row r="111" spans="1:12">
      <c r="A111" t="s">
        <v>19</v>
      </c>
      <c r="B111">
        <v>0.1</v>
      </c>
      <c r="C111">
        <v>0.1</v>
      </c>
      <c r="D111">
        <v>0.1</v>
      </c>
      <c r="E111">
        <v>0.1</v>
      </c>
      <c r="F111">
        <v>0.1</v>
      </c>
      <c r="G111">
        <v>0.1</v>
      </c>
      <c r="H111">
        <v>0.1</v>
      </c>
      <c r="I111">
        <v>0.1</v>
      </c>
      <c r="J111">
        <v>0.1</v>
      </c>
      <c r="K111">
        <v>0.1</v>
      </c>
      <c r="L111">
        <v>0.1</v>
      </c>
    </row>
    <row r="112" spans="1:12">
      <c r="A112" t="s">
        <v>14</v>
      </c>
      <c r="B112">
        <v>0.1</v>
      </c>
      <c r="C112">
        <v>0.1</v>
      </c>
      <c r="D112">
        <v>0.1</v>
      </c>
      <c r="E112">
        <v>0.1</v>
      </c>
      <c r="F112">
        <v>0.1</v>
      </c>
      <c r="G112">
        <v>0.1</v>
      </c>
      <c r="H112">
        <v>0.1</v>
      </c>
      <c r="I112">
        <v>0.1</v>
      </c>
      <c r="J112">
        <v>0.1</v>
      </c>
      <c r="K112">
        <v>0.1</v>
      </c>
      <c r="L112">
        <v>0.1</v>
      </c>
    </row>
    <row r="121" spans="1:12">
      <c r="A121" t="str">
        <f t="array" ref="A121:A131">Nodes</f>
        <v>AddisAbaba</v>
      </c>
      <c r="B121">
        <v>10</v>
      </c>
      <c r="F121" t="str">
        <f t="array" ref="F121:F131">Nodes</f>
        <v>AddisAbaba</v>
      </c>
      <c r="G121">
        <f>B121-1</f>
        <v>9</v>
      </c>
      <c r="K121" t="str">
        <f t="array" ref="K121:K131">Nodes</f>
        <v>AddisAbaba</v>
      </c>
      <c r="L121">
        <v>0.3</v>
      </c>
    </row>
    <row r="122" spans="1:12">
      <c r="A122" t="str">
        <v>Afar</v>
      </c>
      <c r="B122">
        <f>B121+0.5</f>
        <v>10.5</v>
      </c>
      <c r="F122" t="str">
        <v>Afar</v>
      </c>
      <c r="G122">
        <f t="shared" ref="G122:G131" si="0">B122-1</f>
        <v>9.5</v>
      </c>
      <c r="K122" t="str">
        <v>Afar</v>
      </c>
      <c r="L122">
        <v>0.3</v>
      </c>
    </row>
    <row r="123" spans="1:12">
      <c r="A123" t="str">
        <v>Amhara</v>
      </c>
      <c r="B123">
        <f t="shared" ref="B123:B131" si="1">B122+0.5</f>
        <v>11</v>
      </c>
      <c r="F123" t="str">
        <v>Amhara</v>
      </c>
      <c r="G123">
        <f t="shared" si="0"/>
        <v>10</v>
      </c>
      <c r="K123" t="str">
        <v>Amhara</v>
      </c>
      <c r="L123">
        <v>0.3</v>
      </c>
    </row>
    <row r="124" spans="1:12">
      <c r="A124" t="str">
        <v>Gumuz</v>
      </c>
      <c r="B124">
        <f t="shared" si="1"/>
        <v>11.5</v>
      </c>
      <c r="F124" t="str">
        <v>Gumuz</v>
      </c>
      <c r="G124">
        <f t="shared" si="0"/>
        <v>10.5</v>
      </c>
      <c r="K124" t="str">
        <v>Gumuz</v>
      </c>
      <c r="L124">
        <v>0.3</v>
      </c>
    </row>
    <row r="125" spans="1:12">
      <c r="A125" t="str">
        <v>DireDawa</v>
      </c>
      <c r="B125">
        <f t="shared" si="1"/>
        <v>12</v>
      </c>
      <c r="F125" t="str">
        <v>DireDawa</v>
      </c>
      <c r="G125">
        <f t="shared" si="0"/>
        <v>11</v>
      </c>
      <c r="K125" t="str">
        <v>DireDawa</v>
      </c>
      <c r="L125">
        <v>0.3</v>
      </c>
    </row>
    <row r="126" spans="1:12">
      <c r="A126" t="str">
        <v>Gambela</v>
      </c>
      <c r="B126">
        <f t="shared" si="1"/>
        <v>12.5</v>
      </c>
      <c r="F126" t="str">
        <v>Gambela</v>
      </c>
      <c r="G126">
        <f t="shared" si="0"/>
        <v>11.5</v>
      </c>
      <c r="K126" t="str">
        <v>Gambela</v>
      </c>
      <c r="L126">
        <v>0.3</v>
      </c>
    </row>
    <row r="127" spans="1:12">
      <c r="A127" t="str">
        <v>Harari</v>
      </c>
      <c r="B127">
        <f t="shared" si="1"/>
        <v>13</v>
      </c>
      <c r="F127" t="str">
        <v>Harari</v>
      </c>
      <c r="G127">
        <f t="shared" si="0"/>
        <v>12</v>
      </c>
      <c r="K127" t="str">
        <v>Harari</v>
      </c>
      <c r="L127">
        <v>0.3</v>
      </c>
    </row>
    <row r="128" spans="1:12">
      <c r="A128" t="str">
        <v>Oromia</v>
      </c>
      <c r="B128">
        <f t="shared" si="1"/>
        <v>13.5</v>
      </c>
      <c r="F128" t="str">
        <v>Oromia</v>
      </c>
      <c r="G128">
        <f t="shared" si="0"/>
        <v>12.5</v>
      </c>
      <c r="K128" t="str">
        <v>Oromia</v>
      </c>
      <c r="L128">
        <v>0.3</v>
      </c>
    </row>
    <row r="129" spans="1:17">
      <c r="A129" t="str">
        <v>Somali</v>
      </c>
      <c r="B129">
        <f t="shared" si="1"/>
        <v>14</v>
      </c>
      <c r="F129" t="str">
        <v>Somali</v>
      </c>
      <c r="G129">
        <f t="shared" si="0"/>
        <v>13</v>
      </c>
      <c r="K129" t="str">
        <v>Somali</v>
      </c>
      <c r="L129">
        <v>0.3</v>
      </c>
    </row>
    <row r="130" spans="1:17">
      <c r="A130" t="str">
        <v>SNNPR</v>
      </c>
      <c r="B130">
        <f t="shared" si="1"/>
        <v>14.5</v>
      </c>
      <c r="F130" t="str">
        <v>SNNPR</v>
      </c>
      <c r="G130">
        <f t="shared" si="0"/>
        <v>13.5</v>
      </c>
      <c r="K130" t="str">
        <v>SNNPR</v>
      </c>
      <c r="L130">
        <v>0.3</v>
      </c>
    </row>
    <row r="131" spans="1:17">
      <c r="A131" t="str">
        <v>Tigray</v>
      </c>
      <c r="B131">
        <f t="shared" si="1"/>
        <v>15</v>
      </c>
      <c r="F131" t="str">
        <v>Tigray</v>
      </c>
      <c r="G131">
        <f t="shared" si="0"/>
        <v>14</v>
      </c>
      <c r="K131" t="str">
        <v>Tigray</v>
      </c>
      <c r="L131">
        <v>0.3</v>
      </c>
    </row>
    <row r="141" spans="1:17">
      <c r="B141">
        <f t="array" ref="B141:Q141">TRANSPOSE(Years)</f>
        <v>2015</v>
      </c>
      <c r="C141">
        <v>2016</v>
      </c>
      <c r="D141">
        <v>2017</v>
      </c>
      <c r="E141">
        <v>2018</v>
      </c>
      <c r="F141">
        <v>2019</v>
      </c>
      <c r="G141">
        <v>2020</v>
      </c>
      <c r="H141">
        <v>2021</v>
      </c>
      <c r="I141">
        <v>2022</v>
      </c>
      <c r="J141">
        <v>2023</v>
      </c>
      <c r="K141">
        <v>2024</v>
      </c>
      <c r="L141">
        <v>2025</v>
      </c>
      <c r="M141">
        <v>2026</v>
      </c>
      <c r="N141">
        <v>2027</v>
      </c>
      <c r="O141">
        <v>2028</v>
      </c>
      <c r="P141">
        <v>2029</v>
      </c>
      <c r="Q141">
        <v>2030</v>
      </c>
    </row>
    <row r="142" spans="1:17">
      <c r="A142" t="str">
        <f t="array" ref="A142:A152">Nodes</f>
        <v>AddisAbaba</v>
      </c>
      <c r="B142" s="2">
        <f t="array" ref="B142:Q152" ca="1">5+RAND()*3</f>
        <v>7.5168833565587754</v>
      </c>
      <c r="C142" s="2">
        <f ca="1"/>
        <v>7.418240653730571</v>
      </c>
      <c r="D142" s="2">
        <f ca="1"/>
        <v>6.2795082733561776</v>
      </c>
      <c r="E142" s="2">
        <f ca="1"/>
        <v>5.9636237374894927</v>
      </c>
      <c r="F142" s="2">
        <f ca="1"/>
        <v>6.6895457620959728</v>
      </c>
      <c r="G142" s="2">
        <f ca="1"/>
        <v>5.3932333937976322</v>
      </c>
      <c r="H142" s="2">
        <f ca="1"/>
        <v>7.2620290822204945</v>
      </c>
      <c r="I142" s="2">
        <f ca="1"/>
        <v>7.4311600905508239</v>
      </c>
      <c r="J142" s="2">
        <f ca="1"/>
        <v>7.6341066750499387</v>
      </c>
      <c r="K142" s="2">
        <f ca="1"/>
        <v>6.1000143194220735</v>
      </c>
      <c r="L142" s="2">
        <f ca="1"/>
        <v>5.5295461493232576</v>
      </c>
      <c r="M142" s="2">
        <f ca="1"/>
        <v>6.6681257768692141</v>
      </c>
      <c r="N142" s="2">
        <f ca="1"/>
        <v>7.6456319245737276</v>
      </c>
      <c r="O142" s="2">
        <f ca="1"/>
        <v>5.6762664069094484</v>
      </c>
      <c r="P142" s="2">
        <f ca="1"/>
        <v>7.0409693655277188</v>
      </c>
      <c r="Q142" s="2">
        <f ca="1"/>
        <v>7.6283676395693689</v>
      </c>
    </row>
    <row r="143" spans="1:17">
      <c r="A143" t="str">
        <v>Afar</v>
      </c>
      <c r="B143" s="2">
        <f ca="1"/>
        <v>7.6065572668565817</v>
      </c>
      <c r="C143" s="2">
        <f ca="1"/>
        <v>6.1434509233820709</v>
      </c>
      <c r="D143" s="2">
        <f ca="1"/>
        <v>7.5410560700505869</v>
      </c>
      <c r="E143" s="2">
        <f ca="1"/>
        <v>7.5380178007616561</v>
      </c>
      <c r="F143" s="2">
        <f ca="1"/>
        <v>5.5391230184339495</v>
      </c>
      <c r="G143" s="2">
        <f ca="1"/>
        <v>7.8124013305433078</v>
      </c>
      <c r="H143" s="2">
        <f ca="1"/>
        <v>6.2252794542354923</v>
      </c>
      <c r="I143" s="2">
        <f ca="1"/>
        <v>6.2906987966035528</v>
      </c>
      <c r="J143" s="2">
        <f ca="1"/>
        <v>5.2844272592582016</v>
      </c>
      <c r="K143" s="2">
        <f ca="1"/>
        <v>6.5071164199265201</v>
      </c>
      <c r="L143" s="2">
        <f ca="1"/>
        <v>5.7476723453587555</v>
      </c>
      <c r="M143" s="2">
        <f ca="1"/>
        <v>7.6348392024479246</v>
      </c>
      <c r="N143" s="2">
        <f ca="1"/>
        <v>7.0022737639020018</v>
      </c>
      <c r="O143" s="2">
        <f ca="1"/>
        <v>6.2629587685422043</v>
      </c>
      <c r="P143" s="2">
        <f ca="1"/>
        <v>6.0279061208342091</v>
      </c>
      <c r="Q143" s="2">
        <f ca="1"/>
        <v>6.9954564549983411</v>
      </c>
    </row>
    <row r="144" spans="1:17">
      <c r="A144" t="str">
        <v>Amhara</v>
      </c>
      <c r="B144" s="2">
        <f ca="1"/>
        <v>7.6661761989364106</v>
      </c>
      <c r="C144" s="2">
        <f ca="1"/>
        <v>5.1503519939497675</v>
      </c>
      <c r="D144" s="2">
        <f ca="1"/>
        <v>5.8914758582299314</v>
      </c>
      <c r="E144" s="2">
        <f ca="1"/>
        <v>7.282258959231374</v>
      </c>
      <c r="F144" s="2">
        <f ca="1"/>
        <v>7.4819475343011632</v>
      </c>
      <c r="G144" s="2">
        <f ca="1"/>
        <v>5.7546855193898052</v>
      </c>
      <c r="H144" s="2">
        <f ca="1"/>
        <v>6.3298887532162027</v>
      </c>
      <c r="I144" s="2">
        <f ca="1"/>
        <v>7.8470428833380339</v>
      </c>
      <c r="J144" s="2">
        <f ca="1"/>
        <v>5.0974761671682058</v>
      </c>
      <c r="K144" s="2">
        <f ca="1"/>
        <v>5.7173210791424189</v>
      </c>
      <c r="L144" s="2">
        <f ca="1"/>
        <v>5.1705623365194455</v>
      </c>
      <c r="M144" s="2">
        <f ca="1"/>
        <v>5.6832795065100594</v>
      </c>
      <c r="N144" s="2">
        <f ca="1"/>
        <v>6.8357771298016381</v>
      </c>
      <c r="O144" s="2">
        <f ca="1"/>
        <v>7.4016852991166218</v>
      </c>
      <c r="P144" s="2">
        <f ca="1"/>
        <v>5.1053462746170437</v>
      </c>
      <c r="Q144" s="2">
        <f ca="1"/>
        <v>5.0536155962750264</v>
      </c>
    </row>
    <row r="145" spans="1:17">
      <c r="A145" t="str">
        <v>Gumuz</v>
      </c>
      <c r="B145" s="2">
        <f ca="1"/>
        <v>5.9312519549856475</v>
      </c>
      <c r="C145" s="2">
        <f ca="1"/>
        <v>7.4619031728821845</v>
      </c>
      <c r="D145" s="2">
        <f ca="1"/>
        <v>7.0359810555487536</v>
      </c>
      <c r="E145" s="2">
        <f ca="1"/>
        <v>6.7913107236548491</v>
      </c>
      <c r="F145" s="2">
        <f ca="1"/>
        <v>5.9932728000744548</v>
      </c>
      <c r="G145" s="2">
        <f ca="1"/>
        <v>7.3138381638063601</v>
      </c>
      <c r="H145" s="2">
        <f ca="1"/>
        <v>7.7589794350417023</v>
      </c>
      <c r="I145" s="2">
        <f ca="1"/>
        <v>7.4997115579157088</v>
      </c>
      <c r="J145" s="2">
        <f ca="1"/>
        <v>6.2538774940217685</v>
      </c>
      <c r="K145" s="2">
        <f ca="1"/>
        <v>6.0844993456372922</v>
      </c>
      <c r="L145" s="2">
        <f ca="1"/>
        <v>7.5409437624137592</v>
      </c>
      <c r="M145" s="2">
        <f ca="1"/>
        <v>6.7166530498020975</v>
      </c>
      <c r="N145" s="2">
        <f ca="1"/>
        <v>6.1686340308223775</v>
      </c>
      <c r="O145" s="2">
        <f ca="1"/>
        <v>7.1609806195757146</v>
      </c>
      <c r="P145" s="2">
        <f ca="1"/>
        <v>7.3426323786177825</v>
      </c>
      <c r="Q145" s="2">
        <f ca="1"/>
        <v>6.9193069646448064</v>
      </c>
    </row>
    <row r="146" spans="1:17">
      <c r="A146" t="str">
        <v>DireDawa</v>
      </c>
      <c r="B146" s="2">
        <f ca="1"/>
        <v>6.6540620842349441</v>
      </c>
      <c r="C146" s="2">
        <f ca="1"/>
        <v>6.4268350724039287</v>
      </c>
      <c r="D146" s="2">
        <f ca="1"/>
        <v>5.7277806893858756</v>
      </c>
      <c r="E146" s="2">
        <f ca="1"/>
        <v>6.9233645728146715</v>
      </c>
      <c r="F146" s="2">
        <f ca="1"/>
        <v>7.6050247673852764</v>
      </c>
      <c r="G146" s="2">
        <f ca="1"/>
        <v>5.7930873760067243</v>
      </c>
      <c r="H146" s="2">
        <f ca="1"/>
        <v>7.9788659315704553</v>
      </c>
      <c r="I146" s="2">
        <f ca="1"/>
        <v>5.6281997521805129</v>
      </c>
      <c r="J146" s="2">
        <f ca="1"/>
        <v>6.3619250706898089</v>
      </c>
      <c r="K146" s="2">
        <f ca="1"/>
        <v>6.5283549104017302</v>
      </c>
      <c r="L146" s="2">
        <f ca="1"/>
        <v>6.2304742448297699</v>
      </c>
      <c r="M146" s="2">
        <f ca="1"/>
        <v>6.5221471878217265</v>
      </c>
      <c r="N146" s="2">
        <f ca="1"/>
        <v>5.2512279622859035</v>
      </c>
      <c r="O146" s="2">
        <f ca="1"/>
        <v>6.6717323127293611</v>
      </c>
      <c r="P146" s="2">
        <f ca="1"/>
        <v>7.1430359939160422</v>
      </c>
      <c r="Q146" s="2">
        <f ca="1"/>
        <v>5.2557182632740842</v>
      </c>
    </row>
    <row r="147" spans="1:17">
      <c r="A147" t="str">
        <v>Gambela</v>
      </c>
      <c r="B147" s="2">
        <f ca="1"/>
        <v>7.0016129394320163</v>
      </c>
      <c r="C147" s="2">
        <f ca="1"/>
        <v>7.6829945832661277</v>
      </c>
      <c r="D147" s="2">
        <f ca="1"/>
        <v>5.0809497433497688</v>
      </c>
      <c r="E147" s="2">
        <f ca="1"/>
        <v>7.0058311015264394</v>
      </c>
      <c r="F147" s="2">
        <f ca="1"/>
        <v>7.2121799254101937</v>
      </c>
      <c r="G147" s="2">
        <f ca="1"/>
        <v>7.0353237382261682</v>
      </c>
      <c r="H147" s="2">
        <f ca="1"/>
        <v>5.4881099433619909</v>
      </c>
      <c r="I147" s="2">
        <f ca="1"/>
        <v>7.0475096979039771</v>
      </c>
      <c r="J147" s="2">
        <f ca="1"/>
        <v>7.6210351573711961</v>
      </c>
      <c r="K147" s="2">
        <f ca="1"/>
        <v>7.1835083619613034</v>
      </c>
      <c r="L147" s="2">
        <f ca="1"/>
        <v>6.9792313016589294</v>
      </c>
      <c r="M147" s="2">
        <f ca="1"/>
        <v>6.409053181712431</v>
      </c>
      <c r="N147" s="2">
        <f ca="1"/>
        <v>5.402478483681068</v>
      </c>
      <c r="O147" s="2">
        <f ca="1"/>
        <v>5.9202147752702228</v>
      </c>
      <c r="P147" s="2">
        <f ca="1"/>
        <v>5.3805447555087813</v>
      </c>
      <c r="Q147" s="2">
        <f ca="1"/>
        <v>7.6531234616731467</v>
      </c>
    </row>
    <row r="148" spans="1:17">
      <c r="A148" t="str">
        <v>Harari</v>
      </c>
      <c r="B148" s="2">
        <f ca="1"/>
        <v>7.0928675092455578</v>
      </c>
      <c r="C148" s="2">
        <f ca="1"/>
        <v>6.1218447798108375</v>
      </c>
      <c r="D148" s="2">
        <f ca="1"/>
        <v>5.4341710647628236</v>
      </c>
      <c r="E148" s="2">
        <f ca="1"/>
        <v>7.0409441144621265</v>
      </c>
      <c r="F148" s="2">
        <f ca="1"/>
        <v>6.5090971432692779</v>
      </c>
      <c r="G148" s="2">
        <f ca="1"/>
        <v>6.2349637765693418</v>
      </c>
      <c r="H148" s="2">
        <f ca="1"/>
        <v>6.0253337330577041</v>
      </c>
      <c r="I148" s="2">
        <f ca="1"/>
        <v>6.0283911816340954</v>
      </c>
      <c r="J148" s="2">
        <f ca="1"/>
        <v>6.0548741288814831</v>
      </c>
      <c r="K148" s="2">
        <f ca="1"/>
        <v>6.6738203395319413</v>
      </c>
      <c r="L148" s="2">
        <f ca="1"/>
        <v>7.1345808337271155</v>
      </c>
      <c r="M148" s="2">
        <f ca="1"/>
        <v>7.5095382827269397</v>
      </c>
      <c r="N148" s="2">
        <f ca="1"/>
        <v>6.3175163831783792</v>
      </c>
      <c r="O148" s="2">
        <f ca="1"/>
        <v>5.976936626505152</v>
      </c>
      <c r="P148" s="2">
        <f ca="1"/>
        <v>6.151937619771461</v>
      </c>
      <c r="Q148" s="2">
        <f ca="1"/>
        <v>5.8736763107273884</v>
      </c>
    </row>
    <row r="149" spans="1:17">
      <c r="A149" t="str">
        <v>Oromia</v>
      </c>
      <c r="B149" s="2">
        <f ca="1"/>
        <v>5.470325833365365</v>
      </c>
      <c r="C149" s="2">
        <f ca="1"/>
        <v>6.9090832923494734</v>
      </c>
      <c r="D149" s="2">
        <f ca="1"/>
        <v>5.5768569655269351</v>
      </c>
      <c r="E149" s="2">
        <f ca="1"/>
        <v>5.8132037302814012</v>
      </c>
      <c r="F149" s="2">
        <f ca="1"/>
        <v>5.6863711306865561</v>
      </c>
      <c r="G149" s="2">
        <f ca="1"/>
        <v>5.0173749599801782</v>
      </c>
      <c r="H149" s="2">
        <f ca="1"/>
        <v>7.5012466227167831</v>
      </c>
      <c r="I149" s="2">
        <f ca="1"/>
        <v>6.3651643076855251</v>
      </c>
      <c r="J149" s="2">
        <f ca="1"/>
        <v>5.2236578442302166</v>
      </c>
      <c r="K149" s="2">
        <f ca="1"/>
        <v>7.7854518395061003</v>
      </c>
      <c r="L149" s="2">
        <f ca="1"/>
        <v>7.4604457514374722</v>
      </c>
      <c r="M149" s="2">
        <f ca="1"/>
        <v>6.9404208966030678</v>
      </c>
      <c r="N149" s="2">
        <f ca="1"/>
        <v>7.5045190810214386</v>
      </c>
      <c r="O149" s="2">
        <f ca="1"/>
        <v>7.8821621602403233</v>
      </c>
      <c r="P149" s="2">
        <f ca="1"/>
        <v>7.3566045824518493</v>
      </c>
      <c r="Q149" s="2">
        <f ca="1"/>
        <v>5.6345568849976377</v>
      </c>
    </row>
    <row r="150" spans="1:17">
      <c r="A150" t="str">
        <v>Somali</v>
      </c>
      <c r="B150" s="2">
        <f ca="1"/>
        <v>6.3581276869375367</v>
      </c>
      <c r="C150" s="2">
        <f ca="1"/>
        <v>5.4106951621647195</v>
      </c>
      <c r="D150" s="2">
        <f ca="1"/>
        <v>5.7635591452941863</v>
      </c>
      <c r="E150" s="2">
        <f ca="1"/>
        <v>5.2489432116495047</v>
      </c>
      <c r="F150" s="2">
        <f ca="1"/>
        <v>7.4782327696592512</v>
      </c>
      <c r="G150" s="2">
        <f ca="1"/>
        <v>5.4255885970893072</v>
      </c>
      <c r="H150" s="2">
        <f ca="1"/>
        <v>5.665542138073044</v>
      </c>
      <c r="I150" s="2">
        <f ca="1"/>
        <v>7.7503461251988899</v>
      </c>
      <c r="J150" s="2">
        <f ca="1"/>
        <v>7.1071546406101351</v>
      </c>
      <c r="K150" s="2">
        <f ca="1"/>
        <v>5.0771319124082739</v>
      </c>
      <c r="L150" s="2">
        <f ca="1"/>
        <v>6.7162708040311792</v>
      </c>
      <c r="M150" s="2">
        <f ca="1"/>
        <v>5.1771001862312707</v>
      </c>
      <c r="N150" s="2">
        <f ca="1"/>
        <v>5.5444435494692623</v>
      </c>
      <c r="O150" s="2">
        <f ca="1"/>
        <v>7.8298484529484034</v>
      </c>
      <c r="P150" s="2">
        <f ca="1"/>
        <v>6.807342399234372</v>
      </c>
      <c r="Q150" s="2">
        <f ca="1"/>
        <v>5.8645722080502196</v>
      </c>
    </row>
    <row r="151" spans="1:17">
      <c r="A151" t="str">
        <v>SNNPR</v>
      </c>
      <c r="B151" s="2">
        <f ca="1"/>
        <v>5.5841612746901728</v>
      </c>
      <c r="C151" s="2">
        <f ca="1"/>
        <v>5.1079497315341698</v>
      </c>
      <c r="D151" s="2">
        <f ca="1"/>
        <v>7.8486909167888896</v>
      </c>
      <c r="E151" s="2">
        <f ca="1"/>
        <v>6.8192662934215846</v>
      </c>
      <c r="F151" s="2">
        <f ca="1"/>
        <v>6.7892738120446339</v>
      </c>
      <c r="G151" s="2">
        <f ca="1"/>
        <v>6.2309739133068964</v>
      </c>
      <c r="H151" s="2">
        <f ca="1"/>
        <v>5.6146428925703518</v>
      </c>
      <c r="I151" s="2">
        <f ca="1"/>
        <v>7.3648401898261415</v>
      </c>
      <c r="J151" s="2">
        <f ca="1"/>
        <v>6.1114858974917912</v>
      </c>
      <c r="K151" s="2">
        <f ca="1"/>
        <v>6.0601093014351894</v>
      </c>
      <c r="L151" s="2">
        <f ca="1"/>
        <v>5.2527587061874268</v>
      </c>
      <c r="M151" s="2">
        <f ca="1"/>
        <v>5.1060132370998721</v>
      </c>
      <c r="N151" s="2">
        <f ca="1"/>
        <v>6.3072942392652278</v>
      </c>
      <c r="O151" s="2">
        <f ca="1"/>
        <v>5.7671708077474495</v>
      </c>
      <c r="P151" s="2">
        <f ca="1"/>
        <v>6.5594874980472779</v>
      </c>
      <c r="Q151" s="2">
        <f ca="1"/>
        <v>5.6492960114692892</v>
      </c>
    </row>
    <row r="152" spans="1:17">
      <c r="A152" t="str">
        <v>Tigray</v>
      </c>
      <c r="B152" s="2">
        <f ca="1"/>
        <v>6.2839011045035758</v>
      </c>
      <c r="C152" s="2">
        <f ca="1"/>
        <v>7.732266855303271</v>
      </c>
      <c r="D152" s="2">
        <f ca="1"/>
        <v>7.892110573551733</v>
      </c>
      <c r="E152" s="2">
        <f ca="1"/>
        <v>7.4924780981601682</v>
      </c>
      <c r="F152" s="2">
        <f ca="1"/>
        <v>7.4763871154951786</v>
      </c>
      <c r="G152" s="2">
        <f ca="1"/>
        <v>6.7618534171701254</v>
      </c>
      <c r="H152" s="2">
        <f ca="1"/>
        <v>7.7902879215803189</v>
      </c>
      <c r="I152" s="2">
        <f ca="1"/>
        <v>7.5232781241139808</v>
      </c>
      <c r="J152" s="2">
        <f ca="1"/>
        <v>7.1148683485698481</v>
      </c>
      <c r="K152" s="2">
        <f ca="1"/>
        <v>5.3682456582652271</v>
      </c>
      <c r="L152" s="2">
        <f ca="1"/>
        <v>6.085696193067367</v>
      </c>
      <c r="M152" s="2">
        <f ca="1"/>
        <v>7.2310852304249131</v>
      </c>
      <c r="N152" s="2">
        <f ca="1"/>
        <v>7.7311283310294758</v>
      </c>
      <c r="O152" s="2">
        <f ca="1"/>
        <v>7.8021853572759641</v>
      </c>
      <c r="P152" s="2">
        <f ca="1"/>
        <v>5.934998060078672</v>
      </c>
      <c r="Q152" s="2">
        <f ca="1"/>
        <v>5.8062450975221225</v>
      </c>
    </row>
    <row r="161" spans="1:17">
      <c r="B161">
        <f t="array" ref="B161:Q161">TRANSPOSE(Years)</f>
        <v>2015</v>
      </c>
      <c r="C161">
        <v>2016</v>
      </c>
      <c r="D161">
        <v>2017</v>
      </c>
      <c r="E161">
        <v>2018</v>
      </c>
      <c r="F161">
        <v>2019</v>
      </c>
      <c r="G161">
        <v>2020</v>
      </c>
      <c r="H161">
        <v>2021</v>
      </c>
      <c r="I161">
        <v>2022</v>
      </c>
      <c r="J161">
        <v>2023</v>
      </c>
      <c r="K161">
        <v>2024</v>
      </c>
      <c r="L161">
        <v>2025</v>
      </c>
      <c r="M161">
        <v>2026</v>
      </c>
      <c r="N161">
        <v>2027</v>
      </c>
      <c r="O161">
        <v>2028</v>
      </c>
      <c r="P161">
        <v>2029</v>
      </c>
      <c r="Q161">
        <v>2030</v>
      </c>
    </row>
    <row r="162" spans="1:17">
      <c r="A162" t="str">
        <f t="array" ref="A162:A172">Nodes</f>
        <v>AddisAbaba</v>
      </c>
      <c r="B162" s="2">
        <f ca="1">2+COLUMN()*2 + ROW()/4-40 +RAND()*2</f>
        <v>8.1450184217953758</v>
      </c>
      <c r="C162" s="2">
        <f t="shared" ref="C162:Q162" ca="1" si="2">2+COLUMN()*2 + ROW()/4-40 +RAND()*2</f>
        <v>9.7265246451057088</v>
      </c>
      <c r="D162" s="2">
        <f t="shared" ca="1" si="2"/>
        <v>10.859893971538323</v>
      </c>
      <c r="E162" s="2">
        <f t="shared" ca="1" si="2"/>
        <v>13.330067041021914</v>
      </c>
      <c r="F162" s="2">
        <f t="shared" ca="1" si="2"/>
        <v>16.280939491894159</v>
      </c>
      <c r="G162" s="2">
        <f t="shared" ca="1" si="2"/>
        <v>17.424796139313447</v>
      </c>
      <c r="H162" s="2">
        <f t="shared" ca="1" si="2"/>
        <v>20.297133206646865</v>
      </c>
      <c r="I162" s="2">
        <f t="shared" ca="1" si="2"/>
        <v>21.493294063081734</v>
      </c>
      <c r="J162" s="2">
        <f t="shared" ca="1" si="2"/>
        <v>24.194932616829256</v>
      </c>
      <c r="K162" s="2">
        <f t="shared" ca="1" si="2"/>
        <v>26.243611885522789</v>
      </c>
      <c r="L162" s="2">
        <f t="shared" ca="1" si="2"/>
        <v>27.349789816412319</v>
      </c>
      <c r="M162" s="2">
        <f t="shared" ca="1" si="2"/>
        <v>30.07154133236947</v>
      </c>
      <c r="N162" s="2">
        <f t="shared" ca="1" si="2"/>
        <v>31.12012092034767</v>
      </c>
      <c r="O162" s="2">
        <f t="shared" ca="1" si="2"/>
        <v>32.970115291074336</v>
      </c>
      <c r="P162" s="2">
        <f t="shared" ca="1" si="2"/>
        <v>35.478767340375803</v>
      </c>
      <c r="Q162" s="2">
        <f t="shared" ca="1" si="2"/>
        <v>38.172345305554387</v>
      </c>
    </row>
    <row r="163" spans="1:17">
      <c r="A163" t="str">
        <v>Afar</v>
      </c>
      <c r="B163" s="2">
        <f t="shared" ref="B163:Q172" ca="1" si="3">2+COLUMN()*2 + ROW()/4-40 +RAND()*2</f>
        <v>8.5667642508847699</v>
      </c>
      <c r="C163" s="2">
        <f t="shared" ca="1" si="3"/>
        <v>9.6946156435710069</v>
      </c>
      <c r="D163" s="2">
        <f t="shared" ca="1" si="3"/>
        <v>12.294016675508676</v>
      </c>
      <c r="E163" s="2">
        <f t="shared" ca="1" si="3"/>
        <v>13.380084600520124</v>
      </c>
      <c r="F163" s="2">
        <f t="shared" ca="1" si="3"/>
        <v>16.398101728069488</v>
      </c>
      <c r="G163" s="2">
        <f t="shared" ca="1" si="3"/>
        <v>18.175708828120577</v>
      </c>
      <c r="H163" s="2">
        <f t="shared" ca="1" si="3"/>
        <v>19.289338684923941</v>
      </c>
      <c r="I163" s="2">
        <f t="shared" ca="1" si="3"/>
        <v>21.838403475915587</v>
      </c>
      <c r="J163" s="2">
        <f t="shared" ca="1" si="3"/>
        <v>24.446724749133885</v>
      </c>
      <c r="K163" s="2">
        <f t="shared" ca="1" si="3"/>
        <v>26.248300372052277</v>
      </c>
      <c r="L163" s="2">
        <f t="shared" ca="1" si="3"/>
        <v>26.935672219451515</v>
      </c>
      <c r="M163" s="2">
        <f t="shared" ca="1" si="3"/>
        <v>30.191920176255408</v>
      </c>
      <c r="N163" s="2">
        <f t="shared" ca="1" si="3"/>
        <v>31.282934612944416</v>
      </c>
      <c r="O163" s="2">
        <f t="shared" ca="1" si="3"/>
        <v>34.483497462620655</v>
      </c>
      <c r="P163" s="2">
        <f t="shared" ca="1" si="3"/>
        <v>35.148325799049246</v>
      </c>
      <c r="Q163" s="2">
        <f t="shared" ca="1" si="3"/>
        <v>37.685173382267507</v>
      </c>
    </row>
    <row r="164" spans="1:17">
      <c r="A164" t="str">
        <v>Amhara</v>
      </c>
      <c r="B164" s="2">
        <f t="shared" ca="1" si="3"/>
        <v>7.4970637012498154</v>
      </c>
      <c r="C164" s="2">
        <f t="shared" ca="1" si="3"/>
        <v>9.9173363470367466</v>
      </c>
      <c r="D164" s="2">
        <f t="shared" ca="1" si="3"/>
        <v>11.475598492534258</v>
      </c>
      <c r="E164" s="2">
        <f t="shared" ca="1" si="3"/>
        <v>14.622451824934394</v>
      </c>
      <c r="F164" s="2">
        <f t="shared" ca="1" si="3"/>
        <v>16.316514647201</v>
      </c>
      <c r="G164" s="2">
        <f t="shared" ca="1" si="3"/>
        <v>18.187058905354274</v>
      </c>
      <c r="H164" s="2">
        <f t="shared" ca="1" si="3"/>
        <v>20.354956746033615</v>
      </c>
      <c r="I164" s="2">
        <f t="shared" ca="1" si="3"/>
        <v>21.653602149657644</v>
      </c>
      <c r="J164" s="2">
        <f t="shared" ca="1" si="3"/>
        <v>23.717053676108584</v>
      </c>
      <c r="K164" s="2">
        <f t="shared" ca="1" si="3"/>
        <v>25.030719899808375</v>
      </c>
      <c r="L164" s="2">
        <f t="shared" ca="1" si="3"/>
        <v>27.494099891183524</v>
      </c>
      <c r="M164" s="2">
        <f t="shared" ca="1" si="3"/>
        <v>29.740660485242497</v>
      </c>
      <c r="N164" s="2">
        <f t="shared" ca="1" si="3"/>
        <v>31.540038318101722</v>
      </c>
      <c r="O164" s="2">
        <f t="shared" ca="1" si="3"/>
        <v>34.772124003357341</v>
      </c>
      <c r="P164" s="2">
        <f t="shared" ca="1" si="3"/>
        <v>36.813975421504992</v>
      </c>
      <c r="Q164" s="2">
        <f t="shared" ca="1" si="3"/>
        <v>38.296308981646973</v>
      </c>
    </row>
    <row r="165" spans="1:17">
      <c r="A165" t="str">
        <v>Gumuz</v>
      </c>
      <c r="B165" s="2">
        <f t="shared" ca="1" si="3"/>
        <v>8.5092164488847004</v>
      </c>
      <c r="C165" s="2">
        <f t="shared" ca="1" si="3"/>
        <v>9.8776413112714643</v>
      </c>
      <c r="D165" s="2">
        <f t="shared" ca="1" si="3"/>
        <v>12.782818949804378</v>
      </c>
      <c r="E165" s="2">
        <f t="shared" ca="1" si="3"/>
        <v>13.436849706575217</v>
      </c>
      <c r="F165" s="2">
        <f t="shared" ca="1" si="3"/>
        <v>16.794948182722319</v>
      </c>
      <c r="G165" s="2">
        <f t="shared" ca="1" si="3"/>
        <v>17.986701669408987</v>
      </c>
      <c r="H165" s="2">
        <f t="shared" ca="1" si="3"/>
        <v>20.429374919424927</v>
      </c>
      <c r="I165" s="2">
        <f t="shared" ca="1" si="3"/>
        <v>21.251084354398856</v>
      </c>
      <c r="J165" s="2">
        <f t="shared" ca="1" si="3"/>
        <v>23.339328171153571</v>
      </c>
      <c r="K165" s="2">
        <f t="shared" ca="1" si="3"/>
        <v>25.95483736122425</v>
      </c>
      <c r="L165" s="2">
        <f t="shared" ca="1" si="3"/>
        <v>29.200869834138448</v>
      </c>
      <c r="M165" s="2">
        <f t="shared" ca="1" si="3"/>
        <v>30.522757642745351</v>
      </c>
      <c r="N165" s="2">
        <f t="shared" ca="1" si="3"/>
        <v>33.09798474076905</v>
      </c>
      <c r="O165" s="2">
        <f t="shared" ca="1" si="3"/>
        <v>34.770816823095679</v>
      </c>
      <c r="P165" s="2">
        <f t="shared" ca="1" si="3"/>
        <v>36.583638697720545</v>
      </c>
      <c r="Q165" s="2">
        <f t="shared" ca="1" si="3"/>
        <v>38.934455397707787</v>
      </c>
    </row>
    <row r="166" spans="1:17">
      <c r="A166" t="str">
        <v>DireDawa</v>
      </c>
      <c r="B166" s="2">
        <f t="shared" ca="1" si="3"/>
        <v>8.7945783206180881</v>
      </c>
      <c r="C166" s="2">
        <f t="shared" ca="1" si="3"/>
        <v>11.183902016128794</v>
      </c>
      <c r="D166" s="2">
        <f t="shared" ca="1" si="3"/>
        <v>11.721964087043704</v>
      </c>
      <c r="E166" s="2">
        <f t="shared" ca="1" si="3"/>
        <v>14.467021326068535</v>
      </c>
      <c r="F166" s="2">
        <f t="shared" ca="1" si="3"/>
        <v>16.281415377405033</v>
      </c>
      <c r="G166" s="2">
        <f t="shared" ca="1" si="3"/>
        <v>18.323347364863206</v>
      </c>
      <c r="H166" s="2">
        <f t="shared" ca="1" si="3"/>
        <v>20.662919730219532</v>
      </c>
      <c r="I166" s="2">
        <f t="shared" ca="1" si="3"/>
        <v>22.590605073106268</v>
      </c>
      <c r="J166" s="2">
        <f t="shared" ca="1" si="3"/>
        <v>24.824238808909485</v>
      </c>
      <c r="K166" s="2">
        <f t="shared" ca="1" si="3"/>
        <v>26.764198209352021</v>
      </c>
      <c r="L166" s="2">
        <f t="shared" ca="1" si="3"/>
        <v>27.671887417990042</v>
      </c>
      <c r="M166" s="2">
        <f t="shared" ca="1" si="3"/>
        <v>30.664828178392682</v>
      </c>
      <c r="N166" s="2">
        <f t="shared" ca="1" si="3"/>
        <v>33.019468126221604</v>
      </c>
      <c r="O166" s="2">
        <f t="shared" ca="1" si="3"/>
        <v>35.222666526690659</v>
      </c>
      <c r="P166" s="2">
        <f t="shared" ca="1" si="3"/>
        <v>36.984432319516777</v>
      </c>
      <c r="Q166" s="2">
        <f t="shared" ca="1" si="3"/>
        <v>37.913372936528489</v>
      </c>
    </row>
    <row r="167" spans="1:17">
      <c r="A167" t="str">
        <v>Gambela</v>
      </c>
      <c r="B167" s="2">
        <f t="shared" ca="1" si="3"/>
        <v>9.0800140858762877</v>
      </c>
      <c r="C167" s="2">
        <f t="shared" ca="1" si="3"/>
        <v>11.435595027507942</v>
      </c>
      <c r="D167" s="2">
        <f t="shared" ca="1" si="3"/>
        <v>13.12230009987316</v>
      </c>
      <c r="E167" s="2">
        <f t="shared" ca="1" si="3"/>
        <v>15.288958092108084</v>
      </c>
      <c r="F167" s="2">
        <f t="shared" ca="1" si="3"/>
        <v>16.737202906100094</v>
      </c>
      <c r="G167" s="2">
        <f t="shared" ca="1" si="3"/>
        <v>19.68739261032642</v>
      </c>
      <c r="H167" s="2">
        <f t="shared" ca="1" si="3"/>
        <v>20.078072190767742</v>
      </c>
      <c r="I167" s="2">
        <f t="shared" ca="1" si="3"/>
        <v>22.838244664930205</v>
      </c>
      <c r="J167" s="2">
        <f t="shared" ca="1" si="3"/>
        <v>24.954499155294318</v>
      </c>
      <c r="K167" s="2">
        <f t="shared" ca="1" si="3"/>
        <v>26.098793809861689</v>
      </c>
      <c r="L167" s="2">
        <f t="shared" ca="1" si="3"/>
        <v>28.937972486830745</v>
      </c>
      <c r="M167" s="2">
        <f t="shared" ca="1" si="3"/>
        <v>30.174410678662618</v>
      </c>
      <c r="N167" s="2">
        <f t="shared" ca="1" si="3"/>
        <v>32.362413158578974</v>
      </c>
      <c r="O167" s="2">
        <f t="shared" ca="1" si="3"/>
        <v>34.971525873038452</v>
      </c>
      <c r="P167" s="2">
        <f t="shared" ca="1" si="3"/>
        <v>37.199278695375767</v>
      </c>
      <c r="Q167" s="2">
        <f t="shared" ca="1" si="3"/>
        <v>39.094259347435262</v>
      </c>
    </row>
    <row r="168" spans="1:17">
      <c r="A168" t="str">
        <v>Harari</v>
      </c>
      <c r="B168" s="2">
        <f t="shared" ca="1" si="3"/>
        <v>8.6996567280139256</v>
      </c>
      <c r="C168" s="2">
        <f t="shared" ca="1" si="3"/>
        <v>11.806178461112113</v>
      </c>
      <c r="D168" s="2">
        <f t="shared" ca="1" si="3"/>
        <v>13.769022943592361</v>
      </c>
      <c r="E168" s="2">
        <f t="shared" ca="1" si="3"/>
        <v>15.364862018254055</v>
      </c>
      <c r="F168" s="2">
        <f t="shared" ca="1" si="3"/>
        <v>16.812053991210465</v>
      </c>
      <c r="G168" s="2">
        <f t="shared" ca="1" si="3"/>
        <v>18.263208517420363</v>
      </c>
      <c r="H168" s="2">
        <f t="shared" ca="1" si="3"/>
        <v>20.718906352518889</v>
      </c>
      <c r="I168" s="2">
        <f t="shared" ca="1" si="3"/>
        <v>22.302848679425825</v>
      </c>
      <c r="J168" s="2">
        <f t="shared" ca="1" si="3"/>
        <v>25.462149515589662</v>
      </c>
      <c r="K168" s="2">
        <f t="shared" ca="1" si="3"/>
        <v>26.252482037562746</v>
      </c>
      <c r="L168" s="2">
        <f t="shared" ca="1" si="3"/>
        <v>28.728417566086772</v>
      </c>
      <c r="M168" s="2">
        <f t="shared" ca="1" si="3"/>
        <v>31.126242329398146</v>
      </c>
      <c r="N168" s="2">
        <f t="shared" ca="1" si="3"/>
        <v>32.90406278106817</v>
      </c>
      <c r="O168" s="2">
        <f t="shared" ca="1" si="3"/>
        <v>34.980131437210083</v>
      </c>
      <c r="P168" s="2">
        <f t="shared" ca="1" si="3"/>
        <v>36.037343052994771</v>
      </c>
      <c r="Q168" s="2">
        <f t="shared" ca="1" si="3"/>
        <v>39.83376322137709</v>
      </c>
    </row>
    <row r="169" spans="1:17">
      <c r="A169" t="str">
        <v>Oromia</v>
      </c>
      <c r="B169" s="2">
        <f t="shared" ca="1" si="3"/>
        <v>9.7822719558616189</v>
      </c>
      <c r="C169" s="2">
        <f t="shared" ca="1" si="3"/>
        <v>10.822389547741153</v>
      </c>
      <c r="D169" s="2">
        <f t="shared" ca="1" si="3"/>
        <v>12.969022584962211</v>
      </c>
      <c r="E169" s="2">
        <f t="shared" ca="1" si="3"/>
        <v>14.495048460696003</v>
      </c>
      <c r="F169" s="2">
        <f t="shared" ca="1" si="3"/>
        <v>18.159535890597013</v>
      </c>
      <c r="G169" s="2">
        <f t="shared" ca="1" si="3"/>
        <v>19.567444732343553</v>
      </c>
      <c r="H169" s="2">
        <f t="shared" ca="1" si="3"/>
        <v>21.354974655640028</v>
      </c>
      <c r="I169" s="2">
        <f t="shared" ca="1" si="3"/>
        <v>23.048404120058418</v>
      </c>
      <c r="J169" s="2">
        <f t="shared" ca="1" si="3"/>
        <v>24.921683541430159</v>
      </c>
      <c r="K169" s="2">
        <f t="shared" ca="1" si="3"/>
        <v>27.512247751143974</v>
      </c>
      <c r="L169" s="2">
        <f t="shared" ca="1" si="3"/>
        <v>29.990687479558986</v>
      </c>
      <c r="M169" s="2">
        <f t="shared" ca="1" si="3"/>
        <v>32.128287142818969</v>
      </c>
      <c r="N169" s="2">
        <f t="shared" ca="1" si="3"/>
        <v>33.22784206783853</v>
      </c>
      <c r="O169" s="2">
        <f t="shared" ca="1" si="3"/>
        <v>35.43140134945024</v>
      </c>
      <c r="P169" s="2">
        <f t="shared" ca="1" si="3"/>
        <v>37.357048760726123</v>
      </c>
      <c r="Q169" s="2">
        <f t="shared" ca="1" si="3"/>
        <v>39.680182311937948</v>
      </c>
    </row>
    <row r="170" spans="1:17">
      <c r="A170" t="str">
        <v>Somali</v>
      </c>
      <c r="B170" s="2">
        <f t="shared" ca="1" si="3"/>
        <v>9.6606573499736843</v>
      </c>
      <c r="C170" s="2">
        <f t="shared" ca="1" si="3"/>
        <v>11.275086592406211</v>
      </c>
      <c r="D170" s="2">
        <f t="shared" ca="1" si="3"/>
        <v>14.059122539365243</v>
      </c>
      <c r="E170" s="2">
        <f t="shared" ca="1" si="3"/>
        <v>14.578239625120577</v>
      </c>
      <c r="F170" s="2">
        <f t="shared" ca="1" si="3"/>
        <v>17.92203528795627</v>
      </c>
      <c r="G170" s="2">
        <f t="shared" ca="1" si="3"/>
        <v>19.784411319337813</v>
      </c>
      <c r="H170" s="2">
        <f t="shared" ca="1" si="3"/>
        <v>21.754160860407442</v>
      </c>
      <c r="I170" s="2">
        <f t="shared" ca="1" si="3"/>
        <v>23.728490656366432</v>
      </c>
      <c r="J170" s="2">
        <f t="shared" ca="1" si="3"/>
        <v>25.275309848877733</v>
      </c>
      <c r="K170" s="2">
        <f t="shared" ca="1" si="3"/>
        <v>26.867581354340427</v>
      </c>
      <c r="L170" s="2">
        <f t="shared" ca="1" si="3"/>
        <v>28.947545216079533</v>
      </c>
      <c r="M170" s="2">
        <f t="shared" ca="1" si="3"/>
        <v>32.093551238421114</v>
      </c>
      <c r="N170" s="2">
        <f t="shared" ca="1" si="3"/>
        <v>33.694980609752953</v>
      </c>
      <c r="O170" s="2">
        <f t="shared" ca="1" si="3"/>
        <v>36.011673453004882</v>
      </c>
      <c r="P170" s="2">
        <f t="shared" ca="1" si="3"/>
        <v>38.338514202194837</v>
      </c>
      <c r="Q170" s="2">
        <f t="shared" ca="1" si="3"/>
        <v>39.274725546845808</v>
      </c>
    </row>
    <row r="171" spans="1:17">
      <c r="A171" t="str">
        <v>SNNPR</v>
      </c>
      <c r="B171" s="2">
        <f t="shared" ca="1" si="3"/>
        <v>9.3386373172857056</v>
      </c>
      <c r="C171" s="2">
        <f t="shared" ca="1" si="3"/>
        <v>12.355497581564737</v>
      </c>
      <c r="D171" s="2">
        <f t="shared" ca="1" si="3"/>
        <v>14.470889474369281</v>
      </c>
      <c r="E171" s="2">
        <f t="shared" ca="1" si="3"/>
        <v>16.671738037438537</v>
      </c>
      <c r="F171" s="2">
        <f t="shared" ca="1" si="3"/>
        <v>16.969785109298908</v>
      </c>
      <c r="G171" s="2">
        <f t="shared" ca="1" si="3"/>
        <v>20.6488502265689</v>
      </c>
      <c r="H171" s="2">
        <f t="shared" ca="1" si="3"/>
        <v>21.183140408489738</v>
      </c>
      <c r="I171" s="2">
        <f t="shared" ca="1" si="3"/>
        <v>23.215654115695799</v>
      </c>
      <c r="J171" s="2">
        <f t="shared" ca="1" si="3"/>
        <v>26.198845716504955</v>
      </c>
      <c r="K171" s="2">
        <f t="shared" ca="1" si="3"/>
        <v>26.93882726637657</v>
      </c>
      <c r="L171" s="2">
        <f t="shared" ca="1" si="3"/>
        <v>29.825706648487774</v>
      </c>
      <c r="M171" s="2">
        <f t="shared" ca="1" si="3"/>
        <v>31.577091614617327</v>
      </c>
      <c r="N171" s="2">
        <f t="shared" ca="1" si="3"/>
        <v>33.755535635386863</v>
      </c>
      <c r="O171" s="2">
        <f t="shared" ca="1" si="3"/>
        <v>36.427173217490925</v>
      </c>
      <c r="P171" s="2">
        <f t="shared" ca="1" si="3"/>
        <v>38.42866795252629</v>
      </c>
      <c r="Q171" s="2">
        <f t="shared" ca="1" si="3"/>
        <v>40.269364949930825</v>
      </c>
    </row>
    <row r="172" spans="1:17">
      <c r="A172" t="str">
        <v>Tigray</v>
      </c>
      <c r="B172" s="2">
        <f t="shared" ca="1" si="3"/>
        <v>9.6066246874861072</v>
      </c>
      <c r="C172" s="2">
        <f t="shared" ca="1" si="3"/>
        <v>12.439827881521831</v>
      </c>
      <c r="D172" s="2">
        <f t="shared" ca="1" si="3"/>
        <v>14.138448508108137</v>
      </c>
      <c r="E172" s="2">
        <f t="shared" ca="1" si="3"/>
        <v>15.125966298719309</v>
      </c>
      <c r="F172" s="2">
        <f t="shared" ca="1" si="3"/>
        <v>17.314831265633561</v>
      </c>
      <c r="G172" s="2">
        <f t="shared" ca="1" si="3"/>
        <v>20.268039040081501</v>
      </c>
      <c r="H172" s="2">
        <f t="shared" ca="1" si="3"/>
        <v>22.981266610836801</v>
      </c>
      <c r="I172" s="2">
        <f t="shared" ca="1" si="3"/>
        <v>24.060929783876858</v>
      </c>
      <c r="J172" s="2">
        <f t="shared" ca="1" si="3"/>
        <v>26.434659563586834</v>
      </c>
      <c r="K172" s="2">
        <f t="shared" ca="1" si="3"/>
        <v>27.850625494223483</v>
      </c>
      <c r="L172" s="2">
        <f t="shared" ca="1" si="3"/>
        <v>29.019012452990626</v>
      </c>
      <c r="M172" s="2">
        <f t="shared" ca="1" si="3"/>
        <v>31.625241307702709</v>
      </c>
      <c r="N172" s="2">
        <f t="shared" ca="1" si="3"/>
        <v>34.160460283349956</v>
      </c>
      <c r="O172" s="2">
        <f t="shared" ca="1" si="3"/>
        <v>35.026889224031805</v>
      </c>
      <c r="P172" s="2">
        <f t="shared" ca="1" si="3"/>
        <v>37.520476757242676</v>
      </c>
      <c r="Q172" s="2">
        <f t="shared" ca="1" si="3"/>
        <v>39.293016971249941</v>
      </c>
    </row>
  </sheetData>
  <pageMargins left="0.75" right="0.75" top="1" bottom="1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"/>
  <sheetViews>
    <sheetView zoomScale="85" zoomScaleNormal="85" workbookViewId="0"/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30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20</v>
      </c>
      <c r="J4" t="s">
        <v>20</v>
      </c>
    </row>
    <row r="5" spans="2:10">
      <c r="B5">
        <f t="shared" ref="B5:B18" si="0">B4+1</f>
        <v>2017</v>
      </c>
      <c r="F5" t="s">
        <v>7</v>
      </c>
      <c r="H5" t="s">
        <v>17</v>
      </c>
      <c r="J5" t="s">
        <v>17</v>
      </c>
    </row>
    <row r="6" spans="2:10">
      <c r="B6">
        <f t="shared" si="0"/>
        <v>2018</v>
      </c>
      <c r="F6" t="s">
        <v>8</v>
      </c>
      <c r="H6" t="s">
        <v>24</v>
      </c>
      <c r="J6" t="s">
        <v>24</v>
      </c>
    </row>
    <row r="7" spans="2:10">
      <c r="B7">
        <f t="shared" si="0"/>
        <v>2019</v>
      </c>
      <c r="F7" t="s">
        <v>9</v>
      </c>
      <c r="H7" t="s">
        <v>21</v>
      </c>
      <c r="J7" t="s">
        <v>21</v>
      </c>
    </row>
    <row r="8" spans="2:10">
      <c r="B8">
        <f t="shared" si="0"/>
        <v>2020</v>
      </c>
      <c r="F8" t="s">
        <v>10</v>
      </c>
      <c r="H8" t="s">
        <v>18</v>
      </c>
      <c r="J8" t="s">
        <v>18</v>
      </c>
    </row>
    <row r="9" spans="2:10">
      <c r="B9">
        <f t="shared" si="0"/>
        <v>2021</v>
      </c>
      <c r="F9" t="s">
        <v>11</v>
      </c>
      <c r="H9" t="s">
        <v>22</v>
      </c>
    </row>
    <row r="10" spans="2:10">
      <c r="B10">
        <f t="shared" si="0"/>
        <v>2022</v>
      </c>
      <c r="F10" t="s">
        <v>12</v>
      </c>
      <c r="H10" t="s">
        <v>23</v>
      </c>
    </row>
    <row r="11" spans="2:10">
      <c r="B11">
        <f t="shared" si="0"/>
        <v>2023</v>
      </c>
      <c r="F11" t="s">
        <v>13</v>
      </c>
    </row>
    <row r="12" spans="2:10">
      <c r="B12">
        <f t="shared" si="0"/>
        <v>2024</v>
      </c>
      <c r="F12" t="s">
        <v>19</v>
      </c>
    </row>
    <row r="13" spans="2:10">
      <c r="B13">
        <f t="shared" si="0"/>
        <v>2025</v>
      </c>
      <c r="F13" t="s">
        <v>14</v>
      </c>
    </row>
    <row r="14" spans="2:10">
      <c r="B14">
        <f t="shared" si="0"/>
        <v>2026</v>
      </c>
    </row>
    <row r="15" spans="2:10">
      <c r="B15">
        <f t="shared" si="0"/>
        <v>2027</v>
      </c>
    </row>
    <row r="16" spans="2:10">
      <c r="B16">
        <f t="shared" si="0"/>
        <v>2028</v>
      </c>
    </row>
    <row r="17" spans="2:2">
      <c r="B17">
        <f t="shared" si="0"/>
        <v>2029</v>
      </c>
    </row>
    <row r="18" spans="2:2">
      <c r="B18">
        <f t="shared" si="0"/>
        <v>2030</v>
      </c>
    </row>
  </sheetData>
  <pageMargins left="0.75" right="0.75" top="1" bottom="1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 s="1" customFormat="1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ref="C3:C12" si="2">IF(ISERROR(MATCH($A3,G$22:G$330,0)),"No","Yes")</f>
        <v>No</v>
      </c>
      <c r="D3" s="4" t="str">
        <f t="shared" ref="D3:D12" si="3">IF(ISERROR(MATCH($A3,H$22:H$330,0)),"No","Yes")</f>
        <v>No</v>
      </c>
      <c r="E3" s="4" t="str">
        <f t="shared" ref="E3:E12" si="4">IF(ISERROR(MATCH($A3,I$22:I$330,0)),"No","Yes")</f>
        <v>Yes</v>
      </c>
      <c r="F3" s="4" t="str">
        <f t="shared" ref="F3:F12" si="5">IF(ISERROR(MATCH($A3,J$22:J$330,0)),"No","Yes")</f>
        <v>No</v>
      </c>
      <c r="G3" s="4" t="str">
        <f t="shared" ref="G3:G12" si="6">IF(ISERROR(MATCH($A3,K$22:K$330,0)),"No","Yes")</f>
        <v>Yes</v>
      </c>
      <c r="H3" s="4" t="str">
        <f t="shared" ref="H3:H12" si="7">IF(ISERROR(MATCH($A3,L$22:L$330,0)),"No","Yes")</f>
        <v>Yes</v>
      </c>
      <c r="I3" s="4" t="str">
        <f t="shared" ref="I3:I12" si="8">IF(ISERROR(MATCH($A3,M$22:M$330,0)),"No","Yes")</f>
        <v>Yes</v>
      </c>
      <c r="J3" s="4" t="str">
        <f t="shared" ref="J3:J12" si="9">IF(ISERROR(MATCH($A3,N$22:N$330,0)),"No","Yes")</f>
        <v>No</v>
      </c>
      <c r="K3" s="4" t="str">
        <f t="shared" ref="K3:K12" si="10">IF(ISERROR(MATCH($A3,O$22:O$330,0)),"No","Yes")</f>
        <v>Yes</v>
      </c>
      <c r="L3" s="4" t="str">
        <f t="shared" ref="L3:L12" si="11">IF(ISERROR(MATCH($A3,P$22:P$330,0)),"No","Yes")</f>
        <v>No</v>
      </c>
      <c r="N3" s="1" t="s">
        <v>6</v>
      </c>
      <c r="O3">
        <v>10</v>
      </c>
      <c r="Q3">
        <f t="shared" ref="P3:Y12" ca="1" si="12">10+5*RAND()</f>
        <v>12.008385463389018</v>
      </c>
      <c r="R3">
        <f t="shared" ca="1" si="12"/>
        <v>14.665045319989908</v>
      </c>
      <c r="S3">
        <f t="shared" ca="1" si="12"/>
        <v>14.677137764902472</v>
      </c>
      <c r="T3">
        <f t="shared" ca="1" si="12"/>
        <v>14.678981807425593</v>
      </c>
      <c r="U3">
        <f t="shared" ca="1" si="12"/>
        <v>14.147723669797834</v>
      </c>
      <c r="V3">
        <f t="shared" ca="1" si="12"/>
        <v>14.982454081888687</v>
      </c>
      <c r="W3">
        <f t="shared" ca="1" si="12"/>
        <v>11.582376098668972</v>
      </c>
      <c r="X3">
        <f t="shared" ca="1" si="12"/>
        <v>14.155071309162553</v>
      </c>
      <c r="Y3">
        <f t="shared" ca="1" si="12"/>
        <v>13.315563233906779</v>
      </c>
      <c r="AA3" s="1" t="s">
        <v>6</v>
      </c>
      <c r="AB3">
        <v>500</v>
      </c>
      <c r="AD3">
        <f t="shared" ref="AC3:AL12" ca="1" si="13">300-50*RAND()</f>
        <v>269.03385242429221</v>
      </c>
      <c r="AE3">
        <f t="shared" ca="1" si="13"/>
        <v>294.44140894356678</v>
      </c>
      <c r="AF3">
        <f t="shared" ca="1" si="13"/>
        <v>286.86750280656668</v>
      </c>
      <c r="AG3">
        <f t="shared" ca="1" si="13"/>
        <v>266.35383085298241</v>
      </c>
      <c r="AH3">
        <f t="shared" ca="1" si="13"/>
        <v>275.34754874040533</v>
      </c>
      <c r="AI3">
        <f t="shared" ca="1" si="13"/>
        <v>266.48910619769197</v>
      </c>
      <c r="AJ3">
        <f t="shared" ca="1" si="13"/>
        <v>264.71500801892796</v>
      </c>
      <c r="AK3">
        <f t="shared" ca="1" si="13"/>
        <v>263.28519354852324</v>
      </c>
      <c r="AL3">
        <f t="shared" ca="1" si="13"/>
        <v>286.25304071212514</v>
      </c>
    </row>
    <row r="4" spans="1:38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 t="str">
        <f t="shared" si="4"/>
        <v>Yes</v>
      </c>
      <c r="F4" s="4" t="str">
        <f t="shared" si="5"/>
        <v>No</v>
      </c>
      <c r="G4" s="4" t="str">
        <f t="shared" si="6"/>
        <v>No</v>
      </c>
      <c r="H4" s="4" t="str">
        <f t="shared" si="7"/>
        <v>Yes</v>
      </c>
      <c r="I4" s="4" t="str">
        <f t="shared" si="8"/>
        <v>No</v>
      </c>
      <c r="J4" s="4" t="str">
        <f t="shared" si="9"/>
        <v>Yes</v>
      </c>
      <c r="K4" s="4" t="str">
        <f t="shared" si="10"/>
        <v>Yes</v>
      </c>
      <c r="L4" s="4" t="str">
        <f t="shared" si="11"/>
        <v>Yes</v>
      </c>
      <c r="N4" s="1" t="s">
        <v>7</v>
      </c>
      <c r="O4">
        <v>10</v>
      </c>
      <c r="P4">
        <f t="shared" ca="1" si="12"/>
        <v>10.501491023959749</v>
      </c>
      <c r="R4">
        <f t="shared" ca="1" si="12"/>
        <v>10.032626297461732</v>
      </c>
      <c r="S4">
        <f t="shared" ca="1" si="12"/>
        <v>14.861202936885915</v>
      </c>
      <c r="T4">
        <f t="shared" ca="1" si="12"/>
        <v>13.880582125793119</v>
      </c>
      <c r="U4">
        <f t="shared" ca="1" si="12"/>
        <v>12.472224833292522</v>
      </c>
      <c r="V4">
        <f t="shared" ca="1" si="12"/>
        <v>13.240703872520047</v>
      </c>
      <c r="W4">
        <f t="shared" ca="1" si="12"/>
        <v>12.772349693471499</v>
      </c>
      <c r="X4">
        <f t="shared" ca="1" si="12"/>
        <v>13.681284634955865</v>
      </c>
      <c r="Y4">
        <f t="shared" ca="1" si="12"/>
        <v>14.644436126049005</v>
      </c>
      <c r="AA4" s="1" t="s">
        <v>7</v>
      </c>
      <c r="AB4">
        <v>500</v>
      </c>
      <c r="AC4">
        <f t="shared" ca="1" si="13"/>
        <v>289.24164555203072</v>
      </c>
      <c r="AE4">
        <f t="shared" ca="1" si="13"/>
        <v>271.66302499006946</v>
      </c>
      <c r="AF4">
        <f t="shared" ca="1" si="13"/>
        <v>268.63900441596064</v>
      </c>
      <c r="AG4">
        <f t="shared" ca="1" si="13"/>
        <v>268.02835651437852</v>
      </c>
      <c r="AH4">
        <f t="shared" ca="1" si="13"/>
        <v>293.96980906198303</v>
      </c>
      <c r="AI4">
        <f t="shared" ca="1" si="13"/>
        <v>260.76256609290783</v>
      </c>
      <c r="AJ4">
        <f t="shared" ca="1" si="13"/>
        <v>295.6690745402754</v>
      </c>
      <c r="AK4">
        <f t="shared" ca="1" si="13"/>
        <v>263.00319587336048</v>
      </c>
      <c r="AL4">
        <f t="shared" ca="1" si="13"/>
        <v>272.65039528527535</v>
      </c>
    </row>
    <row r="5" spans="1:38">
      <c r="A5" s="1" t="s">
        <v>8</v>
      </c>
      <c r="B5" s="4" t="str">
        <f t="shared" si="1"/>
        <v>Yes</v>
      </c>
      <c r="C5" s="4" t="str">
        <f t="shared" si="2"/>
        <v>Yes</v>
      </c>
      <c r="D5" s="4" t="str">
        <f t="shared" si="3"/>
        <v>Yes</v>
      </c>
      <c r="E5" s="4" t="str">
        <f t="shared" si="4"/>
        <v>No</v>
      </c>
      <c r="F5" s="4" t="str">
        <f t="shared" si="5"/>
        <v>Yes</v>
      </c>
      <c r="G5" s="4" t="str">
        <f t="shared" si="6"/>
        <v>No</v>
      </c>
      <c r="H5" s="4" t="str">
        <f t="shared" si="7"/>
        <v>No</v>
      </c>
      <c r="I5" s="4" t="str">
        <f t="shared" si="8"/>
        <v>Yes</v>
      </c>
      <c r="J5" s="4" t="str">
        <f t="shared" si="9"/>
        <v>No</v>
      </c>
      <c r="K5" s="4" t="str">
        <f t="shared" si="10"/>
        <v>No</v>
      </c>
      <c r="L5" s="4" t="str">
        <f t="shared" si="11"/>
        <v>Yes</v>
      </c>
      <c r="N5" s="1" t="s">
        <v>8</v>
      </c>
      <c r="O5">
        <v>10</v>
      </c>
      <c r="P5">
        <f t="shared" ca="1" si="12"/>
        <v>13.865489932692693</v>
      </c>
      <c r="Q5">
        <f t="shared" ca="1" si="12"/>
        <v>10.737793591039049</v>
      </c>
      <c r="S5">
        <f t="shared" ca="1" si="12"/>
        <v>14.915265209628704</v>
      </c>
      <c r="T5">
        <f t="shared" ca="1" si="12"/>
        <v>14.598543758977272</v>
      </c>
      <c r="U5">
        <f t="shared" ca="1" si="12"/>
        <v>10.076112629869176</v>
      </c>
      <c r="V5">
        <f t="shared" ca="1" si="12"/>
        <v>13.09689976618872</v>
      </c>
      <c r="W5">
        <f t="shared" ca="1" si="12"/>
        <v>10.563300247767073</v>
      </c>
      <c r="X5">
        <f t="shared" ca="1" si="12"/>
        <v>14.206983935964407</v>
      </c>
      <c r="Y5">
        <f t="shared" ca="1" si="12"/>
        <v>14.65388879873411</v>
      </c>
      <c r="AA5" s="1" t="s">
        <v>8</v>
      </c>
      <c r="AB5">
        <v>500</v>
      </c>
      <c r="AC5">
        <f t="shared" ca="1" si="13"/>
        <v>286.28467457397926</v>
      </c>
      <c r="AD5">
        <f t="shared" ca="1" si="13"/>
        <v>256.46303310323577</v>
      </c>
      <c r="AF5">
        <f t="shared" ca="1" si="13"/>
        <v>275.69213688978198</v>
      </c>
      <c r="AG5">
        <f t="shared" ca="1" si="13"/>
        <v>251.16117195773145</v>
      </c>
      <c r="AH5">
        <f t="shared" ca="1" si="13"/>
        <v>254.43263441549232</v>
      </c>
      <c r="AI5">
        <f t="shared" ca="1" si="13"/>
        <v>258.578583109747</v>
      </c>
      <c r="AJ5">
        <f t="shared" ca="1" si="13"/>
        <v>281.39544739003765</v>
      </c>
      <c r="AK5">
        <f t="shared" ca="1" si="13"/>
        <v>289.53372877597224</v>
      </c>
      <c r="AL5">
        <f t="shared" ca="1" si="13"/>
        <v>273.11833353681135</v>
      </c>
    </row>
    <row r="6" spans="1:38">
      <c r="A6" s="1" t="s">
        <v>9</v>
      </c>
      <c r="B6" s="4" t="str">
        <f t="shared" si="1"/>
        <v>Yes</v>
      </c>
      <c r="C6" s="4" t="str">
        <f t="shared" si="2"/>
        <v>No</v>
      </c>
      <c r="D6" s="4" t="str">
        <f t="shared" si="3"/>
        <v>No</v>
      </c>
      <c r="E6" s="4" t="str">
        <f t="shared" si="4"/>
        <v>Yes</v>
      </c>
      <c r="F6" s="4" t="str">
        <f t="shared" si="5"/>
        <v>No</v>
      </c>
      <c r="G6" s="4" t="str">
        <f t="shared" si="6"/>
        <v>Yes</v>
      </c>
      <c r="H6" s="4" t="str">
        <f t="shared" si="7"/>
        <v>Yes</v>
      </c>
      <c r="I6" s="4" t="str">
        <f t="shared" si="8"/>
        <v>Yes</v>
      </c>
      <c r="J6" s="4" t="str">
        <f t="shared" si="9"/>
        <v>No</v>
      </c>
      <c r="K6" s="4" t="str">
        <f t="shared" si="10"/>
        <v>No</v>
      </c>
      <c r="L6" s="4" t="str">
        <f t="shared" si="11"/>
        <v>Yes</v>
      </c>
      <c r="N6" s="1" t="s">
        <v>9</v>
      </c>
      <c r="O6">
        <v>10</v>
      </c>
      <c r="P6">
        <f t="shared" ca="1" si="12"/>
        <v>11.412502117132336</v>
      </c>
      <c r="Q6">
        <f t="shared" ca="1" si="12"/>
        <v>10.424784069395358</v>
      </c>
      <c r="R6">
        <f t="shared" ca="1" si="12"/>
        <v>10.965508404744694</v>
      </c>
      <c r="T6">
        <f t="shared" ca="1" si="12"/>
        <v>11.985715859511469</v>
      </c>
      <c r="U6">
        <f t="shared" ca="1" si="12"/>
        <v>11.540102883071821</v>
      </c>
      <c r="V6">
        <f t="shared" ca="1" si="12"/>
        <v>14.066112362456266</v>
      </c>
      <c r="W6">
        <f t="shared" ca="1" si="12"/>
        <v>14.731193447627547</v>
      </c>
      <c r="X6">
        <f t="shared" ca="1" si="12"/>
        <v>14.986714849721324</v>
      </c>
      <c r="Y6">
        <f t="shared" ca="1" si="12"/>
        <v>10.988246088929955</v>
      </c>
      <c r="AA6" s="1" t="s">
        <v>9</v>
      </c>
      <c r="AB6">
        <v>500</v>
      </c>
      <c r="AC6">
        <f t="shared" ca="1" si="13"/>
        <v>251.36319737501552</v>
      </c>
      <c r="AD6">
        <f t="shared" ca="1" si="13"/>
        <v>276.33853317252863</v>
      </c>
      <c r="AE6">
        <f t="shared" ca="1" si="13"/>
        <v>295.76923941994812</v>
      </c>
      <c r="AG6">
        <f t="shared" ca="1" si="13"/>
        <v>274.57925329930447</v>
      </c>
      <c r="AH6">
        <f t="shared" ca="1" si="13"/>
        <v>254.00700414838192</v>
      </c>
      <c r="AI6">
        <f t="shared" ca="1" si="13"/>
        <v>262.07335915370425</v>
      </c>
      <c r="AJ6">
        <f t="shared" ca="1" si="13"/>
        <v>281.66465536178868</v>
      </c>
      <c r="AK6">
        <f t="shared" ca="1" si="13"/>
        <v>257.25046044628129</v>
      </c>
      <c r="AL6">
        <f t="shared" ca="1" si="13"/>
        <v>296.67748631672981</v>
      </c>
    </row>
    <row r="7" spans="1:38">
      <c r="A7" s="1" t="s">
        <v>10</v>
      </c>
      <c r="B7" s="4" t="str">
        <f t="shared" si="1"/>
        <v>Yes</v>
      </c>
      <c r="C7" s="4" t="str">
        <f t="shared" si="2"/>
        <v>Yes</v>
      </c>
      <c r="D7" s="4" t="str">
        <f t="shared" si="3"/>
        <v>No</v>
      </c>
      <c r="E7" s="4" t="str">
        <f t="shared" si="4"/>
        <v>No</v>
      </c>
      <c r="F7" s="4" t="str">
        <f t="shared" si="5"/>
        <v>Yes</v>
      </c>
      <c r="G7" s="4" t="str">
        <f t="shared" si="6"/>
        <v>No</v>
      </c>
      <c r="H7" s="4" t="str">
        <f t="shared" si="7"/>
        <v>No</v>
      </c>
      <c r="I7" s="4" t="str">
        <f t="shared" si="8"/>
        <v>Yes</v>
      </c>
      <c r="J7" s="4" t="str">
        <f t="shared" si="9"/>
        <v>Yes</v>
      </c>
      <c r="K7" s="4" t="str">
        <f t="shared" si="10"/>
        <v>Yes</v>
      </c>
      <c r="L7" s="4" t="str">
        <f t="shared" si="11"/>
        <v>Yes</v>
      </c>
      <c r="N7" s="1" t="s">
        <v>10</v>
      </c>
      <c r="O7">
        <v>10</v>
      </c>
      <c r="P7">
        <f t="shared" ca="1" si="12"/>
        <v>10.081073779914066</v>
      </c>
      <c r="Q7">
        <f t="shared" ca="1" si="12"/>
        <v>11.30602229477871</v>
      </c>
      <c r="R7">
        <f t="shared" ca="1" si="12"/>
        <v>14.757123459274791</v>
      </c>
      <c r="S7">
        <f t="shared" ca="1" si="12"/>
        <v>10.082860408879133</v>
      </c>
      <c r="U7">
        <f t="shared" ca="1" si="12"/>
        <v>10.501141916014827</v>
      </c>
      <c r="V7">
        <f t="shared" ca="1" si="12"/>
        <v>13.317941449126058</v>
      </c>
      <c r="W7">
        <f t="shared" ca="1" si="12"/>
        <v>12.178170348305351</v>
      </c>
      <c r="X7">
        <f t="shared" ca="1" si="12"/>
        <v>13.361944826071735</v>
      </c>
      <c r="Y7">
        <f t="shared" ca="1" si="12"/>
        <v>14.673175391858907</v>
      </c>
      <c r="AA7" s="1" t="s">
        <v>10</v>
      </c>
      <c r="AB7">
        <v>500</v>
      </c>
      <c r="AC7">
        <f t="shared" ca="1" si="13"/>
        <v>298.22079168191567</v>
      </c>
      <c r="AD7">
        <f t="shared" ca="1" si="13"/>
        <v>282.0745461565121</v>
      </c>
      <c r="AE7">
        <f t="shared" ca="1" si="13"/>
        <v>263.851175590585</v>
      </c>
      <c r="AF7">
        <f t="shared" ca="1" si="13"/>
        <v>291.08504378371811</v>
      </c>
      <c r="AH7">
        <f t="shared" ca="1" si="13"/>
        <v>293.83730147675766</v>
      </c>
      <c r="AI7">
        <f t="shared" ca="1" si="13"/>
        <v>260.43963623560853</v>
      </c>
      <c r="AJ7">
        <f t="shared" ca="1" si="13"/>
        <v>296.19024020730916</v>
      </c>
      <c r="AK7">
        <f t="shared" ca="1" si="13"/>
        <v>266.08788489123714</v>
      </c>
      <c r="AL7">
        <f t="shared" ca="1" si="13"/>
        <v>278.11484408052212</v>
      </c>
    </row>
    <row r="8" spans="1:38">
      <c r="A8" s="1" t="s">
        <v>11</v>
      </c>
      <c r="B8" s="4" t="str">
        <f t="shared" si="1"/>
        <v>Yes</v>
      </c>
      <c r="C8" s="4" t="str">
        <f t="shared" si="2"/>
        <v>Yes</v>
      </c>
      <c r="D8" s="4" t="str">
        <f t="shared" si="3"/>
        <v>Yes</v>
      </c>
      <c r="E8" s="4" t="str">
        <f t="shared" si="4"/>
        <v>No</v>
      </c>
      <c r="F8" s="4" t="str">
        <f t="shared" si="5"/>
        <v>Yes</v>
      </c>
      <c r="G8" s="4" t="str">
        <f t="shared" si="6"/>
        <v>No</v>
      </c>
      <c r="H8" s="4" t="str">
        <f t="shared" si="7"/>
        <v>No</v>
      </c>
      <c r="I8" s="4" t="str">
        <f t="shared" si="8"/>
        <v>No</v>
      </c>
      <c r="J8" s="4" t="str">
        <f t="shared" si="9"/>
        <v>Yes</v>
      </c>
      <c r="K8" s="4" t="str">
        <f t="shared" si="10"/>
        <v>Yes</v>
      </c>
      <c r="L8" s="4" t="str">
        <f t="shared" si="11"/>
        <v>Yes</v>
      </c>
      <c r="N8" s="1" t="s">
        <v>11</v>
      </c>
      <c r="O8">
        <v>10</v>
      </c>
      <c r="P8">
        <f t="shared" ca="1" si="12"/>
        <v>14.08129443058921</v>
      </c>
      <c r="Q8">
        <f t="shared" ca="1" si="12"/>
        <v>12.635932844439393</v>
      </c>
      <c r="R8">
        <f t="shared" ca="1" si="12"/>
        <v>13.999302745379882</v>
      </c>
      <c r="S8">
        <f t="shared" ca="1" si="12"/>
        <v>10.805743049085439</v>
      </c>
      <c r="T8">
        <f t="shared" ca="1" si="12"/>
        <v>13.376530485233577</v>
      </c>
      <c r="V8">
        <f t="shared" ca="1" si="12"/>
        <v>14.117835802563352</v>
      </c>
      <c r="W8">
        <f t="shared" ca="1" si="12"/>
        <v>13.830249350055631</v>
      </c>
      <c r="X8">
        <f t="shared" ca="1" si="12"/>
        <v>13.207033693787494</v>
      </c>
      <c r="Y8">
        <f t="shared" ca="1" si="12"/>
        <v>10.461591112381873</v>
      </c>
      <c r="AA8" s="1" t="s">
        <v>11</v>
      </c>
      <c r="AB8">
        <v>500</v>
      </c>
      <c r="AC8">
        <f t="shared" ca="1" si="13"/>
        <v>268.27128969927287</v>
      </c>
      <c r="AD8">
        <f t="shared" ca="1" si="13"/>
        <v>255.01857795806373</v>
      </c>
      <c r="AE8">
        <f t="shared" ca="1" si="13"/>
        <v>280.59498386523239</v>
      </c>
      <c r="AF8">
        <f t="shared" ca="1" si="13"/>
        <v>295.48856963026248</v>
      </c>
      <c r="AG8">
        <f t="shared" ca="1" si="13"/>
        <v>277.32919129595803</v>
      </c>
      <c r="AI8">
        <f t="shared" ca="1" si="13"/>
        <v>268.72734480781759</v>
      </c>
      <c r="AJ8">
        <f t="shared" ca="1" si="13"/>
        <v>295.00994966236419</v>
      </c>
      <c r="AK8">
        <f t="shared" ca="1" si="13"/>
        <v>254.03750257383365</v>
      </c>
      <c r="AL8">
        <f t="shared" ca="1" si="13"/>
        <v>289.6204753813621</v>
      </c>
    </row>
    <row r="9" spans="1:38">
      <c r="A9" s="1" t="s">
        <v>12</v>
      </c>
      <c r="B9" s="4" t="str">
        <f t="shared" si="1"/>
        <v>Yes</v>
      </c>
      <c r="C9" s="4" t="str">
        <f t="shared" si="2"/>
        <v>Yes</v>
      </c>
      <c r="D9" s="4" t="str">
        <f t="shared" si="3"/>
        <v>No</v>
      </c>
      <c r="E9" s="4" t="str">
        <f t="shared" si="4"/>
        <v>Yes</v>
      </c>
      <c r="F9" s="4" t="str">
        <f t="shared" si="5"/>
        <v>Yes</v>
      </c>
      <c r="G9" s="4" t="str">
        <f t="shared" si="6"/>
        <v>Yes</v>
      </c>
      <c r="H9" s="4" t="str">
        <f t="shared" si="7"/>
        <v>No</v>
      </c>
      <c r="I9" s="4" t="str">
        <f t="shared" si="8"/>
        <v>No</v>
      </c>
      <c r="J9" s="4" t="str">
        <f t="shared" si="9"/>
        <v>Yes</v>
      </c>
      <c r="K9" s="4" t="str">
        <f t="shared" si="10"/>
        <v>No</v>
      </c>
      <c r="L9" s="4" t="str">
        <f t="shared" si="11"/>
        <v>No</v>
      </c>
      <c r="N9" s="1" t="s">
        <v>12</v>
      </c>
      <c r="O9">
        <v>10</v>
      </c>
      <c r="P9">
        <f t="shared" ca="1" si="12"/>
        <v>10.677050759430545</v>
      </c>
      <c r="Q9">
        <f t="shared" ca="1" si="12"/>
        <v>12.781224433838961</v>
      </c>
      <c r="R9">
        <f t="shared" ca="1" si="12"/>
        <v>12.923248543008405</v>
      </c>
      <c r="S9">
        <f t="shared" ca="1" si="12"/>
        <v>14.354619299368707</v>
      </c>
      <c r="T9">
        <f t="shared" ca="1" si="12"/>
        <v>12.630645428530485</v>
      </c>
      <c r="U9">
        <f t="shared" ca="1" si="12"/>
        <v>14.829580223247287</v>
      </c>
      <c r="W9">
        <f t="shared" ca="1" si="12"/>
        <v>11.664109827767312</v>
      </c>
      <c r="X9">
        <f t="shared" ca="1" si="12"/>
        <v>12.77635269667957</v>
      </c>
      <c r="Y9">
        <f t="shared" ca="1" si="12"/>
        <v>13.210482300881164</v>
      </c>
      <c r="AA9" s="1" t="s">
        <v>12</v>
      </c>
      <c r="AB9">
        <v>500</v>
      </c>
      <c r="AC9">
        <f t="shared" ca="1" si="13"/>
        <v>261.20344765142636</v>
      </c>
      <c r="AD9">
        <f t="shared" ca="1" si="13"/>
        <v>283.38005955510607</v>
      </c>
      <c r="AE9">
        <f t="shared" ca="1" si="13"/>
        <v>273.87346164776278</v>
      </c>
      <c r="AF9">
        <f t="shared" ca="1" si="13"/>
        <v>298.81740135332268</v>
      </c>
      <c r="AG9">
        <f t="shared" ca="1" si="13"/>
        <v>287.56238054932277</v>
      </c>
      <c r="AH9">
        <f t="shared" ca="1" si="13"/>
        <v>287.13923746304567</v>
      </c>
      <c r="AJ9">
        <f t="shared" ca="1" si="13"/>
        <v>277.66249870019595</v>
      </c>
      <c r="AK9">
        <f t="shared" ca="1" si="13"/>
        <v>253.3851490871576</v>
      </c>
      <c r="AL9">
        <f t="shared" ca="1" si="13"/>
        <v>266.26839306664237</v>
      </c>
    </row>
    <row r="10" spans="1:38">
      <c r="A10" s="1" t="s">
        <v>13</v>
      </c>
      <c r="B10" s="4" t="str">
        <f t="shared" si="1"/>
        <v>Yes</v>
      </c>
      <c r="C10" s="4" t="str">
        <f t="shared" si="2"/>
        <v>No</v>
      </c>
      <c r="D10" s="4" t="str">
        <f t="shared" si="3"/>
        <v>Yes</v>
      </c>
      <c r="E10" s="4" t="str">
        <f t="shared" si="4"/>
        <v>No</v>
      </c>
      <c r="F10" s="4" t="str">
        <f t="shared" si="5"/>
        <v>No</v>
      </c>
      <c r="G10" s="4" t="str">
        <f t="shared" si="6"/>
        <v>Yes</v>
      </c>
      <c r="H10" s="4" t="str">
        <f t="shared" si="7"/>
        <v>Yes</v>
      </c>
      <c r="I10" s="4" t="str">
        <f t="shared" si="8"/>
        <v>Yes</v>
      </c>
      <c r="J10" s="4" t="str">
        <f t="shared" si="9"/>
        <v>No</v>
      </c>
      <c r="K10" s="4" t="str">
        <f t="shared" si="10"/>
        <v>Yes</v>
      </c>
      <c r="L10" s="4" t="str">
        <f t="shared" si="11"/>
        <v>No</v>
      </c>
      <c r="N10" s="1" t="s">
        <v>13</v>
      </c>
      <c r="O10">
        <v>10</v>
      </c>
      <c r="P10">
        <f t="shared" ca="1" si="12"/>
        <v>11.931395847166099</v>
      </c>
      <c r="Q10">
        <f t="shared" ca="1" si="12"/>
        <v>14.906007623421852</v>
      </c>
      <c r="R10">
        <f t="shared" ca="1" si="12"/>
        <v>12.305421103349669</v>
      </c>
      <c r="S10">
        <f t="shared" ca="1" si="12"/>
        <v>11.089469435062252</v>
      </c>
      <c r="T10">
        <f t="shared" ca="1" si="12"/>
        <v>13.151971971705624</v>
      </c>
      <c r="U10">
        <f t="shared" ca="1" si="12"/>
        <v>14.617745995870226</v>
      </c>
      <c r="V10">
        <f t="shared" ca="1" si="12"/>
        <v>11.037353652462208</v>
      </c>
      <c r="X10">
        <f t="shared" ca="1" si="12"/>
        <v>14.208236966292061</v>
      </c>
      <c r="Y10">
        <f t="shared" ca="1" si="12"/>
        <v>11.843458957662367</v>
      </c>
      <c r="AA10" s="1" t="s">
        <v>13</v>
      </c>
      <c r="AB10">
        <v>500</v>
      </c>
      <c r="AC10">
        <f t="shared" ca="1" si="13"/>
        <v>269.92417364490319</v>
      </c>
      <c r="AD10">
        <f t="shared" ca="1" si="13"/>
        <v>285.02764454569041</v>
      </c>
      <c r="AE10">
        <f t="shared" ca="1" si="13"/>
        <v>263.72169915201772</v>
      </c>
      <c r="AF10">
        <f t="shared" ca="1" si="13"/>
        <v>293.40170337775595</v>
      </c>
      <c r="AG10">
        <f t="shared" ca="1" si="13"/>
        <v>256.43443377155785</v>
      </c>
      <c r="AH10">
        <f t="shared" ca="1" si="13"/>
        <v>266.08498194134484</v>
      </c>
      <c r="AI10">
        <f t="shared" ca="1" si="13"/>
        <v>258.25529363848142</v>
      </c>
      <c r="AK10">
        <f t="shared" ca="1" si="13"/>
        <v>264.36407220439753</v>
      </c>
      <c r="AL10">
        <f t="shared" ca="1" si="13"/>
        <v>281.67089123265185</v>
      </c>
    </row>
    <row r="11" spans="1:38">
      <c r="A11" s="1" t="s">
        <v>19</v>
      </c>
      <c r="B11" s="4" t="str">
        <f t="shared" si="1"/>
        <v>Yes</v>
      </c>
      <c r="C11" s="4" t="str">
        <f t="shared" si="2"/>
        <v>Yes</v>
      </c>
      <c r="D11" s="4" t="str">
        <f t="shared" si="3"/>
        <v>Yes</v>
      </c>
      <c r="E11" s="4" t="str">
        <f t="shared" si="4"/>
        <v>No</v>
      </c>
      <c r="F11" s="4" t="str">
        <f t="shared" si="5"/>
        <v>No</v>
      </c>
      <c r="G11" s="4" t="str">
        <f t="shared" si="6"/>
        <v>Yes</v>
      </c>
      <c r="H11" s="4" t="str">
        <f t="shared" si="7"/>
        <v>Yes</v>
      </c>
      <c r="I11" s="4" t="str">
        <f t="shared" si="8"/>
        <v>No</v>
      </c>
      <c r="J11" s="4" t="str">
        <f t="shared" si="9"/>
        <v>Yes</v>
      </c>
      <c r="K11" s="4" t="str">
        <f t="shared" si="10"/>
        <v>No</v>
      </c>
      <c r="L11" s="4" t="str">
        <f t="shared" si="11"/>
        <v>Yes</v>
      </c>
      <c r="N11" s="1" t="s">
        <v>19</v>
      </c>
      <c r="O11">
        <v>10</v>
      </c>
      <c r="P11">
        <f t="shared" ca="1" si="12"/>
        <v>11.684529173268764</v>
      </c>
      <c r="Q11">
        <f t="shared" ca="1" si="12"/>
        <v>12.87435734820005</v>
      </c>
      <c r="R11">
        <f t="shared" ca="1" si="12"/>
        <v>14.233657818718333</v>
      </c>
      <c r="S11">
        <f t="shared" ca="1" si="12"/>
        <v>14.259730049399787</v>
      </c>
      <c r="T11">
        <f t="shared" ca="1" si="12"/>
        <v>12.62447961675274</v>
      </c>
      <c r="U11">
        <f t="shared" ca="1" si="12"/>
        <v>13.684987579148356</v>
      </c>
      <c r="V11">
        <f t="shared" ca="1" si="12"/>
        <v>12.801735164394662</v>
      </c>
      <c r="W11">
        <f t="shared" ca="1" si="12"/>
        <v>12.501831125554137</v>
      </c>
      <c r="Y11">
        <f t="shared" ca="1" si="12"/>
        <v>12.339558845114027</v>
      </c>
      <c r="AA11" s="1" t="s">
        <v>19</v>
      </c>
      <c r="AB11">
        <v>500</v>
      </c>
      <c r="AC11">
        <f t="shared" ca="1" si="13"/>
        <v>252.6373905689677</v>
      </c>
      <c r="AD11">
        <f t="shared" ca="1" si="13"/>
        <v>292.71044043294756</v>
      </c>
      <c r="AE11">
        <f t="shared" ca="1" si="13"/>
        <v>263.34474294754779</v>
      </c>
      <c r="AF11">
        <f t="shared" ca="1" si="13"/>
        <v>284.78049089042815</v>
      </c>
      <c r="AG11">
        <f t="shared" ca="1" si="13"/>
        <v>275.12137393410097</v>
      </c>
      <c r="AH11">
        <f t="shared" ca="1" si="13"/>
        <v>256.16928735384386</v>
      </c>
      <c r="AI11">
        <f t="shared" ca="1" si="13"/>
        <v>290.54148166217283</v>
      </c>
      <c r="AJ11">
        <f t="shared" ca="1" si="13"/>
        <v>287.54636707052646</v>
      </c>
      <c r="AL11">
        <f t="shared" ca="1" si="13"/>
        <v>273.09153960784596</v>
      </c>
    </row>
    <row r="12" spans="1:38">
      <c r="A12" s="1" t="s">
        <v>14</v>
      </c>
      <c r="B12" s="4" t="str">
        <f t="shared" si="1"/>
        <v>Yes</v>
      </c>
      <c r="C12" s="4" t="str">
        <f t="shared" si="2"/>
        <v>No</v>
      </c>
      <c r="D12" s="4" t="str">
        <f t="shared" si="3"/>
        <v>Yes</v>
      </c>
      <c r="E12" s="4" t="str">
        <f t="shared" si="4"/>
        <v>Yes</v>
      </c>
      <c r="F12" s="4" t="str">
        <f t="shared" si="5"/>
        <v>Yes</v>
      </c>
      <c r="G12" s="4" t="str">
        <f t="shared" si="6"/>
        <v>Yes</v>
      </c>
      <c r="H12" s="4" t="str">
        <f t="shared" si="7"/>
        <v>No</v>
      </c>
      <c r="I12" s="4" t="str">
        <f t="shared" si="8"/>
        <v>No</v>
      </c>
      <c r="J12" s="4" t="str">
        <f t="shared" si="9"/>
        <v>No</v>
      </c>
      <c r="K12" s="4" t="str">
        <f t="shared" si="10"/>
        <v>Yes</v>
      </c>
      <c r="L12" s="4" t="str">
        <f t="shared" si="11"/>
        <v>No</v>
      </c>
      <c r="N12" s="1" t="s">
        <v>14</v>
      </c>
      <c r="O12">
        <v>10</v>
      </c>
      <c r="P12">
        <f t="shared" ca="1" si="12"/>
        <v>11.649604471329557</v>
      </c>
      <c r="Q12">
        <f t="shared" ca="1" si="12"/>
        <v>14.142287435042745</v>
      </c>
      <c r="R12">
        <f t="shared" ca="1" si="12"/>
        <v>12.175433428390606</v>
      </c>
      <c r="S12">
        <f t="shared" ca="1" si="12"/>
        <v>13.577416967553969</v>
      </c>
      <c r="T12">
        <f t="shared" ca="1" si="12"/>
        <v>10.629808668496167</v>
      </c>
      <c r="U12">
        <f t="shared" ca="1" si="12"/>
        <v>14.670608136270673</v>
      </c>
      <c r="V12">
        <f t="shared" ca="1" si="12"/>
        <v>11.771843885150162</v>
      </c>
      <c r="W12">
        <f t="shared" ca="1" si="12"/>
        <v>13.311825192354572</v>
      </c>
      <c r="X12">
        <f t="shared" ca="1" si="12"/>
        <v>12.273154946962872</v>
      </c>
      <c r="AA12" s="1" t="s">
        <v>14</v>
      </c>
      <c r="AB12">
        <v>500</v>
      </c>
      <c r="AC12">
        <f t="shared" ca="1" si="13"/>
        <v>292.77780283855282</v>
      </c>
      <c r="AD12">
        <f t="shared" ca="1" si="13"/>
        <v>281.01924339035827</v>
      </c>
      <c r="AE12">
        <f t="shared" ca="1" si="13"/>
        <v>294.45112726347548</v>
      </c>
      <c r="AF12">
        <f t="shared" ca="1" si="13"/>
        <v>293.80549289504029</v>
      </c>
      <c r="AG12">
        <f t="shared" ca="1" si="13"/>
        <v>299.91549856458431</v>
      </c>
      <c r="AH12">
        <f t="shared" ca="1" si="13"/>
        <v>260.23258717276781</v>
      </c>
      <c r="AI12">
        <f t="shared" ca="1" si="13"/>
        <v>289.74133636761053</v>
      </c>
      <c r="AJ12">
        <f t="shared" ca="1" si="13"/>
        <v>280.70880584547547</v>
      </c>
      <c r="AK12">
        <f t="shared" ca="1" si="13"/>
        <v>284.83226662798438</v>
      </c>
    </row>
    <row r="19" spans="1:21"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C22" t="s">
        <v>5</v>
      </c>
      <c r="D22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C23" t="s">
        <v>5</v>
      </c>
      <c r="D23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C24" t="s">
        <v>5</v>
      </c>
      <c r="D24" t="s">
        <v>9</v>
      </c>
      <c r="E24" s="6">
        <f t="shared" ref="E24:E32" si="14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C25" t="s">
        <v>5</v>
      </c>
      <c r="D25" t="s">
        <v>10</v>
      </c>
      <c r="E25" s="6">
        <f t="shared" si="14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C26" t="s">
        <v>5</v>
      </c>
      <c r="D26" t="s">
        <v>8</v>
      </c>
      <c r="E26" s="6">
        <f t="shared" si="14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C27" t="s">
        <v>5</v>
      </c>
      <c r="D27" t="s">
        <v>11</v>
      </c>
      <c r="E27" s="6">
        <f t="shared" si="14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C28" t="s">
        <v>5</v>
      </c>
      <c r="D28" t="s">
        <v>12</v>
      </c>
      <c r="E28" s="6">
        <f t="shared" si="14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19</v>
      </c>
      <c r="C29" t="s">
        <v>5</v>
      </c>
      <c r="D29" t="s">
        <v>19</v>
      </c>
      <c r="E29" s="6">
        <f t="shared" si="14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C30" t="s">
        <v>5</v>
      </c>
      <c r="D30" t="s">
        <v>13</v>
      </c>
      <c r="E30" s="6">
        <f t="shared" si="14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C31" t="s">
        <v>5</v>
      </c>
      <c r="D31" t="s">
        <v>14</v>
      </c>
      <c r="E31" s="6">
        <f t="shared" si="14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C32" t="s">
        <v>6</v>
      </c>
      <c r="D32" t="s">
        <v>5</v>
      </c>
      <c r="E32" s="6">
        <f t="shared" si="14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C33" t="s">
        <v>6</v>
      </c>
      <c r="D33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C34" t="s">
        <v>6</v>
      </c>
      <c r="D34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C35" t="s">
        <v>6</v>
      </c>
      <c r="D3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C36" t="s">
        <v>6</v>
      </c>
      <c r="D36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C37" t="s">
        <v>6</v>
      </c>
      <c r="D37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C38" t="s">
        <v>7</v>
      </c>
      <c r="D38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  <c r="C39" t="s">
        <v>7</v>
      </c>
      <c r="D39" t="s">
        <v>8</v>
      </c>
    </row>
    <row r="40" spans="1:16">
      <c r="A40" s="5" t="s">
        <v>7</v>
      </c>
      <c r="B40" s="5" t="s">
        <v>11</v>
      </c>
      <c r="C40" t="s">
        <v>7</v>
      </c>
      <c r="D40" t="s">
        <v>11</v>
      </c>
    </row>
    <row r="41" spans="1:16">
      <c r="A41" s="5" t="s">
        <v>7</v>
      </c>
      <c r="B41" s="5" t="s">
        <v>19</v>
      </c>
      <c r="C41" t="s">
        <v>7</v>
      </c>
      <c r="D41" t="s">
        <v>19</v>
      </c>
    </row>
    <row r="42" spans="1:16">
      <c r="A42" s="5" t="s">
        <v>7</v>
      </c>
      <c r="B42" s="5" t="s">
        <v>13</v>
      </c>
      <c r="C42" t="s">
        <v>7</v>
      </c>
      <c r="D42" t="s">
        <v>13</v>
      </c>
    </row>
    <row r="43" spans="1:16">
      <c r="A43" s="5" t="s">
        <v>7</v>
      </c>
      <c r="B43" s="5" t="s">
        <v>14</v>
      </c>
      <c r="C43" t="s">
        <v>7</v>
      </c>
      <c r="D43" t="s">
        <v>14</v>
      </c>
    </row>
    <row r="44" spans="1:16">
      <c r="A44" s="5" t="s">
        <v>9</v>
      </c>
      <c r="B44" s="5" t="s">
        <v>5</v>
      </c>
      <c r="C44" t="s">
        <v>9</v>
      </c>
      <c r="D44" t="s">
        <v>5</v>
      </c>
    </row>
    <row r="45" spans="1:16">
      <c r="A45" s="5" t="s">
        <v>9</v>
      </c>
      <c r="B45" s="5" t="s">
        <v>10</v>
      </c>
      <c r="C45" t="s">
        <v>9</v>
      </c>
      <c r="D45" t="s">
        <v>10</v>
      </c>
    </row>
    <row r="46" spans="1:16">
      <c r="A46" s="5" t="s">
        <v>9</v>
      </c>
      <c r="B46" s="5" t="s">
        <v>8</v>
      </c>
      <c r="C46" t="s">
        <v>9</v>
      </c>
      <c r="D46" t="s">
        <v>8</v>
      </c>
    </row>
    <row r="47" spans="1:16">
      <c r="A47" s="5" t="s">
        <v>9</v>
      </c>
      <c r="B47" s="5" t="s">
        <v>11</v>
      </c>
      <c r="C47" t="s">
        <v>9</v>
      </c>
      <c r="D47" t="s">
        <v>11</v>
      </c>
    </row>
    <row r="48" spans="1:16">
      <c r="A48" s="5" t="s">
        <v>9</v>
      </c>
      <c r="B48" s="5" t="s">
        <v>12</v>
      </c>
      <c r="C48" t="s">
        <v>9</v>
      </c>
      <c r="D48" t="s">
        <v>12</v>
      </c>
    </row>
    <row r="49" spans="1:4">
      <c r="A49" s="5" t="s">
        <v>9</v>
      </c>
      <c r="B49" s="5" t="s">
        <v>14</v>
      </c>
      <c r="C49" t="s">
        <v>9</v>
      </c>
      <c r="D49" t="s">
        <v>14</v>
      </c>
    </row>
    <row r="50" spans="1:4">
      <c r="A50" s="5" t="s">
        <v>10</v>
      </c>
      <c r="B50" s="5" t="s">
        <v>5</v>
      </c>
      <c r="C50" t="s">
        <v>10</v>
      </c>
      <c r="D50" t="s">
        <v>5</v>
      </c>
    </row>
    <row r="51" spans="1:4">
      <c r="A51" s="5" t="s">
        <v>10</v>
      </c>
      <c r="B51" s="5" t="s">
        <v>6</v>
      </c>
      <c r="C51" t="s">
        <v>10</v>
      </c>
      <c r="D51" t="s">
        <v>6</v>
      </c>
    </row>
    <row r="52" spans="1:4">
      <c r="A52" s="5" t="s">
        <v>10</v>
      </c>
      <c r="B52" s="5" t="s">
        <v>9</v>
      </c>
      <c r="C52" t="s">
        <v>10</v>
      </c>
      <c r="D52" t="s">
        <v>9</v>
      </c>
    </row>
    <row r="53" spans="1:4">
      <c r="A53" s="5" t="s">
        <v>10</v>
      </c>
      <c r="B53" s="5" t="s">
        <v>12</v>
      </c>
      <c r="C53" t="s">
        <v>10</v>
      </c>
      <c r="D53" t="s">
        <v>12</v>
      </c>
    </row>
    <row r="54" spans="1:4">
      <c r="A54" s="5" t="s">
        <v>10</v>
      </c>
      <c r="B54" s="5" t="s">
        <v>19</v>
      </c>
      <c r="C54" t="s">
        <v>10</v>
      </c>
      <c r="D54" t="s">
        <v>19</v>
      </c>
    </row>
    <row r="55" spans="1:4">
      <c r="A55" s="5" t="s">
        <v>10</v>
      </c>
      <c r="B55" s="5" t="s">
        <v>13</v>
      </c>
      <c r="C55" t="s">
        <v>10</v>
      </c>
      <c r="D55" t="s">
        <v>13</v>
      </c>
    </row>
    <row r="56" spans="1:4">
      <c r="A56" s="5" t="s">
        <v>10</v>
      </c>
      <c r="B56" s="5" t="s">
        <v>14</v>
      </c>
      <c r="C56" t="s">
        <v>10</v>
      </c>
      <c r="D56" t="s">
        <v>14</v>
      </c>
    </row>
    <row r="57" spans="1:4">
      <c r="A57" s="5" t="s">
        <v>8</v>
      </c>
      <c r="B57" s="5" t="s">
        <v>5</v>
      </c>
      <c r="C57" t="s">
        <v>8</v>
      </c>
      <c r="D57" t="s">
        <v>5</v>
      </c>
    </row>
    <row r="58" spans="1:4">
      <c r="A58" s="5" t="s">
        <v>8</v>
      </c>
      <c r="B58" s="5" t="s">
        <v>6</v>
      </c>
      <c r="C58" t="s">
        <v>8</v>
      </c>
      <c r="D58" t="s">
        <v>6</v>
      </c>
    </row>
    <row r="59" spans="1:4">
      <c r="A59" s="5" t="s">
        <v>8</v>
      </c>
      <c r="B59" s="5" t="s">
        <v>7</v>
      </c>
      <c r="C59" t="s">
        <v>8</v>
      </c>
      <c r="D59" t="s">
        <v>7</v>
      </c>
    </row>
    <row r="60" spans="1:4">
      <c r="A60" s="5" t="s">
        <v>8</v>
      </c>
      <c r="B60" s="5" t="s">
        <v>9</v>
      </c>
      <c r="C60" t="s">
        <v>8</v>
      </c>
      <c r="D60" t="s">
        <v>9</v>
      </c>
    </row>
    <row r="61" spans="1:4">
      <c r="A61" s="5" t="s">
        <v>8</v>
      </c>
      <c r="B61" s="5" t="s">
        <v>12</v>
      </c>
      <c r="C61" t="s">
        <v>8</v>
      </c>
      <c r="D61" t="s">
        <v>12</v>
      </c>
    </row>
    <row r="62" spans="1:4">
      <c r="A62" s="5" t="s">
        <v>8</v>
      </c>
      <c r="B62" s="5" t="s">
        <v>14</v>
      </c>
      <c r="C62" t="s">
        <v>8</v>
      </c>
      <c r="D62" t="s">
        <v>14</v>
      </c>
    </row>
    <row r="63" spans="1:4">
      <c r="A63" s="5" t="s">
        <v>11</v>
      </c>
      <c r="B63" s="5" t="s">
        <v>5</v>
      </c>
      <c r="C63" t="s">
        <v>11</v>
      </c>
      <c r="D63" t="s">
        <v>5</v>
      </c>
    </row>
    <row r="64" spans="1:4">
      <c r="A64" s="5" t="s">
        <v>11</v>
      </c>
      <c r="B64" s="5" t="s">
        <v>6</v>
      </c>
      <c r="C64" t="s">
        <v>11</v>
      </c>
      <c r="D64" t="s">
        <v>6</v>
      </c>
    </row>
    <row r="65" spans="1:4">
      <c r="A65" s="5" t="s">
        <v>11</v>
      </c>
      <c r="B65" s="5" t="s">
        <v>7</v>
      </c>
      <c r="C65" t="s">
        <v>11</v>
      </c>
      <c r="D65" t="s">
        <v>7</v>
      </c>
    </row>
    <row r="66" spans="1:4">
      <c r="A66" s="5" t="s">
        <v>11</v>
      </c>
      <c r="B66" s="5" t="s">
        <v>9</v>
      </c>
      <c r="C66" t="s">
        <v>11</v>
      </c>
      <c r="D66" t="s">
        <v>9</v>
      </c>
    </row>
    <row r="67" spans="1:4">
      <c r="A67" s="5" t="s">
        <v>11</v>
      </c>
      <c r="B67" s="5" t="s">
        <v>19</v>
      </c>
      <c r="C67" t="s">
        <v>11</v>
      </c>
      <c r="D67" t="s">
        <v>19</v>
      </c>
    </row>
    <row r="68" spans="1:4">
      <c r="A68" s="5" t="s">
        <v>11</v>
      </c>
      <c r="B68" s="5" t="s">
        <v>13</v>
      </c>
      <c r="C68" t="s">
        <v>11</v>
      </c>
      <c r="D68" t="s">
        <v>13</v>
      </c>
    </row>
    <row r="69" spans="1:4">
      <c r="A69" s="5" t="s">
        <v>12</v>
      </c>
      <c r="B69" s="5" t="s">
        <v>5</v>
      </c>
      <c r="C69" t="s">
        <v>12</v>
      </c>
      <c r="D69" t="s">
        <v>5</v>
      </c>
    </row>
    <row r="70" spans="1:4">
      <c r="A70" s="5" t="s">
        <v>12</v>
      </c>
      <c r="B70" s="5" t="s">
        <v>6</v>
      </c>
      <c r="C70" t="s">
        <v>12</v>
      </c>
      <c r="D70" t="s">
        <v>6</v>
      </c>
    </row>
    <row r="71" spans="1:4">
      <c r="A71" s="5" t="s">
        <v>12</v>
      </c>
      <c r="B71" s="5" t="s">
        <v>9</v>
      </c>
      <c r="C71" t="s">
        <v>12</v>
      </c>
      <c r="D71" t="s">
        <v>9</v>
      </c>
    </row>
    <row r="72" spans="1:4">
      <c r="A72" s="5" t="s">
        <v>12</v>
      </c>
      <c r="B72" s="5" t="s">
        <v>10</v>
      </c>
      <c r="C72" t="s">
        <v>12</v>
      </c>
      <c r="D72" t="s">
        <v>10</v>
      </c>
    </row>
    <row r="73" spans="1:4">
      <c r="A73" s="5" t="s">
        <v>12</v>
      </c>
      <c r="B73" s="5" t="s">
        <v>8</v>
      </c>
      <c r="C73" t="s">
        <v>12</v>
      </c>
      <c r="D73" t="s">
        <v>8</v>
      </c>
    </row>
    <row r="74" spans="1:4">
      <c r="A74" s="5" t="s">
        <v>12</v>
      </c>
      <c r="B74" s="5" t="s">
        <v>13</v>
      </c>
      <c r="C74" t="s">
        <v>12</v>
      </c>
      <c r="D74" t="s">
        <v>13</v>
      </c>
    </row>
    <row r="75" spans="1:4">
      <c r="A75" s="5" t="s">
        <v>19</v>
      </c>
      <c r="B75" s="5" t="s">
        <v>5</v>
      </c>
      <c r="C75" t="s">
        <v>19</v>
      </c>
      <c r="D75" t="s">
        <v>5</v>
      </c>
    </row>
    <row r="76" spans="1:4">
      <c r="A76" s="5" t="s">
        <v>19</v>
      </c>
      <c r="B76" s="5" t="s">
        <v>6</v>
      </c>
      <c r="C76" t="s">
        <v>19</v>
      </c>
      <c r="D76" t="s">
        <v>6</v>
      </c>
    </row>
    <row r="77" spans="1:4">
      <c r="A77" s="5" t="s">
        <v>19</v>
      </c>
      <c r="B77" s="5" t="s">
        <v>7</v>
      </c>
      <c r="C77" t="s">
        <v>19</v>
      </c>
      <c r="D77" t="s">
        <v>7</v>
      </c>
    </row>
    <row r="78" spans="1:4">
      <c r="A78" s="5" t="s">
        <v>19</v>
      </c>
      <c r="B78" s="5" t="s">
        <v>10</v>
      </c>
      <c r="C78" t="s">
        <v>19</v>
      </c>
      <c r="D78" t="s">
        <v>10</v>
      </c>
    </row>
    <row r="79" spans="1:4">
      <c r="A79" s="5" t="s">
        <v>19</v>
      </c>
      <c r="B79" s="5" t="s">
        <v>11</v>
      </c>
      <c r="C79" t="s">
        <v>19</v>
      </c>
      <c r="D79" t="s">
        <v>11</v>
      </c>
    </row>
    <row r="80" spans="1:4">
      <c r="A80" s="5" t="s">
        <v>19</v>
      </c>
      <c r="B80" s="5" t="s">
        <v>13</v>
      </c>
      <c r="C80" t="s">
        <v>19</v>
      </c>
      <c r="D80" t="s">
        <v>13</v>
      </c>
    </row>
    <row r="81" spans="1:4">
      <c r="A81" s="5" t="s">
        <v>19</v>
      </c>
      <c r="B81" s="5" t="s">
        <v>14</v>
      </c>
      <c r="C81" t="s">
        <v>19</v>
      </c>
      <c r="D81" t="s">
        <v>14</v>
      </c>
    </row>
    <row r="82" spans="1:4">
      <c r="A82" s="5" t="s">
        <v>13</v>
      </c>
      <c r="B82" s="5" t="s">
        <v>5</v>
      </c>
      <c r="C82" t="s">
        <v>13</v>
      </c>
      <c r="D82" t="s">
        <v>5</v>
      </c>
    </row>
    <row r="83" spans="1:4">
      <c r="A83" s="5" t="s">
        <v>13</v>
      </c>
      <c r="B83" s="5" t="s">
        <v>7</v>
      </c>
      <c r="C83" t="s">
        <v>13</v>
      </c>
      <c r="D83" t="s">
        <v>7</v>
      </c>
    </row>
    <row r="84" spans="1:4">
      <c r="A84" s="5" t="s">
        <v>13</v>
      </c>
      <c r="B84" s="5" t="s">
        <v>10</v>
      </c>
      <c r="C84" t="s">
        <v>13</v>
      </c>
      <c r="D84" t="s">
        <v>10</v>
      </c>
    </row>
    <row r="85" spans="1:4">
      <c r="A85" s="5" t="s">
        <v>13</v>
      </c>
      <c r="B85" s="5" t="s">
        <v>11</v>
      </c>
      <c r="C85" t="s">
        <v>13</v>
      </c>
      <c r="D85" t="s">
        <v>11</v>
      </c>
    </row>
    <row r="86" spans="1:4">
      <c r="A86" s="5" t="s">
        <v>13</v>
      </c>
      <c r="B86" s="5" t="s">
        <v>12</v>
      </c>
      <c r="C86" t="s">
        <v>13</v>
      </c>
      <c r="D86" t="s">
        <v>12</v>
      </c>
    </row>
    <row r="87" spans="1:4">
      <c r="A87" s="5" t="s">
        <v>13</v>
      </c>
      <c r="B87" s="5" t="s">
        <v>19</v>
      </c>
      <c r="C87" t="s">
        <v>13</v>
      </c>
      <c r="D87" t="s">
        <v>19</v>
      </c>
    </row>
    <row r="88" spans="1:4">
      <c r="A88" s="5" t="s">
        <v>14</v>
      </c>
      <c r="B88" s="5" t="s">
        <v>5</v>
      </c>
      <c r="C88" t="s">
        <v>14</v>
      </c>
      <c r="D88" t="s">
        <v>5</v>
      </c>
    </row>
    <row r="89" spans="1:4">
      <c r="A89" s="5" t="s">
        <v>14</v>
      </c>
      <c r="B89" s="5" t="s">
        <v>7</v>
      </c>
      <c r="C89" t="s">
        <v>14</v>
      </c>
      <c r="D89" t="s">
        <v>7</v>
      </c>
    </row>
    <row r="90" spans="1:4">
      <c r="A90" s="5" t="s">
        <v>14</v>
      </c>
      <c r="B90" s="5" t="s">
        <v>9</v>
      </c>
      <c r="C90" t="s">
        <v>14</v>
      </c>
      <c r="D90" t="s">
        <v>9</v>
      </c>
    </row>
    <row r="91" spans="1:4">
      <c r="A91" s="5" t="s">
        <v>14</v>
      </c>
      <c r="B91" s="5" t="s">
        <v>10</v>
      </c>
      <c r="C91" t="s">
        <v>14</v>
      </c>
      <c r="D91" t="s">
        <v>10</v>
      </c>
    </row>
    <row r="92" spans="1:4">
      <c r="A92" s="5" t="s">
        <v>14</v>
      </c>
      <c r="B92" s="5" t="s">
        <v>8</v>
      </c>
      <c r="C92" t="s">
        <v>14</v>
      </c>
      <c r="D92" t="s">
        <v>8</v>
      </c>
    </row>
    <row r="93" spans="1:4">
      <c r="A93" s="5" t="s">
        <v>14</v>
      </c>
      <c r="B93" s="5" t="s">
        <v>11</v>
      </c>
      <c r="C93" t="s">
        <v>14</v>
      </c>
      <c r="D93" t="s">
        <v>11</v>
      </c>
    </row>
    <row r="94" spans="1:4">
      <c r="A94" s="5" t="s">
        <v>14</v>
      </c>
      <c r="B94" s="5" t="s">
        <v>19</v>
      </c>
      <c r="C94" t="s">
        <v>14</v>
      </c>
      <c r="D94" t="s">
        <v>19</v>
      </c>
    </row>
    <row r="95" spans="1:4">
      <c r="A95" s="5"/>
      <c r="B95" s="5"/>
    </row>
    <row r="96" spans="1:4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19</v>
      </c>
      <c r="L1" s="1" t="s">
        <v>14</v>
      </c>
      <c r="N1" s="1"/>
      <c r="O1" s="1" t="s">
        <v>5</v>
      </c>
      <c r="P1" s="1" t="s">
        <v>6</v>
      </c>
      <c r="Q1" s="1" t="s">
        <v>7</v>
      </c>
      <c r="R1" s="1" t="s">
        <v>8</v>
      </c>
      <c r="S1" s="1" t="s">
        <v>9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19</v>
      </c>
      <c r="Y1" s="1" t="s">
        <v>14</v>
      </c>
      <c r="Z1" s="1"/>
      <c r="AA1" s="1"/>
      <c r="AB1" s="1" t="s">
        <v>5</v>
      </c>
      <c r="AC1" s="1" t="s">
        <v>6</v>
      </c>
      <c r="AD1" s="1" t="s">
        <v>7</v>
      </c>
      <c r="AE1" s="1" t="s">
        <v>8</v>
      </c>
      <c r="AF1" s="1" t="s">
        <v>9</v>
      </c>
      <c r="AG1" s="1" t="s">
        <v>10</v>
      </c>
      <c r="AH1" s="1" t="s">
        <v>11</v>
      </c>
      <c r="AI1" s="1" t="s">
        <v>12</v>
      </c>
      <c r="AJ1" s="1" t="s">
        <v>13</v>
      </c>
      <c r="AK1" s="1" t="s">
        <v>19</v>
      </c>
      <c r="AL1" s="1" t="s">
        <v>14</v>
      </c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L12" si="0">IF(ISERROR(MATCH($A2,G$22:G$330,0)),"No","Yes")</f>
        <v>Yes</v>
      </c>
      <c r="D2" s="4" t="str">
        <f t="shared" si="0"/>
        <v>Yes</v>
      </c>
      <c r="E2" s="4" t="str">
        <f t="shared" si="0"/>
        <v>Yes</v>
      </c>
      <c r="F2" s="4" t="str">
        <f t="shared" si="0"/>
        <v>Yes</v>
      </c>
      <c r="G2" s="4" t="str">
        <f t="shared" si="0"/>
        <v>Yes</v>
      </c>
      <c r="H2" s="4" t="str">
        <f t="shared" si="0"/>
        <v>Yes</v>
      </c>
      <c r="I2" s="4" t="str">
        <f t="shared" si="0"/>
        <v>Yes</v>
      </c>
      <c r="J2" s="4" t="str">
        <f t="shared" si="0"/>
        <v>Yes</v>
      </c>
      <c r="K2" s="4" t="str">
        <f t="shared" si="0"/>
        <v>Yes</v>
      </c>
      <c r="L2" s="4" t="str">
        <f t="shared" si="0"/>
        <v>Yes</v>
      </c>
      <c r="N2" s="1" t="s">
        <v>5</v>
      </c>
      <c r="P2">
        <v>10</v>
      </c>
      <c r="Q2">
        <v>10</v>
      </c>
      <c r="R2">
        <v>10</v>
      </c>
      <c r="S2">
        <v>10</v>
      </c>
      <c r="T2">
        <v>10</v>
      </c>
      <c r="U2">
        <v>10</v>
      </c>
      <c r="V2">
        <v>10</v>
      </c>
      <c r="W2">
        <v>10</v>
      </c>
      <c r="X2">
        <v>10</v>
      </c>
      <c r="Y2">
        <v>10</v>
      </c>
      <c r="AA2" s="1" t="s">
        <v>5</v>
      </c>
      <c r="AC2">
        <v>500</v>
      </c>
      <c r="AD2">
        <v>500</v>
      </c>
      <c r="AE2">
        <v>500</v>
      </c>
      <c r="AF2">
        <v>500</v>
      </c>
      <c r="AG2">
        <v>500</v>
      </c>
      <c r="AH2">
        <v>500</v>
      </c>
      <c r="AI2">
        <v>500</v>
      </c>
      <c r="AJ2">
        <v>500</v>
      </c>
      <c r="AK2">
        <v>500</v>
      </c>
      <c r="AL2">
        <v>500</v>
      </c>
    </row>
    <row r="3" spans="1:38">
      <c r="A3" s="1" t="s">
        <v>6</v>
      </c>
      <c r="B3" s="4" t="str">
        <f t="shared" ref="B3:B12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 t="str">
        <f t="shared" si="0"/>
        <v>Yes</v>
      </c>
      <c r="F3" s="4" t="str">
        <f t="shared" si="0"/>
        <v>No</v>
      </c>
      <c r="G3" s="4" t="str">
        <f t="shared" si="0"/>
        <v>Yes</v>
      </c>
      <c r="H3" s="4" t="str">
        <f t="shared" si="0"/>
        <v>Yes</v>
      </c>
      <c r="I3" s="4" t="str">
        <f t="shared" si="0"/>
        <v>Yes</v>
      </c>
      <c r="J3" s="4" t="str">
        <f t="shared" si="0"/>
        <v>No</v>
      </c>
      <c r="K3" s="4" t="str">
        <f t="shared" si="0"/>
        <v>Yes</v>
      </c>
      <c r="L3" s="4" t="str">
        <f t="shared" si="0"/>
        <v>No</v>
      </c>
      <c r="N3" s="1" t="s">
        <v>6</v>
      </c>
      <c r="O3">
        <v>10</v>
      </c>
      <c r="Q3">
        <f t="shared" ref="P3:Y12" ca="1" si="2">10+5*RAND()</f>
        <v>14.967860363582858</v>
      </c>
      <c r="R3">
        <f t="shared" ca="1" si="2"/>
        <v>14.581770956851177</v>
      </c>
      <c r="S3">
        <f t="shared" ca="1" si="2"/>
        <v>14.398010260525158</v>
      </c>
      <c r="T3">
        <f t="shared" ca="1" si="2"/>
        <v>13.504155128700825</v>
      </c>
      <c r="U3">
        <f t="shared" ca="1" si="2"/>
        <v>12.934197542168697</v>
      </c>
      <c r="V3">
        <f t="shared" ca="1" si="2"/>
        <v>11.642135672008747</v>
      </c>
      <c r="W3">
        <f t="shared" ca="1" si="2"/>
        <v>14.665847902292152</v>
      </c>
      <c r="X3">
        <f t="shared" ca="1" si="2"/>
        <v>14.317165349396745</v>
      </c>
      <c r="Y3">
        <f t="shared" ca="1" si="2"/>
        <v>13.928039185133622</v>
      </c>
      <c r="AA3" s="1" t="s">
        <v>6</v>
      </c>
      <c r="AB3">
        <v>500</v>
      </c>
      <c r="AD3">
        <f t="shared" ref="AC3:AL12" ca="1" si="3">300-50*RAND()</f>
        <v>265.66193527117844</v>
      </c>
      <c r="AE3">
        <f t="shared" ca="1" si="3"/>
        <v>261.019335060353</v>
      </c>
      <c r="AF3">
        <f t="shared" ca="1" si="3"/>
        <v>292.22860594787142</v>
      </c>
      <c r="AG3">
        <f t="shared" ca="1" si="3"/>
        <v>267.04794532760945</v>
      </c>
      <c r="AH3">
        <f t="shared" ca="1" si="3"/>
        <v>268.14984298005612</v>
      </c>
      <c r="AI3">
        <f t="shared" ca="1" si="3"/>
        <v>267.9039997355473</v>
      </c>
      <c r="AJ3">
        <f t="shared" ca="1" si="3"/>
        <v>252.22118550861728</v>
      </c>
      <c r="AK3">
        <f t="shared" ca="1" si="3"/>
        <v>277.66289475253757</v>
      </c>
      <c r="AL3">
        <f t="shared" ca="1" si="3"/>
        <v>291.24644823029917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 t="str">
        <f t="shared" si="0"/>
        <v>Yes</v>
      </c>
      <c r="F4" s="4" t="str">
        <f t="shared" si="0"/>
        <v>No</v>
      </c>
      <c r="G4" s="4" t="str">
        <f t="shared" si="0"/>
        <v>No</v>
      </c>
      <c r="H4" s="4" t="str">
        <f t="shared" si="0"/>
        <v>Yes</v>
      </c>
      <c r="I4" s="4" t="str">
        <f t="shared" si="0"/>
        <v>No</v>
      </c>
      <c r="J4" s="4" t="str">
        <f t="shared" si="0"/>
        <v>Yes</v>
      </c>
      <c r="K4" s="4" t="str">
        <f t="shared" si="0"/>
        <v>Yes</v>
      </c>
      <c r="L4" s="4" t="str">
        <f t="shared" si="0"/>
        <v>No</v>
      </c>
      <c r="N4" s="1" t="s">
        <v>7</v>
      </c>
      <c r="O4">
        <v>10</v>
      </c>
      <c r="P4">
        <f t="shared" ca="1" si="2"/>
        <v>10.600103208272822</v>
      </c>
      <c r="R4">
        <f t="shared" ca="1" si="2"/>
        <v>13.474478485297805</v>
      </c>
      <c r="S4">
        <f t="shared" ca="1" si="2"/>
        <v>10.468764778796531</v>
      </c>
      <c r="T4">
        <f t="shared" ca="1" si="2"/>
        <v>14.191444094267524</v>
      </c>
      <c r="U4">
        <f t="shared" ca="1" si="2"/>
        <v>10.399044507375555</v>
      </c>
      <c r="V4">
        <f t="shared" ca="1" si="2"/>
        <v>11.186035117472871</v>
      </c>
      <c r="W4">
        <f t="shared" ca="1" si="2"/>
        <v>14.530646224802956</v>
      </c>
      <c r="X4">
        <f t="shared" ca="1" si="2"/>
        <v>11.371511773942581</v>
      </c>
      <c r="Y4">
        <f t="shared" ca="1" si="2"/>
        <v>13.228815227816359</v>
      </c>
      <c r="AA4" s="1" t="s">
        <v>7</v>
      </c>
      <c r="AB4">
        <v>500</v>
      </c>
      <c r="AC4">
        <f t="shared" ca="1" si="3"/>
        <v>271.12259109867182</v>
      </c>
      <c r="AE4">
        <f t="shared" ca="1" si="3"/>
        <v>278.06746068196333</v>
      </c>
      <c r="AF4">
        <f t="shared" ca="1" si="3"/>
        <v>252.70794506003909</v>
      </c>
      <c r="AG4">
        <f t="shared" ca="1" si="3"/>
        <v>256.62658670698477</v>
      </c>
      <c r="AH4">
        <f t="shared" ca="1" si="3"/>
        <v>267.98573722826421</v>
      </c>
      <c r="AI4">
        <f t="shared" ca="1" si="3"/>
        <v>263.66062042850245</v>
      </c>
      <c r="AJ4">
        <f t="shared" ca="1" si="3"/>
        <v>266.7409563004498</v>
      </c>
      <c r="AK4">
        <f t="shared" ca="1" si="3"/>
        <v>293.41394813562363</v>
      </c>
      <c r="AL4">
        <f t="shared" ca="1" si="3"/>
        <v>250.87394349805126</v>
      </c>
    </row>
    <row r="5" spans="1:38">
      <c r="A5" s="1" t="s">
        <v>8</v>
      </c>
      <c r="B5" s="4" t="str">
        <f t="shared" si="1"/>
        <v>Yes</v>
      </c>
      <c r="C5" s="4" t="str">
        <f t="shared" si="0"/>
        <v>Yes</v>
      </c>
      <c r="D5" s="4" t="str">
        <f t="shared" si="0"/>
        <v>No</v>
      </c>
      <c r="E5" s="4" t="str">
        <f t="shared" si="0"/>
        <v>No</v>
      </c>
      <c r="F5" s="4" t="str">
        <f t="shared" si="0"/>
        <v>Yes</v>
      </c>
      <c r="G5" s="4" t="str">
        <f t="shared" si="0"/>
        <v>No</v>
      </c>
      <c r="H5" s="4" t="str">
        <f t="shared" si="0"/>
        <v>No</v>
      </c>
      <c r="I5" s="4" t="str">
        <f t="shared" si="0"/>
        <v>Yes</v>
      </c>
      <c r="J5" s="4" t="str">
        <f t="shared" si="0"/>
        <v>No</v>
      </c>
      <c r="K5" s="4" t="str">
        <f t="shared" si="0"/>
        <v>No</v>
      </c>
      <c r="L5" s="4" t="str">
        <f t="shared" si="0"/>
        <v>Yes</v>
      </c>
      <c r="N5" s="1" t="s">
        <v>8</v>
      </c>
      <c r="O5">
        <v>10</v>
      </c>
      <c r="P5">
        <f t="shared" ca="1" si="2"/>
        <v>14.274958602857552</v>
      </c>
      <c r="Q5">
        <f t="shared" ca="1" si="2"/>
        <v>13.653610154674242</v>
      </c>
      <c r="S5">
        <f t="shared" ca="1" si="2"/>
        <v>11.084650817451568</v>
      </c>
      <c r="T5">
        <f t="shared" ca="1" si="2"/>
        <v>10.127617044566597</v>
      </c>
      <c r="U5">
        <f t="shared" ca="1" si="2"/>
        <v>10.05025290987936</v>
      </c>
      <c r="V5">
        <f t="shared" ca="1" si="2"/>
        <v>12.517786032609076</v>
      </c>
      <c r="W5">
        <f t="shared" ca="1" si="2"/>
        <v>14.993386572838439</v>
      </c>
      <c r="X5">
        <f t="shared" ca="1" si="2"/>
        <v>11.568927255570291</v>
      </c>
      <c r="Y5">
        <f t="shared" ca="1" si="2"/>
        <v>14.471056421897929</v>
      </c>
      <c r="AA5" s="1" t="s">
        <v>8</v>
      </c>
      <c r="AB5">
        <v>500</v>
      </c>
      <c r="AC5">
        <f t="shared" ca="1" si="3"/>
        <v>287.2237906892459</v>
      </c>
      <c r="AD5">
        <f t="shared" ca="1" si="3"/>
        <v>254.22924480462538</v>
      </c>
      <c r="AF5">
        <f t="shared" ca="1" si="3"/>
        <v>264.26012237069637</v>
      </c>
      <c r="AG5">
        <f t="shared" ca="1" si="3"/>
        <v>284.03860317345539</v>
      </c>
      <c r="AH5">
        <f t="shared" ca="1" si="3"/>
        <v>260.33118201215973</v>
      </c>
      <c r="AI5">
        <f t="shared" ca="1" si="3"/>
        <v>255.38316830011766</v>
      </c>
      <c r="AJ5">
        <f t="shared" ca="1" si="3"/>
        <v>251.71871693788293</v>
      </c>
      <c r="AK5">
        <f t="shared" ca="1" si="3"/>
        <v>265.54258791438281</v>
      </c>
      <c r="AL5">
        <f t="shared" ca="1" si="3"/>
        <v>267.59910561058382</v>
      </c>
    </row>
    <row r="6" spans="1:38">
      <c r="A6" s="1" t="s">
        <v>9</v>
      </c>
      <c r="B6" s="4" t="str">
        <f t="shared" si="1"/>
        <v>Yes</v>
      </c>
      <c r="C6" s="4" t="str">
        <f t="shared" si="0"/>
        <v>No</v>
      </c>
      <c r="D6" s="4" t="str">
        <f t="shared" si="0"/>
        <v>No</v>
      </c>
      <c r="E6" s="4" t="str">
        <f t="shared" si="0"/>
        <v>Yes</v>
      </c>
      <c r="F6" s="4" t="str">
        <f t="shared" si="0"/>
        <v>No</v>
      </c>
      <c r="G6" s="4" t="str">
        <f t="shared" si="0"/>
        <v>Yes</v>
      </c>
      <c r="H6" s="4" t="str">
        <f t="shared" si="0"/>
        <v>Yes</v>
      </c>
      <c r="I6" s="4" t="str">
        <f t="shared" si="0"/>
        <v>Yes</v>
      </c>
      <c r="J6" s="4" t="str">
        <f t="shared" si="0"/>
        <v>No</v>
      </c>
      <c r="K6" s="4" t="str">
        <f t="shared" si="0"/>
        <v>No</v>
      </c>
      <c r="L6" s="4" t="str">
        <f t="shared" si="0"/>
        <v>Yes</v>
      </c>
      <c r="N6" s="1" t="s">
        <v>9</v>
      </c>
      <c r="O6">
        <v>10</v>
      </c>
      <c r="P6">
        <f t="shared" ca="1" si="2"/>
        <v>10.023588281664775</v>
      </c>
      <c r="Q6">
        <f t="shared" ca="1" si="2"/>
        <v>14.090909727998222</v>
      </c>
      <c r="R6">
        <f t="shared" ca="1" si="2"/>
        <v>12.061740842777043</v>
      </c>
      <c r="T6">
        <f t="shared" ca="1" si="2"/>
        <v>13.987871518090422</v>
      </c>
      <c r="U6">
        <f t="shared" ca="1" si="2"/>
        <v>11.247386079508924</v>
      </c>
      <c r="V6">
        <f t="shared" ca="1" si="2"/>
        <v>11.022745648324824</v>
      </c>
      <c r="W6">
        <f t="shared" ca="1" si="2"/>
        <v>14.485103653445872</v>
      </c>
      <c r="X6">
        <f t="shared" ca="1" si="2"/>
        <v>11.511916424494888</v>
      </c>
      <c r="Y6">
        <f t="shared" ca="1" si="2"/>
        <v>10.621030542095562</v>
      </c>
      <c r="AA6" s="1" t="s">
        <v>9</v>
      </c>
      <c r="AB6">
        <v>500</v>
      </c>
      <c r="AC6">
        <f t="shared" ca="1" si="3"/>
        <v>274.83549260649511</v>
      </c>
      <c r="AD6">
        <f t="shared" ca="1" si="3"/>
        <v>277.11227151277353</v>
      </c>
      <c r="AE6">
        <f t="shared" ca="1" si="3"/>
        <v>281.56899299302455</v>
      </c>
      <c r="AG6">
        <f t="shared" ca="1" si="3"/>
        <v>257.85573965140065</v>
      </c>
      <c r="AH6">
        <f t="shared" ca="1" si="3"/>
        <v>282.23630378243183</v>
      </c>
      <c r="AI6">
        <f t="shared" ca="1" si="3"/>
        <v>252.998049949463</v>
      </c>
      <c r="AJ6">
        <f t="shared" ca="1" si="3"/>
        <v>258.35794325683798</v>
      </c>
      <c r="AK6">
        <f t="shared" ca="1" si="3"/>
        <v>276.28344708754554</v>
      </c>
      <c r="AL6">
        <f t="shared" ca="1" si="3"/>
        <v>266.96594274704347</v>
      </c>
    </row>
    <row r="7" spans="1:38">
      <c r="A7" s="1" t="s">
        <v>10</v>
      </c>
      <c r="B7" s="4" t="str">
        <f t="shared" si="1"/>
        <v>Yes</v>
      </c>
      <c r="C7" s="4" t="str">
        <f t="shared" si="0"/>
        <v>No</v>
      </c>
      <c r="D7" s="4" t="str">
        <f t="shared" si="0"/>
        <v>No</v>
      </c>
      <c r="E7" s="4" t="str">
        <f t="shared" si="0"/>
        <v>No</v>
      </c>
      <c r="F7" s="4" t="str">
        <f t="shared" si="0"/>
        <v>Yes</v>
      </c>
      <c r="G7" s="4" t="str">
        <f t="shared" si="0"/>
        <v>No</v>
      </c>
      <c r="H7" s="4" t="str">
        <f t="shared" si="0"/>
        <v>No</v>
      </c>
      <c r="I7" s="4" t="str">
        <f t="shared" si="0"/>
        <v>Yes</v>
      </c>
      <c r="J7" s="4" t="str">
        <f t="shared" si="0"/>
        <v>Yes</v>
      </c>
      <c r="K7" s="4" t="str">
        <f t="shared" si="0"/>
        <v>Yes</v>
      </c>
      <c r="L7" s="4" t="str">
        <f t="shared" si="0"/>
        <v>Yes</v>
      </c>
      <c r="N7" s="1" t="s">
        <v>10</v>
      </c>
      <c r="O7">
        <v>10</v>
      </c>
      <c r="P7">
        <f t="shared" ca="1" si="2"/>
        <v>13.240322053904132</v>
      </c>
      <c r="Q7">
        <f t="shared" ca="1" si="2"/>
        <v>10.604011528789091</v>
      </c>
      <c r="R7">
        <f t="shared" ca="1" si="2"/>
        <v>12.197648192213594</v>
      </c>
      <c r="S7">
        <f t="shared" ca="1" si="2"/>
        <v>12.782213002588392</v>
      </c>
      <c r="U7">
        <f t="shared" ca="1" si="2"/>
        <v>14.879237101460806</v>
      </c>
      <c r="V7">
        <f t="shared" ca="1" si="2"/>
        <v>10.797625149945821</v>
      </c>
      <c r="W7">
        <f t="shared" ca="1" si="2"/>
        <v>12.053193469334349</v>
      </c>
      <c r="X7">
        <f t="shared" ca="1" si="2"/>
        <v>11.750349072853963</v>
      </c>
      <c r="Y7">
        <f t="shared" ca="1" si="2"/>
        <v>12.573497693502054</v>
      </c>
      <c r="AA7" s="1" t="s">
        <v>10</v>
      </c>
      <c r="AB7">
        <v>500</v>
      </c>
      <c r="AC7">
        <f t="shared" ca="1" si="3"/>
        <v>265.15794873949039</v>
      </c>
      <c r="AD7">
        <f t="shared" ca="1" si="3"/>
        <v>280.98099895326231</v>
      </c>
      <c r="AE7">
        <f t="shared" ca="1" si="3"/>
        <v>250.49392668146433</v>
      </c>
      <c r="AF7">
        <f t="shared" ca="1" si="3"/>
        <v>251.58476007988125</v>
      </c>
      <c r="AH7">
        <f t="shared" ca="1" si="3"/>
        <v>260.60014203699512</v>
      </c>
      <c r="AI7">
        <f t="shared" ca="1" si="3"/>
        <v>273.23723409794928</v>
      </c>
      <c r="AJ7">
        <f t="shared" ca="1" si="3"/>
        <v>256.52951060960061</v>
      </c>
      <c r="AK7">
        <f t="shared" ca="1" si="3"/>
        <v>259.81345521146102</v>
      </c>
      <c r="AL7">
        <f t="shared" ca="1" si="3"/>
        <v>261.50681540065625</v>
      </c>
    </row>
    <row r="8" spans="1:38">
      <c r="A8" s="1" t="s">
        <v>11</v>
      </c>
      <c r="B8" s="4" t="str">
        <f t="shared" si="1"/>
        <v>Yes</v>
      </c>
      <c r="C8" s="4" t="str">
        <f t="shared" si="0"/>
        <v>Yes</v>
      </c>
      <c r="D8" s="4" t="str">
        <f t="shared" si="0"/>
        <v>Yes</v>
      </c>
      <c r="E8" s="4" t="str">
        <f t="shared" si="0"/>
        <v>No</v>
      </c>
      <c r="F8" s="4" t="str">
        <f t="shared" si="0"/>
        <v>No</v>
      </c>
      <c r="G8" s="4" t="str">
        <f t="shared" si="0"/>
        <v>No</v>
      </c>
      <c r="H8" s="4" t="str">
        <f t="shared" si="0"/>
        <v>No</v>
      </c>
      <c r="I8" s="4" t="str">
        <f t="shared" si="0"/>
        <v>No</v>
      </c>
      <c r="J8" s="4" t="str">
        <f t="shared" si="0"/>
        <v>Yes</v>
      </c>
      <c r="K8" s="4" t="str">
        <f t="shared" si="0"/>
        <v>Yes</v>
      </c>
      <c r="L8" s="4" t="str">
        <f t="shared" si="0"/>
        <v>Yes</v>
      </c>
      <c r="N8" s="1" t="s">
        <v>11</v>
      </c>
      <c r="O8">
        <v>10</v>
      </c>
      <c r="P8">
        <f t="shared" ca="1" si="2"/>
        <v>14.409345719161777</v>
      </c>
      <c r="Q8">
        <f t="shared" ca="1" si="2"/>
        <v>14.787623555142968</v>
      </c>
      <c r="R8">
        <f t="shared" ca="1" si="2"/>
        <v>14.804696656443042</v>
      </c>
      <c r="S8">
        <f t="shared" ca="1" si="2"/>
        <v>14.386499899609339</v>
      </c>
      <c r="T8">
        <f t="shared" ca="1" si="2"/>
        <v>14.969632916596963</v>
      </c>
      <c r="V8">
        <f t="shared" ca="1" si="2"/>
        <v>12.99572118050896</v>
      </c>
      <c r="W8">
        <f t="shared" ca="1" si="2"/>
        <v>12.228657561980727</v>
      </c>
      <c r="X8">
        <f t="shared" ca="1" si="2"/>
        <v>12.397820324025808</v>
      </c>
      <c r="Y8">
        <f t="shared" ca="1" si="2"/>
        <v>13.638077216235432</v>
      </c>
      <c r="AA8" s="1" t="s">
        <v>11</v>
      </c>
      <c r="AB8">
        <v>500</v>
      </c>
      <c r="AC8">
        <f t="shared" ca="1" si="3"/>
        <v>256.45571139915234</v>
      </c>
      <c r="AD8">
        <f t="shared" ca="1" si="3"/>
        <v>263.12127212264812</v>
      </c>
      <c r="AE8">
        <f t="shared" ca="1" si="3"/>
        <v>298.86016373089967</v>
      </c>
      <c r="AF8">
        <f t="shared" ca="1" si="3"/>
        <v>270.4573596218483</v>
      </c>
      <c r="AG8">
        <f t="shared" ca="1" si="3"/>
        <v>299.7381483628447</v>
      </c>
      <c r="AI8">
        <f t="shared" ca="1" si="3"/>
        <v>290.242291809623</v>
      </c>
      <c r="AJ8">
        <f t="shared" ca="1" si="3"/>
        <v>281.08639271412471</v>
      </c>
      <c r="AK8">
        <f t="shared" ca="1" si="3"/>
        <v>279.28697012346913</v>
      </c>
      <c r="AL8">
        <f t="shared" ca="1" si="3"/>
        <v>272.76457667405373</v>
      </c>
    </row>
    <row r="9" spans="1:38">
      <c r="A9" s="1" t="s">
        <v>12</v>
      </c>
      <c r="B9" s="4" t="str">
        <f t="shared" si="1"/>
        <v>Yes</v>
      </c>
      <c r="C9" s="4" t="str">
        <f t="shared" si="0"/>
        <v>Yes</v>
      </c>
      <c r="D9" s="4" t="str">
        <f t="shared" si="0"/>
        <v>No</v>
      </c>
      <c r="E9" s="4" t="str">
        <f t="shared" si="0"/>
        <v>Yes</v>
      </c>
      <c r="F9" s="4" t="str">
        <f t="shared" si="0"/>
        <v>Yes</v>
      </c>
      <c r="G9" s="4" t="str">
        <f t="shared" si="0"/>
        <v>No</v>
      </c>
      <c r="H9" s="4" t="str">
        <f t="shared" si="0"/>
        <v>No</v>
      </c>
      <c r="I9" s="4" t="str">
        <f t="shared" si="0"/>
        <v>No</v>
      </c>
      <c r="J9" s="4" t="str">
        <f t="shared" si="0"/>
        <v>Yes</v>
      </c>
      <c r="K9" s="4" t="str">
        <f t="shared" si="0"/>
        <v>No</v>
      </c>
      <c r="L9" s="4" t="str">
        <f t="shared" si="0"/>
        <v>No</v>
      </c>
      <c r="N9" s="1" t="s">
        <v>12</v>
      </c>
      <c r="O9">
        <v>10</v>
      </c>
      <c r="P9">
        <f t="shared" ca="1" si="2"/>
        <v>13.445849259200102</v>
      </c>
      <c r="Q9">
        <f t="shared" ca="1" si="2"/>
        <v>13.009591598126327</v>
      </c>
      <c r="R9">
        <f t="shared" ca="1" si="2"/>
        <v>12.751171199414335</v>
      </c>
      <c r="S9">
        <f t="shared" ca="1" si="2"/>
        <v>13.346925571090376</v>
      </c>
      <c r="T9">
        <f t="shared" ca="1" si="2"/>
        <v>14.182539492112618</v>
      </c>
      <c r="U9">
        <f t="shared" ca="1" si="2"/>
        <v>11.648126174036001</v>
      </c>
      <c r="W9">
        <f t="shared" ca="1" si="2"/>
        <v>13.320318471828653</v>
      </c>
      <c r="X9">
        <f t="shared" ca="1" si="2"/>
        <v>13.67229702873431</v>
      </c>
      <c r="Y9">
        <f t="shared" ca="1" si="2"/>
        <v>10.357787540753282</v>
      </c>
      <c r="AA9" s="1" t="s">
        <v>12</v>
      </c>
      <c r="AB9">
        <v>500</v>
      </c>
      <c r="AC9">
        <f t="shared" ca="1" si="3"/>
        <v>288.71060321628283</v>
      </c>
      <c r="AD9">
        <f t="shared" ca="1" si="3"/>
        <v>274.79792088068058</v>
      </c>
      <c r="AE9">
        <f t="shared" ca="1" si="3"/>
        <v>293.81286706419559</v>
      </c>
      <c r="AF9">
        <f t="shared" ca="1" si="3"/>
        <v>299.98465263420894</v>
      </c>
      <c r="AG9">
        <f t="shared" ca="1" si="3"/>
        <v>264.01615408717203</v>
      </c>
      <c r="AH9">
        <f t="shared" ca="1" si="3"/>
        <v>296.94323720262673</v>
      </c>
      <c r="AJ9">
        <f t="shared" ca="1" si="3"/>
        <v>270.31102697981339</v>
      </c>
      <c r="AK9">
        <f t="shared" ca="1" si="3"/>
        <v>268.29493139674645</v>
      </c>
      <c r="AL9">
        <f t="shared" ca="1" si="3"/>
        <v>262.64249038485758</v>
      </c>
    </row>
    <row r="10" spans="1:38">
      <c r="A10" s="1" t="s">
        <v>13</v>
      </c>
      <c r="B10" s="4" t="str">
        <f t="shared" si="1"/>
        <v>Yes</v>
      </c>
      <c r="C10" s="4" t="str">
        <f t="shared" si="0"/>
        <v>No</v>
      </c>
      <c r="D10" s="4" t="str">
        <f t="shared" si="0"/>
        <v>Yes</v>
      </c>
      <c r="E10" s="4" t="str">
        <f t="shared" si="0"/>
        <v>No</v>
      </c>
      <c r="F10" s="4" t="str">
        <f t="shared" si="0"/>
        <v>No</v>
      </c>
      <c r="G10" s="4" t="str">
        <f t="shared" si="0"/>
        <v>Yes</v>
      </c>
      <c r="H10" s="4" t="str">
        <f t="shared" si="0"/>
        <v>Yes</v>
      </c>
      <c r="I10" s="4" t="str">
        <f t="shared" si="0"/>
        <v>Yes</v>
      </c>
      <c r="J10" s="4" t="str">
        <f t="shared" si="0"/>
        <v>No</v>
      </c>
      <c r="K10" s="4" t="str">
        <f t="shared" si="0"/>
        <v>No</v>
      </c>
      <c r="L10" s="4" t="str">
        <f t="shared" si="0"/>
        <v>No</v>
      </c>
      <c r="N10" s="1" t="s">
        <v>13</v>
      </c>
      <c r="O10">
        <v>10</v>
      </c>
      <c r="P10">
        <f t="shared" ca="1" si="2"/>
        <v>13.684290774919653</v>
      </c>
      <c r="Q10">
        <f t="shared" ca="1" si="2"/>
        <v>12.306822843761852</v>
      </c>
      <c r="R10">
        <f t="shared" ca="1" si="2"/>
        <v>14.059307058740341</v>
      </c>
      <c r="S10">
        <f t="shared" ca="1" si="2"/>
        <v>12.722552612020699</v>
      </c>
      <c r="T10">
        <f t="shared" ca="1" si="2"/>
        <v>10.338759186954247</v>
      </c>
      <c r="U10">
        <f t="shared" ca="1" si="2"/>
        <v>14.89060020035069</v>
      </c>
      <c r="V10">
        <f t="shared" ca="1" si="2"/>
        <v>10.437338103724642</v>
      </c>
      <c r="X10">
        <f t="shared" ca="1" si="2"/>
        <v>14.096460215752916</v>
      </c>
      <c r="Y10">
        <f t="shared" ca="1" si="2"/>
        <v>13.060092502940948</v>
      </c>
      <c r="AA10" s="1" t="s">
        <v>13</v>
      </c>
      <c r="AB10">
        <v>500</v>
      </c>
      <c r="AC10">
        <f t="shared" ca="1" si="3"/>
        <v>259.56023334507887</v>
      </c>
      <c r="AD10">
        <f t="shared" ca="1" si="3"/>
        <v>250.50573887815443</v>
      </c>
      <c r="AE10">
        <f t="shared" ca="1" si="3"/>
        <v>285.13584288712008</v>
      </c>
      <c r="AF10">
        <f t="shared" ca="1" si="3"/>
        <v>262.25487798385132</v>
      </c>
      <c r="AG10">
        <f t="shared" ca="1" si="3"/>
        <v>295.52516742973404</v>
      </c>
      <c r="AH10">
        <f t="shared" ca="1" si="3"/>
        <v>274.75417199491864</v>
      </c>
      <c r="AI10">
        <f t="shared" ca="1" si="3"/>
        <v>254.31744517908578</v>
      </c>
      <c r="AK10">
        <f t="shared" ca="1" si="3"/>
        <v>258.45119124756479</v>
      </c>
      <c r="AL10">
        <f t="shared" ca="1" si="3"/>
        <v>287.786524680811</v>
      </c>
    </row>
    <row r="11" spans="1:38">
      <c r="A11" s="1" t="s">
        <v>19</v>
      </c>
      <c r="B11" s="4" t="str">
        <f t="shared" si="1"/>
        <v>Yes</v>
      </c>
      <c r="C11" s="4" t="str">
        <f t="shared" si="0"/>
        <v>Yes</v>
      </c>
      <c r="D11" s="4" t="str">
        <f t="shared" si="0"/>
        <v>Yes</v>
      </c>
      <c r="E11" s="4" t="str">
        <f t="shared" si="0"/>
        <v>No</v>
      </c>
      <c r="F11" s="4" t="str">
        <f t="shared" si="0"/>
        <v>No</v>
      </c>
      <c r="G11" s="4" t="str">
        <f t="shared" si="0"/>
        <v>Yes</v>
      </c>
      <c r="H11" s="4" t="str">
        <f t="shared" si="0"/>
        <v>No</v>
      </c>
      <c r="I11" s="4" t="str">
        <f t="shared" si="0"/>
        <v>No</v>
      </c>
      <c r="J11" s="4" t="str">
        <f t="shared" si="0"/>
        <v>Yes</v>
      </c>
      <c r="K11" s="4" t="str">
        <f t="shared" si="0"/>
        <v>No</v>
      </c>
      <c r="L11" s="4" t="str">
        <f t="shared" si="0"/>
        <v>Yes</v>
      </c>
      <c r="N11" s="1" t="s">
        <v>19</v>
      </c>
      <c r="O11">
        <v>10</v>
      </c>
      <c r="P11">
        <f t="shared" ca="1" si="2"/>
        <v>11.761109642743129</v>
      </c>
      <c r="Q11">
        <f t="shared" ca="1" si="2"/>
        <v>10.852162817550743</v>
      </c>
      <c r="R11">
        <f t="shared" ca="1" si="2"/>
        <v>13.827880064789442</v>
      </c>
      <c r="S11">
        <f t="shared" ca="1" si="2"/>
        <v>13.181082223086387</v>
      </c>
      <c r="T11">
        <f t="shared" ca="1" si="2"/>
        <v>10.923890122078625</v>
      </c>
      <c r="U11">
        <f t="shared" ca="1" si="2"/>
        <v>11.616624025325009</v>
      </c>
      <c r="V11">
        <f t="shared" ca="1" si="2"/>
        <v>11.82969040653893</v>
      </c>
      <c r="W11">
        <f t="shared" ca="1" si="2"/>
        <v>14.806584116458303</v>
      </c>
      <c r="Y11">
        <f t="shared" ca="1" si="2"/>
        <v>10.359276108254319</v>
      </c>
      <c r="AA11" s="1" t="s">
        <v>19</v>
      </c>
      <c r="AB11">
        <v>500</v>
      </c>
      <c r="AC11">
        <f t="shared" ca="1" si="3"/>
        <v>251.47941684901352</v>
      </c>
      <c r="AD11">
        <f t="shared" ca="1" si="3"/>
        <v>294.50460719760264</v>
      </c>
      <c r="AE11">
        <f t="shared" ca="1" si="3"/>
        <v>250.66646843122237</v>
      </c>
      <c r="AF11">
        <f t="shared" ca="1" si="3"/>
        <v>295.9182596547198</v>
      </c>
      <c r="AG11">
        <f t="shared" ca="1" si="3"/>
        <v>260.24818794377245</v>
      </c>
      <c r="AH11">
        <f t="shared" ca="1" si="3"/>
        <v>278.50301105155529</v>
      </c>
      <c r="AI11">
        <f t="shared" ca="1" si="3"/>
        <v>266.62827012503033</v>
      </c>
      <c r="AJ11">
        <f t="shared" ca="1" si="3"/>
        <v>265.7649643669991</v>
      </c>
      <c r="AL11">
        <f t="shared" ca="1" si="3"/>
        <v>288.593443118523</v>
      </c>
    </row>
    <row r="12" spans="1:38">
      <c r="A12" s="1" t="s">
        <v>14</v>
      </c>
      <c r="B12" s="4" t="str">
        <f t="shared" si="1"/>
        <v>Yes</v>
      </c>
      <c r="C12" s="4" t="str">
        <f t="shared" si="0"/>
        <v>No</v>
      </c>
      <c r="D12" s="4" t="str">
        <f t="shared" si="0"/>
        <v>Yes</v>
      </c>
      <c r="E12" s="4" t="str">
        <f t="shared" si="0"/>
        <v>No</v>
      </c>
      <c r="F12" s="4" t="str">
        <f t="shared" si="0"/>
        <v>Yes</v>
      </c>
      <c r="G12" s="4" t="str">
        <f t="shared" si="0"/>
        <v>Yes</v>
      </c>
      <c r="H12" s="4" t="str">
        <f t="shared" si="0"/>
        <v>No</v>
      </c>
      <c r="I12" s="4" t="str">
        <f t="shared" si="0"/>
        <v>No</v>
      </c>
      <c r="J12" s="4" t="str">
        <f t="shared" si="0"/>
        <v>No</v>
      </c>
      <c r="K12" s="4" t="str">
        <f t="shared" si="0"/>
        <v>Yes</v>
      </c>
      <c r="L12" s="4" t="str">
        <f t="shared" si="0"/>
        <v>No</v>
      </c>
      <c r="N12" s="1" t="s">
        <v>14</v>
      </c>
      <c r="O12">
        <v>10</v>
      </c>
      <c r="P12">
        <f t="shared" ca="1" si="2"/>
        <v>12.74091773594483</v>
      </c>
      <c r="Q12">
        <f t="shared" ca="1" si="2"/>
        <v>10.109642499783153</v>
      </c>
      <c r="R12">
        <f t="shared" ca="1" si="2"/>
        <v>14.25666929527519</v>
      </c>
      <c r="S12">
        <f t="shared" ca="1" si="2"/>
        <v>11.131706699054114</v>
      </c>
      <c r="T12">
        <f t="shared" ca="1" si="2"/>
        <v>11.409919056654582</v>
      </c>
      <c r="U12">
        <f t="shared" ca="1" si="2"/>
        <v>12.851100966759066</v>
      </c>
      <c r="V12">
        <f t="shared" ca="1" si="2"/>
        <v>11.258578846540001</v>
      </c>
      <c r="W12">
        <f t="shared" ca="1" si="2"/>
        <v>11.408032579182228</v>
      </c>
      <c r="X12">
        <f t="shared" ca="1" si="2"/>
        <v>13.489416860923392</v>
      </c>
      <c r="AA12" s="1" t="s">
        <v>14</v>
      </c>
      <c r="AB12">
        <v>500</v>
      </c>
      <c r="AC12">
        <f t="shared" ca="1" si="3"/>
        <v>251.77756703151789</v>
      </c>
      <c r="AD12">
        <f t="shared" ca="1" si="3"/>
        <v>267.69886681617987</v>
      </c>
      <c r="AE12">
        <f t="shared" ca="1" si="3"/>
        <v>298.980321074291</v>
      </c>
      <c r="AF12">
        <f t="shared" ca="1" si="3"/>
        <v>299.72541449826434</v>
      </c>
      <c r="AG12">
        <f t="shared" ca="1" si="3"/>
        <v>296.98089461451713</v>
      </c>
      <c r="AH12">
        <f t="shared" ca="1" si="3"/>
        <v>268.73711806584612</v>
      </c>
      <c r="AI12">
        <f t="shared" ca="1" si="3"/>
        <v>285.37734285066892</v>
      </c>
      <c r="AJ12">
        <f t="shared" ca="1" si="3"/>
        <v>276.74623332035623</v>
      </c>
      <c r="AK12">
        <f t="shared" ca="1" si="3"/>
        <v>297.50921460522471</v>
      </c>
    </row>
    <row r="18" spans="1:21">
      <c r="A18" t="s">
        <v>61</v>
      </c>
    </row>
    <row r="19" spans="1:21">
      <c r="A19" t="s">
        <v>60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62</v>
      </c>
      <c r="B21" s="1" t="s">
        <v>63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19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19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 t="str">
        <f t="array" ref="I35">IF(ISERROR(INDEX($A$1:$B$8,SMALL(IF($A$1:$A$8=$E$1,ROW($A$1:$A$8)),ROW(2:2)),2)),"",INDEX($A$1:$B$8,SMALL(IF($A$1:$A$8=$E$1,ROW($A$1:$A$8)),ROW(2:2)),2))</f>
        <v/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 t="str">
        <f t="array" ref="I36">IF(ISERROR(INDEX($A$1:$B$8,SMALL(IF($A$1:$A$8=$E$1,ROW($A$1:$A$8)),ROW(3:3)),2)),"",INDEX($A$1:$B$8,SMALL(IF($A$1:$A$8=$E$1,ROW($A$1:$A$8)),ROW(3:3)),2))</f>
        <v/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19</v>
      </c>
      <c r="E37" s="6"/>
      <c r="F37" s="6"/>
      <c r="G37" s="6"/>
      <c r="H37" s="6"/>
      <c r="I37" s="8" t="str">
        <f t="array" ref="I37">IF(ISERROR(INDEX($A$1:$B$8,SMALL(IF($A$1:$A$8=$E$1,ROW($A$1:$A$8)),ROW(4:4)),2)),"",INDEX($A$1:$B$8,SMALL(IF($A$1:$A$8=$E$1,ROW($A$1:$A$8)),ROW(4:4)),2))</f>
        <v/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 t="str">
        <f t="array" ref="I38">IF(ISERROR(INDEX($A$1:$B$8,SMALL(IF($A$1:$A$8=$E$1,ROW($A$1:$A$8)),ROW(5:5)),2)),"",INDEX($A$1:$B$8,SMALL(IF($A$1:$A$8=$E$1,ROW($A$1:$A$8)),ROW(5:5)),2))</f>
        <v/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19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19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19</v>
      </c>
      <c r="B75" s="5" t="s">
        <v>5</v>
      </c>
    </row>
    <row r="76" spans="1:2">
      <c r="A76" s="5" t="s">
        <v>19</v>
      </c>
      <c r="B76" s="5" t="s">
        <v>6</v>
      </c>
    </row>
    <row r="77" spans="1:2">
      <c r="A77" s="5" t="s">
        <v>19</v>
      </c>
      <c r="B77" s="5" t="s">
        <v>7</v>
      </c>
    </row>
    <row r="78" spans="1:2">
      <c r="A78" s="5" t="s">
        <v>19</v>
      </c>
      <c r="B78" s="5" t="s">
        <v>10</v>
      </c>
    </row>
    <row r="79" spans="1:2">
      <c r="A79" s="5" t="s">
        <v>19</v>
      </c>
      <c r="B79" s="5" t="s">
        <v>11</v>
      </c>
    </row>
    <row r="80" spans="1:2">
      <c r="A80" s="5"/>
      <c r="B80" s="5"/>
    </row>
    <row r="81" spans="1:2">
      <c r="A81" s="5" t="s">
        <v>19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19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19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/>
  </sheetViews>
  <sheetFormatPr defaultColWidth="8.875" defaultRowHeight="15.75"/>
  <sheetData>
    <row r="1" spans="1:2">
      <c r="A1">
        <f t="array" ref="A1:A16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:B16" si="0">B2*0.99</f>
        <v>0.98009999999999997</v>
      </c>
    </row>
    <row r="4" spans="1:2">
      <c r="A4">
        <v>2018</v>
      </c>
      <c r="B4" s="2">
        <f t="shared" si="0"/>
        <v>0.97029899999999991</v>
      </c>
    </row>
    <row r="5" spans="1:2">
      <c r="A5">
        <v>2019</v>
      </c>
      <c r="B5" s="2">
        <f t="shared" si="0"/>
        <v>0.96059600999999994</v>
      </c>
    </row>
    <row r="6" spans="1:2">
      <c r="A6">
        <v>2020</v>
      </c>
      <c r="B6" s="2">
        <f t="shared" si="0"/>
        <v>0.95099004989999991</v>
      </c>
    </row>
    <row r="7" spans="1:2">
      <c r="A7">
        <v>2021</v>
      </c>
      <c r="B7" s="2">
        <f t="shared" si="0"/>
        <v>0.94148014940099989</v>
      </c>
    </row>
    <row r="8" spans="1:2">
      <c r="A8">
        <v>2022</v>
      </c>
      <c r="B8" s="2">
        <f t="shared" si="0"/>
        <v>0.93206534790698992</v>
      </c>
    </row>
    <row r="9" spans="1:2">
      <c r="A9">
        <v>2023</v>
      </c>
      <c r="B9" s="2">
        <f t="shared" si="0"/>
        <v>0.92274469442791995</v>
      </c>
    </row>
    <row r="10" spans="1:2">
      <c r="A10">
        <v>2024</v>
      </c>
      <c r="B10" s="2">
        <f t="shared" si="0"/>
        <v>0.91351724748364072</v>
      </c>
    </row>
    <row r="11" spans="1:2">
      <c r="A11">
        <v>2025</v>
      </c>
      <c r="B11" s="2">
        <f t="shared" si="0"/>
        <v>0.9043820750088043</v>
      </c>
    </row>
    <row r="12" spans="1:2">
      <c r="A12">
        <v>2026</v>
      </c>
      <c r="B12" s="2">
        <f t="shared" si="0"/>
        <v>0.89533825425871627</v>
      </c>
    </row>
    <row r="13" spans="1:2">
      <c r="A13">
        <v>2027</v>
      </c>
      <c r="B13" s="2">
        <f t="shared" si="0"/>
        <v>0.88638487171612912</v>
      </c>
    </row>
    <row r="14" spans="1:2">
      <c r="A14">
        <v>2028</v>
      </c>
      <c r="B14" s="2">
        <f t="shared" si="0"/>
        <v>0.87752102299896784</v>
      </c>
    </row>
    <row r="15" spans="1:2">
      <c r="A15">
        <v>2029</v>
      </c>
      <c r="B15" s="2">
        <f t="shared" si="0"/>
        <v>0.86874581276897811</v>
      </c>
    </row>
    <row r="16" spans="1:2">
      <c r="A16">
        <v>2030</v>
      </c>
      <c r="B16" s="2">
        <f t="shared" si="0"/>
        <v>0.86005835464128833</v>
      </c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172"/>
  <sheetViews>
    <sheetView tabSelected="1" zoomScale="85" zoomScaleNormal="85" workbookViewId="0">
      <selection activeCell="H12" sqref="H12"/>
    </sheetView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CYF!A3</f>
        <v>Teff</v>
      </c>
      <c r="B3" t="str">
        <f>CYF!B3</f>
        <v>AddisAbaba</v>
      </c>
      <c r="C3">
        <f ca="1">IF(1-MOD(COLUMN(),2),20-RAND()*3,(10+RAND()*5)+2)/2</f>
        <v>6.9521792875977688</v>
      </c>
      <c r="D3">
        <f t="shared" ref="D3:AH11" ca="1" si="2">IF(1-MOD(COLUMN(),2),20-RAND()*3,(10+RAND()*5)+2)/2</f>
        <v>8.9769544815543103</v>
      </c>
      <c r="E3">
        <f t="shared" ca="1" si="2"/>
        <v>6.0518757116621229</v>
      </c>
      <c r="F3">
        <f t="shared" ca="1" si="2"/>
        <v>8.9400799409124723</v>
      </c>
      <c r="G3">
        <f t="shared" ca="1" si="2"/>
        <v>7.5379038401714018</v>
      </c>
      <c r="H3">
        <f t="shared" ca="1" si="2"/>
        <v>9.6163637258532262</v>
      </c>
      <c r="I3">
        <f t="shared" ca="1" si="2"/>
        <v>7.078845294994494</v>
      </c>
      <c r="J3">
        <f t="shared" ca="1" si="2"/>
        <v>9.927777703120487</v>
      </c>
      <c r="K3">
        <f t="shared" ca="1" si="2"/>
        <v>6.7251419181593217</v>
      </c>
      <c r="L3">
        <f t="shared" ca="1" si="2"/>
        <v>9.7706223491420392</v>
      </c>
      <c r="M3">
        <f t="shared" ca="1" si="2"/>
        <v>7.7980380638939621</v>
      </c>
      <c r="N3">
        <f t="shared" ca="1" si="2"/>
        <v>8.7637018099702022</v>
      </c>
      <c r="O3">
        <f t="shared" ca="1" si="2"/>
        <v>6.7648197183550076</v>
      </c>
      <c r="P3">
        <f t="shared" ca="1" si="2"/>
        <v>9.8168624487807996</v>
      </c>
      <c r="Q3">
        <f t="shared" ca="1" si="2"/>
        <v>8.4706039347745801</v>
      </c>
      <c r="R3">
        <f t="shared" ca="1" si="2"/>
        <v>9.1193398486321886</v>
      </c>
      <c r="S3">
        <f t="shared" ca="1" si="2"/>
        <v>8.2319299038207241</v>
      </c>
      <c r="T3">
        <f t="shared" ca="1" si="2"/>
        <v>9.7167375313925515</v>
      </c>
      <c r="U3">
        <f t="shared" ca="1" si="2"/>
        <v>6.6181850754737086</v>
      </c>
      <c r="V3">
        <f t="shared" ca="1" si="2"/>
        <v>9.7449312230827232</v>
      </c>
      <c r="W3">
        <f t="shared" ca="1" si="2"/>
        <v>6.6297280811757648</v>
      </c>
      <c r="X3">
        <f t="shared" ca="1" si="2"/>
        <v>9.6164174890063272</v>
      </c>
      <c r="Y3">
        <f t="shared" ca="1" si="2"/>
        <v>6.6538969955624774</v>
      </c>
      <c r="Z3">
        <f t="shared" ca="1" si="2"/>
        <v>9.0220999808228619</v>
      </c>
      <c r="AA3">
        <f t="shared" ca="1" si="2"/>
        <v>8.2550328406359856</v>
      </c>
      <c r="AB3">
        <f t="shared" ca="1" si="2"/>
        <v>9.4490794085173491</v>
      </c>
      <c r="AC3">
        <f t="shared" ca="1" si="2"/>
        <v>8.1112121236427939</v>
      </c>
      <c r="AD3">
        <f t="shared" ca="1" si="2"/>
        <v>8.8582258635970259</v>
      </c>
      <c r="AE3">
        <f t="shared" ca="1" si="2"/>
        <v>6.417802997385917</v>
      </c>
      <c r="AF3">
        <f t="shared" ca="1" si="2"/>
        <v>9.6576001834450391</v>
      </c>
      <c r="AG3">
        <f t="shared" ca="1" si="2"/>
        <v>7.7435976052651005</v>
      </c>
      <c r="AH3">
        <f t="shared" ca="1" si="2"/>
        <v>9.6741089874406647</v>
      </c>
    </row>
    <row r="4" spans="1:34">
      <c r="A4" t="str">
        <f>CYF!A4</f>
        <v>Teff</v>
      </c>
      <c r="B4" t="str">
        <f>CYF!B4</f>
        <v>Afar</v>
      </c>
      <c r="C4">
        <f t="shared" ref="C4:R13" ca="1" si="3">IF(1-MOD(COLUMN(),2),20-RAND()*3,(10+RAND()*5)+2)/2</f>
        <v>8.1138820913478007</v>
      </c>
      <c r="D4">
        <f t="shared" ca="1" si="3"/>
        <v>9.4785879073550561</v>
      </c>
      <c r="E4">
        <f t="shared" ca="1" si="3"/>
        <v>7.3684387088298537</v>
      </c>
      <c r="F4">
        <f t="shared" ca="1" si="3"/>
        <v>9.9122454734373324</v>
      </c>
      <c r="G4">
        <f t="shared" ca="1" si="3"/>
        <v>6.0741806975773587</v>
      </c>
      <c r="H4">
        <f t="shared" ca="1" si="3"/>
        <v>9.4872126341957053</v>
      </c>
      <c r="I4">
        <f t="shared" ca="1" si="3"/>
        <v>6.0076915315335526</v>
      </c>
      <c r="J4">
        <f t="shared" ca="1" si="3"/>
        <v>9.3205642597738052</v>
      </c>
      <c r="K4">
        <f t="shared" ca="1" si="3"/>
        <v>8.1197194282812202</v>
      </c>
      <c r="L4">
        <f t="shared" ca="1" si="3"/>
        <v>8.5153252805642552</v>
      </c>
      <c r="M4">
        <f t="shared" ca="1" si="3"/>
        <v>7.4240543726994606</v>
      </c>
      <c r="N4">
        <f t="shared" ca="1" si="3"/>
        <v>9.8986754414939053</v>
      </c>
      <c r="O4">
        <f t="shared" ca="1" si="3"/>
        <v>6.8644236733293909</v>
      </c>
      <c r="P4">
        <f t="shared" ca="1" si="3"/>
        <v>8.6949276973202476</v>
      </c>
      <c r="Q4">
        <f t="shared" ca="1" si="3"/>
        <v>7.6376135498902959</v>
      </c>
      <c r="R4">
        <f t="shared" ca="1" si="3"/>
        <v>9.0920050230952381</v>
      </c>
      <c r="S4">
        <f t="shared" ca="1" si="2"/>
        <v>7.2393853872634297</v>
      </c>
      <c r="T4">
        <f t="shared" ca="1" si="2"/>
        <v>8.8037121376024707</v>
      </c>
      <c r="U4">
        <f t="shared" ca="1" si="2"/>
        <v>7.5191997127246211</v>
      </c>
      <c r="V4">
        <f t="shared" ca="1" si="2"/>
        <v>9.8565013156353949</v>
      </c>
      <c r="W4">
        <f t="shared" ca="1" si="2"/>
        <v>7.5957759634193698</v>
      </c>
      <c r="X4">
        <f t="shared" ca="1" si="2"/>
        <v>9.1931644383365914</v>
      </c>
      <c r="Y4">
        <f t="shared" ca="1" si="2"/>
        <v>7.6447929217561796</v>
      </c>
      <c r="Z4">
        <f t="shared" ca="1" si="2"/>
        <v>9.7513402018216411</v>
      </c>
      <c r="AA4">
        <f t="shared" ca="1" si="2"/>
        <v>6.9950979416066881</v>
      </c>
      <c r="AB4">
        <f t="shared" ca="1" si="2"/>
        <v>9.6150228058648679</v>
      </c>
      <c r="AC4">
        <f t="shared" ca="1" si="2"/>
        <v>6.8487969842987502</v>
      </c>
      <c r="AD4">
        <f t="shared" ca="1" si="2"/>
        <v>9.5438663670932069</v>
      </c>
      <c r="AE4">
        <f t="shared" ca="1" si="2"/>
        <v>8.4994775673821437</v>
      </c>
      <c r="AF4">
        <f t="shared" ca="1" si="2"/>
        <v>9.1759679344863194</v>
      </c>
      <c r="AG4">
        <f t="shared" ca="1" si="2"/>
        <v>6.1428026279425225</v>
      </c>
      <c r="AH4">
        <f t="shared" ca="1" si="2"/>
        <v>8.8390861066246362</v>
      </c>
    </row>
    <row r="5" spans="1:34">
      <c r="A5" t="str">
        <f>CYF!A5</f>
        <v>Teff</v>
      </c>
      <c r="B5" t="str">
        <f>CYF!B5</f>
        <v>Amhara</v>
      </c>
      <c r="C5">
        <f t="shared" ca="1" si="3"/>
        <v>7.3764884566799065</v>
      </c>
      <c r="D5">
        <f t="shared" ca="1" si="2"/>
        <v>9.3934605651007281</v>
      </c>
      <c r="E5">
        <f t="shared" ca="1" si="2"/>
        <v>7.5731449454531017</v>
      </c>
      <c r="F5">
        <f t="shared" ca="1" si="2"/>
        <v>8.668920092962729</v>
      </c>
      <c r="G5">
        <f t="shared" ca="1" si="2"/>
        <v>7.9871954915873449</v>
      </c>
      <c r="H5">
        <f t="shared" ca="1" si="2"/>
        <v>9.4673090609922443</v>
      </c>
      <c r="I5">
        <f t="shared" ca="1" si="2"/>
        <v>8.1301020272567257</v>
      </c>
      <c r="J5">
        <f t="shared" ca="1" si="2"/>
        <v>9.1716519102864726</v>
      </c>
      <c r="K5">
        <f t="shared" ca="1" si="2"/>
        <v>7.0773765733816365</v>
      </c>
      <c r="L5">
        <f t="shared" ca="1" si="2"/>
        <v>8.7704420750807373</v>
      </c>
      <c r="M5">
        <f t="shared" ca="1" si="2"/>
        <v>7.500534979164728</v>
      </c>
      <c r="N5">
        <f t="shared" ca="1" si="2"/>
        <v>8.6086213811847205</v>
      </c>
      <c r="O5">
        <f t="shared" ca="1" si="2"/>
        <v>8.3992879269680021</v>
      </c>
      <c r="P5">
        <f t="shared" ca="1" si="2"/>
        <v>9.4755736446403507</v>
      </c>
      <c r="Q5">
        <f t="shared" ca="1" si="2"/>
        <v>7.2031222251228737</v>
      </c>
      <c r="R5">
        <f t="shared" ca="1" si="2"/>
        <v>9.0989210919579406</v>
      </c>
      <c r="S5">
        <f t="shared" ca="1" si="2"/>
        <v>6.2795535504901672</v>
      </c>
      <c r="T5">
        <f t="shared" ca="1" si="2"/>
        <v>9.0776602708740999</v>
      </c>
      <c r="U5">
        <f t="shared" ca="1" si="2"/>
        <v>8.0659677111146983</v>
      </c>
      <c r="V5">
        <f t="shared" ca="1" si="2"/>
        <v>8.7163919061690773</v>
      </c>
      <c r="W5">
        <f t="shared" ca="1" si="2"/>
        <v>6.1219444187839418</v>
      </c>
      <c r="X5">
        <f t="shared" ca="1" si="2"/>
        <v>9.9513287896304146</v>
      </c>
      <c r="Y5">
        <f t="shared" ca="1" si="2"/>
        <v>6.0244595375572265</v>
      </c>
      <c r="Z5">
        <f t="shared" ca="1" si="2"/>
        <v>9.9504497664687914</v>
      </c>
      <c r="AA5">
        <f t="shared" ca="1" si="2"/>
        <v>7.7368710599102366</v>
      </c>
      <c r="AB5">
        <f t="shared" ca="1" si="2"/>
        <v>9.9030754551819289</v>
      </c>
      <c r="AC5">
        <f t="shared" ca="1" si="2"/>
        <v>7.7815712525726077</v>
      </c>
      <c r="AD5">
        <f t="shared" ca="1" si="2"/>
        <v>9.5675890146235254</v>
      </c>
      <c r="AE5">
        <f t="shared" ca="1" si="2"/>
        <v>7.8596589658652292</v>
      </c>
      <c r="AF5">
        <f t="shared" ca="1" si="2"/>
        <v>8.8972790213528832</v>
      </c>
      <c r="AG5">
        <f t="shared" ca="1" si="2"/>
        <v>7.0118297342759046</v>
      </c>
      <c r="AH5">
        <f t="shared" ca="1" si="2"/>
        <v>9.964892611194081</v>
      </c>
    </row>
    <row r="6" spans="1:34">
      <c r="A6" t="str">
        <f>CYF!A6</f>
        <v>Teff</v>
      </c>
      <c r="B6" t="str">
        <f>CYF!B6</f>
        <v>Gumuz</v>
      </c>
      <c r="C6">
        <f t="shared" ca="1" si="3"/>
        <v>7.7967095532589212</v>
      </c>
      <c r="D6">
        <f t="shared" ca="1" si="2"/>
        <v>8.8395709551169208</v>
      </c>
      <c r="E6">
        <f t="shared" ca="1" si="2"/>
        <v>7.5014891451316901</v>
      </c>
      <c r="F6">
        <f t="shared" ca="1" si="2"/>
        <v>8.8001679960742063</v>
      </c>
      <c r="G6">
        <f t="shared" ca="1" si="2"/>
        <v>8.0628775881457742</v>
      </c>
      <c r="H6">
        <f t="shared" ca="1" si="2"/>
        <v>9.2718163895473058</v>
      </c>
      <c r="I6">
        <f t="shared" ca="1" si="2"/>
        <v>6.9010305999559547</v>
      </c>
      <c r="J6">
        <f t="shared" ca="1" si="2"/>
        <v>9.8619654897229179</v>
      </c>
      <c r="K6">
        <f t="shared" ca="1" si="2"/>
        <v>6.1307299003540123</v>
      </c>
      <c r="L6">
        <f t="shared" ca="1" si="2"/>
        <v>8.6506311376005591</v>
      </c>
      <c r="M6">
        <f t="shared" ca="1" si="2"/>
        <v>7.2377535793803167</v>
      </c>
      <c r="N6">
        <f t="shared" ca="1" si="2"/>
        <v>9.6798219442865285</v>
      </c>
      <c r="O6">
        <f t="shared" ca="1" si="2"/>
        <v>7.9004952442775558</v>
      </c>
      <c r="P6">
        <f t="shared" ca="1" si="2"/>
        <v>8.8324822826840972</v>
      </c>
      <c r="Q6">
        <f t="shared" ca="1" si="2"/>
        <v>6.8134313318887543</v>
      </c>
      <c r="R6">
        <f t="shared" ca="1" si="2"/>
        <v>9.360214769484088</v>
      </c>
      <c r="S6">
        <f t="shared" ca="1" si="2"/>
        <v>8.007629711930738</v>
      </c>
      <c r="T6">
        <f t="shared" ca="1" si="2"/>
        <v>9.1242218338430057</v>
      </c>
      <c r="U6">
        <f t="shared" ca="1" si="2"/>
        <v>7.393988047529044</v>
      </c>
      <c r="V6">
        <f t="shared" ca="1" si="2"/>
        <v>9.7144087624737985</v>
      </c>
      <c r="W6">
        <f t="shared" ca="1" si="2"/>
        <v>8.1356548208936452</v>
      </c>
      <c r="X6">
        <f t="shared" ca="1" si="2"/>
        <v>8.7511921587843187</v>
      </c>
      <c r="Y6">
        <f t="shared" ca="1" si="2"/>
        <v>6.5368622241494068</v>
      </c>
      <c r="Z6">
        <f t="shared" ca="1" si="2"/>
        <v>8.872223074432096</v>
      </c>
      <c r="AA6">
        <f t="shared" ca="1" si="2"/>
        <v>7.1772206852275913</v>
      </c>
      <c r="AB6">
        <f t="shared" ca="1" si="2"/>
        <v>8.9731430814823376</v>
      </c>
      <c r="AC6">
        <f t="shared" ca="1" si="2"/>
        <v>7.7274984808560134</v>
      </c>
      <c r="AD6">
        <f t="shared" ca="1" si="2"/>
        <v>9.5715700112120459</v>
      </c>
      <c r="AE6">
        <f t="shared" ca="1" si="2"/>
        <v>7.0538489004892337</v>
      </c>
      <c r="AF6">
        <f t="shared" ca="1" si="2"/>
        <v>8.6099803289642498</v>
      </c>
      <c r="AG6">
        <f t="shared" ca="1" si="2"/>
        <v>6.8612503098387654</v>
      </c>
      <c r="AH6">
        <f t="shared" ca="1" si="2"/>
        <v>8.8383561805159214</v>
      </c>
    </row>
    <row r="7" spans="1:34">
      <c r="A7" t="str">
        <f>CYF!A7</f>
        <v>Teff</v>
      </c>
      <c r="B7" t="str">
        <f>CYF!B7</f>
        <v>DireDawa</v>
      </c>
      <c r="C7">
        <f t="shared" ca="1" si="3"/>
        <v>8.3089268606268085</v>
      </c>
      <c r="D7">
        <f t="shared" ca="1" si="2"/>
        <v>9.4884477884431</v>
      </c>
      <c r="E7">
        <f t="shared" ca="1" si="2"/>
        <v>7.5990495515077505</v>
      </c>
      <c r="F7">
        <f t="shared" ca="1" si="2"/>
        <v>8.8569935092865446</v>
      </c>
      <c r="G7">
        <f t="shared" ca="1" si="2"/>
        <v>6.1403562332789008</v>
      </c>
      <c r="H7">
        <f t="shared" ca="1" si="2"/>
        <v>9.917335010345143</v>
      </c>
      <c r="I7">
        <f t="shared" ca="1" si="2"/>
        <v>7.7918927216742038</v>
      </c>
      <c r="J7">
        <f t="shared" ca="1" si="2"/>
        <v>8.7019580649459076</v>
      </c>
      <c r="K7">
        <f t="shared" ca="1" si="2"/>
        <v>6.5325947893904788</v>
      </c>
      <c r="L7">
        <f t="shared" ca="1" si="2"/>
        <v>9.2991941333419277</v>
      </c>
      <c r="M7">
        <f t="shared" ca="1" si="2"/>
        <v>7.3407077393575815</v>
      </c>
      <c r="N7">
        <f t="shared" ca="1" si="2"/>
        <v>8.8692007361442542</v>
      </c>
      <c r="O7">
        <f t="shared" ca="1" si="2"/>
        <v>7.7246919836815664</v>
      </c>
      <c r="P7">
        <f t="shared" ca="1" si="2"/>
        <v>8.6892190726381422</v>
      </c>
      <c r="Q7">
        <f t="shared" ca="1" si="2"/>
        <v>6.3033326613625373</v>
      </c>
      <c r="R7">
        <f t="shared" ca="1" si="2"/>
        <v>8.6443579208358798</v>
      </c>
      <c r="S7">
        <f t="shared" ca="1" si="2"/>
        <v>8.3734068285830574</v>
      </c>
      <c r="T7">
        <f t="shared" ca="1" si="2"/>
        <v>8.8890919464795459</v>
      </c>
      <c r="U7">
        <f t="shared" ca="1" si="2"/>
        <v>6.032327931792226</v>
      </c>
      <c r="V7">
        <f t="shared" ca="1" si="2"/>
        <v>8.6538171435347699</v>
      </c>
      <c r="W7">
        <f t="shared" ca="1" si="2"/>
        <v>7.3518182103561713</v>
      </c>
      <c r="X7">
        <f t="shared" ca="1" si="2"/>
        <v>9.3697029485918435</v>
      </c>
      <c r="Y7">
        <f t="shared" ca="1" si="2"/>
        <v>7.3195174726803049</v>
      </c>
      <c r="Z7">
        <f t="shared" ca="1" si="2"/>
        <v>9.0430936519739298</v>
      </c>
      <c r="AA7">
        <f t="shared" ca="1" si="2"/>
        <v>7.2280938137280533</v>
      </c>
      <c r="AB7">
        <f t="shared" ca="1" si="2"/>
        <v>9.3224948749805598</v>
      </c>
      <c r="AC7">
        <f t="shared" ca="1" si="2"/>
        <v>7.19260260403051</v>
      </c>
      <c r="AD7">
        <f t="shared" ca="1" si="2"/>
        <v>9.6916389297829912</v>
      </c>
      <c r="AE7">
        <f t="shared" ca="1" si="2"/>
        <v>6.6111857979703039</v>
      </c>
      <c r="AF7">
        <f t="shared" ca="1" si="2"/>
        <v>9.5535796466657068</v>
      </c>
      <c r="AG7">
        <f t="shared" ca="1" si="2"/>
        <v>7.6161587732526179</v>
      </c>
      <c r="AH7">
        <f t="shared" ca="1" si="2"/>
        <v>9.0798613310718821</v>
      </c>
    </row>
    <row r="8" spans="1:34">
      <c r="A8" t="str">
        <f>CYF!A8</f>
        <v>Teff</v>
      </c>
      <c r="B8" t="str">
        <f>CYF!B8</f>
        <v>Gambela</v>
      </c>
      <c r="C8">
        <f t="shared" ca="1" si="3"/>
        <v>7.2681807384823456</v>
      </c>
      <c r="D8">
        <f t="shared" ca="1" si="2"/>
        <v>8.9716021604938128</v>
      </c>
      <c r="E8">
        <f t="shared" ca="1" si="2"/>
        <v>6.7512599897318815</v>
      </c>
      <c r="F8">
        <f t="shared" ca="1" si="2"/>
        <v>9.5847753636649866</v>
      </c>
      <c r="G8">
        <f t="shared" ca="1" si="2"/>
        <v>7.9082415613081691</v>
      </c>
      <c r="H8">
        <f t="shared" ca="1" si="2"/>
        <v>9.4462277342400789</v>
      </c>
      <c r="I8">
        <f t="shared" ca="1" si="2"/>
        <v>8.4866376764037881</v>
      </c>
      <c r="J8">
        <f t="shared" ca="1" si="2"/>
        <v>9.9840747134190124</v>
      </c>
      <c r="K8">
        <f t="shared" ca="1" si="2"/>
        <v>6.5384153032918144</v>
      </c>
      <c r="L8">
        <f t="shared" ca="1" si="2"/>
        <v>8.7674448418527291</v>
      </c>
      <c r="M8">
        <f t="shared" ca="1" si="2"/>
        <v>7.9591668612018527</v>
      </c>
      <c r="N8">
        <f t="shared" ca="1" si="2"/>
        <v>9.4318830767156658</v>
      </c>
      <c r="O8">
        <f t="shared" ca="1" si="2"/>
        <v>7.2698834837438238</v>
      </c>
      <c r="P8">
        <f t="shared" ca="1" si="2"/>
        <v>9.47509311986372</v>
      </c>
      <c r="Q8">
        <f t="shared" ca="1" si="2"/>
        <v>8.1015576242419485</v>
      </c>
      <c r="R8">
        <f t="shared" ca="1" si="2"/>
        <v>9.3695040127304559</v>
      </c>
      <c r="S8">
        <f t="shared" ca="1" si="2"/>
        <v>8.0633558287011144</v>
      </c>
      <c r="T8">
        <f t="shared" ca="1" si="2"/>
        <v>9.4647639907525463</v>
      </c>
      <c r="U8">
        <f t="shared" ca="1" si="2"/>
        <v>8.4780464445814268</v>
      </c>
      <c r="V8">
        <f t="shared" ca="1" si="2"/>
        <v>9.594054643128576</v>
      </c>
      <c r="W8">
        <f t="shared" ca="1" si="2"/>
        <v>7.0224580862764316</v>
      </c>
      <c r="X8">
        <f t="shared" ca="1" si="2"/>
        <v>9.1327894797796283</v>
      </c>
      <c r="Y8">
        <f t="shared" ca="1" si="2"/>
        <v>7.0871611031927557</v>
      </c>
      <c r="Z8">
        <f t="shared" ca="1" si="2"/>
        <v>9.574917571868701</v>
      </c>
      <c r="AA8">
        <f t="shared" ca="1" si="2"/>
        <v>6.3498708251559073</v>
      </c>
      <c r="AB8">
        <f t="shared" ca="1" si="2"/>
        <v>9.1261199192967837</v>
      </c>
      <c r="AC8">
        <f t="shared" ca="1" si="2"/>
        <v>7.4643501578732838</v>
      </c>
      <c r="AD8">
        <f t="shared" ca="1" si="2"/>
        <v>8.9150682300763933</v>
      </c>
      <c r="AE8">
        <f t="shared" ca="1" si="2"/>
        <v>6.954176545525999</v>
      </c>
      <c r="AF8">
        <f t="shared" ca="1" si="2"/>
        <v>9.6962220643993433</v>
      </c>
      <c r="AG8">
        <f t="shared" ca="1" si="2"/>
        <v>7.513014876005677</v>
      </c>
      <c r="AH8">
        <f t="shared" ca="1" si="2"/>
        <v>8.8706818974696358</v>
      </c>
    </row>
    <row r="9" spans="1:34">
      <c r="A9" t="str">
        <f>CYF!A9</f>
        <v>Teff</v>
      </c>
      <c r="B9" t="str">
        <f>CYF!B9</f>
        <v>Harari</v>
      </c>
      <c r="C9">
        <f t="shared" ca="1" si="3"/>
        <v>8.0628449467084842</v>
      </c>
      <c r="D9">
        <f t="shared" ca="1" si="2"/>
        <v>9.5537012852291117</v>
      </c>
      <c r="E9">
        <f t="shared" ca="1" si="2"/>
        <v>7.6081582786855311</v>
      </c>
      <c r="F9">
        <f t="shared" ca="1" si="2"/>
        <v>9.8106107620192944</v>
      </c>
      <c r="G9">
        <f t="shared" ca="1" si="2"/>
        <v>8.4008859345485281</v>
      </c>
      <c r="H9">
        <f t="shared" ca="1" si="2"/>
        <v>8.9514355830082408</v>
      </c>
      <c r="I9">
        <f t="shared" ca="1" si="2"/>
        <v>7.6935113233092363</v>
      </c>
      <c r="J9">
        <f t="shared" ca="1" si="2"/>
        <v>9.8258734593601496</v>
      </c>
      <c r="K9">
        <f t="shared" ca="1" si="2"/>
        <v>6.3335007140847681</v>
      </c>
      <c r="L9">
        <f t="shared" ca="1" si="2"/>
        <v>9.1309532135228508</v>
      </c>
      <c r="M9">
        <f t="shared" ca="1" si="2"/>
        <v>7.4013325750916099</v>
      </c>
      <c r="N9">
        <f t="shared" ca="1" si="2"/>
        <v>9.2637846167723374</v>
      </c>
      <c r="O9">
        <f t="shared" ca="1" si="2"/>
        <v>6.9308722214733933</v>
      </c>
      <c r="P9">
        <f t="shared" ca="1" si="2"/>
        <v>9.6347915248190379</v>
      </c>
      <c r="Q9">
        <f t="shared" ca="1" si="2"/>
        <v>6.905339124633465</v>
      </c>
      <c r="R9">
        <f t="shared" ca="1" si="2"/>
        <v>9.6553080074407571</v>
      </c>
      <c r="S9">
        <f t="shared" ca="1" si="2"/>
        <v>6.5689104057313186</v>
      </c>
      <c r="T9">
        <f t="shared" ca="1" si="2"/>
        <v>9.3466737411330882</v>
      </c>
      <c r="U9">
        <f t="shared" ca="1" si="2"/>
        <v>6.1936749087822278</v>
      </c>
      <c r="V9">
        <f t="shared" ca="1" si="2"/>
        <v>9.1807842800293535</v>
      </c>
      <c r="W9">
        <f t="shared" ca="1" si="2"/>
        <v>7.6276630722068255</v>
      </c>
      <c r="X9">
        <f t="shared" ca="1" si="2"/>
        <v>8.9706401059503698</v>
      </c>
      <c r="Y9">
        <f t="shared" ca="1" si="2"/>
        <v>6.4572231375067854</v>
      </c>
      <c r="Z9">
        <f t="shared" ca="1" si="2"/>
        <v>9.3150654561065487</v>
      </c>
      <c r="AA9">
        <f t="shared" ca="1" si="2"/>
        <v>6.3279568437149658</v>
      </c>
      <c r="AB9">
        <f t="shared" ca="1" si="2"/>
        <v>8.8081245063760889</v>
      </c>
      <c r="AC9">
        <f t="shared" ca="1" si="2"/>
        <v>6.8361547075675544</v>
      </c>
      <c r="AD9">
        <f t="shared" ca="1" si="2"/>
        <v>9.2588055410009087</v>
      </c>
      <c r="AE9">
        <f t="shared" ca="1" si="2"/>
        <v>6.2576481733676577</v>
      </c>
      <c r="AF9">
        <f t="shared" ca="1" si="2"/>
        <v>8.6397874827263479</v>
      </c>
      <c r="AG9">
        <f t="shared" ca="1" si="2"/>
        <v>7.5767550249669586</v>
      </c>
      <c r="AH9">
        <f t="shared" ca="1" si="2"/>
        <v>9.0372675478388587</v>
      </c>
    </row>
    <row r="10" spans="1:34">
      <c r="A10" t="str">
        <f>CYF!A10</f>
        <v>Teff</v>
      </c>
      <c r="B10" t="str">
        <f>CYF!B10</f>
        <v>Oromia</v>
      </c>
      <c r="C10">
        <f t="shared" ca="1" si="3"/>
        <v>6.0201150261779812</v>
      </c>
      <c r="D10">
        <f t="shared" ca="1" si="2"/>
        <v>9.318654236229083</v>
      </c>
      <c r="E10">
        <f t="shared" ca="1" si="2"/>
        <v>8.1663318959592228</v>
      </c>
      <c r="F10">
        <f t="shared" ca="1" si="2"/>
        <v>9.3913656966872932</v>
      </c>
      <c r="G10">
        <f t="shared" ca="1" si="2"/>
        <v>6.6254417665067642</v>
      </c>
      <c r="H10">
        <f t="shared" ca="1" si="2"/>
        <v>8.5914175918684244</v>
      </c>
      <c r="I10">
        <f t="shared" ca="1" si="2"/>
        <v>6.4676368915569968</v>
      </c>
      <c r="J10">
        <f t="shared" ca="1" si="2"/>
        <v>9.7033956200724685</v>
      </c>
      <c r="K10">
        <f t="shared" ca="1" si="2"/>
        <v>6.3588924500104023</v>
      </c>
      <c r="L10">
        <f t="shared" ca="1" si="2"/>
        <v>9.6905780943634952</v>
      </c>
      <c r="M10">
        <f t="shared" ca="1" si="2"/>
        <v>7.8665754610209575</v>
      </c>
      <c r="N10">
        <f t="shared" ca="1" si="2"/>
        <v>8.7161077409551329</v>
      </c>
      <c r="O10">
        <f t="shared" ca="1" si="2"/>
        <v>8.3907259958805334</v>
      </c>
      <c r="P10">
        <f t="shared" ca="1" si="2"/>
        <v>9.1131214514493433</v>
      </c>
      <c r="Q10">
        <f t="shared" ca="1" si="2"/>
        <v>7.327657912530654</v>
      </c>
      <c r="R10">
        <f t="shared" ca="1" si="2"/>
        <v>8.6549655917544435</v>
      </c>
      <c r="S10">
        <f t="shared" ca="1" si="2"/>
        <v>7.3936536063932161</v>
      </c>
      <c r="T10">
        <f t="shared" ca="1" si="2"/>
        <v>8.9888644101247053</v>
      </c>
      <c r="U10">
        <f t="shared" ca="1" si="2"/>
        <v>6.7827483234817487</v>
      </c>
      <c r="V10">
        <f t="shared" ca="1" si="2"/>
        <v>9.7140892776352441</v>
      </c>
      <c r="W10">
        <f t="shared" ca="1" si="2"/>
        <v>8.3681510582749059</v>
      </c>
      <c r="X10">
        <f t="shared" ca="1" si="2"/>
        <v>9.2638959246937276</v>
      </c>
      <c r="Y10">
        <f t="shared" ca="1" si="2"/>
        <v>6.0778005125032486</v>
      </c>
      <c r="Z10">
        <f t="shared" ca="1" si="2"/>
        <v>9.331171117239986</v>
      </c>
      <c r="AA10">
        <f t="shared" ca="1" si="2"/>
        <v>6.046626959761741</v>
      </c>
      <c r="AB10">
        <f t="shared" ca="1" si="2"/>
        <v>8.6495669905999613</v>
      </c>
      <c r="AC10">
        <f t="shared" ca="1" si="2"/>
        <v>7.0023428283552089</v>
      </c>
      <c r="AD10">
        <f t="shared" ca="1" si="2"/>
        <v>9.9694632087971833</v>
      </c>
      <c r="AE10">
        <f t="shared" ca="1" si="2"/>
        <v>6.2289519494746202</v>
      </c>
      <c r="AF10">
        <f t="shared" ca="1" si="2"/>
        <v>9.1888834587663162</v>
      </c>
      <c r="AG10">
        <f t="shared" ca="1" si="2"/>
        <v>7.0997397824811594</v>
      </c>
      <c r="AH10">
        <f t="shared" ca="1" si="2"/>
        <v>9.4747652736666907</v>
      </c>
    </row>
    <row r="11" spans="1:34">
      <c r="A11" t="str">
        <f>CYF!A11</f>
        <v>Teff</v>
      </c>
      <c r="B11" t="str">
        <f>CYF!B11</f>
        <v>Somali</v>
      </c>
      <c r="C11">
        <f t="shared" ca="1" si="3"/>
        <v>6.5254003254845854</v>
      </c>
      <c r="D11">
        <f t="shared" ca="1" si="2"/>
        <v>8.5538774933489066</v>
      </c>
      <c r="E11">
        <f t="shared" ca="1" si="2"/>
        <v>8.3534849564472236</v>
      </c>
      <c r="F11">
        <f t="shared" ca="1" si="2"/>
        <v>8.5530668927505467</v>
      </c>
      <c r="G11">
        <f t="shared" ca="1" si="2"/>
        <v>7.9508988315433733</v>
      </c>
      <c r="H11">
        <f t="shared" ca="1" si="2"/>
        <v>9.8253611432415457</v>
      </c>
      <c r="I11">
        <f t="shared" ca="1" si="2"/>
        <v>7.0406261999044872</v>
      </c>
      <c r="J11">
        <f t="shared" ca="1" si="2"/>
        <v>8.914136043691915</v>
      </c>
      <c r="K11">
        <f t="shared" ca="1" si="2"/>
        <v>7.5868108779228614</v>
      </c>
      <c r="L11">
        <f t="shared" ca="1" si="2"/>
        <v>9.5268588329714401</v>
      </c>
      <c r="M11">
        <f t="shared" ca="1" si="2"/>
        <v>6.5650868285506885</v>
      </c>
      <c r="N11">
        <f t="shared" ca="1" si="2"/>
        <v>9.9183451804935938</v>
      </c>
      <c r="O11">
        <f t="shared" ca="1" si="2"/>
        <v>6.1667343894972655</v>
      </c>
      <c r="P11">
        <f t="shared" ca="1" si="2"/>
        <v>8.9493496404355568</v>
      </c>
      <c r="Q11">
        <f t="shared" ca="1" si="2"/>
        <v>7.1523316552257148</v>
      </c>
      <c r="R11">
        <f t="shared" ca="1" si="2"/>
        <v>8.9228374423274275</v>
      </c>
      <c r="S11">
        <f t="shared" ca="1" si="2"/>
        <v>6.0920180794978336</v>
      </c>
      <c r="T11">
        <f t="shared" ca="1" si="2"/>
        <v>8.778446493924779</v>
      </c>
      <c r="U11">
        <f t="shared" ca="1" si="2"/>
        <v>7.613981319094453</v>
      </c>
      <c r="V11">
        <f t="shared" ca="1" si="2"/>
        <v>9.9016738233196016</v>
      </c>
      <c r="W11">
        <f t="shared" ca="1" si="2"/>
        <v>6.824560695612405</v>
      </c>
      <c r="X11">
        <f t="shared" ca="1" si="2"/>
        <v>9.7554553739117953</v>
      </c>
      <c r="Y11">
        <f t="shared" ca="1" si="2"/>
        <v>7.4166236590732968</v>
      </c>
      <c r="Z11">
        <f t="shared" ref="D11:AH13" ca="1" si="4">IF(1-MOD(COLUMN(),2),20-RAND()*3,(10+RAND()*5)+2)/2</f>
        <v>8.7161586767009602</v>
      </c>
      <c r="AA11">
        <f t="shared" ca="1" si="4"/>
        <v>7.2309734276905306</v>
      </c>
      <c r="AB11">
        <f t="shared" ca="1" si="4"/>
        <v>9.329645418015291</v>
      </c>
      <c r="AC11">
        <f t="shared" ca="1" si="4"/>
        <v>6.517722729584154</v>
      </c>
      <c r="AD11">
        <f t="shared" ca="1" si="4"/>
        <v>9.2673819779015609</v>
      </c>
      <c r="AE11">
        <f t="shared" ca="1" si="4"/>
        <v>7.9722313595500065</v>
      </c>
      <c r="AF11">
        <f t="shared" ca="1" si="4"/>
        <v>8.5834828181412899</v>
      </c>
      <c r="AG11">
        <f t="shared" ca="1" si="4"/>
        <v>7.067383731024738</v>
      </c>
      <c r="AH11">
        <f t="shared" ca="1" si="4"/>
        <v>8.9112196210048431</v>
      </c>
    </row>
    <row r="12" spans="1:34">
      <c r="A12" t="str">
        <f>CYF!A12</f>
        <v>Teff</v>
      </c>
      <c r="B12" t="str">
        <f>CYF!B12</f>
        <v>SNNPR</v>
      </c>
      <c r="C12">
        <f t="shared" ca="1" si="3"/>
        <v>6.1396072471622007</v>
      </c>
      <c r="D12">
        <f t="shared" ca="1" si="4"/>
        <v>9.1105412467134848</v>
      </c>
      <c r="E12">
        <f t="shared" ca="1" si="4"/>
        <v>8.1748788322400294</v>
      </c>
      <c r="F12">
        <f t="shared" ca="1" si="4"/>
        <v>8.9231409520243794</v>
      </c>
      <c r="G12">
        <f t="shared" ca="1" si="4"/>
        <v>7.7053339220722776</v>
      </c>
      <c r="H12">
        <f t="shared" ca="1" si="4"/>
        <v>8.9815767903622277</v>
      </c>
      <c r="I12">
        <f t="shared" ca="1" si="4"/>
        <v>6.930907449623338</v>
      </c>
      <c r="J12">
        <f t="shared" ca="1" si="4"/>
        <v>9.1717840054920909</v>
      </c>
      <c r="K12">
        <f t="shared" ca="1" si="4"/>
        <v>6.8977145012482506</v>
      </c>
      <c r="L12">
        <f t="shared" ca="1" si="4"/>
        <v>8.8284654241093481</v>
      </c>
      <c r="M12">
        <f t="shared" ca="1" si="4"/>
        <v>7.4120415570851863</v>
      </c>
      <c r="N12">
        <f t="shared" ca="1" si="4"/>
        <v>9.2376402180405002</v>
      </c>
      <c r="O12">
        <f t="shared" ca="1" si="4"/>
        <v>6.2333481156980941</v>
      </c>
      <c r="P12">
        <f t="shared" ca="1" si="4"/>
        <v>9.4132516805164794</v>
      </c>
      <c r="Q12">
        <f t="shared" ca="1" si="4"/>
        <v>7.7765150388164885</v>
      </c>
      <c r="R12">
        <f t="shared" ca="1" si="4"/>
        <v>9.9296483625530598</v>
      </c>
      <c r="S12">
        <f t="shared" ca="1" si="4"/>
        <v>6.2508267486625622</v>
      </c>
      <c r="T12">
        <f t="shared" ca="1" si="4"/>
        <v>9.4232537359803565</v>
      </c>
      <c r="U12">
        <f t="shared" ca="1" si="4"/>
        <v>6.2063993469310503</v>
      </c>
      <c r="V12">
        <f t="shared" ca="1" si="4"/>
        <v>8.6862732822678055</v>
      </c>
      <c r="W12">
        <f t="shared" ca="1" si="4"/>
        <v>6.3898682760526402</v>
      </c>
      <c r="X12">
        <f t="shared" ca="1" si="4"/>
        <v>8.6179372491479196</v>
      </c>
      <c r="Y12">
        <f t="shared" ca="1" si="4"/>
        <v>6.6169358483755172</v>
      </c>
      <c r="Z12">
        <f t="shared" ca="1" si="4"/>
        <v>9.8070170657433433</v>
      </c>
      <c r="AA12">
        <f t="shared" ca="1" si="4"/>
        <v>6.4883830222720515</v>
      </c>
      <c r="AB12">
        <f t="shared" ca="1" si="4"/>
        <v>9.2063581502850731</v>
      </c>
      <c r="AC12">
        <f t="shared" ca="1" si="4"/>
        <v>6.793164289970143</v>
      </c>
      <c r="AD12">
        <f t="shared" ca="1" si="4"/>
        <v>9.1249461109982288</v>
      </c>
      <c r="AE12">
        <f t="shared" ca="1" si="4"/>
        <v>8.4691075742501116</v>
      </c>
      <c r="AF12">
        <f t="shared" ca="1" si="4"/>
        <v>8.5240624825863769</v>
      </c>
      <c r="AG12">
        <f t="shared" ca="1" si="4"/>
        <v>7.2293707074307214</v>
      </c>
      <c r="AH12">
        <f t="shared" ca="1" si="4"/>
        <v>8.7198524828325237</v>
      </c>
    </row>
    <row r="13" spans="1:34">
      <c r="A13" t="str">
        <f>CYF!A13</f>
        <v>Teff</v>
      </c>
      <c r="B13" t="str">
        <f>CYF!B13</f>
        <v>Tigray</v>
      </c>
      <c r="C13">
        <f t="shared" ca="1" si="3"/>
        <v>8.1154214221305701</v>
      </c>
      <c r="D13">
        <f t="shared" ca="1" si="4"/>
        <v>9.9540674259313811</v>
      </c>
      <c r="E13">
        <f t="shared" ca="1" si="4"/>
        <v>7.0296745675455927</v>
      </c>
      <c r="F13">
        <f t="shared" ca="1" si="4"/>
        <v>9.8025809836584443</v>
      </c>
      <c r="G13">
        <f t="shared" ca="1" si="4"/>
        <v>7.4729028446355148</v>
      </c>
      <c r="H13">
        <f t="shared" ca="1" si="4"/>
        <v>9.4589714829568656</v>
      </c>
      <c r="I13">
        <f t="shared" ca="1" si="4"/>
        <v>7.4984552273983693</v>
      </c>
      <c r="J13">
        <f t="shared" ca="1" si="4"/>
        <v>9.3115337301720977</v>
      </c>
      <c r="K13">
        <f t="shared" ca="1" si="4"/>
        <v>6.4325328661649959</v>
      </c>
      <c r="L13">
        <f t="shared" ca="1" si="4"/>
        <v>9.2377572795667984</v>
      </c>
      <c r="M13">
        <f t="shared" ca="1" si="4"/>
        <v>6.6919565421884606</v>
      </c>
      <c r="N13">
        <f t="shared" ca="1" si="4"/>
        <v>9.8957356741618412</v>
      </c>
      <c r="O13">
        <f t="shared" ca="1" si="4"/>
        <v>6.5802176212020571</v>
      </c>
      <c r="P13">
        <f t="shared" ca="1" si="4"/>
        <v>8.8890769315504272</v>
      </c>
      <c r="Q13">
        <f t="shared" ca="1" si="4"/>
        <v>6.8971158298451982</v>
      </c>
      <c r="R13">
        <f t="shared" ca="1" si="4"/>
        <v>9.557173694653903</v>
      </c>
      <c r="S13">
        <f t="shared" ca="1" si="4"/>
        <v>6.9793196918585609</v>
      </c>
      <c r="T13">
        <f t="shared" ca="1" si="4"/>
        <v>8.7356656400434733</v>
      </c>
      <c r="U13">
        <f t="shared" ca="1" si="4"/>
        <v>6.4665456948519804</v>
      </c>
      <c r="V13">
        <f t="shared" ca="1" si="4"/>
        <v>9.4259373117084895</v>
      </c>
      <c r="W13">
        <f t="shared" ca="1" si="4"/>
        <v>6.531316909504377</v>
      </c>
      <c r="X13">
        <f t="shared" ca="1" si="4"/>
        <v>8.687184290853331</v>
      </c>
      <c r="Y13">
        <f t="shared" ca="1" si="4"/>
        <v>7.0544717443635765</v>
      </c>
      <c r="Z13">
        <f t="shared" ca="1" si="4"/>
        <v>8.7419373960441522</v>
      </c>
      <c r="AA13">
        <f t="shared" ca="1" si="4"/>
        <v>6.0504710715317618</v>
      </c>
      <c r="AB13">
        <f t="shared" ca="1" si="4"/>
        <v>8.5355829505731311</v>
      </c>
      <c r="AC13">
        <f t="shared" ca="1" si="4"/>
        <v>8.0169769057052278</v>
      </c>
      <c r="AD13">
        <f t="shared" ca="1" si="4"/>
        <v>9.0423062524170081</v>
      </c>
      <c r="AE13">
        <f t="shared" ca="1" si="4"/>
        <v>8.1114185142214161</v>
      </c>
      <c r="AF13">
        <f t="shared" ca="1" si="4"/>
        <v>8.632073161691137</v>
      </c>
      <c r="AG13">
        <f t="shared" ca="1" si="4"/>
        <v>7.602686220854256</v>
      </c>
      <c r="AH13">
        <f t="shared" ca="1" si="4"/>
        <v>9.083476443931449</v>
      </c>
    </row>
    <row r="14" spans="1:34">
      <c r="A14" t="str">
        <f>CYF!A14</f>
        <v>Sorghum</v>
      </c>
      <c r="B14" t="str">
        <f>CYF!B14</f>
        <v>AddisAbaba</v>
      </c>
      <c r="C14">
        <f ca="1">IF(1-MOD(COLUMN(),2),25-RAND()*3,(18+RAND()*5))/2</f>
        <v>9.8479738938681649</v>
      </c>
      <c r="D14">
        <f t="shared" ref="D14:AH22" ca="1" si="5">IF(1-MOD(COLUMN(),2),25-RAND()*3,(18+RAND()*5))/2</f>
        <v>11.458891394742187</v>
      </c>
      <c r="E14">
        <f t="shared" ca="1" si="5"/>
        <v>9.6608203379427877</v>
      </c>
      <c r="F14">
        <f t="shared" ca="1" si="5"/>
        <v>12.387938495249847</v>
      </c>
      <c r="G14">
        <f t="shared" ca="1" si="5"/>
        <v>11.37006848123942</v>
      </c>
      <c r="H14">
        <f t="shared" ca="1" si="5"/>
        <v>12.122359995278909</v>
      </c>
      <c r="I14">
        <f t="shared" ca="1" si="5"/>
        <v>10.251255101785969</v>
      </c>
      <c r="J14">
        <f t="shared" ca="1" si="5"/>
        <v>11.205312386363088</v>
      </c>
      <c r="K14">
        <f t="shared" ca="1" si="5"/>
        <v>9.3503252010779541</v>
      </c>
      <c r="L14">
        <f t="shared" ca="1" si="5"/>
        <v>11.871432885156347</v>
      </c>
      <c r="M14">
        <f t="shared" ca="1" si="5"/>
        <v>9.9740984975796785</v>
      </c>
      <c r="N14">
        <f t="shared" ca="1" si="5"/>
        <v>12.076116571238542</v>
      </c>
      <c r="O14">
        <f t="shared" ca="1" si="5"/>
        <v>10.54243179621837</v>
      </c>
      <c r="P14">
        <f t="shared" ca="1" si="5"/>
        <v>11.204761694786239</v>
      </c>
      <c r="Q14">
        <f t="shared" ca="1" si="5"/>
        <v>9.4567193498693527</v>
      </c>
      <c r="R14">
        <f t="shared" ca="1" si="5"/>
        <v>11.059967378842337</v>
      </c>
      <c r="S14">
        <f t="shared" ca="1" si="5"/>
        <v>9.2432679914081923</v>
      </c>
      <c r="T14">
        <f t="shared" ca="1" si="5"/>
        <v>11.034841562411236</v>
      </c>
      <c r="U14">
        <f t="shared" ca="1" si="5"/>
        <v>10.840946908016475</v>
      </c>
      <c r="V14">
        <f t="shared" ca="1" si="5"/>
        <v>12.232851632767165</v>
      </c>
      <c r="W14">
        <f t="shared" ca="1" si="5"/>
        <v>10.18748670695496</v>
      </c>
      <c r="X14">
        <f t="shared" ca="1" si="5"/>
        <v>12.292404130432288</v>
      </c>
      <c r="Y14">
        <f t="shared" ca="1" si="5"/>
        <v>11.088688476529029</v>
      </c>
      <c r="Z14">
        <f t="shared" ca="1" si="5"/>
        <v>11.335278883817363</v>
      </c>
      <c r="AA14">
        <f t="shared" ca="1" si="5"/>
        <v>10.690358077386884</v>
      </c>
      <c r="AB14">
        <f t="shared" ca="1" si="5"/>
        <v>12.250926057057169</v>
      </c>
      <c r="AC14">
        <f t="shared" ca="1" si="5"/>
        <v>9.1968304864357329</v>
      </c>
      <c r="AD14">
        <f t="shared" ca="1" si="5"/>
        <v>11.401357440126706</v>
      </c>
      <c r="AE14">
        <f t="shared" ca="1" si="5"/>
        <v>10.65274170004869</v>
      </c>
      <c r="AF14">
        <f t="shared" ca="1" si="5"/>
        <v>12.104439278966787</v>
      </c>
      <c r="AG14">
        <f t="shared" ca="1" si="5"/>
        <v>9.6956710733181399</v>
      </c>
      <c r="AH14">
        <f t="shared" ca="1" si="5"/>
        <v>11.408604054097012</v>
      </c>
    </row>
    <row r="15" spans="1:34">
      <c r="A15" t="str">
        <f>CYF!A15</f>
        <v>Sorghum</v>
      </c>
      <c r="B15" t="str">
        <f>CYF!B15</f>
        <v>Afar</v>
      </c>
      <c r="C15">
        <f t="shared" ref="C15:R46" ca="1" si="6">IF(1-MOD(COLUMN(),2),25-RAND()*3,(18+RAND()*5))/2</f>
        <v>9.0846748144795484</v>
      </c>
      <c r="D15">
        <f t="shared" ca="1" si="5"/>
        <v>11.225257676393289</v>
      </c>
      <c r="E15">
        <f t="shared" ca="1" si="5"/>
        <v>10.553016428940897</v>
      </c>
      <c r="F15">
        <f t="shared" ca="1" si="5"/>
        <v>11.949299046562546</v>
      </c>
      <c r="G15">
        <f t="shared" ca="1" si="5"/>
        <v>11.260199701907275</v>
      </c>
      <c r="H15">
        <f t="shared" ca="1" si="5"/>
        <v>11.254604892044659</v>
      </c>
      <c r="I15">
        <f t="shared" ca="1" si="5"/>
        <v>11.084721760998821</v>
      </c>
      <c r="J15">
        <f t="shared" ca="1" si="5"/>
        <v>12.45876079813219</v>
      </c>
      <c r="K15">
        <f t="shared" ca="1" si="5"/>
        <v>10.282791305637943</v>
      </c>
      <c r="L15">
        <f t="shared" ca="1" si="5"/>
        <v>11.525810570394622</v>
      </c>
      <c r="M15">
        <f t="shared" ca="1" si="5"/>
        <v>10.84696910317539</v>
      </c>
      <c r="N15">
        <f t="shared" ca="1" si="5"/>
        <v>11.745669586962554</v>
      </c>
      <c r="O15">
        <f t="shared" ca="1" si="5"/>
        <v>10.748381936871299</v>
      </c>
      <c r="P15">
        <f t="shared" ca="1" si="5"/>
        <v>11.405464367364477</v>
      </c>
      <c r="Q15">
        <f t="shared" ca="1" si="5"/>
        <v>10.797981769826503</v>
      </c>
      <c r="R15">
        <f t="shared" ca="1" si="5"/>
        <v>11.096080249575481</v>
      </c>
      <c r="S15">
        <f t="shared" ca="1" si="5"/>
        <v>9.8232176817423422</v>
      </c>
      <c r="T15">
        <f t="shared" ca="1" si="5"/>
        <v>12.142022972594441</v>
      </c>
      <c r="U15">
        <f t="shared" ca="1" si="5"/>
        <v>10.71009571774729</v>
      </c>
      <c r="V15">
        <f t="shared" ca="1" si="5"/>
        <v>11.564241996482123</v>
      </c>
      <c r="W15">
        <f t="shared" ca="1" si="5"/>
        <v>10.871091199909367</v>
      </c>
      <c r="X15">
        <f t="shared" ca="1" si="5"/>
        <v>11.423636389887463</v>
      </c>
      <c r="Y15">
        <f t="shared" ca="1" si="5"/>
        <v>11.1538435637632</v>
      </c>
      <c r="Z15">
        <f t="shared" ca="1" si="5"/>
        <v>12.211355568861057</v>
      </c>
      <c r="AA15">
        <f t="shared" ca="1" si="5"/>
        <v>10.635993846438843</v>
      </c>
      <c r="AB15">
        <f t="shared" ca="1" si="5"/>
        <v>11.254711300384001</v>
      </c>
      <c r="AC15">
        <f t="shared" ca="1" si="5"/>
        <v>10.595973693475063</v>
      </c>
      <c r="AD15">
        <f t="shared" ca="1" si="5"/>
        <v>11.89706283937096</v>
      </c>
      <c r="AE15">
        <f t="shared" ca="1" si="5"/>
        <v>11.466869354621616</v>
      </c>
      <c r="AF15">
        <f t="shared" ca="1" si="5"/>
        <v>11.587016553774877</v>
      </c>
      <c r="AG15">
        <f t="shared" ca="1" si="5"/>
        <v>10.156994773282044</v>
      </c>
      <c r="AH15">
        <f t="shared" ca="1" si="5"/>
        <v>11.819071734765878</v>
      </c>
    </row>
    <row r="16" spans="1:34">
      <c r="A16" t="str">
        <f>CYF!A16</f>
        <v>Sorghum</v>
      </c>
      <c r="B16" t="str">
        <f>CYF!B16</f>
        <v>Amhara</v>
      </c>
      <c r="C16">
        <f t="shared" ca="1" si="6"/>
        <v>10.430256164626257</v>
      </c>
      <c r="D16">
        <f t="shared" ca="1" si="5"/>
        <v>11.338266584175514</v>
      </c>
      <c r="E16">
        <f t="shared" ca="1" si="5"/>
        <v>9.8523241403949449</v>
      </c>
      <c r="F16">
        <f t="shared" ca="1" si="5"/>
        <v>11.219682748930271</v>
      </c>
      <c r="G16">
        <f t="shared" ca="1" si="5"/>
        <v>9.2853827288521096</v>
      </c>
      <c r="H16">
        <f t="shared" ca="1" si="5"/>
        <v>12.126298562314597</v>
      </c>
      <c r="I16">
        <f t="shared" ca="1" si="5"/>
        <v>10.325197524772912</v>
      </c>
      <c r="J16">
        <f t="shared" ca="1" si="5"/>
        <v>12.141753480047544</v>
      </c>
      <c r="K16">
        <f t="shared" ca="1" si="5"/>
        <v>10.362935988901647</v>
      </c>
      <c r="L16">
        <f t="shared" ca="1" si="5"/>
        <v>11.294637736998755</v>
      </c>
      <c r="M16">
        <f t="shared" ca="1" si="5"/>
        <v>9.7713692436010025</v>
      </c>
      <c r="N16">
        <f t="shared" ca="1" si="5"/>
        <v>12.023094565636443</v>
      </c>
      <c r="O16">
        <f t="shared" ca="1" si="5"/>
        <v>10.91061057076071</v>
      </c>
      <c r="P16">
        <f t="shared" ca="1" si="5"/>
        <v>11.23940112968126</v>
      </c>
      <c r="Q16">
        <f t="shared" ca="1" si="5"/>
        <v>9.6027111300992676</v>
      </c>
      <c r="R16">
        <f t="shared" ca="1" si="5"/>
        <v>11.304077367602563</v>
      </c>
      <c r="S16">
        <f t="shared" ca="1" si="5"/>
        <v>9.338919650974379</v>
      </c>
      <c r="T16">
        <f t="shared" ca="1" si="5"/>
        <v>11.23757933329053</v>
      </c>
      <c r="U16">
        <f t="shared" ca="1" si="5"/>
        <v>10.084567376945589</v>
      </c>
      <c r="V16">
        <f t="shared" ca="1" si="5"/>
        <v>12.051956884758861</v>
      </c>
      <c r="W16">
        <f t="shared" ca="1" si="5"/>
        <v>10.834918643306111</v>
      </c>
      <c r="X16">
        <f t="shared" ca="1" si="5"/>
        <v>11.313279612870396</v>
      </c>
      <c r="Y16">
        <f t="shared" ca="1" si="5"/>
        <v>10.05050179021093</v>
      </c>
      <c r="Z16">
        <f t="shared" ca="1" si="5"/>
        <v>11.399424928858204</v>
      </c>
      <c r="AA16">
        <f t="shared" ca="1" si="5"/>
        <v>10.434155600449511</v>
      </c>
      <c r="AB16">
        <f t="shared" ca="1" si="5"/>
        <v>11.002571311915959</v>
      </c>
      <c r="AC16">
        <f t="shared" ca="1" si="5"/>
        <v>11.184654074818956</v>
      </c>
      <c r="AD16">
        <f t="shared" ca="1" si="5"/>
        <v>12.438830864211202</v>
      </c>
      <c r="AE16">
        <f t="shared" ca="1" si="5"/>
        <v>10.967598272538646</v>
      </c>
      <c r="AF16">
        <f t="shared" ca="1" si="5"/>
        <v>11.189449372507836</v>
      </c>
      <c r="AG16">
        <f t="shared" ca="1" si="5"/>
        <v>10.248700852564363</v>
      </c>
      <c r="AH16">
        <f t="shared" ca="1" si="5"/>
        <v>11.750328181027529</v>
      </c>
    </row>
    <row r="17" spans="1:34">
      <c r="A17" t="str">
        <f>CYF!A17</f>
        <v>Sorghum</v>
      </c>
      <c r="B17" t="str">
        <f>CYF!B17</f>
        <v>Gumuz</v>
      </c>
      <c r="C17">
        <f t="shared" ca="1" si="6"/>
        <v>10.728930244254967</v>
      </c>
      <c r="D17">
        <f t="shared" ca="1" si="5"/>
        <v>11.008012817104577</v>
      </c>
      <c r="E17">
        <f t="shared" ca="1" si="5"/>
        <v>9.1994588417873278</v>
      </c>
      <c r="F17">
        <f t="shared" ca="1" si="5"/>
        <v>12.14339760830434</v>
      </c>
      <c r="G17">
        <f t="shared" ca="1" si="5"/>
        <v>11.268470374854823</v>
      </c>
      <c r="H17">
        <f t="shared" ca="1" si="5"/>
        <v>12.200307993428391</v>
      </c>
      <c r="I17">
        <f t="shared" ca="1" si="5"/>
        <v>9.68987475723317</v>
      </c>
      <c r="J17">
        <f t="shared" ca="1" si="5"/>
        <v>11.029376452698294</v>
      </c>
      <c r="K17">
        <f t="shared" ca="1" si="5"/>
        <v>10.668955819646678</v>
      </c>
      <c r="L17">
        <f t="shared" ca="1" si="5"/>
        <v>11.494732104957235</v>
      </c>
      <c r="M17">
        <f t="shared" ca="1" si="5"/>
        <v>10.433851374364092</v>
      </c>
      <c r="N17">
        <f t="shared" ca="1" si="5"/>
        <v>12.375226804188109</v>
      </c>
      <c r="O17">
        <f t="shared" ca="1" si="5"/>
        <v>10.560109247447212</v>
      </c>
      <c r="P17">
        <f t="shared" ca="1" si="5"/>
        <v>11.775775339950252</v>
      </c>
      <c r="Q17">
        <f t="shared" ca="1" si="5"/>
        <v>9.8575215341034568</v>
      </c>
      <c r="R17">
        <f t="shared" ca="1" si="5"/>
        <v>11.555216070890246</v>
      </c>
      <c r="S17">
        <f t="shared" ca="1" si="5"/>
        <v>10.868655719087165</v>
      </c>
      <c r="T17">
        <f t="shared" ca="1" si="5"/>
        <v>12.175162022499016</v>
      </c>
      <c r="U17">
        <f t="shared" ca="1" si="5"/>
        <v>10.300264692212821</v>
      </c>
      <c r="V17">
        <f t="shared" ca="1" si="5"/>
        <v>12.34408635604091</v>
      </c>
      <c r="W17">
        <f t="shared" ca="1" si="5"/>
        <v>11.19115603838371</v>
      </c>
      <c r="X17">
        <f t="shared" ca="1" si="5"/>
        <v>12.173970553106376</v>
      </c>
      <c r="Y17">
        <f t="shared" ca="1" si="5"/>
        <v>9.8348341211220269</v>
      </c>
      <c r="Z17">
        <f t="shared" ca="1" si="5"/>
        <v>12.427987300429132</v>
      </c>
      <c r="AA17">
        <f t="shared" ca="1" si="5"/>
        <v>10.532232001568788</v>
      </c>
      <c r="AB17">
        <f t="shared" ca="1" si="5"/>
        <v>11.421794034124538</v>
      </c>
      <c r="AC17">
        <f t="shared" ca="1" si="5"/>
        <v>10.110796053351999</v>
      </c>
      <c r="AD17">
        <f t="shared" ca="1" si="5"/>
        <v>11.887386136831882</v>
      </c>
      <c r="AE17">
        <f t="shared" ca="1" si="5"/>
        <v>10.756304337191398</v>
      </c>
      <c r="AF17">
        <f t="shared" ca="1" si="5"/>
        <v>11.602707139819321</v>
      </c>
      <c r="AG17">
        <f t="shared" ca="1" si="5"/>
        <v>10.717625263729046</v>
      </c>
      <c r="AH17">
        <f t="shared" ca="1" si="5"/>
        <v>12.332833138481295</v>
      </c>
    </row>
    <row r="18" spans="1:34">
      <c r="A18" t="str">
        <f>CYF!A18</f>
        <v>Sorghum</v>
      </c>
      <c r="B18" t="str">
        <f>CYF!B18</f>
        <v>DireDawa</v>
      </c>
      <c r="C18">
        <f t="shared" ca="1" si="6"/>
        <v>10.264613972507744</v>
      </c>
      <c r="D18">
        <f t="shared" ca="1" si="5"/>
        <v>12.239358387846691</v>
      </c>
      <c r="E18">
        <f t="shared" ca="1" si="5"/>
        <v>11.266382740422985</v>
      </c>
      <c r="F18">
        <f t="shared" ca="1" si="5"/>
        <v>11.48327973826644</v>
      </c>
      <c r="G18">
        <f t="shared" ca="1" si="5"/>
        <v>10.56568468343619</v>
      </c>
      <c r="H18">
        <f t="shared" ca="1" si="5"/>
        <v>12.460398316683714</v>
      </c>
      <c r="I18">
        <f t="shared" ca="1" si="5"/>
        <v>11.28978241273686</v>
      </c>
      <c r="J18">
        <f t="shared" ca="1" si="5"/>
        <v>12.422721903905332</v>
      </c>
      <c r="K18">
        <f t="shared" ca="1" si="5"/>
        <v>9.8314404741280264</v>
      </c>
      <c r="L18">
        <f t="shared" ca="1" si="5"/>
        <v>11.124202699023018</v>
      </c>
      <c r="M18">
        <f t="shared" ca="1" si="5"/>
        <v>11.43616890598452</v>
      </c>
      <c r="N18">
        <f t="shared" ca="1" si="5"/>
        <v>11.190522059956436</v>
      </c>
      <c r="O18">
        <f t="shared" ca="1" si="5"/>
        <v>11.480217933645607</v>
      </c>
      <c r="P18">
        <f t="shared" ca="1" si="5"/>
        <v>11.043903043158256</v>
      </c>
      <c r="Q18">
        <f t="shared" ca="1" si="5"/>
        <v>10.452279832723004</v>
      </c>
      <c r="R18">
        <f t="shared" ca="1" si="5"/>
        <v>12.054085121709845</v>
      </c>
      <c r="S18">
        <f t="shared" ca="1" si="5"/>
        <v>10.968744790297475</v>
      </c>
      <c r="T18">
        <f t="shared" ca="1" si="5"/>
        <v>12.089386371291633</v>
      </c>
      <c r="U18">
        <f t="shared" ca="1" si="5"/>
        <v>9.6426813227260126</v>
      </c>
      <c r="V18">
        <f t="shared" ca="1" si="5"/>
        <v>11.942777741771124</v>
      </c>
      <c r="W18">
        <f t="shared" ca="1" si="5"/>
        <v>9.193427624965981</v>
      </c>
      <c r="X18">
        <f t="shared" ca="1" si="5"/>
        <v>11.638354091871067</v>
      </c>
      <c r="Y18">
        <f t="shared" ca="1" si="5"/>
        <v>10.007916963955198</v>
      </c>
      <c r="Z18">
        <f t="shared" ca="1" si="5"/>
        <v>11.494522520106326</v>
      </c>
      <c r="AA18">
        <f t="shared" ca="1" si="5"/>
        <v>11.384600873390337</v>
      </c>
      <c r="AB18">
        <f t="shared" ca="1" si="5"/>
        <v>12.354181866610695</v>
      </c>
      <c r="AC18">
        <f t="shared" ca="1" si="5"/>
        <v>11.44164775510624</v>
      </c>
      <c r="AD18">
        <f t="shared" ca="1" si="5"/>
        <v>11.252967000960037</v>
      </c>
      <c r="AE18">
        <f t="shared" ca="1" si="5"/>
        <v>9.193525684110762</v>
      </c>
      <c r="AF18">
        <f t="shared" ca="1" si="5"/>
        <v>11.926753740438667</v>
      </c>
      <c r="AG18">
        <f t="shared" ca="1" si="5"/>
        <v>10.933031170636347</v>
      </c>
      <c r="AH18">
        <f t="shared" ca="1" si="5"/>
        <v>12.186800123877159</v>
      </c>
    </row>
    <row r="19" spans="1:34">
      <c r="A19" t="str">
        <f>CYF!A19</f>
        <v>Sorghum</v>
      </c>
      <c r="B19" t="str">
        <f>CYF!B19</f>
        <v>Gambela</v>
      </c>
      <c r="C19">
        <f t="shared" ca="1" si="6"/>
        <v>9.921768632596816</v>
      </c>
      <c r="D19">
        <f t="shared" ca="1" si="5"/>
        <v>11.952975749822375</v>
      </c>
      <c r="E19">
        <f t="shared" ca="1" si="5"/>
        <v>9.9664673209194099</v>
      </c>
      <c r="F19">
        <f t="shared" ca="1" si="5"/>
        <v>11.712279853333198</v>
      </c>
      <c r="G19">
        <f t="shared" ca="1" si="5"/>
        <v>10.761717832460638</v>
      </c>
      <c r="H19">
        <f t="shared" ca="1" si="5"/>
        <v>11.188050754720006</v>
      </c>
      <c r="I19">
        <f t="shared" ca="1" si="5"/>
        <v>9.1943058351326137</v>
      </c>
      <c r="J19">
        <f t="shared" ca="1" si="5"/>
        <v>12.124350801455574</v>
      </c>
      <c r="K19">
        <f t="shared" ca="1" si="5"/>
        <v>10.460423076909622</v>
      </c>
      <c r="L19">
        <f t="shared" ca="1" si="5"/>
        <v>11.286944983770351</v>
      </c>
      <c r="M19">
        <f t="shared" ca="1" si="5"/>
        <v>11.445943322591532</v>
      </c>
      <c r="N19">
        <f t="shared" ca="1" si="5"/>
        <v>12.263408846368998</v>
      </c>
      <c r="O19">
        <f t="shared" ca="1" si="5"/>
        <v>11.218703081808465</v>
      </c>
      <c r="P19">
        <f t="shared" ca="1" si="5"/>
        <v>11.119031006480947</v>
      </c>
      <c r="Q19">
        <f t="shared" ca="1" si="5"/>
        <v>9.6212751577696629</v>
      </c>
      <c r="R19">
        <f t="shared" ca="1" si="5"/>
        <v>11.79175034220839</v>
      </c>
      <c r="S19">
        <f t="shared" ca="1" si="5"/>
        <v>10.531442541867186</v>
      </c>
      <c r="T19">
        <f t="shared" ca="1" si="5"/>
        <v>12.139616324001343</v>
      </c>
      <c r="U19">
        <f t="shared" ca="1" si="5"/>
        <v>11.282388998685073</v>
      </c>
      <c r="V19">
        <f t="shared" ca="1" si="5"/>
        <v>11.006581119699801</v>
      </c>
      <c r="W19">
        <f t="shared" ca="1" si="5"/>
        <v>10.82611404093506</v>
      </c>
      <c r="X19">
        <f t="shared" ca="1" si="5"/>
        <v>11.171645815309674</v>
      </c>
      <c r="Y19">
        <f t="shared" ca="1" si="5"/>
        <v>9.1409585751177307</v>
      </c>
      <c r="Z19">
        <f t="shared" ca="1" si="5"/>
        <v>11.146539393636411</v>
      </c>
      <c r="AA19">
        <f t="shared" ca="1" si="5"/>
        <v>9.9868885330327277</v>
      </c>
      <c r="AB19">
        <f t="shared" ca="1" si="5"/>
        <v>11.81610683710616</v>
      </c>
      <c r="AC19">
        <f t="shared" ca="1" si="5"/>
        <v>10.900049150482205</v>
      </c>
      <c r="AD19">
        <f t="shared" ca="1" si="5"/>
        <v>12.357176771235263</v>
      </c>
      <c r="AE19">
        <f t="shared" ca="1" si="5"/>
        <v>10.454559284424313</v>
      </c>
      <c r="AF19">
        <f t="shared" ca="1" si="5"/>
        <v>11.383549042081315</v>
      </c>
      <c r="AG19">
        <f t="shared" ca="1" si="5"/>
        <v>10.193510792552773</v>
      </c>
      <c r="AH19">
        <f t="shared" ca="1" si="5"/>
        <v>11.710604146140499</v>
      </c>
    </row>
    <row r="20" spans="1:34">
      <c r="A20" t="str">
        <f>CYF!A20</f>
        <v>Sorghum</v>
      </c>
      <c r="B20" t="str">
        <f>CYF!B20</f>
        <v>Harari</v>
      </c>
      <c r="C20">
        <f t="shared" ca="1" si="6"/>
        <v>10.584413244105059</v>
      </c>
      <c r="D20">
        <f t="shared" ca="1" si="5"/>
        <v>11.419900732980148</v>
      </c>
      <c r="E20">
        <f t="shared" ca="1" si="5"/>
        <v>10.663016788557753</v>
      </c>
      <c r="F20">
        <f t="shared" ca="1" si="5"/>
        <v>11.537615920645504</v>
      </c>
      <c r="G20">
        <f t="shared" ca="1" si="5"/>
        <v>9.9674733579143098</v>
      </c>
      <c r="H20">
        <f t="shared" ca="1" si="5"/>
        <v>12.116941803273354</v>
      </c>
      <c r="I20">
        <f t="shared" ca="1" si="5"/>
        <v>11.469378614114937</v>
      </c>
      <c r="J20">
        <f t="shared" ca="1" si="5"/>
        <v>11.993931182978606</v>
      </c>
      <c r="K20">
        <f t="shared" ca="1" si="5"/>
        <v>10.600554186974302</v>
      </c>
      <c r="L20">
        <f t="shared" ca="1" si="5"/>
        <v>11.073520350983012</v>
      </c>
      <c r="M20">
        <f t="shared" ca="1" si="5"/>
        <v>10.988357515853817</v>
      </c>
      <c r="N20">
        <f t="shared" ca="1" si="5"/>
        <v>11.721853726034666</v>
      </c>
      <c r="O20">
        <f t="shared" ca="1" si="5"/>
        <v>11.388854407195938</v>
      </c>
      <c r="P20">
        <f t="shared" ca="1" si="5"/>
        <v>11.52993564092821</v>
      </c>
      <c r="Q20">
        <f t="shared" ca="1" si="5"/>
        <v>10.72371224002134</v>
      </c>
      <c r="R20">
        <f t="shared" ca="1" si="5"/>
        <v>12.270507072422445</v>
      </c>
      <c r="S20">
        <f t="shared" ca="1" si="5"/>
        <v>10.051335589848021</v>
      </c>
      <c r="T20">
        <f t="shared" ca="1" si="5"/>
        <v>12.061239178373745</v>
      </c>
      <c r="U20">
        <f t="shared" ca="1" si="5"/>
        <v>9.8312228603987091</v>
      </c>
      <c r="V20">
        <f t="shared" ca="1" si="5"/>
        <v>11.537681061757503</v>
      </c>
      <c r="W20">
        <f t="shared" ca="1" si="5"/>
        <v>10.590170446791669</v>
      </c>
      <c r="X20">
        <f t="shared" ca="1" si="5"/>
        <v>11.953102129605663</v>
      </c>
      <c r="Y20">
        <f t="shared" ca="1" si="5"/>
        <v>9.039107280736312</v>
      </c>
      <c r="Z20">
        <f t="shared" ca="1" si="5"/>
        <v>12.236252635543458</v>
      </c>
      <c r="AA20">
        <f t="shared" ca="1" si="5"/>
        <v>9.9510123713020402</v>
      </c>
      <c r="AB20">
        <f t="shared" ca="1" si="5"/>
        <v>12.055941833658903</v>
      </c>
      <c r="AC20">
        <f t="shared" ca="1" si="5"/>
        <v>9.1448215542325784</v>
      </c>
      <c r="AD20">
        <f t="shared" ca="1" si="5"/>
        <v>12.014328312373358</v>
      </c>
      <c r="AE20">
        <f t="shared" ca="1" si="5"/>
        <v>9.2282017113220469</v>
      </c>
      <c r="AF20">
        <f t="shared" ca="1" si="5"/>
        <v>11.628518039873132</v>
      </c>
      <c r="AG20">
        <f t="shared" ca="1" si="5"/>
        <v>10.916927695855888</v>
      </c>
      <c r="AH20">
        <f t="shared" ca="1" si="5"/>
        <v>12.073312968925949</v>
      </c>
    </row>
    <row r="21" spans="1:34">
      <c r="A21" t="str">
        <f>CYF!A21</f>
        <v>Sorghum</v>
      </c>
      <c r="B21" t="str">
        <f>CYF!B21</f>
        <v>Oromia</v>
      </c>
      <c r="C21">
        <f t="shared" ca="1" si="6"/>
        <v>9.9616993863944927</v>
      </c>
      <c r="D21">
        <f t="shared" ca="1" si="5"/>
        <v>12.111113107135463</v>
      </c>
      <c r="E21">
        <f t="shared" ca="1" si="5"/>
        <v>9.1572514669630536</v>
      </c>
      <c r="F21">
        <f t="shared" ca="1" si="5"/>
        <v>11.108424971189109</v>
      </c>
      <c r="G21">
        <f t="shared" ca="1" si="5"/>
        <v>9.3409786974086515</v>
      </c>
      <c r="H21">
        <f t="shared" ca="1" si="5"/>
        <v>12.285616454049208</v>
      </c>
      <c r="I21">
        <f t="shared" ca="1" si="5"/>
        <v>11.152849359344309</v>
      </c>
      <c r="J21">
        <f t="shared" ca="1" si="5"/>
        <v>11.881736454462477</v>
      </c>
      <c r="K21">
        <f t="shared" ca="1" si="5"/>
        <v>9.8185017089606426</v>
      </c>
      <c r="L21">
        <f t="shared" ca="1" si="5"/>
        <v>11.039693027943137</v>
      </c>
      <c r="M21">
        <f t="shared" ca="1" si="5"/>
        <v>11.004663290560469</v>
      </c>
      <c r="N21">
        <f t="shared" ca="1" si="5"/>
        <v>11.232536431764018</v>
      </c>
      <c r="O21">
        <f t="shared" ca="1" si="5"/>
        <v>9.0133984037310135</v>
      </c>
      <c r="P21">
        <f t="shared" ca="1" si="5"/>
        <v>11.970678727313189</v>
      </c>
      <c r="Q21">
        <f t="shared" ca="1" si="5"/>
        <v>9.7660291448042145</v>
      </c>
      <c r="R21">
        <f t="shared" ca="1" si="5"/>
        <v>12.149534715288755</v>
      </c>
      <c r="S21">
        <f t="shared" ca="1" si="5"/>
        <v>9.5273612441845383</v>
      </c>
      <c r="T21">
        <f t="shared" ca="1" si="5"/>
        <v>11.476888952185023</v>
      </c>
      <c r="U21">
        <f t="shared" ca="1" si="5"/>
        <v>9.2281141503099011</v>
      </c>
      <c r="V21">
        <f t="shared" ca="1" si="5"/>
        <v>12.010178837188295</v>
      </c>
      <c r="W21">
        <f t="shared" ca="1" si="5"/>
        <v>10.872345452156353</v>
      </c>
      <c r="X21">
        <f t="shared" ca="1" si="5"/>
        <v>12.463131245853962</v>
      </c>
      <c r="Y21">
        <f t="shared" ca="1" si="5"/>
        <v>10.626959205759608</v>
      </c>
      <c r="Z21">
        <f t="shared" ca="1" si="5"/>
        <v>11.01928991165995</v>
      </c>
      <c r="AA21">
        <f t="shared" ca="1" si="5"/>
        <v>9.7508077017427546</v>
      </c>
      <c r="AB21">
        <f t="shared" ca="1" si="5"/>
        <v>11.682628072929651</v>
      </c>
      <c r="AC21">
        <f t="shared" ca="1" si="5"/>
        <v>10.442705874132919</v>
      </c>
      <c r="AD21">
        <f t="shared" ca="1" si="5"/>
        <v>12.490359194882144</v>
      </c>
      <c r="AE21">
        <f t="shared" ca="1" si="5"/>
        <v>9.4511082073829975</v>
      </c>
      <c r="AF21">
        <f t="shared" ca="1" si="5"/>
        <v>11.210973633733524</v>
      </c>
      <c r="AG21">
        <f t="shared" ca="1" si="5"/>
        <v>10.499593647872031</v>
      </c>
      <c r="AH21">
        <f t="shared" ca="1" si="5"/>
        <v>11.89506529016823</v>
      </c>
    </row>
    <row r="22" spans="1:34">
      <c r="A22" t="str">
        <f>CYF!A22</f>
        <v>Sorghum</v>
      </c>
      <c r="B22" t="str">
        <f>CYF!B22</f>
        <v>Somali</v>
      </c>
      <c r="C22">
        <f t="shared" ca="1" si="6"/>
        <v>11.41682121280172</v>
      </c>
      <c r="D22">
        <f t="shared" ca="1" si="5"/>
        <v>11.759221095415349</v>
      </c>
      <c r="E22">
        <f t="shared" ca="1" si="5"/>
        <v>9.3324880383881368</v>
      </c>
      <c r="F22">
        <f t="shared" ca="1" si="5"/>
        <v>11.171786272116215</v>
      </c>
      <c r="G22">
        <f t="shared" ca="1" si="5"/>
        <v>11.239799477022466</v>
      </c>
      <c r="H22">
        <f t="shared" ca="1" si="5"/>
        <v>11.369225565104788</v>
      </c>
      <c r="I22">
        <f t="shared" ca="1" si="5"/>
        <v>10.223698526987993</v>
      </c>
      <c r="J22">
        <f t="shared" ca="1" si="5"/>
        <v>11.771030576178124</v>
      </c>
      <c r="K22">
        <f t="shared" ref="K22:Z68" ca="1" si="7">IF(1-MOD(COLUMN(),2),25-RAND()*3,(18+RAND()*5))/2</f>
        <v>10.681930896893933</v>
      </c>
      <c r="L22">
        <f t="shared" ca="1" si="7"/>
        <v>11.264767332131528</v>
      </c>
      <c r="M22">
        <f t="shared" ca="1" si="7"/>
        <v>10.579428427390241</v>
      </c>
      <c r="N22">
        <f t="shared" ca="1" si="7"/>
        <v>12.458061225298007</v>
      </c>
      <c r="O22">
        <f t="shared" ca="1" si="7"/>
        <v>11.358964485149071</v>
      </c>
      <c r="P22">
        <f t="shared" ca="1" si="7"/>
        <v>11.811717026994312</v>
      </c>
      <c r="Q22">
        <f t="shared" ca="1" si="7"/>
        <v>9.2421628537499583</v>
      </c>
      <c r="R22">
        <f t="shared" ca="1" si="7"/>
        <v>12.08734450600139</v>
      </c>
      <c r="S22">
        <f t="shared" ca="1" si="7"/>
        <v>11.15837284534698</v>
      </c>
      <c r="T22">
        <f t="shared" ca="1" si="7"/>
        <v>12.298581142200257</v>
      </c>
      <c r="U22">
        <f t="shared" ca="1" si="7"/>
        <v>10.384549533234026</v>
      </c>
      <c r="V22">
        <f t="shared" ca="1" si="7"/>
        <v>11.111727956693578</v>
      </c>
      <c r="W22">
        <f t="shared" ca="1" si="7"/>
        <v>10.491677671846531</v>
      </c>
      <c r="X22">
        <f t="shared" ca="1" si="7"/>
        <v>12.06205290110813</v>
      </c>
      <c r="Y22">
        <f t="shared" ca="1" si="7"/>
        <v>9.8803313510760447</v>
      </c>
      <c r="Z22">
        <f t="shared" ca="1" si="7"/>
        <v>11.009295394314593</v>
      </c>
      <c r="AA22">
        <f t="shared" ref="AA22:AH68" ca="1" si="8">IF(1-MOD(COLUMN(),2),25-RAND()*3,(18+RAND()*5))/2</f>
        <v>9.2204065914311144</v>
      </c>
      <c r="AB22">
        <f t="shared" ca="1" si="8"/>
        <v>11.854718053608149</v>
      </c>
      <c r="AC22">
        <f t="shared" ca="1" si="8"/>
        <v>11.002487718691794</v>
      </c>
      <c r="AD22">
        <f t="shared" ca="1" si="8"/>
        <v>11.550788946691819</v>
      </c>
      <c r="AE22">
        <f t="shared" ca="1" si="8"/>
        <v>10.324999715518485</v>
      </c>
      <c r="AF22">
        <f t="shared" ca="1" si="8"/>
        <v>11.230775573523452</v>
      </c>
      <c r="AG22">
        <f t="shared" ca="1" si="8"/>
        <v>10.010102332369677</v>
      </c>
      <c r="AH22">
        <f t="shared" ca="1" si="8"/>
        <v>12.165804555535892</v>
      </c>
    </row>
    <row r="23" spans="1:34">
      <c r="A23" t="str">
        <f>CYF!A23</f>
        <v>Sorghum</v>
      </c>
      <c r="B23" t="str">
        <f>CYF!B23</f>
        <v>SNNPR</v>
      </c>
      <c r="C23">
        <f t="shared" ca="1" si="6"/>
        <v>10.459357041818738</v>
      </c>
      <c r="D23">
        <f t="shared" ca="1" si="6"/>
        <v>11.27428500416004</v>
      </c>
      <c r="E23">
        <f t="shared" ca="1" si="6"/>
        <v>9.1280002244188285</v>
      </c>
      <c r="F23">
        <f t="shared" ca="1" si="6"/>
        <v>11.549617763753972</v>
      </c>
      <c r="G23">
        <f t="shared" ca="1" si="6"/>
        <v>11.115532367739746</v>
      </c>
      <c r="H23">
        <f t="shared" ca="1" si="6"/>
        <v>11.242784160845655</v>
      </c>
      <c r="I23">
        <f t="shared" ca="1" si="6"/>
        <v>10.930438916125889</v>
      </c>
      <c r="J23">
        <f t="shared" ca="1" si="6"/>
        <v>12.408059562114385</v>
      </c>
      <c r="K23">
        <f t="shared" ca="1" si="6"/>
        <v>9.7591489789221626</v>
      </c>
      <c r="L23">
        <f t="shared" ca="1" si="6"/>
        <v>12.168744688325987</v>
      </c>
      <c r="M23">
        <f t="shared" ca="1" si="6"/>
        <v>10.917028400701456</v>
      </c>
      <c r="N23">
        <f t="shared" ca="1" si="6"/>
        <v>11.713325694438478</v>
      </c>
      <c r="O23">
        <f t="shared" ca="1" si="6"/>
        <v>10.824634096786495</v>
      </c>
      <c r="P23">
        <f t="shared" ca="1" si="6"/>
        <v>11.869798407855974</v>
      </c>
      <c r="Q23">
        <f t="shared" ca="1" si="6"/>
        <v>10.825096165334568</v>
      </c>
      <c r="R23">
        <f t="shared" ca="1" si="6"/>
        <v>11.697446510691643</v>
      </c>
      <c r="S23">
        <f t="shared" ca="1" si="7"/>
        <v>9.7089085549566594</v>
      </c>
      <c r="T23">
        <f t="shared" ca="1" si="7"/>
        <v>12.302943351534326</v>
      </c>
      <c r="U23">
        <f t="shared" ca="1" si="7"/>
        <v>10.927826695716574</v>
      </c>
      <c r="V23">
        <f t="shared" ca="1" si="7"/>
        <v>11.063942237999269</v>
      </c>
      <c r="W23">
        <f t="shared" ca="1" si="7"/>
        <v>10.772372989165092</v>
      </c>
      <c r="X23">
        <f t="shared" ca="1" si="7"/>
        <v>11.880774992396768</v>
      </c>
      <c r="Y23">
        <f t="shared" ca="1" si="7"/>
        <v>10.203066399512574</v>
      </c>
      <c r="Z23">
        <f t="shared" ca="1" si="7"/>
        <v>12.383567446887161</v>
      </c>
      <c r="AA23">
        <f t="shared" ca="1" si="8"/>
        <v>10.991230037552498</v>
      </c>
      <c r="AB23">
        <f t="shared" ca="1" si="8"/>
        <v>11.507505719530103</v>
      </c>
      <c r="AC23">
        <f t="shared" ca="1" si="8"/>
        <v>11.043398302834015</v>
      </c>
      <c r="AD23">
        <f t="shared" ca="1" si="8"/>
        <v>11.764468930090921</v>
      </c>
      <c r="AE23">
        <f t="shared" ca="1" si="8"/>
        <v>10.798843841191736</v>
      </c>
      <c r="AF23">
        <f t="shared" ca="1" si="8"/>
        <v>11.698236445480619</v>
      </c>
      <c r="AG23">
        <f t="shared" ca="1" si="8"/>
        <v>10.459357895728994</v>
      </c>
      <c r="AH23">
        <f t="shared" ca="1" si="8"/>
        <v>12.440260075463815</v>
      </c>
    </row>
    <row r="24" spans="1:34">
      <c r="A24" t="str">
        <f>CYF!A24</f>
        <v>Sorghum</v>
      </c>
      <c r="B24" t="str">
        <f>CYF!B24</f>
        <v>Tigray</v>
      </c>
      <c r="C24">
        <f t="shared" ca="1" si="6"/>
        <v>10.445632699655945</v>
      </c>
      <c r="D24">
        <f t="shared" ca="1" si="6"/>
        <v>11.633530391540233</v>
      </c>
      <c r="E24">
        <f t="shared" ca="1" si="6"/>
        <v>9.1783867575842333</v>
      </c>
      <c r="F24">
        <f t="shared" ca="1" si="6"/>
        <v>11.699676089784607</v>
      </c>
      <c r="G24">
        <f t="shared" ca="1" si="6"/>
        <v>10.041732445612979</v>
      </c>
      <c r="H24">
        <f t="shared" ca="1" si="6"/>
        <v>12.043889310491704</v>
      </c>
      <c r="I24">
        <f t="shared" ca="1" si="6"/>
        <v>11.493449141239488</v>
      </c>
      <c r="J24">
        <f t="shared" ca="1" si="6"/>
        <v>11.88843220759844</v>
      </c>
      <c r="K24">
        <f t="shared" ca="1" si="6"/>
        <v>9.016255413252475</v>
      </c>
      <c r="L24">
        <f t="shared" ca="1" si="6"/>
        <v>11.859839108785202</v>
      </c>
      <c r="M24">
        <f t="shared" ca="1" si="6"/>
        <v>10.305231158940229</v>
      </c>
      <c r="N24">
        <f t="shared" ca="1" si="6"/>
        <v>12.278701799982436</v>
      </c>
      <c r="O24">
        <f t="shared" ca="1" si="6"/>
        <v>11.191012820247199</v>
      </c>
      <c r="P24">
        <f t="shared" ca="1" si="6"/>
        <v>12.156183288547536</v>
      </c>
      <c r="Q24">
        <f t="shared" ca="1" si="6"/>
        <v>9.2845375611122947</v>
      </c>
      <c r="R24">
        <f t="shared" ca="1" si="6"/>
        <v>11.853761506242858</v>
      </c>
      <c r="S24">
        <f t="shared" ca="1" si="7"/>
        <v>10.214677511679474</v>
      </c>
      <c r="T24">
        <f t="shared" ca="1" si="7"/>
        <v>11.603370425073134</v>
      </c>
      <c r="U24">
        <f t="shared" ca="1" si="7"/>
        <v>11.064404341923336</v>
      </c>
      <c r="V24">
        <f t="shared" ca="1" si="7"/>
        <v>12.302671847475779</v>
      </c>
      <c r="W24">
        <f t="shared" ca="1" si="7"/>
        <v>9.1870500834021698</v>
      </c>
      <c r="X24">
        <f t="shared" ca="1" si="7"/>
        <v>12.373208049142622</v>
      </c>
      <c r="Y24">
        <f t="shared" ca="1" si="7"/>
        <v>9.2014579795611056</v>
      </c>
      <c r="Z24">
        <f t="shared" ca="1" si="7"/>
        <v>12.497993888347025</v>
      </c>
      <c r="AA24">
        <f t="shared" ca="1" si="8"/>
        <v>10.480014087652307</v>
      </c>
      <c r="AB24">
        <f t="shared" ca="1" si="8"/>
        <v>11.903941453222281</v>
      </c>
      <c r="AC24">
        <f t="shared" ca="1" si="8"/>
        <v>10.151590285301058</v>
      </c>
      <c r="AD24">
        <f t="shared" ca="1" si="8"/>
        <v>11.897388526111435</v>
      </c>
      <c r="AE24">
        <f t="shared" ca="1" si="8"/>
        <v>10.683337125708972</v>
      </c>
      <c r="AF24">
        <f t="shared" ca="1" si="8"/>
        <v>11.059771705692029</v>
      </c>
      <c r="AG24">
        <f t="shared" ca="1" si="8"/>
        <v>10.235787389321173</v>
      </c>
      <c r="AH24">
        <f t="shared" ca="1" si="8"/>
        <v>11.156665276517858</v>
      </c>
    </row>
    <row r="25" spans="1:34">
      <c r="A25" t="str">
        <f>CYF!A25</f>
        <v>Maize</v>
      </c>
      <c r="B25" t="str">
        <f>CYF!B25</f>
        <v>AddisAbaba</v>
      </c>
      <c r="C25">
        <f t="shared" ca="1" si="6"/>
        <v>11.342508187112099</v>
      </c>
      <c r="D25">
        <f t="shared" ca="1" si="6"/>
        <v>11.079923649901801</v>
      </c>
      <c r="E25">
        <f t="shared" ca="1" si="6"/>
        <v>10.349473962453789</v>
      </c>
      <c r="F25">
        <f t="shared" ca="1" si="6"/>
        <v>11.10636325033961</v>
      </c>
      <c r="G25">
        <f t="shared" ca="1" si="6"/>
        <v>10.716306344185686</v>
      </c>
      <c r="H25">
        <f t="shared" ca="1" si="6"/>
        <v>11.271139005288713</v>
      </c>
      <c r="I25">
        <f t="shared" ca="1" si="6"/>
        <v>10.406865612708426</v>
      </c>
      <c r="J25">
        <f t="shared" ca="1" si="6"/>
        <v>11.122157297375676</v>
      </c>
      <c r="K25">
        <f t="shared" ca="1" si="6"/>
        <v>10.379673704344555</v>
      </c>
      <c r="L25">
        <f t="shared" ca="1" si="6"/>
        <v>11.423952823522614</v>
      </c>
      <c r="M25">
        <f t="shared" ca="1" si="6"/>
        <v>9.6622239400746572</v>
      </c>
      <c r="N25">
        <f t="shared" ca="1" si="6"/>
        <v>11.186530431085501</v>
      </c>
      <c r="O25">
        <f t="shared" ca="1" si="6"/>
        <v>11.078205383781953</v>
      </c>
      <c r="P25">
        <f t="shared" ca="1" si="6"/>
        <v>11.963037992039435</v>
      </c>
      <c r="Q25">
        <f t="shared" ca="1" si="6"/>
        <v>11.261249777980931</v>
      </c>
      <c r="R25">
        <f t="shared" ca="1" si="6"/>
        <v>12.087510211263755</v>
      </c>
      <c r="S25">
        <f t="shared" ca="1" si="7"/>
        <v>9.0726691508255168</v>
      </c>
      <c r="T25">
        <f t="shared" ca="1" si="7"/>
        <v>11.541925174922467</v>
      </c>
      <c r="U25">
        <f t="shared" ca="1" si="7"/>
        <v>11.11596608123212</v>
      </c>
      <c r="V25">
        <f t="shared" ca="1" si="7"/>
        <v>11.282766464627421</v>
      </c>
      <c r="W25">
        <f t="shared" ca="1" si="7"/>
        <v>10.224037659823299</v>
      </c>
      <c r="X25">
        <f t="shared" ca="1" si="7"/>
        <v>11.748715445501267</v>
      </c>
      <c r="Y25">
        <f t="shared" ca="1" si="7"/>
        <v>9.2056453527799249</v>
      </c>
      <c r="Z25">
        <f t="shared" ca="1" si="7"/>
        <v>11.145313669756339</v>
      </c>
      <c r="AA25">
        <f t="shared" ca="1" si="8"/>
        <v>9.2073123066677969</v>
      </c>
      <c r="AB25">
        <f t="shared" ca="1" si="8"/>
        <v>11.175691338720922</v>
      </c>
      <c r="AC25">
        <f t="shared" ca="1" si="8"/>
        <v>9.4526253223957752</v>
      </c>
      <c r="AD25">
        <f t="shared" ca="1" si="8"/>
        <v>12.086497027521458</v>
      </c>
      <c r="AE25">
        <f t="shared" ca="1" si="8"/>
        <v>10.402996531266098</v>
      </c>
      <c r="AF25">
        <f t="shared" ca="1" si="8"/>
        <v>11.113029351151969</v>
      </c>
      <c r="AG25">
        <f t="shared" ca="1" si="8"/>
        <v>11.079334270286871</v>
      </c>
      <c r="AH25">
        <f t="shared" ca="1" si="8"/>
        <v>11.399178446370392</v>
      </c>
    </row>
    <row r="26" spans="1:34">
      <c r="A26" t="str">
        <f>CYF!A26</f>
        <v>Maize</v>
      </c>
      <c r="B26" t="str">
        <f>CYF!B26</f>
        <v>Afar</v>
      </c>
      <c r="C26">
        <f t="shared" ca="1" si="6"/>
        <v>11.371176128637815</v>
      </c>
      <c r="D26">
        <f t="shared" ca="1" si="6"/>
        <v>11.142318697814746</v>
      </c>
      <c r="E26">
        <f t="shared" ca="1" si="6"/>
        <v>11.21350660944168</v>
      </c>
      <c r="F26">
        <f t="shared" ca="1" si="6"/>
        <v>11.009392148996053</v>
      </c>
      <c r="G26">
        <f t="shared" ca="1" si="6"/>
        <v>9.1451298767470313</v>
      </c>
      <c r="H26">
        <f t="shared" ca="1" si="6"/>
        <v>11.695648872080238</v>
      </c>
      <c r="I26">
        <f t="shared" ca="1" si="6"/>
        <v>10.8535431105527</v>
      </c>
      <c r="J26">
        <f t="shared" ca="1" si="6"/>
        <v>11.030909839201856</v>
      </c>
      <c r="K26">
        <f t="shared" ca="1" si="6"/>
        <v>10.564881297681767</v>
      </c>
      <c r="L26">
        <f t="shared" ca="1" si="6"/>
        <v>12.023963859665391</v>
      </c>
      <c r="M26">
        <f t="shared" ca="1" si="6"/>
        <v>10.216172712273087</v>
      </c>
      <c r="N26">
        <f t="shared" ca="1" si="6"/>
        <v>11.031476842743825</v>
      </c>
      <c r="O26">
        <f t="shared" ca="1" si="6"/>
        <v>11.202652695472228</v>
      </c>
      <c r="P26">
        <f t="shared" ca="1" si="6"/>
        <v>12.015710876478476</v>
      </c>
      <c r="Q26">
        <f t="shared" ca="1" si="6"/>
        <v>10.737064351542537</v>
      </c>
      <c r="R26">
        <f t="shared" ca="1" si="6"/>
        <v>11.65433382998825</v>
      </c>
      <c r="S26">
        <f t="shared" ca="1" si="7"/>
        <v>10.692769790953975</v>
      </c>
      <c r="T26">
        <f t="shared" ca="1" si="7"/>
        <v>12.394693198138711</v>
      </c>
      <c r="U26">
        <f t="shared" ca="1" si="7"/>
        <v>11.152932692417803</v>
      </c>
      <c r="V26">
        <f t="shared" ca="1" si="7"/>
        <v>11.827837817337066</v>
      </c>
      <c r="W26">
        <f t="shared" ca="1" si="7"/>
        <v>11.076161502969773</v>
      </c>
      <c r="X26">
        <f t="shared" ca="1" si="7"/>
        <v>11.872668416149754</v>
      </c>
      <c r="Y26">
        <f t="shared" ca="1" si="7"/>
        <v>9.0940894709515447</v>
      </c>
      <c r="Z26">
        <f t="shared" ca="1" si="7"/>
        <v>11.594111541792659</v>
      </c>
      <c r="AA26">
        <f t="shared" ca="1" si="8"/>
        <v>11.217930715950772</v>
      </c>
      <c r="AB26">
        <f t="shared" ca="1" si="8"/>
        <v>11.704541304472144</v>
      </c>
      <c r="AC26">
        <f t="shared" ca="1" si="8"/>
        <v>10.067395119675052</v>
      </c>
      <c r="AD26">
        <f t="shared" ca="1" si="8"/>
        <v>11.384554508808801</v>
      </c>
      <c r="AE26">
        <f t="shared" ca="1" si="8"/>
        <v>10.133500931552668</v>
      </c>
      <c r="AF26">
        <f t="shared" ca="1" si="8"/>
        <v>11.407661915488308</v>
      </c>
      <c r="AG26">
        <f t="shared" ca="1" si="8"/>
        <v>11.229770824933039</v>
      </c>
      <c r="AH26">
        <f t="shared" ca="1" si="8"/>
        <v>12.107776603861211</v>
      </c>
    </row>
    <row r="27" spans="1:34">
      <c r="A27" t="str">
        <f>CYF!A27</f>
        <v>Maize</v>
      </c>
      <c r="B27" t="str">
        <f>CYF!B27</f>
        <v>Amhara</v>
      </c>
      <c r="C27">
        <f t="shared" ca="1" si="6"/>
        <v>11.455112723759967</v>
      </c>
      <c r="D27">
        <f t="shared" ca="1" si="6"/>
        <v>12.433114251420994</v>
      </c>
      <c r="E27">
        <f t="shared" ca="1" si="6"/>
        <v>11.279091316098382</v>
      </c>
      <c r="F27">
        <f t="shared" ca="1" si="6"/>
        <v>11.638074638027753</v>
      </c>
      <c r="G27">
        <f t="shared" ca="1" si="6"/>
        <v>10.990347420898475</v>
      </c>
      <c r="H27">
        <f t="shared" ca="1" si="6"/>
        <v>11.777726356106294</v>
      </c>
      <c r="I27">
        <f t="shared" ca="1" si="6"/>
        <v>10.530074977064773</v>
      </c>
      <c r="J27">
        <f t="shared" ca="1" si="6"/>
        <v>11.677401201543089</v>
      </c>
      <c r="K27">
        <f t="shared" ca="1" si="6"/>
        <v>10.104159876531863</v>
      </c>
      <c r="L27">
        <f t="shared" ca="1" si="6"/>
        <v>11.083755917185231</v>
      </c>
      <c r="M27">
        <f t="shared" ca="1" si="6"/>
        <v>9.961953056261013</v>
      </c>
      <c r="N27">
        <f t="shared" ca="1" si="6"/>
        <v>11.398398198433563</v>
      </c>
      <c r="O27">
        <f t="shared" ca="1" si="6"/>
        <v>10.536220770784931</v>
      </c>
      <c r="P27">
        <f t="shared" ca="1" si="6"/>
        <v>11.674156503129156</v>
      </c>
      <c r="Q27">
        <f t="shared" ca="1" si="6"/>
        <v>9.2240934482068475</v>
      </c>
      <c r="R27">
        <f t="shared" ca="1" si="6"/>
        <v>12.457778619592595</v>
      </c>
      <c r="S27">
        <f t="shared" ca="1" si="7"/>
        <v>11.165991738626047</v>
      </c>
      <c r="T27">
        <f t="shared" ca="1" si="7"/>
        <v>11.207045995920053</v>
      </c>
      <c r="U27">
        <f t="shared" ca="1" si="7"/>
        <v>10.924053468027939</v>
      </c>
      <c r="V27">
        <f t="shared" ca="1" si="7"/>
        <v>12.420179899904808</v>
      </c>
      <c r="W27">
        <f t="shared" ca="1" si="7"/>
        <v>9.5750550228455591</v>
      </c>
      <c r="X27">
        <f t="shared" ca="1" si="7"/>
        <v>12.319957762155092</v>
      </c>
      <c r="Y27">
        <f t="shared" ca="1" si="7"/>
        <v>9.9732765409128366</v>
      </c>
      <c r="Z27">
        <f t="shared" ca="1" si="7"/>
        <v>11.171695760816522</v>
      </c>
      <c r="AA27">
        <f t="shared" ca="1" si="8"/>
        <v>9.550673668314321</v>
      </c>
      <c r="AB27">
        <f t="shared" ca="1" si="8"/>
        <v>11.010412499385405</v>
      </c>
      <c r="AC27">
        <f t="shared" ca="1" si="8"/>
        <v>10.550913010210875</v>
      </c>
      <c r="AD27">
        <f t="shared" ca="1" si="8"/>
        <v>11.907993095736298</v>
      </c>
      <c r="AE27">
        <f t="shared" ca="1" si="8"/>
        <v>10.142070213000029</v>
      </c>
      <c r="AF27">
        <f t="shared" ca="1" si="8"/>
        <v>12.020173152077817</v>
      </c>
      <c r="AG27">
        <f t="shared" ca="1" si="8"/>
        <v>10.188325135235086</v>
      </c>
      <c r="AH27">
        <f t="shared" ca="1" si="8"/>
        <v>11.858980676364432</v>
      </c>
    </row>
    <row r="28" spans="1:34">
      <c r="A28" t="str">
        <f>CYF!A28</f>
        <v>Maize</v>
      </c>
      <c r="B28" t="str">
        <f>CYF!B28</f>
        <v>Gumuz</v>
      </c>
      <c r="C28">
        <f t="shared" ca="1" si="6"/>
        <v>10.4861430969137</v>
      </c>
      <c r="D28">
        <f t="shared" ca="1" si="6"/>
        <v>11.168828303786487</v>
      </c>
      <c r="E28">
        <f t="shared" ca="1" si="6"/>
        <v>10.153625661503103</v>
      </c>
      <c r="F28">
        <f t="shared" ca="1" si="6"/>
        <v>12.432049715024187</v>
      </c>
      <c r="G28">
        <f t="shared" ca="1" si="6"/>
        <v>9.5092225804688688</v>
      </c>
      <c r="H28">
        <f t="shared" ca="1" si="6"/>
        <v>12.281582144303409</v>
      </c>
      <c r="I28">
        <f t="shared" ca="1" si="6"/>
        <v>9.0134571321016264</v>
      </c>
      <c r="J28">
        <f t="shared" ca="1" si="6"/>
        <v>11.28952653876779</v>
      </c>
      <c r="K28">
        <f t="shared" ca="1" si="6"/>
        <v>10.65743429311587</v>
      </c>
      <c r="L28">
        <f t="shared" ca="1" si="6"/>
        <v>11.199934380577659</v>
      </c>
      <c r="M28">
        <f t="shared" ca="1" si="6"/>
        <v>9.5386838039145001</v>
      </c>
      <c r="N28">
        <f t="shared" ca="1" si="6"/>
        <v>11.580730509931563</v>
      </c>
      <c r="O28">
        <f t="shared" ca="1" si="6"/>
        <v>9.802768511924091</v>
      </c>
      <c r="P28">
        <f t="shared" ca="1" si="6"/>
        <v>11.041762258736114</v>
      </c>
      <c r="Q28">
        <f t="shared" ca="1" si="6"/>
        <v>9.6284659556571484</v>
      </c>
      <c r="R28">
        <f t="shared" ca="1" si="6"/>
        <v>11.27039202552907</v>
      </c>
      <c r="S28">
        <f t="shared" ca="1" si="7"/>
        <v>10.598280217530906</v>
      </c>
      <c r="T28">
        <f t="shared" ca="1" si="7"/>
        <v>11.167813922129923</v>
      </c>
      <c r="U28">
        <f t="shared" ca="1" si="7"/>
        <v>9.9492360086915603</v>
      </c>
      <c r="V28">
        <f t="shared" ca="1" si="7"/>
        <v>11.187614300383622</v>
      </c>
      <c r="W28">
        <f t="shared" ca="1" si="7"/>
        <v>9.7864014564863293</v>
      </c>
      <c r="X28">
        <f t="shared" ca="1" si="7"/>
        <v>11.399488403024826</v>
      </c>
      <c r="Y28">
        <f t="shared" ca="1" si="7"/>
        <v>9.6627856008105937</v>
      </c>
      <c r="Z28">
        <f t="shared" ca="1" si="7"/>
        <v>11.146773979727788</v>
      </c>
      <c r="AA28">
        <f t="shared" ca="1" si="8"/>
        <v>10.693903810587479</v>
      </c>
      <c r="AB28">
        <f t="shared" ca="1" si="8"/>
        <v>11.506625307658361</v>
      </c>
      <c r="AC28">
        <f t="shared" ca="1" si="8"/>
        <v>11.411776639242685</v>
      </c>
      <c r="AD28">
        <f t="shared" ca="1" si="8"/>
        <v>12.314464854859779</v>
      </c>
      <c r="AE28">
        <f t="shared" ca="1" si="8"/>
        <v>9.2367970143781992</v>
      </c>
      <c r="AF28">
        <f t="shared" ca="1" si="8"/>
        <v>11.615862768075878</v>
      </c>
      <c r="AG28">
        <f t="shared" ca="1" si="8"/>
        <v>11.393926681830949</v>
      </c>
      <c r="AH28">
        <f t="shared" ca="1" si="8"/>
        <v>12.104088328053495</v>
      </c>
    </row>
    <row r="29" spans="1:34">
      <c r="A29" t="str">
        <f>CYF!A29</f>
        <v>Maize</v>
      </c>
      <c r="B29" t="str">
        <f>CYF!B29</f>
        <v>DireDawa</v>
      </c>
      <c r="C29">
        <f t="shared" ca="1" si="6"/>
        <v>9.1632745098914672</v>
      </c>
      <c r="D29">
        <f t="shared" ca="1" si="6"/>
        <v>11.506914221721662</v>
      </c>
      <c r="E29">
        <f t="shared" ca="1" si="6"/>
        <v>10.597513063195478</v>
      </c>
      <c r="F29">
        <f t="shared" ca="1" si="6"/>
        <v>11.809597510397881</v>
      </c>
      <c r="G29">
        <f t="shared" ca="1" si="6"/>
        <v>11.23573376238102</v>
      </c>
      <c r="H29">
        <f t="shared" ca="1" si="6"/>
        <v>12.314860496524053</v>
      </c>
      <c r="I29">
        <f t="shared" ca="1" si="6"/>
        <v>10.694000190800933</v>
      </c>
      <c r="J29">
        <f t="shared" ca="1" si="6"/>
        <v>11.993969279797904</v>
      </c>
      <c r="K29">
        <f t="shared" ca="1" si="6"/>
        <v>11.493058719152444</v>
      </c>
      <c r="L29">
        <f t="shared" ca="1" si="6"/>
        <v>12.041706331857092</v>
      </c>
      <c r="M29">
        <f t="shared" ca="1" si="6"/>
        <v>10.407362755736177</v>
      </c>
      <c r="N29">
        <f t="shared" ca="1" si="6"/>
        <v>11.204143827448924</v>
      </c>
      <c r="O29">
        <f t="shared" ca="1" si="6"/>
        <v>10.224735111616971</v>
      </c>
      <c r="P29">
        <f t="shared" ca="1" si="6"/>
        <v>11.029460951093636</v>
      </c>
      <c r="Q29">
        <f t="shared" ca="1" si="6"/>
        <v>11.278649281287619</v>
      </c>
      <c r="R29">
        <f t="shared" ca="1" si="6"/>
        <v>11.650007347207318</v>
      </c>
      <c r="S29">
        <f t="shared" ca="1" si="7"/>
        <v>9.1863954394536247</v>
      </c>
      <c r="T29">
        <f t="shared" ca="1" si="7"/>
        <v>11.078190283696312</v>
      </c>
      <c r="U29">
        <f t="shared" ca="1" si="7"/>
        <v>11.280889457951364</v>
      </c>
      <c r="V29">
        <f t="shared" ca="1" si="7"/>
        <v>12.03946744238405</v>
      </c>
      <c r="W29">
        <f t="shared" ca="1" si="7"/>
        <v>11.155666019702945</v>
      </c>
      <c r="X29">
        <f t="shared" ca="1" si="7"/>
        <v>11.542628639839842</v>
      </c>
      <c r="Y29">
        <f t="shared" ca="1" si="7"/>
        <v>11.105953143300294</v>
      </c>
      <c r="Z29">
        <f t="shared" ca="1" si="7"/>
        <v>11.720171968932323</v>
      </c>
      <c r="AA29">
        <f t="shared" ca="1" si="8"/>
        <v>10.352591385948385</v>
      </c>
      <c r="AB29">
        <f t="shared" ca="1" si="8"/>
        <v>12.30539269141123</v>
      </c>
      <c r="AC29">
        <f t="shared" ca="1" si="8"/>
        <v>9.7245074465285555</v>
      </c>
      <c r="AD29">
        <f t="shared" ca="1" si="8"/>
        <v>11.089831789299737</v>
      </c>
      <c r="AE29">
        <f t="shared" ca="1" si="8"/>
        <v>10.000539371718748</v>
      </c>
      <c r="AF29">
        <f t="shared" ca="1" si="8"/>
        <v>11.307342799335348</v>
      </c>
      <c r="AG29">
        <f t="shared" ca="1" si="8"/>
        <v>10.859923660366073</v>
      </c>
      <c r="AH29">
        <f t="shared" ca="1" si="8"/>
        <v>11.402732046826188</v>
      </c>
    </row>
    <row r="30" spans="1:34">
      <c r="A30" t="str">
        <f>CYF!A30</f>
        <v>Maize</v>
      </c>
      <c r="B30" t="str">
        <f>CYF!B30</f>
        <v>Gambela</v>
      </c>
      <c r="C30">
        <f t="shared" ca="1" si="6"/>
        <v>9.3318018631192334</v>
      </c>
      <c r="D30">
        <f t="shared" ca="1" si="6"/>
        <v>11.278004496572153</v>
      </c>
      <c r="E30">
        <f t="shared" ca="1" si="6"/>
        <v>10.69077771777981</v>
      </c>
      <c r="F30">
        <f t="shared" ca="1" si="6"/>
        <v>12.48331177037676</v>
      </c>
      <c r="G30">
        <f t="shared" ca="1" si="6"/>
        <v>9.9963497427253589</v>
      </c>
      <c r="H30">
        <f t="shared" ca="1" si="6"/>
        <v>11.489187584823103</v>
      </c>
      <c r="I30">
        <f t="shared" ca="1" si="6"/>
        <v>10.698611758121443</v>
      </c>
      <c r="J30">
        <f t="shared" ca="1" si="6"/>
        <v>11.95153793865564</v>
      </c>
      <c r="K30">
        <f t="shared" ca="1" si="6"/>
        <v>9.9997686776014589</v>
      </c>
      <c r="L30">
        <f t="shared" ca="1" si="6"/>
        <v>11.091058736147952</v>
      </c>
      <c r="M30">
        <f t="shared" ca="1" si="6"/>
        <v>9.2265920395923793</v>
      </c>
      <c r="N30">
        <f t="shared" ca="1" si="6"/>
        <v>11.272281264795728</v>
      </c>
      <c r="O30">
        <f t="shared" ca="1" si="6"/>
        <v>10.578411868881501</v>
      </c>
      <c r="P30">
        <f t="shared" ca="1" si="6"/>
        <v>11.791589703946647</v>
      </c>
      <c r="Q30">
        <f t="shared" ca="1" si="6"/>
        <v>10.329616099358844</v>
      </c>
      <c r="R30">
        <f t="shared" ca="1" si="6"/>
        <v>11.395483635472724</v>
      </c>
      <c r="S30">
        <f t="shared" ca="1" si="7"/>
        <v>10.665590467098339</v>
      </c>
      <c r="T30">
        <f t="shared" ca="1" si="7"/>
        <v>11.136251502261576</v>
      </c>
      <c r="U30">
        <f t="shared" ca="1" si="7"/>
        <v>10.403924596790695</v>
      </c>
      <c r="V30">
        <f t="shared" ca="1" si="7"/>
        <v>11.132020392874368</v>
      </c>
      <c r="W30">
        <f t="shared" ca="1" si="7"/>
        <v>10.732951164868741</v>
      </c>
      <c r="X30">
        <f t="shared" ca="1" si="7"/>
        <v>12.440521224063247</v>
      </c>
      <c r="Y30">
        <f t="shared" ca="1" si="7"/>
        <v>9.7408343651414757</v>
      </c>
      <c r="Z30">
        <f t="shared" ca="1" si="7"/>
        <v>11.071913345405124</v>
      </c>
      <c r="AA30">
        <f t="shared" ca="1" si="8"/>
        <v>11.125764361807585</v>
      </c>
      <c r="AB30">
        <f t="shared" ca="1" si="8"/>
        <v>12.12764059953426</v>
      </c>
      <c r="AC30">
        <f t="shared" ca="1" si="8"/>
        <v>10.416938110945399</v>
      </c>
      <c r="AD30">
        <f t="shared" ca="1" si="8"/>
        <v>12.259005188910864</v>
      </c>
      <c r="AE30">
        <f t="shared" ca="1" si="8"/>
        <v>10.857862579452684</v>
      </c>
      <c r="AF30">
        <f t="shared" ca="1" si="8"/>
        <v>11.455617015858692</v>
      </c>
      <c r="AG30">
        <f t="shared" ca="1" si="8"/>
        <v>10.584140390189409</v>
      </c>
      <c r="AH30">
        <f t="shared" ca="1" si="8"/>
        <v>11.616485974412806</v>
      </c>
    </row>
    <row r="31" spans="1:34">
      <c r="A31" t="str">
        <f>CYF!A31</f>
        <v>Maize</v>
      </c>
      <c r="B31" t="str">
        <f>CYF!B31</f>
        <v>Harari</v>
      </c>
      <c r="C31">
        <f t="shared" ca="1" si="6"/>
        <v>9.9746380303504818</v>
      </c>
      <c r="D31">
        <f t="shared" ca="1" si="6"/>
        <v>11.091585613351562</v>
      </c>
      <c r="E31">
        <f t="shared" ca="1" si="6"/>
        <v>10.8541211375572</v>
      </c>
      <c r="F31">
        <f t="shared" ca="1" si="6"/>
        <v>12.103084241213262</v>
      </c>
      <c r="G31">
        <f t="shared" ca="1" si="6"/>
        <v>10.647005865884193</v>
      </c>
      <c r="H31">
        <f t="shared" ca="1" si="6"/>
        <v>11.201324379236983</v>
      </c>
      <c r="I31">
        <f t="shared" ca="1" si="6"/>
        <v>11.347648248128387</v>
      </c>
      <c r="J31">
        <f t="shared" ca="1" si="6"/>
        <v>11.501496450481998</v>
      </c>
      <c r="K31">
        <f t="shared" ca="1" si="6"/>
        <v>9.1354103726006475</v>
      </c>
      <c r="L31">
        <f t="shared" ca="1" si="6"/>
        <v>11.597100159016001</v>
      </c>
      <c r="M31">
        <f t="shared" ca="1" si="6"/>
        <v>11.065524263391332</v>
      </c>
      <c r="N31">
        <f t="shared" ca="1" si="6"/>
        <v>12.446756128621328</v>
      </c>
      <c r="O31">
        <f t="shared" ca="1" si="6"/>
        <v>10.50765837577687</v>
      </c>
      <c r="P31">
        <f t="shared" ca="1" si="6"/>
        <v>11.143908931226173</v>
      </c>
      <c r="Q31">
        <f t="shared" ca="1" si="6"/>
        <v>9.8884475822970028</v>
      </c>
      <c r="R31">
        <f t="shared" ca="1" si="6"/>
        <v>12.483016763090109</v>
      </c>
      <c r="S31">
        <f t="shared" ca="1" si="7"/>
        <v>9.7736401590713946</v>
      </c>
      <c r="T31">
        <f t="shared" ca="1" si="7"/>
        <v>12.035150904598408</v>
      </c>
      <c r="U31">
        <f t="shared" ca="1" si="7"/>
        <v>10.322863529606719</v>
      </c>
      <c r="V31">
        <f t="shared" ca="1" si="7"/>
        <v>11.556919673368419</v>
      </c>
      <c r="W31">
        <f t="shared" ca="1" si="7"/>
        <v>9.1518500885890841</v>
      </c>
      <c r="X31">
        <f t="shared" ca="1" si="7"/>
        <v>12.380285880748264</v>
      </c>
      <c r="Y31">
        <f t="shared" ca="1" si="7"/>
        <v>11.151990146470748</v>
      </c>
      <c r="Z31">
        <f t="shared" ca="1" si="7"/>
        <v>12.497158277747996</v>
      </c>
      <c r="AA31">
        <f t="shared" ca="1" si="8"/>
        <v>11.480386348499335</v>
      </c>
      <c r="AB31">
        <f t="shared" ca="1" si="8"/>
        <v>12.000252003935813</v>
      </c>
      <c r="AC31">
        <f t="shared" ca="1" si="8"/>
        <v>10.136059773856651</v>
      </c>
      <c r="AD31">
        <f t="shared" ca="1" si="8"/>
        <v>11.773647548127673</v>
      </c>
      <c r="AE31">
        <f t="shared" ca="1" si="8"/>
        <v>10.251920932139035</v>
      </c>
      <c r="AF31">
        <f t="shared" ca="1" si="8"/>
        <v>11.497871561615476</v>
      </c>
      <c r="AG31">
        <f t="shared" ca="1" si="8"/>
        <v>11.403942064876421</v>
      </c>
      <c r="AH31">
        <f t="shared" ca="1" si="8"/>
        <v>11.98996415221983</v>
      </c>
    </row>
    <row r="32" spans="1:34">
      <c r="A32" t="str">
        <f>CYF!A32</f>
        <v>Maize</v>
      </c>
      <c r="B32" t="str">
        <f>CYF!B32</f>
        <v>Oromia</v>
      </c>
      <c r="C32">
        <f t="shared" ca="1" si="6"/>
        <v>9.9891613707133526</v>
      </c>
      <c r="D32">
        <f t="shared" ca="1" si="6"/>
        <v>12.120467715299444</v>
      </c>
      <c r="E32">
        <f t="shared" ca="1" si="6"/>
        <v>9.5572931377005492</v>
      </c>
      <c r="F32">
        <f t="shared" ca="1" si="6"/>
        <v>11.769534133345424</v>
      </c>
      <c r="G32">
        <f t="shared" ca="1" si="6"/>
        <v>9.0758066243747422</v>
      </c>
      <c r="H32">
        <f t="shared" ca="1" si="6"/>
        <v>12.361478948709017</v>
      </c>
      <c r="I32">
        <f t="shared" ca="1" si="6"/>
        <v>9.2517362907967016</v>
      </c>
      <c r="J32">
        <f t="shared" ca="1" si="6"/>
        <v>11.506423960886755</v>
      </c>
      <c r="K32">
        <f t="shared" ca="1" si="6"/>
        <v>9.6933202637484719</v>
      </c>
      <c r="L32">
        <f t="shared" ca="1" si="6"/>
        <v>11.771295574327945</v>
      </c>
      <c r="M32">
        <f t="shared" ca="1" si="6"/>
        <v>10.747424129047465</v>
      </c>
      <c r="N32">
        <f t="shared" ca="1" si="6"/>
        <v>11.035270686350131</v>
      </c>
      <c r="O32">
        <f t="shared" ca="1" si="6"/>
        <v>10.818757308560491</v>
      </c>
      <c r="P32">
        <f t="shared" ca="1" si="6"/>
        <v>11.872500271102954</v>
      </c>
      <c r="Q32">
        <f t="shared" ca="1" si="6"/>
        <v>9.1496380134527424</v>
      </c>
      <c r="R32">
        <f t="shared" ca="1" si="6"/>
        <v>11.961419660546941</v>
      </c>
      <c r="S32">
        <f t="shared" ca="1" si="7"/>
        <v>9.742526658869977</v>
      </c>
      <c r="T32">
        <f t="shared" ca="1" si="7"/>
        <v>11.388602286501929</v>
      </c>
      <c r="U32">
        <f t="shared" ca="1" si="7"/>
        <v>10.495284853629627</v>
      </c>
      <c r="V32">
        <f t="shared" ca="1" si="7"/>
        <v>11.060206352782544</v>
      </c>
      <c r="W32">
        <f t="shared" ca="1" si="7"/>
        <v>10.00672877944635</v>
      </c>
      <c r="X32">
        <f t="shared" ca="1" si="7"/>
        <v>12.440304878136043</v>
      </c>
      <c r="Y32">
        <f t="shared" ca="1" si="7"/>
        <v>9.0961088411727626</v>
      </c>
      <c r="Z32">
        <f t="shared" ca="1" si="7"/>
        <v>11.446099412491026</v>
      </c>
      <c r="AA32">
        <f t="shared" ca="1" si="8"/>
        <v>10.07003890067346</v>
      </c>
      <c r="AB32">
        <f t="shared" ca="1" si="8"/>
        <v>11.140514881688542</v>
      </c>
      <c r="AC32">
        <f t="shared" ca="1" si="8"/>
        <v>10.785647692738447</v>
      </c>
      <c r="AD32">
        <f t="shared" ca="1" si="8"/>
        <v>11.941837308462096</v>
      </c>
      <c r="AE32">
        <f t="shared" ca="1" si="8"/>
        <v>9.6711774552906409</v>
      </c>
      <c r="AF32">
        <f t="shared" ca="1" si="8"/>
        <v>11.993554272508915</v>
      </c>
      <c r="AG32">
        <f t="shared" ca="1" si="8"/>
        <v>11.056630232820627</v>
      </c>
      <c r="AH32">
        <f t="shared" ca="1" si="8"/>
        <v>11.229805798783978</v>
      </c>
    </row>
    <row r="33" spans="1:34">
      <c r="A33" t="str">
        <f>CYF!A33</f>
        <v>Maize</v>
      </c>
      <c r="B33" t="str">
        <f>CYF!B33</f>
        <v>Somali</v>
      </c>
      <c r="C33">
        <f t="shared" ca="1" si="6"/>
        <v>11.230471551096436</v>
      </c>
      <c r="D33">
        <f t="shared" ca="1" si="6"/>
        <v>12.321497313791754</v>
      </c>
      <c r="E33">
        <f t="shared" ca="1" si="6"/>
        <v>9.3842017460256617</v>
      </c>
      <c r="F33">
        <f t="shared" ca="1" si="6"/>
        <v>12.153016292822427</v>
      </c>
      <c r="G33">
        <f t="shared" ca="1" si="6"/>
        <v>10.988644274994952</v>
      </c>
      <c r="H33">
        <f t="shared" ca="1" si="6"/>
        <v>12.028436760378099</v>
      </c>
      <c r="I33">
        <f t="shared" ca="1" si="6"/>
        <v>10.233166517714348</v>
      </c>
      <c r="J33">
        <f t="shared" ca="1" si="6"/>
        <v>12.288673087610377</v>
      </c>
      <c r="K33">
        <f t="shared" ca="1" si="6"/>
        <v>11.354154640011348</v>
      </c>
      <c r="L33">
        <f t="shared" ca="1" si="6"/>
        <v>11.998440716208558</v>
      </c>
      <c r="M33">
        <f t="shared" ca="1" si="6"/>
        <v>11.462782108123607</v>
      </c>
      <c r="N33">
        <f t="shared" ca="1" si="6"/>
        <v>11.509273602239563</v>
      </c>
      <c r="O33">
        <f t="shared" ca="1" si="6"/>
        <v>9.4015852855002375</v>
      </c>
      <c r="P33">
        <f t="shared" ca="1" si="6"/>
        <v>11.731327237087957</v>
      </c>
      <c r="Q33">
        <f t="shared" ca="1" si="6"/>
        <v>10.780894599950162</v>
      </c>
      <c r="R33">
        <f t="shared" ca="1" si="6"/>
        <v>11.608061488757713</v>
      </c>
      <c r="S33">
        <f t="shared" ca="1" si="7"/>
        <v>9.3614278639623425</v>
      </c>
      <c r="T33">
        <f t="shared" ca="1" si="7"/>
        <v>11.400550801419865</v>
      </c>
      <c r="U33">
        <f t="shared" ca="1" si="7"/>
        <v>9.8596244889662934</v>
      </c>
      <c r="V33">
        <f t="shared" ca="1" si="7"/>
        <v>11.434926006444897</v>
      </c>
      <c r="W33">
        <f t="shared" ca="1" si="7"/>
        <v>11.18760450834068</v>
      </c>
      <c r="X33">
        <f t="shared" ca="1" si="7"/>
        <v>11.541835702976185</v>
      </c>
      <c r="Y33">
        <f t="shared" ca="1" si="7"/>
        <v>10.87303171107016</v>
      </c>
      <c r="Z33">
        <f t="shared" ca="1" si="7"/>
        <v>11.427398946741889</v>
      </c>
      <c r="AA33">
        <f t="shared" ca="1" si="8"/>
        <v>9.1590560181751588</v>
      </c>
      <c r="AB33">
        <f t="shared" ca="1" si="8"/>
        <v>11.179290007648602</v>
      </c>
      <c r="AC33">
        <f t="shared" ca="1" si="8"/>
        <v>10.149695610879444</v>
      </c>
      <c r="AD33">
        <f t="shared" ca="1" si="8"/>
        <v>12.081084769424372</v>
      </c>
      <c r="AE33">
        <f t="shared" ca="1" si="8"/>
        <v>11.096411670157032</v>
      </c>
      <c r="AF33">
        <f t="shared" ca="1" si="8"/>
        <v>12.207461920311246</v>
      </c>
      <c r="AG33">
        <f t="shared" ca="1" si="8"/>
        <v>10.696272258206552</v>
      </c>
      <c r="AH33">
        <f t="shared" ca="1" si="8"/>
        <v>11.648176492822275</v>
      </c>
    </row>
    <row r="34" spans="1:34">
      <c r="A34" t="str">
        <f>CYF!A34</f>
        <v>Maize</v>
      </c>
      <c r="B34" t="str">
        <f>CYF!B34</f>
        <v>SNNPR</v>
      </c>
      <c r="C34">
        <f t="shared" ca="1" si="6"/>
        <v>11.060201936213785</v>
      </c>
      <c r="D34">
        <f t="shared" ca="1" si="6"/>
        <v>11.214373200754022</v>
      </c>
      <c r="E34">
        <f t="shared" ca="1" si="6"/>
        <v>10.49279315854435</v>
      </c>
      <c r="F34">
        <f t="shared" ca="1" si="6"/>
        <v>11.890038494382102</v>
      </c>
      <c r="G34">
        <f t="shared" ca="1" si="6"/>
        <v>10.170510222338372</v>
      </c>
      <c r="H34">
        <f t="shared" ca="1" si="6"/>
        <v>11.924096619663722</v>
      </c>
      <c r="I34">
        <f t="shared" ca="1" si="6"/>
        <v>9.454551333843936</v>
      </c>
      <c r="J34">
        <f t="shared" ca="1" si="6"/>
        <v>11.819467242536987</v>
      </c>
      <c r="K34">
        <f t="shared" ca="1" si="6"/>
        <v>10.509884895360635</v>
      </c>
      <c r="L34">
        <f t="shared" ca="1" si="6"/>
        <v>12.47958565365423</v>
      </c>
      <c r="M34">
        <f t="shared" ca="1" si="6"/>
        <v>10.676398916668413</v>
      </c>
      <c r="N34">
        <f t="shared" ca="1" si="6"/>
        <v>11.777041444304873</v>
      </c>
      <c r="O34">
        <f t="shared" ca="1" si="6"/>
        <v>10.61652527094893</v>
      </c>
      <c r="P34">
        <f t="shared" ca="1" si="6"/>
        <v>11.648897624605068</v>
      </c>
      <c r="Q34">
        <f t="shared" ca="1" si="6"/>
        <v>11.029528941008843</v>
      </c>
      <c r="R34">
        <f t="shared" ca="1" si="6"/>
        <v>11.625827493894004</v>
      </c>
      <c r="S34">
        <f t="shared" ca="1" si="7"/>
        <v>9.0043841953998118</v>
      </c>
      <c r="T34">
        <f t="shared" ca="1" si="7"/>
        <v>11.48024403420893</v>
      </c>
      <c r="U34">
        <f t="shared" ca="1" si="7"/>
        <v>9.1449979317024113</v>
      </c>
      <c r="V34">
        <f t="shared" ca="1" si="7"/>
        <v>11.604328411331734</v>
      </c>
      <c r="W34">
        <f t="shared" ca="1" si="7"/>
        <v>9.3938549087514716</v>
      </c>
      <c r="X34">
        <f t="shared" ca="1" si="7"/>
        <v>11.551952872903932</v>
      </c>
      <c r="Y34">
        <f t="shared" ca="1" si="7"/>
        <v>10.037376414169685</v>
      </c>
      <c r="Z34">
        <f t="shared" ca="1" si="7"/>
        <v>11.089401813315408</v>
      </c>
      <c r="AA34">
        <f t="shared" ca="1" si="8"/>
        <v>11.295602654388487</v>
      </c>
      <c r="AB34">
        <f t="shared" ca="1" si="8"/>
        <v>11.219116658872625</v>
      </c>
      <c r="AC34">
        <f t="shared" ca="1" si="8"/>
        <v>10.61422781556568</v>
      </c>
      <c r="AD34">
        <f t="shared" ca="1" si="8"/>
        <v>11.721712152586186</v>
      </c>
      <c r="AE34">
        <f t="shared" ca="1" si="8"/>
        <v>9.8742093438755933</v>
      </c>
      <c r="AF34">
        <f t="shared" ca="1" si="8"/>
        <v>11.308012160530925</v>
      </c>
      <c r="AG34">
        <f t="shared" ca="1" si="8"/>
        <v>9.7562388590734894</v>
      </c>
      <c r="AH34">
        <f t="shared" ca="1" si="8"/>
        <v>12.341336292181536</v>
      </c>
    </row>
    <row r="35" spans="1:34">
      <c r="A35" t="str">
        <f>CYF!A35</f>
        <v>Maize</v>
      </c>
      <c r="B35" t="str">
        <f>CYF!B35</f>
        <v>Tigray</v>
      </c>
      <c r="C35">
        <f t="shared" ca="1" si="6"/>
        <v>10.970037266562301</v>
      </c>
      <c r="D35">
        <f t="shared" ca="1" si="6"/>
        <v>12.456529673522102</v>
      </c>
      <c r="E35">
        <f t="shared" ca="1" si="6"/>
        <v>10.033287472667311</v>
      </c>
      <c r="F35">
        <f t="shared" ca="1" si="6"/>
        <v>12.436543334126483</v>
      </c>
      <c r="G35">
        <f t="shared" ca="1" si="6"/>
        <v>9.9928817037812774</v>
      </c>
      <c r="H35">
        <f t="shared" ca="1" si="6"/>
        <v>11.797587723430047</v>
      </c>
      <c r="I35">
        <f t="shared" ca="1" si="6"/>
        <v>9.0786984938389388</v>
      </c>
      <c r="J35">
        <f t="shared" ca="1" si="6"/>
        <v>12.023299462833091</v>
      </c>
      <c r="K35">
        <f t="shared" ca="1" si="6"/>
        <v>10.113900303474882</v>
      </c>
      <c r="L35">
        <f t="shared" ca="1" si="6"/>
        <v>11.326917145296404</v>
      </c>
      <c r="M35">
        <f t="shared" ca="1" si="6"/>
        <v>9.8444538529328156</v>
      </c>
      <c r="N35">
        <f t="shared" ca="1" si="6"/>
        <v>11.009193698356938</v>
      </c>
      <c r="O35">
        <f t="shared" ca="1" si="6"/>
        <v>9.2578272447537984</v>
      </c>
      <c r="P35">
        <f t="shared" ca="1" si="6"/>
        <v>11.010527599066634</v>
      </c>
      <c r="Q35">
        <f t="shared" ca="1" si="6"/>
        <v>10.894363389199057</v>
      </c>
      <c r="R35">
        <f t="shared" ca="1" si="6"/>
        <v>11.180228616828963</v>
      </c>
      <c r="S35">
        <f t="shared" ca="1" si="7"/>
        <v>10.952120188286392</v>
      </c>
      <c r="T35">
        <f t="shared" ca="1" si="7"/>
        <v>11.95112213164021</v>
      </c>
      <c r="U35">
        <f t="shared" ca="1" si="7"/>
        <v>11.411396828361069</v>
      </c>
      <c r="V35">
        <f t="shared" ca="1" si="7"/>
        <v>11.734119213594953</v>
      </c>
      <c r="W35">
        <f t="shared" ca="1" si="7"/>
        <v>11.088787956780987</v>
      </c>
      <c r="X35">
        <f t="shared" ca="1" si="7"/>
        <v>11.099966752554893</v>
      </c>
      <c r="Y35">
        <f t="shared" ca="1" si="7"/>
        <v>9.8142921290543335</v>
      </c>
      <c r="Z35">
        <f t="shared" ca="1" si="7"/>
        <v>11.404771007552885</v>
      </c>
      <c r="AA35">
        <f t="shared" ca="1" si="8"/>
        <v>11.460314144663197</v>
      </c>
      <c r="AB35">
        <f t="shared" ca="1" si="8"/>
        <v>12.156002281666503</v>
      </c>
      <c r="AC35">
        <f t="shared" ca="1" si="8"/>
        <v>9.6262884566742102</v>
      </c>
      <c r="AD35">
        <f t="shared" ca="1" si="8"/>
        <v>11.184898557414227</v>
      </c>
      <c r="AE35">
        <f t="shared" ca="1" si="8"/>
        <v>10.175341007219146</v>
      </c>
      <c r="AF35">
        <f t="shared" ca="1" si="8"/>
        <v>11.328221873456167</v>
      </c>
      <c r="AG35">
        <f t="shared" ca="1" si="8"/>
        <v>9.0559249491584612</v>
      </c>
      <c r="AH35">
        <f t="shared" ca="1" si="8"/>
        <v>12.155327206503088</v>
      </c>
    </row>
    <row r="36" spans="1:34">
      <c r="A36" t="str">
        <f>CYF!A36</f>
        <v>Lentils</v>
      </c>
      <c r="B36" t="str">
        <f>CYF!B36</f>
        <v>AddisAbaba</v>
      </c>
      <c r="C36">
        <f t="shared" ca="1" si="6"/>
        <v>11.315946404594804</v>
      </c>
      <c r="D36">
        <f t="shared" ca="1" si="6"/>
        <v>12.146566789911986</v>
      </c>
      <c r="E36">
        <f t="shared" ca="1" si="6"/>
        <v>11.479302954910889</v>
      </c>
      <c r="F36">
        <f t="shared" ca="1" si="6"/>
        <v>11.0523144625064</v>
      </c>
      <c r="G36">
        <f t="shared" ca="1" si="6"/>
        <v>9.2735592814727728</v>
      </c>
      <c r="H36">
        <f t="shared" ca="1" si="6"/>
        <v>11.45236334717756</v>
      </c>
      <c r="I36">
        <f t="shared" ca="1" si="6"/>
        <v>10.491733321043455</v>
      </c>
      <c r="J36">
        <f t="shared" ca="1" si="6"/>
        <v>11.790368755229625</v>
      </c>
      <c r="K36">
        <f t="shared" ca="1" si="6"/>
        <v>9.6371990232224611</v>
      </c>
      <c r="L36">
        <f t="shared" ca="1" si="6"/>
        <v>11.399785215755259</v>
      </c>
      <c r="M36">
        <f t="shared" ca="1" si="6"/>
        <v>10.629350811220645</v>
      </c>
      <c r="N36">
        <f t="shared" ca="1" si="6"/>
        <v>11.554134628829006</v>
      </c>
      <c r="O36">
        <f t="shared" ca="1" si="6"/>
        <v>9.8614690612894211</v>
      </c>
      <c r="P36">
        <f t="shared" ca="1" si="6"/>
        <v>11.404626627576077</v>
      </c>
      <c r="Q36">
        <f t="shared" ca="1" si="6"/>
        <v>10.447622438292274</v>
      </c>
      <c r="R36">
        <f t="shared" ca="1" si="6"/>
        <v>12.097245507859325</v>
      </c>
      <c r="S36">
        <f t="shared" ca="1" si="7"/>
        <v>11.092522721717465</v>
      </c>
      <c r="T36">
        <f t="shared" ca="1" si="7"/>
        <v>12.024153605435149</v>
      </c>
      <c r="U36">
        <f t="shared" ca="1" si="7"/>
        <v>9.7666925291824231</v>
      </c>
      <c r="V36">
        <f t="shared" ca="1" si="7"/>
        <v>12.251556018714725</v>
      </c>
      <c r="W36">
        <f t="shared" ca="1" si="7"/>
        <v>9.5578606731869069</v>
      </c>
      <c r="X36">
        <f t="shared" ca="1" si="7"/>
        <v>11.419158158303183</v>
      </c>
      <c r="Y36">
        <f t="shared" ca="1" si="7"/>
        <v>9.7255631135113578</v>
      </c>
      <c r="Z36">
        <f t="shared" ca="1" si="7"/>
        <v>11.073297135592778</v>
      </c>
      <c r="AA36">
        <f t="shared" ca="1" si="8"/>
        <v>10.639093411449435</v>
      </c>
      <c r="AB36">
        <f t="shared" ca="1" si="8"/>
        <v>12.030631795238429</v>
      </c>
      <c r="AC36">
        <f t="shared" ca="1" si="8"/>
        <v>9.6069907319758521</v>
      </c>
      <c r="AD36">
        <f t="shared" ca="1" si="8"/>
        <v>12.215114915484786</v>
      </c>
      <c r="AE36">
        <f t="shared" ca="1" si="8"/>
        <v>9.2499015033676102</v>
      </c>
      <c r="AF36">
        <f t="shared" ca="1" si="8"/>
        <v>11.963796274645871</v>
      </c>
      <c r="AG36">
        <f t="shared" ca="1" si="8"/>
        <v>11.031323336874451</v>
      </c>
      <c r="AH36">
        <f t="shared" ca="1" si="8"/>
        <v>12.104880693680858</v>
      </c>
    </row>
    <row r="37" spans="1:34">
      <c r="A37" t="str">
        <f>CYF!A37</f>
        <v>Lentils</v>
      </c>
      <c r="B37" t="str">
        <f>CYF!B37</f>
        <v>Afar</v>
      </c>
      <c r="C37">
        <f t="shared" ca="1" si="6"/>
        <v>9.4471248972441781</v>
      </c>
      <c r="D37">
        <f t="shared" ca="1" si="6"/>
        <v>11.670523881461573</v>
      </c>
      <c r="E37">
        <f t="shared" ca="1" si="6"/>
        <v>11.268184457472543</v>
      </c>
      <c r="F37">
        <f t="shared" ca="1" si="6"/>
        <v>11.556147532801212</v>
      </c>
      <c r="G37">
        <f t="shared" ca="1" si="6"/>
        <v>11.056870584388314</v>
      </c>
      <c r="H37">
        <f t="shared" ca="1" si="6"/>
        <v>12.241154675629426</v>
      </c>
      <c r="I37">
        <f t="shared" ca="1" si="6"/>
        <v>11.307013850520562</v>
      </c>
      <c r="J37">
        <f t="shared" ca="1" si="6"/>
        <v>12.343509838069417</v>
      </c>
      <c r="K37">
        <f t="shared" ca="1" si="6"/>
        <v>10.378442428941074</v>
      </c>
      <c r="L37">
        <f t="shared" ca="1" si="6"/>
        <v>11.66624910608636</v>
      </c>
      <c r="M37">
        <f t="shared" ca="1" si="6"/>
        <v>10.767629599422929</v>
      </c>
      <c r="N37">
        <f t="shared" ca="1" si="6"/>
        <v>12.107516336804601</v>
      </c>
      <c r="O37">
        <f t="shared" ca="1" si="6"/>
        <v>10.475129563359955</v>
      </c>
      <c r="P37">
        <f t="shared" ca="1" si="6"/>
        <v>11.380591734107881</v>
      </c>
      <c r="Q37">
        <f t="shared" ca="1" si="6"/>
        <v>9.6781170763334448</v>
      </c>
      <c r="R37">
        <f t="shared" ca="1" si="6"/>
        <v>12.16133210484629</v>
      </c>
      <c r="S37">
        <f t="shared" ca="1" si="7"/>
        <v>11.031272872127095</v>
      </c>
      <c r="T37">
        <f t="shared" ca="1" si="7"/>
        <v>11.936513649470236</v>
      </c>
      <c r="U37">
        <f t="shared" ca="1" si="7"/>
        <v>10.727391713852212</v>
      </c>
      <c r="V37">
        <f t="shared" ca="1" si="7"/>
        <v>11.913127303994044</v>
      </c>
      <c r="W37">
        <f t="shared" ca="1" si="7"/>
        <v>10.531013967275467</v>
      </c>
      <c r="X37">
        <f t="shared" ca="1" si="7"/>
        <v>12.250379510732582</v>
      </c>
      <c r="Y37">
        <f t="shared" ca="1" si="7"/>
        <v>10.652674776418271</v>
      </c>
      <c r="Z37">
        <f t="shared" ca="1" si="7"/>
        <v>11.451019284335985</v>
      </c>
      <c r="AA37">
        <f t="shared" ca="1" si="8"/>
        <v>10.44929050739097</v>
      </c>
      <c r="AB37">
        <f t="shared" ca="1" si="8"/>
        <v>11.908935962734727</v>
      </c>
      <c r="AC37">
        <f t="shared" ca="1" si="8"/>
        <v>10.423590525408223</v>
      </c>
      <c r="AD37">
        <f t="shared" ca="1" si="8"/>
        <v>11.615117832525934</v>
      </c>
      <c r="AE37">
        <f t="shared" ca="1" si="8"/>
        <v>11.476023255022252</v>
      </c>
      <c r="AF37">
        <f t="shared" ca="1" si="8"/>
        <v>11.363182064765354</v>
      </c>
      <c r="AG37">
        <f t="shared" ca="1" si="8"/>
        <v>9.75389960917229</v>
      </c>
      <c r="AH37">
        <f t="shared" ca="1" si="8"/>
        <v>11.713463094734681</v>
      </c>
    </row>
    <row r="38" spans="1:34">
      <c r="A38" t="str">
        <f>CYF!A38</f>
        <v>Lentils</v>
      </c>
      <c r="B38" t="str">
        <f>CYF!B38</f>
        <v>Amhara</v>
      </c>
      <c r="C38">
        <f t="shared" ca="1" si="6"/>
        <v>10.090409476254589</v>
      </c>
      <c r="D38">
        <f t="shared" ca="1" si="6"/>
        <v>11.158341729579822</v>
      </c>
      <c r="E38">
        <f t="shared" ca="1" si="6"/>
        <v>10.034320902628746</v>
      </c>
      <c r="F38">
        <f t="shared" ca="1" si="6"/>
        <v>12.142588825303035</v>
      </c>
      <c r="G38">
        <f t="shared" ca="1" si="6"/>
        <v>11.203596668679344</v>
      </c>
      <c r="H38">
        <f t="shared" ca="1" si="6"/>
        <v>11.753893801344075</v>
      </c>
      <c r="I38">
        <f t="shared" ca="1" si="6"/>
        <v>10.459765002449632</v>
      </c>
      <c r="J38">
        <f t="shared" ref="J38:Y68" ca="1" si="9">IF(1-MOD(COLUMN(),2),25-RAND()*3,(18+RAND()*5))/2</f>
        <v>11.50398811167339</v>
      </c>
      <c r="K38">
        <f t="shared" ca="1" si="9"/>
        <v>10.178621555254173</v>
      </c>
      <c r="L38">
        <f t="shared" ca="1" si="9"/>
        <v>12.080896086535907</v>
      </c>
      <c r="M38">
        <f t="shared" ca="1" si="9"/>
        <v>10.684986019312969</v>
      </c>
      <c r="N38">
        <f t="shared" ca="1" si="9"/>
        <v>12.092020071342075</v>
      </c>
      <c r="O38">
        <f t="shared" ca="1" si="9"/>
        <v>9.8601715081361068</v>
      </c>
      <c r="P38">
        <f t="shared" ca="1" si="9"/>
        <v>11.972839989398267</v>
      </c>
      <c r="Q38">
        <f t="shared" ca="1" si="9"/>
        <v>9.7674650296628851</v>
      </c>
      <c r="R38">
        <f t="shared" ca="1" si="9"/>
        <v>11.128008565432728</v>
      </c>
      <c r="S38">
        <f t="shared" ca="1" si="9"/>
        <v>10.931471086109237</v>
      </c>
      <c r="T38">
        <f t="shared" ca="1" si="9"/>
        <v>12.175099006522075</v>
      </c>
      <c r="U38">
        <f t="shared" ca="1" si="9"/>
        <v>10.621692689525213</v>
      </c>
      <c r="V38">
        <f t="shared" ca="1" si="9"/>
        <v>11.091612483398519</v>
      </c>
      <c r="W38">
        <f t="shared" ca="1" si="9"/>
        <v>9.6595547897747256</v>
      </c>
      <c r="X38">
        <f t="shared" ca="1" si="9"/>
        <v>11.609674587720049</v>
      </c>
      <c r="Y38">
        <f t="shared" ca="1" si="9"/>
        <v>10.660978578601171</v>
      </c>
      <c r="Z38">
        <f t="shared" ca="1" si="7"/>
        <v>12.153762190055064</v>
      </c>
      <c r="AA38">
        <f t="shared" ca="1" si="8"/>
        <v>9.5547294059331112</v>
      </c>
      <c r="AB38">
        <f t="shared" ca="1" si="8"/>
        <v>11.520910491982212</v>
      </c>
      <c r="AC38">
        <f t="shared" ca="1" si="8"/>
        <v>9.8654135094417938</v>
      </c>
      <c r="AD38">
        <f t="shared" ca="1" si="8"/>
        <v>11.329407244395675</v>
      </c>
      <c r="AE38">
        <f t="shared" ca="1" si="8"/>
        <v>9.8505052090646021</v>
      </c>
      <c r="AF38">
        <f t="shared" ca="1" si="8"/>
        <v>11.04648137859899</v>
      </c>
      <c r="AG38">
        <f t="shared" ca="1" si="8"/>
        <v>9.3257464178317786</v>
      </c>
      <c r="AH38">
        <f t="shared" ca="1" si="8"/>
        <v>11.614942282950956</v>
      </c>
    </row>
    <row r="39" spans="1:34">
      <c r="A39" t="str">
        <f>CYF!A39</f>
        <v>Lentils</v>
      </c>
      <c r="B39" t="str">
        <f>CYF!B39</f>
        <v>Gumuz</v>
      </c>
      <c r="C39">
        <f t="shared" ref="C39:R68" ca="1" si="10">IF(1-MOD(COLUMN(),2),25-RAND()*3,(18+RAND()*5))/2</f>
        <v>9.8971506107441751</v>
      </c>
      <c r="D39">
        <f t="shared" ca="1" si="10"/>
        <v>11.477091464177468</v>
      </c>
      <c r="E39">
        <f t="shared" ca="1" si="10"/>
        <v>11.404320807463911</v>
      </c>
      <c r="F39">
        <f t="shared" ca="1" si="10"/>
        <v>11.950400290764371</v>
      </c>
      <c r="G39">
        <f t="shared" ca="1" si="10"/>
        <v>10.754345390550723</v>
      </c>
      <c r="H39">
        <f t="shared" ca="1" si="10"/>
        <v>11.175852142463794</v>
      </c>
      <c r="I39">
        <f t="shared" ca="1" si="10"/>
        <v>10.727134266113026</v>
      </c>
      <c r="J39">
        <f t="shared" ca="1" si="10"/>
        <v>11.779258099916868</v>
      </c>
      <c r="K39">
        <f t="shared" ca="1" si="10"/>
        <v>9.8157277234203502</v>
      </c>
      <c r="L39">
        <f t="shared" ca="1" si="10"/>
        <v>12.214950390752128</v>
      </c>
      <c r="M39">
        <f t="shared" ca="1" si="10"/>
        <v>10.023827346317505</v>
      </c>
      <c r="N39">
        <f t="shared" ca="1" si="10"/>
        <v>11.982960770402185</v>
      </c>
      <c r="O39">
        <f t="shared" ca="1" si="10"/>
        <v>10.644674961927016</v>
      </c>
      <c r="P39">
        <f t="shared" ca="1" si="10"/>
        <v>11.573923275517133</v>
      </c>
      <c r="Q39">
        <f t="shared" ca="1" si="10"/>
        <v>9.2493467760566777</v>
      </c>
      <c r="R39">
        <f t="shared" ca="1" si="10"/>
        <v>12.420141143956846</v>
      </c>
      <c r="S39">
        <f t="shared" ca="1" si="9"/>
        <v>11.461570897630931</v>
      </c>
      <c r="T39">
        <f t="shared" ca="1" si="9"/>
        <v>12.036814192775237</v>
      </c>
      <c r="U39">
        <f t="shared" ca="1" si="9"/>
        <v>9.1289773142497523</v>
      </c>
      <c r="V39">
        <f t="shared" ca="1" si="9"/>
        <v>11.178546326688553</v>
      </c>
      <c r="W39">
        <f t="shared" ca="1" si="9"/>
        <v>10.093008825410571</v>
      </c>
      <c r="X39">
        <f t="shared" ca="1" si="9"/>
        <v>11.81290961077625</v>
      </c>
      <c r="Y39">
        <f t="shared" ca="1" si="9"/>
        <v>10.244425172496312</v>
      </c>
      <c r="Z39">
        <f t="shared" ca="1" si="7"/>
        <v>12.423280916326222</v>
      </c>
      <c r="AA39">
        <f t="shared" ca="1" si="8"/>
        <v>10.680906795584566</v>
      </c>
      <c r="AB39">
        <f t="shared" ca="1" si="8"/>
        <v>11.588065332027822</v>
      </c>
      <c r="AC39">
        <f t="shared" ca="1" si="8"/>
        <v>11.328388542711526</v>
      </c>
      <c r="AD39">
        <f t="shared" ca="1" si="8"/>
        <v>11.082574005460861</v>
      </c>
      <c r="AE39">
        <f t="shared" ca="1" si="8"/>
        <v>11.122041187542028</v>
      </c>
      <c r="AF39">
        <f t="shared" ca="1" si="8"/>
        <v>11.136040811997702</v>
      </c>
      <c r="AG39">
        <f t="shared" ca="1" si="8"/>
        <v>10.110861863354025</v>
      </c>
      <c r="AH39">
        <f t="shared" ca="1" si="8"/>
        <v>11.503291278805056</v>
      </c>
    </row>
    <row r="40" spans="1:34">
      <c r="A40" t="str">
        <f>CYF!A40</f>
        <v>Lentils</v>
      </c>
      <c r="B40" t="str">
        <f>CYF!B40</f>
        <v>DireDawa</v>
      </c>
      <c r="C40">
        <f t="shared" ca="1" si="10"/>
        <v>11.481286604392125</v>
      </c>
      <c r="D40">
        <f t="shared" ca="1" si="10"/>
        <v>12.298355725579187</v>
      </c>
      <c r="E40">
        <f t="shared" ca="1" si="10"/>
        <v>9.664643504620912</v>
      </c>
      <c r="F40">
        <f t="shared" ca="1" si="10"/>
        <v>11.503780058065495</v>
      </c>
      <c r="G40">
        <f t="shared" ca="1" si="10"/>
        <v>11.058475282707475</v>
      </c>
      <c r="H40">
        <f t="shared" ca="1" si="10"/>
        <v>11.704389940006823</v>
      </c>
      <c r="I40">
        <f t="shared" ca="1" si="10"/>
        <v>9.5335280483857474</v>
      </c>
      <c r="J40">
        <f t="shared" ca="1" si="10"/>
        <v>11.499170204678922</v>
      </c>
      <c r="K40">
        <f t="shared" ca="1" si="10"/>
        <v>10.201080175988377</v>
      </c>
      <c r="L40">
        <f t="shared" ca="1" si="10"/>
        <v>12.463627426007886</v>
      </c>
      <c r="M40">
        <f t="shared" ca="1" si="10"/>
        <v>9.5467850626025417</v>
      </c>
      <c r="N40">
        <f t="shared" ca="1" si="10"/>
        <v>11.646567778082195</v>
      </c>
      <c r="O40">
        <f t="shared" ca="1" si="10"/>
        <v>9.6372486914988666</v>
      </c>
      <c r="P40">
        <f t="shared" ca="1" si="10"/>
        <v>11.066965410072839</v>
      </c>
      <c r="Q40">
        <f t="shared" ca="1" si="10"/>
        <v>10.371890967889865</v>
      </c>
      <c r="R40">
        <f t="shared" ca="1" si="10"/>
        <v>11.982712835299948</v>
      </c>
      <c r="S40">
        <f t="shared" ca="1" si="9"/>
        <v>9.218572581871431</v>
      </c>
      <c r="T40">
        <f t="shared" ca="1" si="9"/>
        <v>11.978857610310287</v>
      </c>
      <c r="U40">
        <f t="shared" ca="1" si="9"/>
        <v>11.147143100856594</v>
      </c>
      <c r="V40">
        <f t="shared" ca="1" si="9"/>
        <v>12.221271507367787</v>
      </c>
      <c r="W40">
        <f t="shared" ca="1" si="9"/>
        <v>10.004334526771784</v>
      </c>
      <c r="X40">
        <f t="shared" ca="1" si="9"/>
        <v>11.146558401236531</v>
      </c>
      <c r="Y40">
        <f t="shared" ca="1" si="9"/>
        <v>9.3974514978335026</v>
      </c>
      <c r="Z40">
        <f t="shared" ca="1" si="7"/>
        <v>11.042393800746581</v>
      </c>
      <c r="AA40">
        <f t="shared" ca="1" si="8"/>
        <v>10.381009597640093</v>
      </c>
      <c r="AB40">
        <f t="shared" ca="1" si="8"/>
        <v>11.663065281453564</v>
      </c>
      <c r="AC40">
        <f t="shared" ca="1" si="8"/>
        <v>10.570206906063243</v>
      </c>
      <c r="AD40">
        <f t="shared" ca="1" si="8"/>
        <v>12.040775324705905</v>
      </c>
      <c r="AE40">
        <f t="shared" ca="1" si="8"/>
        <v>9.1169180573693893</v>
      </c>
      <c r="AF40">
        <f t="shared" ca="1" si="8"/>
        <v>11.943140078518056</v>
      </c>
      <c r="AG40">
        <f t="shared" ca="1" si="8"/>
        <v>10.638449058518599</v>
      </c>
      <c r="AH40">
        <f t="shared" ca="1" si="8"/>
        <v>11.570976339895738</v>
      </c>
    </row>
    <row r="41" spans="1:34">
      <c r="A41" t="str">
        <f>CYF!A41</f>
        <v>Lentils</v>
      </c>
      <c r="B41" t="str">
        <f>CYF!B41</f>
        <v>Gambela</v>
      </c>
      <c r="C41">
        <f t="shared" ca="1" si="10"/>
        <v>11.013609951517621</v>
      </c>
      <c r="D41">
        <f t="shared" ca="1" si="10"/>
        <v>11.017267101446354</v>
      </c>
      <c r="E41">
        <f t="shared" ca="1" si="10"/>
        <v>10.543234220673902</v>
      </c>
      <c r="F41">
        <f t="shared" ca="1" si="10"/>
        <v>12.157894333631903</v>
      </c>
      <c r="G41">
        <f t="shared" ca="1" si="10"/>
        <v>9.2221656534864209</v>
      </c>
      <c r="H41">
        <f t="shared" ca="1" si="10"/>
        <v>12.325186410993615</v>
      </c>
      <c r="I41">
        <f t="shared" ca="1" si="10"/>
        <v>10.930650532004314</v>
      </c>
      <c r="J41">
        <f t="shared" ca="1" si="10"/>
        <v>11.806312281920565</v>
      </c>
      <c r="K41">
        <f t="shared" ca="1" si="10"/>
        <v>10.072837053064479</v>
      </c>
      <c r="L41">
        <f t="shared" ca="1" si="10"/>
        <v>11.544839453379645</v>
      </c>
      <c r="M41">
        <f t="shared" ca="1" si="10"/>
        <v>10.389226675281071</v>
      </c>
      <c r="N41">
        <f t="shared" ca="1" si="10"/>
        <v>12.386572478705453</v>
      </c>
      <c r="O41">
        <f t="shared" ca="1" si="10"/>
        <v>10.798266041770336</v>
      </c>
      <c r="P41">
        <f t="shared" ca="1" si="10"/>
        <v>12.409369925626724</v>
      </c>
      <c r="Q41">
        <f t="shared" ca="1" si="10"/>
        <v>9.8496998700445548</v>
      </c>
      <c r="R41">
        <f t="shared" ca="1" si="10"/>
        <v>11.636861507820527</v>
      </c>
      <c r="S41">
        <f t="shared" ca="1" si="9"/>
        <v>9.5648573802467247</v>
      </c>
      <c r="T41">
        <f t="shared" ca="1" si="9"/>
        <v>11.977173089716025</v>
      </c>
      <c r="U41">
        <f t="shared" ca="1" si="9"/>
        <v>10.579794870458286</v>
      </c>
      <c r="V41">
        <f t="shared" ca="1" si="9"/>
        <v>11.266931819909214</v>
      </c>
      <c r="W41">
        <f t="shared" ca="1" si="9"/>
        <v>10.040698365648423</v>
      </c>
      <c r="X41">
        <f t="shared" ca="1" si="9"/>
        <v>12.317120462757224</v>
      </c>
      <c r="Y41">
        <f t="shared" ca="1" si="9"/>
        <v>11.475652595264808</v>
      </c>
      <c r="Z41">
        <f t="shared" ca="1" si="7"/>
        <v>11.474448383706239</v>
      </c>
      <c r="AA41">
        <f t="shared" ca="1" si="8"/>
        <v>10.213001021191204</v>
      </c>
      <c r="AB41">
        <f t="shared" ca="1" si="8"/>
        <v>11.041807730210218</v>
      </c>
      <c r="AC41">
        <f t="shared" ca="1" si="8"/>
        <v>9.3904611304664893</v>
      </c>
      <c r="AD41">
        <f t="shared" ca="1" si="8"/>
        <v>12.138887751817784</v>
      </c>
      <c r="AE41">
        <f t="shared" ca="1" si="8"/>
        <v>11.229296529931968</v>
      </c>
      <c r="AF41">
        <f t="shared" ca="1" si="8"/>
        <v>11.315424808264321</v>
      </c>
      <c r="AG41">
        <f t="shared" ca="1" si="8"/>
        <v>10.019382430479038</v>
      </c>
      <c r="AH41">
        <f t="shared" ca="1" si="8"/>
        <v>11.562821642501621</v>
      </c>
    </row>
    <row r="42" spans="1:34">
      <c r="A42" t="str">
        <f>CYF!A42</f>
        <v>Lentils</v>
      </c>
      <c r="B42" t="str">
        <f>CYF!B42</f>
        <v>Harari</v>
      </c>
      <c r="C42">
        <f t="shared" ca="1" si="10"/>
        <v>10.031765160058505</v>
      </c>
      <c r="D42">
        <f t="shared" ca="1" si="10"/>
        <v>11.535960800577076</v>
      </c>
      <c r="E42">
        <f t="shared" ca="1" si="10"/>
        <v>11.415243801229462</v>
      </c>
      <c r="F42">
        <f t="shared" ca="1" si="10"/>
        <v>12.316275494827297</v>
      </c>
      <c r="G42">
        <f t="shared" ca="1" si="10"/>
        <v>10.570616927765588</v>
      </c>
      <c r="H42">
        <f t="shared" ca="1" si="10"/>
        <v>11.133775550581262</v>
      </c>
      <c r="I42">
        <f t="shared" ca="1" si="10"/>
        <v>10.236654195482748</v>
      </c>
      <c r="J42">
        <f t="shared" ca="1" si="10"/>
        <v>11.065120352168726</v>
      </c>
      <c r="K42">
        <f t="shared" ca="1" si="10"/>
        <v>10.519727608993337</v>
      </c>
      <c r="L42">
        <f t="shared" ca="1" si="10"/>
        <v>12.349930623421002</v>
      </c>
      <c r="M42">
        <f t="shared" ca="1" si="10"/>
        <v>10.775419095077192</v>
      </c>
      <c r="N42">
        <f t="shared" ca="1" si="10"/>
        <v>11.769965784237833</v>
      </c>
      <c r="O42">
        <f t="shared" ca="1" si="10"/>
        <v>10.917480172353555</v>
      </c>
      <c r="P42">
        <f t="shared" ca="1" si="10"/>
        <v>11.573158289642477</v>
      </c>
      <c r="Q42">
        <f t="shared" ca="1" si="10"/>
        <v>11.294375055227274</v>
      </c>
      <c r="R42">
        <f t="shared" ca="1" si="10"/>
        <v>11.642640592764108</v>
      </c>
      <c r="S42">
        <f t="shared" ca="1" si="9"/>
        <v>9.9711206543629363</v>
      </c>
      <c r="T42">
        <f t="shared" ca="1" si="9"/>
        <v>12.095401666805229</v>
      </c>
      <c r="U42">
        <f t="shared" ca="1" si="9"/>
        <v>9.46262318209806</v>
      </c>
      <c r="V42">
        <f t="shared" ca="1" si="9"/>
        <v>11.517174881235324</v>
      </c>
      <c r="W42">
        <f t="shared" ca="1" si="9"/>
        <v>11.425031059737519</v>
      </c>
      <c r="X42">
        <f t="shared" ca="1" si="9"/>
        <v>11.855324286630012</v>
      </c>
      <c r="Y42">
        <f t="shared" ca="1" si="9"/>
        <v>9.0678369419644884</v>
      </c>
      <c r="Z42">
        <f t="shared" ca="1" si="7"/>
        <v>11.744463173661616</v>
      </c>
      <c r="AA42">
        <f t="shared" ca="1" si="8"/>
        <v>10.460562480129182</v>
      </c>
      <c r="AB42">
        <f t="shared" ca="1" si="8"/>
        <v>11.847517021706325</v>
      </c>
      <c r="AC42">
        <f t="shared" ca="1" si="8"/>
        <v>9.7021690175686004</v>
      </c>
      <c r="AD42">
        <f t="shared" ca="1" si="8"/>
        <v>11.307359228302131</v>
      </c>
      <c r="AE42">
        <f t="shared" ca="1" si="8"/>
        <v>9.9286497183816689</v>
      </c>
      <c r="AF42">
        <f t="shared" ca="1" si="8"/>
        <v>11.361301404249897</v>
      </c>
      <c r="AG42">
        <f t="shared" ca="1" si="8"/>
        <v>10.030134630969775</v>
      </c>
      <c r="AH42">
        <f t="shared" ca="1" si="8"/>
        <v>11.550444575859512</v>
      </c>
    </row>
    <row r="43" spans="1:34">
      <c r="A43" t="str">
        <f>CYF!A43</f>
        <v>Lentils</v>
      </c>
      <c r="B43" t="str">
        <f>CYF!B43</f>
        <v>Oromia</v>
      </c>
      <c r="C43">
        <f t="shared" ca="1" si="10"/>
        <v>11.414049053066998</v>
      </c>
      <c r="D43">
        <f t="shared" ca="1" si="10"/>
        <v>11.38186925144619</v>
      </c>
      <c r="E43">
        <f t="shared" ca="1" si="10"/>
        <v>9.4421755438553276</v>
      </c>
      <c r="F43">
        <f t="shared" ca="1" si="10"/>
        <v>12.048773994443259</v>
      </c>
      <c r="G43">
        <f t="shared" ca="1" si="10"/>
        <v>10.089590001264428</v>
      </c>
      <c r="H43">
        <f t="shared" ca="1" si="10"/>
        <v>11.727794335556917</v>
      </c>
      <c r="I43">
        <f t="shared" ca="1" si="10"/>
        <v>10.077893293544426</v>
      </c>
      <c r="J43">
        <f t="shared" ca="1" si="10"/>
        <v>11.133422281312807</v>
      </c>
      <c r="K43">
        <f t="shared" ca="1" si="10"/>
        <v>9.9170944305899127</v>
      </c>
      <c r="L43">
        <f t="shared" ca="1" si="10"/>
        <v>11.893867604829387</v>
      </c>
      <c r="M43">
        <f t="shared" ca="1" si="10"/>
        <v>11.271493339571794</v>
      </c>
      <c r="N43">
        <f t="shared" ca="1" si="10"/>
        <v>11.591615224503661</v>
      </c>
      <c r="O43">
        <f t="shared" ca="1" si="10"/>
        <v>9.9640602701168213</v>
      </c>
      <c r="P43">
        <f t="shared" ca="1" si="10"/>
        <v>11.962152305677893</v>
      </c>
      <c r="Q43">
        <f t="shared" ca="1" si="10"/>
        <v>9.8085134661596793</v>
      </c>
      <c r="R43">
        <f t="shared" ca="1" si="10"/>
        <v>11.452877967782882</v>
      </c>
      <c r="S43">
        <f t="shared" ca="1" si="9"/>
        <v>9.0581836246549585</v>
      </c>
      <c r="T43">
        <f t="shared" ca="1" si="9"/>
        <v>11.456742496223182</v>
      </c>
      <c r="U43">
        <f t="shared" ca="1" si="9"/>
        <v>9.8108575942502068</v>
      </c>
      <c r="V43">
        <f t="shared" ca="1" si="9"/>
        <v>12.303216493081989</v>
      </c>
      <c r="W43">
        <f t="shared" ca="1" si="9"/>
        <v>9.3630481051784251</v>
      </c>
      <c r="X43">
        <f t="shared" ca="1" si="9"/>
        <v>11.56196813705732</v>
      </c>
      <c r="Y43">
        <f t="shared" ca="1" si="9"/>
        <v>10.386628396687165</v>
      </c>
      <c r="Z43">
        <f t="shared" ca="1" si="7"/>
        <v>11.282000865989394</v>
      </c>
      <c r="AA43">
        <f t="shared" ca="1" si="8"/>
        <v>10.565726176334778</v>
      </c>
      <c r="AB43">
        <f t="shared" ca="1" si="8"/>
        <v>11.925297888710235</v>
      </c>
      <c r="AC43">
        <f t="shared" ca="1" si="8"/>
        <v>11.31078062739957</v>
      </c>
      <c r="AD43">
        <f t="shared" ca="1" si="8"/>
        <v>11.004726744705284</v>
      </c>
      <c r="AE43">
        <f t="shared" ca="1" si="8"/>
        <v>9.4049495833375065</v>
      </c>
      <c r="AF43">
        <f t="shared" ca="1" si="8"/>
        <v>11.253860396223038</v>
      </c>
      <c r="AG43">
        <f t="shared" ca="1" si="8"/>
        <v>9.3126855326414191</v>
      </c>
      <c r="AH43">
        <f t="shared" ca="1" si="8"/>
        <v>12.435655669802459</v>
      </c>
    </row>
    <row r="44" spans="1:34">
      <c r="A44" t="str">
        <f>CYF!A44</f>
        <v>Lentils</v>
      </c>
      <c r="B44" t="str">
        <f>CYF!B44</f>
        <v>Somali</v>
      </c>
      <c r="C44">
        <f t="shared" ca="1" si="10"/>
        <v>9.0666477046536826</v>
      </c>
      <c r="D44">
        <f t="shared" ca="1" si="10"/>
        <v>11.661363276024833</v>
      </c>
      <c r="E44">
        <f t="shared" ca="1" si="10"/>
        <v>10.750323182735597</v>
      </c>
      <c r="F44">
        <f t="shared" ca="1" si="10"/>
        <v>12.12045488979104</v>
      </c>
      <c r="G44">
        <f t="shared" ca="1" si="10"/>
        <v>10.769697799588082</v>
      </c>
      <c r="H44">
        <f t="shared" ca="1" si="10"/>
        <v>11.358793691352975</v>
      </c>
      <c r="I44">
        <f t="shared" ca="1" si="10"/>
        <v>9.7875558032124665</v>
      </c>
      <c r="J44">
        <f t="shared" ca="1" si="10"/>
        <v>11.345650158754459</v>
      </c>
      <c r="K44">
        <f t="shared" ca="1" si="10"/>
        <v>10.142261424529838</v>
      </c>
      <c r="L44">
        <f t="shared" ca="1" si="10"/>
        <v>11.985129922642688</v>
      </c>
      <c r="M44">
        <f t="shared" ca="1" si="10"/>
        <v>9.9648602866748099</v>
      </c>
      <c r="N44">
        <f t="shared" ca="1" si="10"/>
        <v>11.170748830554995</v>
      </c>
      <c r="O44">
        <f t="shared" ca="1" si="10"/>
        <v>10.835726873217897</v>
      </c>
      <c r="P44">
        <f t="shared" ca="1" si="10"/>
        <v>12.211489671790641</v>
      </c>
      <c r="Q44">
        <f t="shared" ca="1" si="10"/>
        <v>9.1264857450094716</v>
      </c>
      <c r="R44">
        <f t="shared" ca="1" si="10"/>
        <v>11.160412397887617</v>
      </c>
      <c r="S44">
        <f t="shared" ca="1" si="9"/>
        <v>9.173915264048274</v>
      </c>
      <c r="T44">
        <f t="shared" ca="1" si="9"/>
        <v>12.183499929084361</v>
      </c>
      <c r="U44">
        <f t="shared" ca="1" si="9"/>
        <v>11.153685563888571</v>
      </c>
      <c r="V44">
        <f t="shared" ca="1" si="9"/>
        <v>11.19922617972599</v>
      </c>
      <c r="W44">
        <f t="shared" ca="1" si="9"/>
        <v>9.9451699646471461</v>
      </c>
      <c r="X44">
        <f t="shared" ca="1" si="9"/>
        <v>11.004874194438839</v>
      </c>
      <c r="Y44">
        <f t="shared" ca="1" si="9"/>
        <v>9.5583869204998457</v>
      </c>
      <c r="Z44">
        <f t="shared" ca="1" si="7"/>
        <v>11.354470492362903</v>
      </c>
      <c r="AA44">
        <f t="shared" ca="1" si="8"/>
        <v>9.6115175209353847</v>
      </c>
      <c r="AB44">
        <f t="shared" ca="1" si="8"/>
        <v>11.128897508262927</v>
      </c>
      <c r="AC44">
        <f t="shared" ca="1" si="8"/>
        <v>10.526892055358791</v>
      </c>
      <c r="AD44">
        <f t="shared" ca="1" si="8"/>
        <v>11.036518379857915</v>
      </c>
      <c r="AE44">
        <f t="shared" ca="1" si="8"/>
        <v>11.283935680421051</v>
      </c>
      <c r="AF44">
        <f t="shared" ca="1" si="8"/>
        <v>12.013857035972082</v>
      </c>
      <c r="AG44">
        <f t="shared" ca="1" si="8"/>
        <v>10.579163711001559</v>
      </c>
      <c r="AH44">
        <f t="shared" ca="1" si="8"/>
        <v>11.085722598980588</v>
      </c>
    </row>
    <row r="45" spans="1:34">
      <c r="A45" t="str">
        <f>CYF!A45</f>
        <v>Lentils</v>
      </c>
      <c r="B45" t="str">
        <f>CYF!B45</f>
        <v>SNNPR</v>
      </c>
      <c r="C45">
        <f t="shared" ca="1" si="10"/>
        <v>9.8419207852526558</v>
      </c>
      <c r="D45">
        <f t="shared" ca="1" si="10"/>
        <v>11.412819638523413</v>
      </c>
      <c r="E45">
        <f t="shared" ca="1" si="10"/>
        <v>9.9704849852722592</v>
      </c>
      <c r="F45">
        <f t="shared" ca="1" si="10"/>
        <v>11.83036509589448</v>
      </c>
      <c r="G45">
        <f t="shared" ca="1" si="10"/>
        <v>9.1844122654479303</v>
      </c>
      <c r="H45">
        <f t="shared" ca="1" si="10"/>
        <v>11.017716179565966</v>
      </c>
      <c r="I45">
        <f t="shared" ca="1" si="10"/>
        <v>10.38484892348084</v>
      </c>
      <c r="J45">
        <f t="shared" ca="1" si="10"/>
        <v>11.617029913708084</v>
      </c>
      <c r="K45">
        <f t="shared" ca="1" si="10"/>
        <v>9.2838198357544535</v>
      </c>
      <c r="L45">
        <f t="shared" ca="1" si="10"/>
        <v>12.206579915688639</v>
      </c>
      <c r="M45">
        <f t="shared" ca="1" si="10"/>
        <v>11.354948786086887</v>
      </c>
      <c r="N45">
        <f t="shared" ca="1" si="10"/>
        <v>11.855389583444047</v>
      </c>
      <c r="O45">
        <f t="shared" ca="1" si="10"/>
        <v>10.932894825096781</v>
      </c>
      <c r="P45">
        <f t="shared" ca="1" si="10"/>
        <v>11.114344977278282</v>
      </c>
      <c r="Q45">
        <f t="shared" ca="1" si="10"/>
        <v>11.355186952355039</v>
      </c>
      <c r="R45">
        <f t="shared" ca="1" si="10"/>
        <v>11.172209527380829</v>
      </c>
      <c r="S45">
        <f t="shared" ca="1" si="9"/>
        <v>11.251756745621773</v>
      </c>
      <c r="T45">
        <f t="shared" ca="1" si="9"/>
        <v>12.222551151450235</v>
      </c>
      <c r="U45">
        <f t="shared" ca="1" si="9"/>
        <v>10.186686938403993</v>
      </c>
      <c r="V45">
        <f t="shared" ca="1" si="9"/>
        <v>11.648057141169502</v>
      </c>
      <c r="W45">
        <f t="shared" ca="1" si="9"/>
        <v>10.423748505564816</v>
      </c>
      <c r="X45">
        <f t="shared" ca="1" si="9"/>
        <v>12.13977519515959</v>
      </c>
      <c r="Y45">
        <f t="shared" ca="1" si="9"/>
        <v>9.5234680594040224</v>
      </c>
      <c r="Z45">
        <f t="shared" ca="1" si="7"/>
        <v>11.224226641881426</v>
      </c>
      <c r="AA45">
        <f t="shared" ca="1" si="8"/>
        <v>11.396263272555156</v>
      </c>
      <c r="AB45">
        <f t="shared" ca="1" si="8"/>
        <v>11.329344999304723</v>
      </c>
      <c r="AC45">
        <f t="shared" ca="1" si="8"/>
        <v>10.407860965601548</v>
      </c>
      <c r="AD45">
        <f t="shared" ca="1" si="8"/>
        <v>11.363377380962236</v>
      </c>
      <c r="AE45">
        <f t="shared" ca="1" si="8"/>
        <v>9.6538781017716904</v>
      </c>
      <c r="AF45">
        <f t="shared" ca="1" si="8"/>
        <v>11.840416502320281</v>
      </c>
      <c r="AG45">
        <f t="shared" ca="1" si="8"/>
        <v>9.1891026249616257</v>
      </c>
      <c r="AH45">
        <f t="shared" ca="1" si="8"/>
        <v>12.002360120245944</v>
      </c>
    </row>
    <row r="46" spans="1:34">
      <c r="A46" t="str">
        <f>CYF!A46</f>
        <v>Lentils</v>
      </c>
      <c r="B46" t="str">
        <f>CYF!B46</f>
        <v>Tigray</v>
      </c>
      <c r="C46">
        <f t="shared" ca="1" si="10"/>
        <v>10.178831004348353</v>
      </c>
      <c r="D46">
        <f t="shared" ca="1" si="10"/>
        <v>11.532146051464705</v>
      </c>
      <c r="E46">
        <f t="shared" ca="1" si="10"/>
        <v>9.7547902919076286</v>
      </c>
      <c r="F46">
        <f t="shared" ca="1" si="10"/>
        <v>11.41969471887421</v>
      </c>
      <c r="G46">
        <f t="shared" ca="1" si="10"/>
        <v>11.109986188929428</v>
      </c>
      <c r="H46">
        <f t="shared" ca="1" si="10"/>
        <v>11.034713512609201</v>
      </c>
      <c r="I46">
        <f t="shared" ca="1" si="10"/>
        <v>9.9121497880760252</v>
      </c>
      <c r="J46">
        <f t="shared" ca="1" si="10"/>
        <v>12.046548650933351</v>
      </c>
      <c r="K46">
        <f t="shared" ca="1" si="10"/>
        <v>11.343284067399404</v>
      </c>
      <c r="L46">
        <f t="shared" ca="1" si="10"/>
        <v>11.498578264354528</v>
      </c>
      <c r="M46">
        <f t="shared" ca="1" si="10"/>
        <v>10.305144147614001</v>
      </c>
      <c r="N46">
        <f t="shared" ca="1" si="10"/>
        <v>12.299954887510783</v>
      </c>
      <c r="O46">
        <f t="shared" ca="1" si="10"/>
        <v>11.169242916102393</v>
      </c>
      <c r="P46">
        <f t="shared" ca="1" si="10"/>
        <v>12.444861656286681</v>
      </c>
      <c r="Q46">
        <f t="shared" ca="1" si="10"/>
        <v>11.069716610818862</v>
      </c>
      <c r="R46">
        <f t="shared" ca="1" si="10"/>
        <v>12.073812006048716</v>
      </c>
      <c r="S46">
        <f t="shared" ca="1" si="9"/>
        <v>10.842206585456784</v>
      </c>
      <c r="T46">
        <f t="shared" ca="1" si="9"/>
        <v>11.260677954390333</v>
      </c>
      <c r="U46">
        <f t="shared" ca="1" si="9"/>
        <v>9.8322702532258699</v>
      </c>
      <c r="V46">
        <f t="shared" ca="1" si="9"/>
        <v>12.225843832153213</v>
      </c>
      <c r="W46">
        <f t="shared" ca="1" si="9"/>
        <v>10.715472566603596</v>
      </c>
      <c r="X46">
        <f t="shared" ca="1" si="9"/>
        <v>11.391316592690021</v>
      </c>
      <c r="Y46">
        <f t="shared" ca="1" si="9"/>
        <v>9.7658697306502287</v>
      </c>
      <c r="Z46">
        <f t="shared" ca="1" si="7"/>
        <v>12.16200905673514</v>
      </c>
      <c r="AA46">
        <f t="shared" ca="1" si="8"/>
        <v>10.444145454065374</v>
      </c>
      <c r="AB46">
        <f t="shared" ca="1" si="8"/>
        <v>12.440813287594882</v>
      </c>
      <c r="AC46">
        <f t="shared" ca="1" si="8"/>
        <v>10.837090708980192</v>
      </c>
      <c r="AD46">
        <f t="shared" ca="1" si="8"/>
        <v>11.918666127033719</v>
      </c>
      <c r="AE46">
        <f t="shared" ca="1" si="8"/>
        <v>10.145246955417363</v>
      </c>
      <c r="AF46">
        <f t="shared" ca="1" si="8"/>
        <v>11.042189170852748</v>
      </c>
      <c r="AG46">
        <f t="shared" ca="1" si="8"/>
        <v>9.29076665018966</v>
      </c>
      <c r="AH46">
        <f t="shared" ca="1" si="8"/>
        <v>12.087786986947707</v>
      </c>
    </row>
    <row r="47" spans="1:34">
      <c r="A47" t="str">
        <f>CYF!A47</f>
        <v>Vegetables</v>
      </c>
      <c r="B47" t="str">
        <f>CYF!B47</f>
        <v>AddisAbaba</v>
      </c>
      <c r="C47">
        <f t="shared" ca="1" si="10"/>
        <v>10.680696174328482</v>
      </c>
      <c r="D47">
        <f t="shared" ca="1" si="10"/>
        <v>12.198658093862509</v>
      </c>
      <c r="E47">
        <f t="shared" ca="1" si="10"/>
        <v>10.693022490126268</v>
      </c>
      <c r="F47">
        <f t="shared" ca="1" si="10"/>
        <v>11.731299733502246</v>
      </c>
      <c r="G47">
        <f t="shared" ca="1" si="10"/>
        <v>11.284815512076493</v>
      </c>
      <c r="H47">
        <f t="shared" ca="1" si="10"/>
        <v>12.204454516929733</v>
      </c>
      <c r="I47">
        <f t="shared" ca="1" si="10"/>
        <v>9.9348372877463955</v>
      </c>
      <c r="J47">
        <f t="shared" ca="1" si="10"/>
        <v>11.778800419207826</v>
      </c>
      <c r="K47">
        <f t="shared" ca="1" si="10"/>
        <v>10.136825362118106</v>
      </c>
      <c r="L47">
        <f t="shared" ca="1" si="10"/>
        <v>11.520507958669812</v>
      </c>
      <c r="M47">
        <f t="shared" ca="1" si="10"/>
        <v>9.969254483497469</v>
      </c>
      <c r="N47">
        <f t="shared" ca="1" si="10"/>
        <v>11.249220534283348</v>
      </c>
      <c r="O47">
        <f t="shared" ca="1" si="10"/>
        <v>11.441462237672418</v>
      </c>
      <c r="P47">
        <f t="shared" ca="1" si="10"/>
        <v>11.946324203374898</v>
      </c>
      <c r="Q47">
        <f t="shared" ca="1" si="10"/>
        <v>9.0152370470820014</v>
      </c>
      <c r="R47">
        <f t="shared" ca="1" si="10"/>
        <v>11.944805048011357</v>
      </c>
      <c r="S47">
        <f t="shared" ca="1" si="9"/>
        <v>9.0517122551570441</v>
      </c>
      <c r="T47">
        <f t="shared" ca="1" si="9"/>
        <v>11.841711562732369</v>
      </c>
      <c r="U47">
        <f t="shared" ca="1" si="9"/>
        <v>9.8149897610011401</v>
      </c>
      <c r="V47">
        <f t="shared" ca="1" si="9"/>
        <v>11.138315744135907</v>
      </c>
      <c r="W47">
        <f t="shared" ca="1" si="9"/>
        <v>10.387629613859538</v>
      </c>
      <c r="X47">
        <f t="shared" ca="1" si="9"/>
        <v>12.329996343762982</v>
      </c>
      <c r="Y47">
        <f t="shared" ca="1" si="9"/>
        <v>10.306476263444335</v>
      </c>
      <c r="Z47">
        <f t="shared" ca="1" si="7"/>
        <v>11.62215789393713</v>
      </c>
      <c r="AA47">
        <f t="shared" ca="1" si="8"/>
        <v>9.9972443313709967</v>
      </c>
      <c r="AB47">
        <f t="shared" ca="1" si="8"/>
        <v>12.445483241629942</v>
      </c>
      <c r="AC47">
        <f t="shared" ca="1" si="8"/>
        <v>10.469672421848649</v>
      </c>
      <c r="AD47">
        <f t="shared" ca="1" si="8"/>
        <v>11.873244212882271</v>
      </c>
      <c r="AE47">
        <f t="shared" ca="1" si="8"/>
        <v>10.824205418626217</v>
      </c>
      <c r="AF47">
        <f t="shared" ca="1" si="8"/>
        <v>11.465466419298666</v>
      </c>
      <c r="AG47">
        <f t="shared" ca="1" si="8"/>
        <v>9.1966122630369114</v>
      </c>
      <c r="AH47">
        <f t="shared" ca="1" si="8"/>
        <v>12.311248052340634</v>
      </c>
    </row>
    <row r="48" spans="1:34">
      <c r="A48" t="str">
        <f>CYF!A48</f>
        <v>Vegetables</v>
      </c>
      <c r="B48" t="str">
        <f>CYF!B48</f>
        <v>Afar</v>
      </c>
      <c r="C48">
        <f t="shared" ca="1" si="10"/>
        <v>10.419109729134023</v>
      </c>
      <c r="D48">
        <f t="shared" ca="1" si="10"/>
        <v>12.284753025141013</v>
      </c>
      <c r="E48">
        <f t="shared" ca="1" si="10"/>
        <v>9.0022753306508161</v>
      </c>
      <c r="F48">
        <f t="shared" ca="1" si="10"/>
        <v>12.447045094637785</v>
      </c>
      <c r="G48">
        <f t="shared" ca="1" si="10"/>
        <v>11.084523765134886</v>
      </c>
      <c r="H48">
        <f t="shared" ca="1" si="10"/>
        <v>12.283495286981299</v>
      </c>
      <c r="I48">
        <f t="shared" ca="1" si="10"/>
        <v>10.881050290496789</v>
      </c>
      <c r="J48">
        <f t="shared" ca="1" si="10"/>
        <v>11.784554586453364</v>
      </c>
      <c r="K48">
        <f t="shared" ca="1" si="10"/>
        <v>10.998919228206836</v>
      </c>
      <c r="L48">
        <f t="shared" ca="1" si="10"/>
        <v>11.12616131271618</v>
      </c>
      <c r="M48">
        <f t="shared" ca="1" si="10"/>
        <v>9.3990370161703893</v>
      </c>
      <c r="N48">
        <f t="shared" ca="1" si="10"/>
        <v>12.253880403637723</v>
      </c>
      <c r="O48">
        <f t="shared" ca="1" si="10"/>
        <v>9.5151917255710021</v>
      </c>
      <c r="P48">
        <f t="shared" ca="1" si="10"/>
        <v>12.080406432092145</v>
      </c>
      <c r="Q48">
        <f t="shared" ca="1" si="10"/>
        <v>9.5649055149223745</v>
      </c>
      <c r="R48">
        <f t="shared" ca="1" si="10"/>
        <v>11.840782631912267</v>
      </c>
      <c r="S48">
        <f t="shared" ca="1" si="9"/>
        <v>9.3126674499678508</v>
      </c>
      <c r="T48">
        <f t="shared" ca="1" si="9"/>
        <v>11.090185831122234</v>
      </c>
      <c r="U48">
        <f t="shared" ca="1" si="9"/>
        <v>10.518628397475915</v>
      </c>
      <c r="V48">
        <f t="shared" ca="1" si="9"/>
        <v>11.591080497167628</v>
      </c>
      <c r="W48">
        <f t="shared" ca="1" si="9"/>
        <v>10.935276524206524</v>
      </c>
      <c r="X48">
        <f t="shared" ca="1" si="9"/>
        <v>11.299844191020899</v>
      </c>
      <c r="Y48">
        <f t="shared" ca="1" si="9"/>
        <v>9.4242195009858865</v>
      </c>
      <c r="Z48">
        <f t="shared" ca="1" si="7"/>
        <v>11.06656186904017</v>
      </c>
      <c r="AA48">
        <f t="shared" ca="1" si="8"/>
        <v>10.781002159408356</v>
      </c>
      <c r="AB48">
        <f t="shared" ca="1" si="8"/>
        <v>12.002930525601247</v>
      </c>
      <c r="AC48">
        <f t="shared" ca="1" si="8"/>
        <v>10.738837014711123</v>
      </c>
      <c r="AD48">
        <f t="shared" ca="1" si="8"/>
        <v>11.025012877225059</v>
      </c>
      <c r="AE48">
        <f t="shared" ca="1" si="8"/>
        <v>9.5717803219494382</v>
      </c>
      <c r="AF48">
        <f t="shared" ca="1" si="8"/>
        <v>11.264223486973396</v>
      </c>
      <c r="AG48">
        <f t="shared" ca="1" si="8"/>
        <v>10.137986928201233</v>
      </c>
      <c r="AH48">
        <f t="shared" ca="1" si="8"/>
        <v>12.319920916037054</v>
      </c>
    </row>
    <row r="49" spans="1:34">
      <c r="A49" t="str">
        <f>CYF!A49</f>
        <v>Vegetables</v>
      </c>
      <c r="B49" t="str">
        <f>CYF!B49</f>
        <v>Amhara</v>
      </c>
      <c r="C49">
        <f t="shared" ca="1" si="10"/>
        <v>9.6192840078537287</v>
      </c>
      <c r="D49">
        <f t="shared" ca="1" si="10"/>
        <v>11.909873291465319</v>
      </c>
      <c r="E49">
        <f t="shared" ca="1" si="10"/>
        <v>9.7320272417963132</v>
      </c>
      <c r="F49">
        <f t="shared" ca="1" si="10"/>
        <v>12.193116899563362</v>
      </c>
      <c r="G49">
        <f t="shared" ca="1" si="10"/>
        <v>9.2650992657153708</v>
      </c>
      <c r="H49">
        <f t="shared" ca="1" si="10"/>
        <v>12.290075567023104</v>
      </c>
      <c r="I49">
        <f t="shared" ca="1" si="10"/>
        <v>9.0899324914855661</v>
      </c>
      <c r="J49">
        <f t="shared" ca="1" si="10"/>
        <v>12.021402369820128</v>
      </c>
      <c r="K49">
        <f t="shared" ca="1" si="10"/>
        <v>10.993732456065604</v>
      </c>
      <c r="L49">
        <f t="shared" ca="1" si="10"/>
        <v>11.00043539899211</v>
      </c>
      <c r="M49">
        <f t="shared" ca="1" si="10"/>
        <v>10.598062945671977</v>
      </c>
      <c r="N49">
        <f t="shared" ca="1" si="10"/>
        <v>12.358777954274224</v>
      </c>
      <c r="O49">
        <f t="shared" ca="1" si="10"/>
        <v>10.984064827065117</v>
      </c>
      <c r="P49">
        <f t="shared" ca="1" si="10"/>
        <v>12.135156697304719</v>
      </c>
      <c r="Q49">
        <f t="shared" ca="1" si="10"/>
        <v>9.0587079168698423</v>
      </c>
      <c r="R49">
        <f t="shared" ca="1" si="10"/>
        <v>12.223488741311892</v>
      </c>
      <c r="S49">
        <f t="shared" ca="1" si="9"/>
        <v>10.653424055209005</v>
      </c>
      <c r="T49">
        <f t="shared" ca="1" si="9"/>
        <v>12.186265602698024</v>
      </c>
      <c r="U49">
        <f t="shared" ca="1" si="9"/>
        <v>10.861016845517476</v>
      </c>
      <c r="V49">
        <f t="shared" ca="1" si="9"/>
        <v>11.612815335491593</v>
      </c>
      <c r="W49">
        <f t="shared" ca="1" si="9"/>
        <v>10.15924949908719</v>
      </c>
      <c r="X49">
        <f t="shared" ca="1" si="9"/>
        <v>12.276918797799643</v>
      </c>
      <c r="Y49">
        <f t="shared" ca="1" si="9"/>
        <v>10.967652434902178</v>
      </c>
      <c r="Z49">
        <f t="shared" ca="1" si="7"/>
        <v>11.152947053315742</v>
      </c>
      <c r="AA49">
        <f t="shared" ca="1" si="8"/>
        <v>10.681996843906521</v>
      </c>
      <c r="AB49">
        <f t="shared" ca="1" si="8"/>
        <v>12.149341266344015</v>
      </c>
      <c r="AC49">
        <f t="shared" ca="1" si="8"/>
        <v>9.6332191505694169</v>
      </c>
      <c r="AD49">
        <f t="shared" ca="1" si="8"/>
        <v>12.470024244290091</v>
      </c>
      <c r="AE49">
        <f t="shared" ca="1" si="8"/>
        <v>11.018170443947888</v>
      </c>
      <c r="AF49">
        <f t="shared" ca="1" si="8"/>
        <v>11.751180997516917</v>
      </c>
      <c r="AG49">
        <f t="shared" ca="1" si="8"/>
        <v>10.343003900750801</v>
      </c>
      <c r="AH49">
        <f t="shared" ca="1" si="8"/>
        <v>11.689046950769697</v>
      </c>
    </row>
    <row r="50" spans="1:34">
      <c r="A50" t="str">
        <f>CYF!A50</f>
        <v>Vegetables</v>
      </c>
      <c r="B50" t="str">
        <f>CYF!B50</f>
        <v>Gumuz</v>
      </c>
      <c r="C50">
        <f t="shared" ca="1" si="10"/>
        <v>10.768697563499911</v>
      </c>
      <c r="D50">
        <f t="shared" ca="1" si="10"/>
        <v>11.309300666317274</v>
      </c>
      <c r="E50">
        <f t="shared" ca="1" si="10"/>
        <v>10.518207639127363</v>
      </c>
      <c r="F50">
        <f t="shared" ca="1" si="10"/>
        <v>11.109492906554541</v>
      </c>
      <c r="G50">
        <f t="shared" ca="1" si="10"/>
        <v>10.507375534211409</v>
      </c>
      <c r="H50">
        <f t="shared" ca="1" si="10"/>
        <v>12.336550137352143</v>
      </c>
      <c r="I50">
        <f t="shared" ca="1" si="10"/>
        <v>10.793656270348031</v>
      </c>
      <c r="J50">
        <f t="shared" ca="1" si="10"/>
        <v>12.013908948460776</v>
      </c>
      <c r="K50">
        <f t="shared" ca="1" si="10"/>
        <v>10.562820881526708</v>
      </c>
      <c r="L50">
        <f t="shared" ca="1" si="10"/>
        <v>11.888181646727826</v>
      </c>
      <c r="M50">
        <f t="shared" ca="1" si="10"/>
        <v>9.9063793474965838</v>
      </c>
      <c r="N50">
        <f t="shared" ca="1" si="10"/>
        <v>11.603785002301128</v>
      </c>
      <c r="O50">
        <f t="shared" ca="1" si="10"/>
        <v>11.368014767891236</v>
      </c>
      <c r="P50">
        <f t="shared" ca="1" si="10"/>
        <v>11.759821948066003</v>
      </c>
      <c r="Q50">
        <f t="shared" ca="1" si="10"/>
        <v>10.454772401397515</v>
      </c>
      <c r="R50">
        <f t="shared" ca="1" si="10"/>
        <v>11.954571259610278</v>
      </c>
      <c r="S50">
        <f t="shared" ca="1" si="9"/>
        <v>10.612433963229723</v>
      </c>
      <c r="T50">
        <f t="shared" ca="1" si="9"/>
        <v>11.639049013934763</v>
      </c>
      <c r="U50">
        <f t="shared" ca="1" si="9"/>
        <v>10.884238573856484</v>
      </c>
      <c r="V50">
        <f t="shared" ca="1" si="9"/>
        <v>12.082393518684693</v>
      </c>
      <c r="W50">
        <f t="shared" ca="1" si="9"/>
        <v>10.245981777966072</v>
      </c>
      <c r="X50">
        <f t="shared" ca="1" si="9"/>
        <v>11.940493606535858</v>
      </c>
      <c r="Y50">
        <f t="shared" ca="1" si="9"/>
        <v>11.068707712982237</v>
      </c>
      <c r="Z50">
        <f t="shared" ca="1" si="7"/>
        <v>11.97923675974822</v>
      </c>
      <c r="AA50">
        <f t="shared" ca="1" si="8"/>
        <v>9.602784833971036</v>
      </c>
      <c r="AB50">
        <f t="shared" ca="1" si="8"/>
        <v>12.25973664446559</v>
      </c>
      <c r="AC50">
        <f t="shared" ca="1" si="8"/>
        <v>10.520916518651088</v>
      </c>
      <c r="AD50">
        <f t="shared" ca="1" si="8"/>
        <v>11.82048091049713</v>
      </c>
      <c r="AE50">
        <f t="shared" ca="1" si="8"/>
        <v>10.994198842074537</v>
      </c>
      <c r="AF50">
        <f t="shared" ca="1" si="8"/>
        <v>11.912613602952725</v>
      </c>
      <c r="AG50">
        <f t="shared" ca="1" si="8"/>
        <v>11.281401752955627</v>
      </c>
      <c r="AH50">
        <f t="shared" ca="1" si="8"/>
        <v>12.036263772004288</v>
      </c>
    </row>
    <row r="51" spans="1:34">
      <c r="A51" t="str">
        <f>CYF!A51</f>
        <v>Vegetables</v>
      </c>
      <c r="B51" t="str">
        <f>CYF!B51</f>
        <v>DireDawa</v>
      </c>
      <c r="C51">
        <f t="shared" ca="1" si="10"/>
        <v>9.8557460238342696</v>
      </c>
      <c r="D51">
        <f t="shared" ca="1" si="10"/>
        <v>11.964729036364842</v>
      </c>
      <c r="E51">
        <f t="shared" ca="1" si="10"/>
        <v>9.0580247100091267</v>
      </c>
      <c r="F51">
        <f t="shared" ca="1" si="10"/>
        <v>11.784595753925176</v>
      </c>
      <c r="G51">
        <f t="shared" ca="1" si="10"/>
        <v>10.675414224474171</v>
      </c>
      <c r="H51">
        <f t="shared" ca="1" si="10"/>
        <v>11.628928983823608</v>
      </c>
      <c r="I51">
        <f t="shared" ca="1" si="10"/>
        <v>9.98523694102688</v>
      </c>
      <c r="J51">
        <f t="shared" ca="1" si="10"/>
        <v>12.313819017359213</v>
      </c>
      <c r="K51">
        <f t="shared" ca="1" si="10"/>
        <v>9.3075238162272917</v>
      </c>
      <c r="L51">
        <f t="shared" ca="1" si="10"/>
        <v>11.150950762337176</v>
      </c>
      <c r="M51">
        <f t="shared" ca="1" si="10"/>
        <v>9.2657140026785445</v>
      </c>
      <c r="N51">
        <f t="shared" ca="1" si="10"/>
        <v>11.830791860286089</v>
      </c>
      <c r="O51">
        <f t="shared" ca="1" si="10"/>
        <v>10.904759821592732</v>
      </c>
      <c r="P51">
        <f t="shared" ca="1" si="10"/>
        <v>11.586494657328842</v>
      </c>
      <c r="Q51">
        <f t="shared" ca="1" si="10"/>
        <v>9.3193773807845144</v>
      </c>
      <c r="R51">
        <f t="shared" ca="1" si="10"/>
        <v>12.096641192745194</v>
      </c>
      <c r="S51">
        <f t="shared" ca="1" si="9"/>
        <v>9.5921606818290233</v>
      </c>
      <c r="T51">
        <f t="shared" ca="1" si="9"/>
        <v>12.231692635124693</v>
      </c>
      <c r="U51">
        <f t="shared" ca="1" si="9"/>
        <v>10.53966904969808</v>
      </c>
      <c r="V51">
        <f t="shared" ca="1" si="9"/>
        <v>12.002895647266509</v>
      </c>
      <c r="W51">
        <f t="shared" ca="1" si="9"/>
        <v>9.0960983156982724</v>
      </c>
      <c r="X51">
        <f t="shared" ca="1" si="9"/>
        <v>11.338809071847708</v>
      </c>
      <c r="Y51">
        <f t="shared" ca="1" si="9"/>
        <v>9.3359991395465709</v>
      </c>
      <c r="Z51">
        <f t="shared" ca="1" si="7"/>
        <v>11.18562116308587</v>
      </c>
      <c r="AA51">
        <f t="shared" ca="1" si="8"/>
        <v>9.5389829439653404</v>
      </c>
      <c r="AB51">
        <f t="shared" ca="1" si="8"/>
        <v>11.042927775581406</v>
      </c>
      <c r="AC51">
        <f t="shared" ca="1" si="8"/>
        <v>10.995211160630497</v>
      </c>
      <c r="AD51">
        <f t="shared" ca="1" si="8"/>
        <v>11.866019193956218</v>
      </c>
      <c r="AE51">
        <f t="shared" ca="1" si="8"/>
        <v>10.379321075029976</v>
      </c>
      <c r="AF51">
        <f t="shared" ca="1" si="8"/>
        <v>11.104103907913258</v>
      </c>
      <c r="AG51">
        <f t="shared" ca="1" si="8"/>
        <v>11.286863675370812</v>
      </c>
      <c r="AH51">
        <f t="shared" ca="1" si="8"/>
        <v>12.281848374769901</v>
      </c>
    </row>
    <row r="52" spans="1:34">
      <c r="A52" t="str">
        <f>CYF!A52</f>
        <v>Vegetables</v>
      </c>
      <c r="B52" t="str">
        <f>CYF!B52</f>
        <v>Gambela</v>
      </c>
      <c r="C52">
        <f t="shared" ca="1" si="10"/>
        <v>10.613309069095296</v>
      </c>
      <c r="D52">
        <f t="shared" ca="1" si="10"/>
        <v>12.29082238498755</v>
      </c>
      <c r="E52">
        <f t="shared" ca="1" si="10"/>
        <v>9.0184932857945874</v>
      </c>
      <c r="F52">
        <f t="shared" ca="1" si="10"/>
        <v>12.205652746262368</v>
      </c>
      <c r="G52">
        <f t="shared" ca="1" si="10"/>
        <v>11.148491268227971</v>
      </c>
      <c r="H52">
        <f t="shared" ca="1" si="10"/>
        <v>11.31762889077552</v>
      </c>
      <c r="I52">
        <f t="shared" ca="1" si="10"/>
        <v>11.23559101577357</v>
      </c>
      <c r="J52">
        <f t="shared" ca="1" si="10"/>
        <v>11.497782183620348</v>
      </c>
      <c r="K52">
        <f t="shared" ca="1" si="10"/>
        <v>9.811968951882708</v>
      </c>
      <c r="L52">
        <f t="shared" ca="1" si="10"/>
        <v>12.281328952534603</v>
      </c>
      <c r="M52">
        <f t="shared" ca="1" si="10"/>
        <v>11.312838459744626</v>
      </c>
      <c r="N52">
        <f t="shared" ca="1" si="10"/>
        <v>12.044639957579234</v>
      </c>
      <c r="O52">
        <f t="shared" ca="1" si="10"/>
        <v>9.2725553890145598</v>
      </c>
      <c r="P52">
        <f t="shared" ca="1" si="10"/>
        <v>11.428766514571684</v>
      </c>
      <c r="Q52">
        <f t="shared" ca="1" si="10"/>
        <v>9.6364730236737017</v>
      </c>
      <c r="R52">
        <f t="shared" ca="1" si="10"/>
        <v>11.147377352929455</v>
      </c>
      <c r="S52">
        <f t="shared" ca="1" si="9"/>
        <v>10.252359761410208</v>
      </c>
      <c r="T52">
        <f t="shared" ca="1" si="9"/>
        <v>12.161138670741604</v>
      </c>
      <c r="U52">
        <f t="shared" ca="1" si="9"/>
        <v>10.831442900453954</v>
      </c>
      <c r="V52">
        <f t="shared" ca="1" si="9"/>
        <v>11.991235991137364</v>
      </c>
      <c r="W52">
        <f t="shared" ca="1" si="9"/>
        <v>9.9344161582712509</v>
      </c>
      <c r="X52">
        <f t="shared" ca="1" si="9"/>
        <v>11.604286156351508</v>
      </c>
      <c r="Y52">
        <f t="shared" ca="1" si="9"/>
        <v>10.625837422214815</v>
      </c>
      <c r="Z52">
        <f t="shared" ca="1" si="7"/>
        <v>11.706819477927642</v>
      </c>
      <c r="AA52">
        <f t="shared" ca="1" si="8"/>
        <v>10.386892233189144</v>
      </c>
      <c r="AB52">
        <f t="shared" ca="1" si="8"/>
        <v>11.302830396239079</v>
      </c>
      <c r="AC52">
        <f t="shared" ca="1" si="8"/>
        <v>11.220831178286854</v>
      </c>
      <c r="AD52">
        <f t="shared" ca="1" si="8"/>
        <v>11.868080497345336</v>
      </c>
      <c r="AE52">
        <f t="shared" ca="1" si="8"/>
        <v>11.281131892187792</v>
      </c>
      <c r="AF52">
        <f t="shared" ca="1" si="8"/>
        <v>12.448722998372073</v>
      </c>
      <c r="AG52">
        <f t="shared" ca="1" si="8"/>
        <v>10.718149293630219</v>
      </c>
      <c r="AH52">
        <f t="shared" ca="1" si="8"/>
        <v>12.400452851320036</v>
      </c>
    </row>
    <row r="53" spans="1:34">
      <c r="A53" t="str">
        <f>CYF!A53</f>
        <v>Vegetables</v>
      </c>
      <c r="B53" t="str">
        <f>CYF!B53</f>
        <v>Harari</v>
      </c>
      <c r="C53">
        <f t="shared" ca="1" si="10"/>
        <v>9.8425471782805545</v>
      </c>
      <c r="D53">
        <f t="shared" ca="1" si="10"/>
        <v>11.711808658931137</v>
      </c>
      <c r="E53">
        <f t="shared" ca="1" si="10"/>
        <v>11.375486399115722</v>
      </c>
      <c r="F53">
        <f t="shared" ca="1" si="10"/>
        <v>11.052439103105417</v>
      </c>
      <c r="G53">
        <f t="shared" ca="1" si="10"/>
        <v>11.137866803208162</v>
      </c>
      <c r="H53">
        <f t="shared" ca="1" si="10"/>
        <v>12.494695954545488</v>
      </c>
      <c r="I53">
        <f t="shared" ca="1" si="10"/>
        <v>11.236782688975806</v>
      </c>
      <c r="J53">
        <f t="shared" ca="1" si="10"/>
        <v>11.901586764262506</v>
      </c>
      <c r="K53">
        <f t="shared" ca="1" si="10"/>
        <v>10.770327478332232</v>
      </c>
      <c r="L53">
        <f t="shared" ca="1" si="10"/>
        <v>12.428070708203027</v>
      </c>
      <c r="M53">
        <f t="shared" ca="1" si="10"/>
        <v>9.57797351684472</v>
      </c>
      <c r="N53">
        <f t="shared" ca="1" si="10"/>
        <v>12.056045169362616</v>
      </c>
      <c r="O53">
        <f t="shared" ca="1" si="10"/>
        <v>9.6341755837634224</v>
      </c>
      <c r="P53">
        <f t="shared" ca="1" si="10"/>
        <v>12.305770105213671</v>
      </c>
      <c r="Q53">
        <f t="shared" ca="1" si="10"/>
        <v>10.33233587623298</v>
      </c>
      <c r="R53">
        <f t="shared" ca="1" si="10"/>
        <v>11.942707593772051</v>
      </c>
      <c r="S53">
        <f t="shared" ca="1" si="9"/>
        <v>10.380494035509352</v>
      </c>
      <c r="T53">
        <f t="shared" ca="1" si="9"/>
        <v>11.416468365613795</v>
      </c>
      <c r="U53">
        <f t="shared" ca="1" si="9"/>
        <v>11.270903288776729</v>
      </c>
      <c r="V53">
        <f t="shared" ca="1" si="9"/>
        <v>11.359853158112491</v>
      </c>
      <c r="W53">
        <f t="shared" ca="1" si="9"/>
        <v>10.290469199769246</v>
      </c>
      <c r="X53">
        <f t="shared" ca="1" si="9"/>
        <v>12.348971117609379</v>
      </c>
      <c r="Y53">
        <f t="shared" ca="1" si="9"/>
        <v>9.8791109604729286</v>
      </c>
      <c r="Z53">
        <f t="shared" ca="1" si="7"/>
        <v>12.059562161368445</v>
      </c>
      <c r="AA53">
        <f t="shared" ca="1" si="8"/>
        <v>10.701041120213732</v>
      </c>
      <c r="AB53">
        <f t="shared" ca="1" si="8"/>
        <v>11.784580738725769</v>
      </c>
      <c r="AC53">
        <f t="shared" ca="1" si="8"/>
        <v>9.4318072539630933</v>
      </c>
      <c r="AD53">
        <f t="shared" ca="1" si="8"/>
        <v>12.316648987920608</v>
      </c>
      <c r="AE53">
        <f t="shared" ca="1" si="8"/>
        <v>10.648960991087071</v>
      </c>
      <c r="AF53">
        <f t="shared" ca="1" si="8"/>
        <v>11.607490470171912</v>
      </c>
      <c r="AG53">
        <f t="shared" ca="1" si="8"/>
        <v>9.9038239574050646</v>
      </c>
      <c r="AH53">
        <f t="shared" ref="D53:AH68" ca="1" si="11">IF(1-MOD(COLUMN(),2),25-RAND()*3,(18+RAND()*5))/2</f>
        <v>11.634802909650045</v>
      </c>
    </row>
    <row r="54" spans="1:34">
      <c r="A54" t="str">
        <f>CYF!A54</f>
        <v>Vegetables</v>
      </c>
      <c r="B54" t="str">
        <f>CYF!B54</f>
        <v>Oromia</v>
      </c>
      <c r="C54">
        <f t="shared" ca="1" si="10"/>
        <v>10.044259198558565</v>
      </c>
      <c r="D54">
        <f t="shared" ca="1" si="11"/>
        <v>11.201216288040122</v>
      </c>
      <c r="E54">
        <f t="shared" ca="1" si="11"/>
        <v>10.889456157157145</v>
      </c>
      <c r="F54">
        <f t="shared" ca="1" si="11"/>
        <v>11.002741426948106</v>
      </c>
      <c r="G54">
        <f t="shared" ca="1" si="11"/>
        <v>9.8135964430067215</v>
      </c>
      <c r="H54">
        <f t="shared" ca="1" si="11"/>
        <v>11.716871575745328</v>
      </c>
      <c r="I54">
        <f t="shared" ca="1" si="11"/>
        <v>9.1454145482469631</v>
      </c>
      <c r="J54">
        <f t="shared" ca="1" si="11"/>
        <v>11.458845126588457</v>
      </c>
      <c r="K54">
        <f t="shared" ca="1" si="11"/>
        <v>11.341948561496482</v>
      </c>
      <c r="L54">
        <f t="shared" ca="1" si="11"/>
        <v>11.573043465486174</v>
      </c>
      <c r="M54">
        <f t="shared" ca="1" si="11"/>
        <v>9.0586956631946851</v>
      </c>
      <c r="N54">
        <f t="shared" ca="1" si="11"/>
        <v>11.419829558086853</v>
      </c>
      <c r="O54">
        <f t="shared" ca="1" si="11"/>
        <v>11.067657736600189</v>
      </c>
      <c r="P54">
        <f t="shared" ca="1" si="11"/>
        <v>12.455298485351332</v>
      </c>
      <c r="Q54">
        <f t="shared" ca="1" si="11"/>
        <v>9.6271428594820172</v>
      </c>
      <c r="R54">
        <f t="shared" ca="1" si="11"/>
        <v>11.360567043105343</v>
      </c>
      <c r="S54">
        <f t="shared" ca="1" si="11"/>
        <v>11.472293711446758</v>
      </c>
      <c r="T54">
        <f t="shared" ca="1" si="11"/>
        <v>11.058732996820506</v>
      </c>
      <c r="U54">
        <f t="shared" ca="1" si="11"/>
        <v>9.4544228219955215</v>
      </c>
      <c r="V54">
        <f t="shared" ca="1" si="11"/>
        <v>11.62729111170092</v>
      </c>
      <c r="W54">
        <f t="shared" ca="1" si="11"/>
        <v>10.264617916289257</v>
      </c>
      <c r="X54">
        <f t="shared" ca="1" si="11"/>
        <v>11.65191483446737</v>
      </c>
      <c r="Y54">
        <f t="shared" ca="1" si="11"/>
        <v>9.7548346845147886</v>
      </c>
      <c r="Z54">
        <f t="shared" ca="1" si="11"/>
        <v>12.394214561289301</v>
      </c>
      <c r="AA54">
        <f t="shared" ca="1" si="11"/>
        <v>10.366708063707025</v>
      </c>
      <c r="AB54">
        <f t="shared" ca="1" si="11"/>
        <v>12.212388472407609</v>
      </c>
      <c r="AC54">
        <f t="shared" ca="1" si="11"/>
        <v>9.7889864213399633</v>
      </c>
      <c r="AD54">
        <f t="shared" ca="1" si="11"/>
        <v>11.097003123755096</v>
      </c>
      <c r="AE54">
        <f t="shared" ca="1" si="11"/>
        <v>9.7934057462619108</v>
      </c>
      <c r="AF54">
        <f t="shared" ca="1" si="11"/>
        <v>12.291312569078798</v>
      </c>
      <c r="AG54">
        <f t="shared" ca="1" si="11"/>
        <v>10.491685352388764</v>
      </c>
      <c r="AH54">
        <f t="shared" ca="1" si="11"/>
        <v>12.339374382275086</v>
      </c>
    </row>
    <row r="55" spans="1:34">
      <c r="A55" t="str">
        <f>CYF!A55</f>
        <v>Vegetables</v>
      </c>
      <c r="B55" t="str">
        <f>CYF!B55</f>
        <v>Somali</v>
      </c>
      <c r="C55">
        <f t="shared" ca="1" si="10"/>
        <v>10.481908303877272</v>
      </c>
      <c r="D55">
        <f t="shared" ca="1" si="11"/>
        <v>12.426404782250598</v>
      </c>
      <c r="E55">
        <f t="shared" ca="1" si="11"/>
        <v>9.8659117087948136</v>
      </c>
      <c r="F55">
        <f t="shared" ca="1" si="11"/>
        <v>12.064762715598139</v>
      </c>
      <c r="G55">
        <f t="shared" ca="1" si="11"/>
        <v>9.7303912561502273</v>
      </c>
      <c r="H55">
        <f t="shared" ca="1" si="11"/>
        <v>12.104242736733255</v>
      </c>
      <c r="I55">
        <f t="shared" ca="1" si="11"/>
        <v>11.373276763152589</v>
      </c>
      <c r="J55">
        <f t="shared" ca="1" si="11"/>
        <v>11.381065953184342</v>
      </c>
      <c r="K55">
        <f t="shared" ca="1" si="11"/>
        <v>9.5020927049498098</v>
      </c>
      <c r="L55">
        <f t="shared" ca="1" si="11"/>
        <v>11.117608014774671</v>
      </c>
      <c r="M55">
        <f t="shared" ca="1" si="11"/>
        <v>10.84381844681522</v>
      </c>
      <c r="N55">
        <f t="shared" ca="1" si="11"/>
        <v>12.495491372913488</v>
      </c>
      <c r="O55">
        <f t="shared" ca="1" si="11"/>
        <v>9.7876922731998413</v>
      </c>
      <c r="P55">
        <f t="shared" ca="1" si="11"/>
        <v>11.027252155900786</v>
      </c>
      <c r="Q55">
        <f t="shared" ca="1" si="11"/>
        <v>10.348806751403925</v>
      </c>
      <c r="R55">
        <f t="shared" ca="1" si="11"/>
        <v>12.384759214257054</v>
      </c>
      <c r="S55">
        <f t="shared" ca="1" si="11"/>
        <v>11.003818191460896</v>
      </c>
      <c r="T55">
        <f t="shared" ca="1" si="11"/>
        <v>11.513394488834631</v>
      </c>
      <c r="U55">
        <f t="shared" ca="1" si="11"/>
        <v>10.063090386043951</v>
      </c>
      <c r="V55">
        <f t="shared" ca="1" si="11"/>
        <v>12.20046672581689</v>
      </c>
      <c r="W55">
        <f t="shared" ca="1" si="11"/>
        <v>10.159901632349886</v>
      </c>
      <c r="X55">
        <f t="shared" ca="1" si="11"/>
        <v>12.171480807717012</v>
      </c>
      <c r="Y55">
        <f t="shared" ca="1" si="11"/>
        <v>9.2416074052587209</v>
      </c>
      <c r="Z55">
        <f t="shared" ca="1" si="11"/>
        <v>11.611166362809856</v>
      </c>
      <c r="AA55">
        <f t="shared" ca="1" si="11"/>
        <v>10.085156763570181</v>
      </c>
      <c r="AB55">
        <f t="shared" ca="1" si="11"/>
        <v>11.886144979656187</v>
      </c>
      <c r="AC55">
        <f t="shared" ca="1" si="11"/>
        <v>10.950293595776387</v>
      </c>
      <c r="AD55">
        <f t="shared" ca="1" si="11"/>
        <v>11.422157607234611</v>
      </c>
      <c r="AE55">
        <f t="shared" ca="1" si="11"/>
        <v>11.021723547706078</v>
      </c>
      <c r="AF55">
        <f t="shared" ca="1" si="11"/>
        <v>12.126453090302872</v>
      </c>
      <c r="AG55">
        <f t="shared" ca="1" si="11"/>
        <v>11.05836507048287</v>
      </c>
      <c r="AH55">
        <f t="shared" ca="1" si="11"/>
        <v>12.179349832428937</v>
      </c>
    </row>
    <row r="56" spans="1:34">
      <c r="A56" t="str">
        <f>CYF!A56</f>
        <v>Vegetables</v>
      </c>
      <c r="B56" t="str">
        <f>CYF!B56</f>
        <v>SNNPR</v>
      </c>
      <c r="C56">
        <f t="shared" ca="1" si="10"/>
        <v>9.8885902517821691</v>
      </c>
      <c r="D56">
        <f t="shared" ca="1" si="11"/>
        <v>11.532069551315701</v>
      </c>
      <c r="E56">
        <f t="shared" ca="1" si="11"/>
        <v>10.521735285731268</v>
      </c>
      <c r="F56">
        <f t="shared" ca="1" si="11"/>
        <v>11.819040647070638</v>
      </c>
      <c r="G56">
        <f t="shared" ca="1" si="11"/>
        <v>11.426429450912208</v>
      </c>
      <c r="H56">
        <f t="shared" ca="1" si="11"/>
        <v>11.090436692519788</v>
      </c>
      <c r="I56">
        <f t="shared" ca="1" si="11"/>
        <v>9.0692110022382639</v>
      </c>
      <c r="J56">
        <f t="shared" ca="1" si="11"/>
        <v>11.907108736475156</v>
      </c>
      <c r="K56">
        <f t="shared" ca="1" si="11"/>
        <v>11.157828334309135</v>
      </c>
      <c r="L56">
        <f t="shared" ca="1" si="11"/>
        <v>11.896286412839745</v>
      </c>
      <c r="M56">
        <f t="shared" ca="1" si="11"/>
        <v>9.0206301143406851</v>
      </c>
      <c r="N56">
        <f t="shared" ca="1" si="11"/>
        <v>11.523860743457218</v>
      </c>
      <c r="O56">
        <f t="shared" ca="1" si="11"/>
        <v>10.04399673535017</v>
      </c>
      <c r="P56">
        <f t="shared" ca="1" si="11"/>
        <v>12.303423501060914</v>
      </c>
      <c r="Q56">
        <f t="shared" ca="1" si="11"/>
        <v>9.872590079968063</v>
      </c>
      <c r="R56">
        <f t="shared" ca="1" si="11"/>
        <v>12.475158034469962</v>
      </c>
      <c r="S56">
        <f t="shared" ca="1" si="11"/>
        <v>9.3271421099490599</v>
      </c>
      <c r="T56">
        <f t="shared" ca="1" si="11"/>
        <v>12.33260182463013</v>
      </c>
      <c r="U56">
        <f t="shared" ca="1" si="11"/>
        <v>9.3937393381931908</v>
      </c>
      <c r="V56">
        <f t="shared" ca="1" si="11"/>
        <v>12.020993544572832</v>
      </c>
      <c r="W56">
        <f t="shared" ca="1" si="11"/>
        <v>10.85556864475215</v>
      </c>
      <c r="X56">
        <f t="shared" ca="1" si="11"/>
        <v>12.450622856587021</v>
      </c>
      <c r="Y56">
        <f t="shared" ca="1" si="11"/>
        <v>10.083558146662025</v>
      </c>
      <c r="Z56">
        <f t="shared" ca="1" si="11"/>
        <v>11.398084920220141</v>
      </c>
      <c r="AA56">
        <f t="shared" ca="1" si="11"/>
        <v>9.0811916424120387</v>
      </c>
      <c r="AB56">
        <f t="shared" ca="1" si="11"/>
        <v>11.787142482153422</v>
      </c>
      <c r="AC56">
        <f t="shared" ca="1" si="11"/>
        <v>10.977816671881531</v>
      </c>
      <c r="AD56">
        <f t="shared" ca="1" si="11"/>
        <v>12.025559503744317</v>
      </c>
      <c r="AE56">
        <f t="shared" ca="1" si="11"/>
        <v>9.1590817427383762</v>
      </c>
      <c r="AF56">
        <f t="shared" ca="1" si="11"/>
        <v>11.159463055507002</v>
      </c>
      <c r="AG56">
        <f t="shared" ca="1" si="11"/>
        <v>9.6932114114799486</v>
      </c>
      <c r="AH56">
        <f t="shared" ca="1" si="11"/>
        <v>11.480485398718315</v>
      </c>
    </row>
    <row r="57" spans="1:34">
      <c r="A57" t="str">
        <f>CYF!A57</f>
        <v>Vegetables</v>
      </c>
      <c r="B57" t="str">
        <f>CYF!B57</f>
        <v>Tigray</v>
      </c>
      <c r="C57">
        <f t="shared" ca="1" si="10"/>
        <v>11.274780588109145</v>
      </c>
      <c r="D57">
        <f t="shared" ca="1" si="11"/>
        <v>11.243248417532836</v>
      </c>
      <c r="E57">
        <f t="shared" ca="1" si="11"/>
        <v>9.1167761131248852</v>
      </c>
      <c r="F57">
        <f t="shared" ca="1" si="11"/>
        <v>11.503238150390859</v>
      </c>
      <c r="G57">
        <f t="shared" ca="1" si="11"/>
        <v>9.8257622193762391</v>
      </c>
      <c r="H57">
        <f t="shared" ca="1" si="11"/>
        <v>11.089033800128187</v>
      </c>
      <c r="I57">
        <f t="shared" ca="1" si="11"/>
        <v>9.141691152852248</v>
      </c>
      <c r="J57">
        <f t="shared" ca="1" si="11"/>
        <v>12.459811972562754</v>
      </c>
      <c r="K57">
        <f t="shared" ca="1" si="11"/>
        <v>9.6648224656791193</v>
      </c>
      <c r="L57">
        <f t="shared" ca="1" si="11"/>
        <v>12.116200566264682</v>
      </c>
      <c r="M57">
        <f t="shared" ca="1" si="11"/>
        <v>9.5582442682519133</v>
      </c>
      <c r="N57">
        <f t="shared" ca="1" si="11"/>
        <v>12.316787328868262</v>
      </c>
      <c r="O57">
        <f t="shared" ca="1" si="11"/>
        <v>10.272897465661824</v>
      </c>
      <c r="P57">
        <f t="shared" ca="1" si="11"/>
        <v>11.315598807060066</v>
      </c>
      <c r="Q57">
        <f t="shared" ca="1" si="11"/>
        <v>10.515009911408802</v>
      </c>
      <c r="R57">
        <f t="shared" ca="1" si="11"/>
        <v>11.414882157746325</v>
      </c>
      <c r="S57">
        <f t="shared" ca="1" si="11"/>
        <v>10.522371977385227</v>
      </c>
      <c r="T57">
        <f t="shared" ca="1" si="11"/>
        <v>11.738020804001819</v>
      </c>
      <c r="U57">
        <f t="shared" ca="1" si="11"/>
        <v>10.837623903686634</v>
      </c>
      <c r="V57">
        <f t="shared" ca="1" si="11"/>
        <v>11.419556386007395</v>
      </c>
      <c r="W57">
        <f t="shared" ca="1" si="11"/>
        <v>10.148615614808614</v>
      </c>
      <c r="X57">
        <f t="shared" ca="1" si="11"/>
        <v>11.980315531675339</v>
      </c>
      <c r="Y57">
        <f t="shared" ca="1" si="11"/>
        <v>10.864562322348872</v>
      </c>
      <c r="Z57">
        <f t="shared" ca="1" si="11"/>
        <v>12.249084905889923</v>
      </c>
      <c r="AA57">
        <f t="shared" ca="1" si="11"/>
        <v>9.3815615630414264</v>
      </c>
      <c r="AB57">
        <f t="shared" ca="1" si="11"/>
        <v>12.144670392122789</v>
      </c>
      <c r="AC57">
        <f t="shared" ca="1" si="11"/>
        <v>10.525046403967094</v>
      </c>
      <c r="AD57">
        <f t="shared" ca="1" si="11"/>
        <v>11.812626999215889</v>
      </c>
      <c r="AE57">
        <f t="shared" ca="1" si="11"/>
        <v>10.40795573299615</v>
      </c>
      <c r="AF57">
        <f t="shared" ca="1" si="11"/>
        <v>12.117727381554561</v>
      </c>
      <c r="AG57">
        <f t="shared" ca="1" si="11"/>
        <v>11.322749592083055</v>
      </c>
      <c r="AH57">
        <f t="shared" ca="1" si="11"/>
        <v>11.897613708597598</v>
      </c>
    </row>
    <row r="58" spans="1:34">
      <c r="A58" t="str">
        <f>CYF!A58</f>
        <v>Coffee</v>
      </c>
      <c r="B58" t="str">
        <f>CYF!B58</f>
        <v>AddisAbaba</v>
      </c>
      <c r="C58">
        <f t="shared" ca="1" si="10"/>
        <v>10.297146214806528</v>
      </c>
      <c r="D58">
        <f t="shared" ca="1" si="11"/>
        <v>11.587510289339173</v>
      </c>
      <c r="E58">
        <f t="shared" ca="1" si="11"/>
        <v>11.373884452509595</v>
      </c>
      <c r="F58">
        <f t="shared" ca="1" si="11"/>
        <v>11.451429616063354</v>
      </c>
      <c r="G58">
        <f t="shared" ca="1" si="11"/>
        <v>11.101579470580425</v>
      </c>
      <c r="H58">
        <f t="shared" ca="1" si="11"/>
        <v>12.231613858834518</v>
      </c>
      <c r="I58">
        <f t="shared" ca="1" si="11"/>
        <v>11.18553998190035</v>
      </c>
      <c r="J58">
        <f t="shared" ca="1" si="11"/>
        <v>11.446610442833244</v>
      </c>
      <c r="K58">
        <f t="shared" ca="1" si="11"/>
        <v>9.6997078543765554</v>
      </c>
      <c r="L58">
        <f t="shared" ca="1" si="11"/>
        <v>12.427636815124041</v>
      </c>
      <c r="M58">
        <f t="shared" ca="1" si="11"/>
        <v>11.213997381466669</v>
      </c>
      <c r="N58">
        <f t="shared" ca="1" si="11"/>
        <v>11.46473434346205</v>
      </c>
      <c r="O58">
        <f t="shared" ca="1" si="11"/>
        <v>9.2681941866313835</v>
      </c>
      <c r="P58">
        <f t="shared" ca="1" si="11"/>
        <v>12.496362907860531</v>
      </c>
      <c r="Q58">
        <f t="shared" ca="1" si="11"/>
        <v>9.3373381914235694</v>
      </c>
      <c r="R58">
        <f t="shared" ca="1" si="11"/>
        <v>11.477532211518458</v>
      </c>
      <c r="S58">
        <f t="shared" ca="1" si="11"/>
        <v>10.865508776745791</v>
      </c>
      <c r="T58">
        <f t="shared" ca="1" si="11"/>
        <v>12.433184421464487</v>
      </c>
      <c r="U58">
        <f t="shared" ca="1" si="11"/>
        <v>11.462446089836988</v>
      </c>
      <c r="V58">
        <f t="shared" ca="1" si="11"/>
        <v>11.528694998008865</v>
      </c>
      <c r="W58">
        <f t="shared" ca="1" si="11"/>
        <v>9.4428593452425851</v>
      </c>
      <c r="X58">
        <f t="shared" ca="1" si="11"/>
        <v>12.195333075062512</v>
      </c>
      <c r="Y58">
        <f t="shared" ca="1" si="11"/>
        <v>9.4525219189058394</v>
      </c>
      <c r="Z58">
        <f t="shared" ca="1" si="11"/>
        <v>12.284696860669458</v>
      </c>
      <c r="AA58">
        <f t="shared" ca="1" si="11"/>
        <v>10.603708354612333</v>
      </c>
      <c r="AB58">
        <f t="shared" ca="1" si="11"/>
        <v>11.540208157186928</v>
      </c>
      <c r="AC58">
        <f t="shared" ca="1" si="11"/>
        <v>11.016184585594438</v>
      </c>
      <c r="AD58">
        <f t="shared" ca="1" si="11"/>
        <v>12.083309483552855</v>
      </c>
      <c r="AE58">
        <f t="shared" ca="1" si="11"/>
        <v>11.345131049275688</v>
      </c>
      <c r="AF58">
        <f t="shared" ca="1" si="11"/>
        <v>11.233053568926502</v>
      </c>
      <c r="AG58">
        <f t="shared" ca="1" si="11"/>
        <v>9.2520173672868804</v>
      </c>
      <c r="AH58">
        <f t="shared" ca="1" si="11"/>
        <v>11.699788109618952</v>
      </c>
    </row>
    <row r="59" spans="1:34">
      <c r="A59" t="str">
        <f>CYF!A59</f>
        <v>Coffee</v>
      </c>
      <c r="B59" t="str">
        <f>CYF!B59</f>
        <v>Afar</v>
      </c>
      <c r="C59">
        <f t="shared" ca="1" si="10"/>
        <v>10.79823257317406</v>
      </c>
      <c r="D59">
        <f t="shared" ca="1" si="11"/>
        <v>11.089341935797577</v>
      </c>
      <c r="E59">
        <f t="shared" ca="1" si="11"/>
        <v>11.229589878565495</v>
      </c>
      <c r="F59">
        <f t="shared" ca="1" si="11"/>
        <v>12.182297714559631</v>
      </c>
      <c r="G59">
        <f t="shared" ca="1" si="11"/>
        <v>10.237993351856701</v>
      </c>
      <c r="H59">
        <f t="shared" ca="1" si="11"/>
        <v>11.917889940485054</v>
      </c>
      <c r="I59">
        <f t="shared" ca="1" si="11"/>
        <v>11.315194788600348</v>
      </c>
      <c r="J59">
        <f t="shared" ca="1" si="11"/>
        <v>11.795268006718112</v>
      </c>
      <c r="K59">
        <f t="shared" ca="1" si="11"/>
        <v>9.2267737639817504</v>
      </c>
      <c r="L59">
        <f t="shared" ca="1" si="11"/>
        <v>11.730352540680622</v>
      </c>
      <c r="M59">
        <f t="shared" ca="1" si="11"/>
        <v>9.7724203206818778</v>
      </c>
      <c r="N59">
        <f t="shared" ca="1" si="11"/>
        <v>11.125390103455576</v>
      </c>
      <c r="O59">
        <f t="shared" ca="1" si="11"/>
        <v>9.9988655653070566</v>
      </c>
      <c r="P59">
        <f t="shared" ca="1" si="11"/>
        <v>11.208356383990491</v>
      </c>
      <c r="Q59">
        <f t="shared" ca="1" si="11"/>
        <v>10.261142892141766</v>
      </c>
      <c r="R59">
        <f t="shared" ca="1" si="11"/>
        <v>11.005066476728461</v>
      </c>
      <c r="S59">
        <f t="shared" ca="1" si="11"/>
        <v>10.60873768130905</v>
      </c>
      <c r="T59">
        <f t="shared" ca="1" si="11"/>
        <v>11.849668640628723</v>
      </c>
      <c r="U59">
        <f t="shared" ca="1" si="11"/>
        <v>11.411927709845205</v>
      </c>
      <c r="V59">
        <f t="shared" ca="1" si="11"/>
        <v>12.028885293195559</v>
      </c>
      <c r="W59">
        <f t="shared" ca="1" si="11"/>
        <v>9.8826865255486283</v>
      </c>
      <c r="X59">
        <f t="shared" ca="1" si="11"/>
        <v>12.350116204254338</v>
      </c>
      <c r="Y59">
        <f t="shared" ca="1" si="11"/>
        <v>11.336470735198503</v>
      </c>
      <c r="Z59">
        <f t="shared" ca="1" si="11"/>
        <v>12.254262495003871</v>
      </c>
      <c r="AA59">
        <f t="shared" ca="1" si="11"/>
        <v>10.354320092299989</v>
      </c>
      <c r="AB59">
        <f t="shared" ca="1" si="11"/>
        <v>11.324363977425971</v>
      </c>
      <c r="AC59">
        <f t="shared" ca="1" si="11"/>
        <v>10.985443242518548</v>
      </c>
      <c r="AD59">
        <f t="shared" ca="1" si="11"/>
        <v>12.46235050479577</v>
      </c>
      <c r="AE59">
        <f t="shared" ca="1" si="11"/>
        <v>9.5805771588339184</v>
      </c>
      <c r="AF59">
        <f t="shared" ca="1" si="11"/>
        <v>11.780244990525102</v>
      </c>
      <c r="AG59">
        <f t="shared" ca="1" si="11"/>
        <v>9.4115758118637824</v>
      </c>
      <c r="AH59">
        <f t="shared" ca="1" si="11"/>
        <v>11.551186025401703</v>
      </c>
    </row>
    <row r="60" spans="1:34">
      <c r="A60" t="str">
        <f>CYF!A60</f>
        <v>Coffee</v>
      </c>
      <c r="B60" t="str">
        <f>CYF!B60</f>
        <v>Amhara</v>
      </c>
      <c r="C60">
        <f t="shared" ca="1" si="10"/>
        <v>10.579681872438769</v>
      </c>
      <c r="D60">
        <f t="shared" ca="1" si="11"/>
        <v>11.273419174674171</v>
      </c>
      <c r="E60">
        <f t="shared" ca="1" si="11"/>
        <v>11.289131779672285</v>
      </c>
      <c r="F60">
        <f t="shared" ca="1" si="11"/>
        <v>11.295888149106693</v>
      </c>
      <c r="G60">
        <f t="shared" ca="1" si="11"/>
        <v>11.264147144427252</v>
      </c>
      <c r="H60">
        <f t="shared" ca="1" si="11"/>
        <v>12.404076130561021</v>
      </c>
      <c r="I60">
        <f t="shared" ca="1" si="11"/>
        <v>9.5200889568126197</v>
      </c>
      <c r="J60">
        <f t="shared" ca="1" si="11"/>
        <v>12.097602399173168</v>
      </c>
      <c r="K60">
        <f t="shared" ca="1" si="11"/>
        <v>9.287012049404094</v>
      </c>
      <c r="L60">
        <f t="shared" ca="1" si="11"/>
        <v>12.261993956799978</v>
      </c>
      <c r="M60">
        <f t="shared" ca="1" si="11"/>
        <v>9.3382255271037398</v>
      </c>
      <c r="N60">
        <f t="shared" ca="1" si="11"/>
        <v>11.564618119297576</v>
      </c>
      <c r="O60">
        <f t="shared" ca="1" si="11"/>
        <v>11.206633856263883</v>
      </c>
      <c r="P60">
        <f t="shared" ca="1" si="11"/>
        <v>11.554944883988496</v>
      </c>
      <c r="Q60">
        <f t="shared" ca="1" si="11"/>
        <v>11.375726570770937</v>
      </c>
      <c r="R60">
        <f t="shared" ca="1" si="11"/>
        <v>11.161256713571802</v>
      </c>
      <c r="S60">
        <f t="shared" ca="1" si="11"/>
        <v>9.5938090213825991</v>
      </c>
      <c r="T60">
        <f t="shared" ca="1" si="11"/>
        <v>11.15981628073397</v>
      </c>
      <c r="U60">
        <f t="shared" ca="1" si="11"/>
        <v>9.2572357963559213</v>
      </c>
      <c r="V60">
        <f t="shared" ca="1" si="11"/>
        <v>12.43575738814498</v>
      </c>
      <c r="W60">
        <f t="shared" ca="1" si="11"/>
        <v>10.968725175646117</v>
      </c>
      <c r="X60">
        <f t="shared" ca="1" si="11"/>
        <v>11.184061200185868</v>
      </c>
      <c r="Y60">
        <f t="shared" ca="1" si="11"/>
        <v>10.648843868908234</v>
      </c>
      <c r="Z60">
        <f t="shared" ca="1" si="11"/>
        <v>11.910869288691172</v>
      </c>
      <c r="AA60">
        <f t="shared" ca="1" si="11"/>
        <v>10.843588136385623</v>
      </c>
      <c r="AB60">
        <f t="shared" ca="1" si="11"/>
        <v>12.220633807620468</v>
      </c>
      <c r="AC60">
        <f t="shared" ca="1" si="11"/>
        <v>10.389774426587083</v>
      </c>
      <c r="AD60">
        <f t="shared" ca="1" si="11"/>
        <v>11.567535275680415</v>
      </c>
      <c r="AE60">
        <f t="shared" ca="1" si="11"/>
        <v>10.598932943313171</v>
      </c>
      <c r="AF60">
        <f t="shared" ca="1" si="11"/>
        <v>12.117708813314955</v>
      </c>
      <c r="AG60">
        <f t="shared" ca="1" si="11"/>
        <v>11.087058173154665</v>
      </c>
      <c r="AH60">
        <f t="shared" ca="1" si="11"/>
        <v>12.098244557557443</v>
      </c>
    </row>
    <row r="61" spans="1:34">
      <c r="A61" t="str">
        <f>CYF!A61</f>
        <v>Coffee</v>
      </c>
      <c r="B61" t="str">
        <f>CYF!B61</f>
        <v>Gumuz</v>
      </c>
      <c r="C61">
        <f t="shared" ca="1" si="10"/>
        <v>10.284098229381145</v>
      </c>
      <c r="D61">
        <f t="shared" ca="1" si="11"/>
        <v>11.333817263865582</v>
      </c>
      <c r="E61">
        <f t="shared" ca="1" si="11"/>
        <v>11.334190267295316</v>
      </c>
      <c r="F61">
        <f t="shared" ca="1" si="11"/>
        <v>11.79875939448122</v>
      </c>
      <c r="G61">
        <f t="shared" ca="1" si="11"/>
        <v>9.6062355047109733</v>
      </c>
      <c r="H61">
        <f t="shared" ca="1" si="11"/>
        <v>11.920769215136703</v>
      </c>
      <c r="I61">
        <f t="shared" ca="1" si="11"/>
        <v>9.5883951324878822</v>
      </c>
      <c r="J61">
        <f t="shared" ca="1" si="11"/>
        <v>11.707639565765543</v>
      </c>
      <c r="K61">
        <f t="shared" ca="1" si="11"/>
        <v>10.307169821935879</v>
      </c>
      <c r="L61">
        <f t="shared" ca="1" si="11"/>
        <v>12.374323149150367</v>
      </c>
      <c r="M61">
        <f t="shared" ca="1" si="11"/>
        <v>9.8765279284206393</v>
      </c>
      <c r="N61">
        <f t="shared" ca="1" si="11"/>
        <v>12.27372937614642</v>
      </c>
      <c r="O61">
        <f t="shared" ca="1" si="11"/>
        <v>11.302065235642736</v>
      </c>
      <c r="P61">
        <f t="shared" ca="1" si="11"/>
        <v>11.975560412015064</v>
      </c>
      <c r="Q61">
        <f t="shared" ca="1" si="11"/>
        <v>10.40893069117341</v>
      </c>
      <c r="R61">
        <f t="shared" ca="1" si="11"/>
        <v>11.473202606107533</v>
      </c>
      <c r="S61">
        <f t="shared" ca="1" si="11"/>
        <v>10.710897017816823</v>
      </c>
      <c r="T61">
        <f t="shared" ca="1" si="11"/>
        <v>12.085982469697369</v>
      </c>
      <c r="U61">
        <f t="shared" ca="1" si="11"/>
        <v>9.3490987811265889</v>
      </c>
      <c r="V61">
        <f t="shared" ca="1" si="11"/>
        <v>12.252399778143053</v>
      </c>
      <c r="W61">
        <f t="shared" ca="1" si="11"/>
        <v>10.705052002681883</v>
      </c>
      <c r="X61">
        <f t="shared" ca="1" si="11"/>
        <v>12.361878684528239</v>
      </c>
      <c r="Y61">
        <f t="shared" ca="1" si="11"/>
        <v>10.037438163963586</v>
      </c>
      <c r="Z61">
        <f t="shared" ca="1" si="11"/>
        <v>11.123743909648887</v>
      </c>
      <c r="AA61">
        <f t="shared" ca="1" si="11"/>
        <v>9.965315681635019</v>
      </c>
      <c r="AB61">
        <f t="shared" ca="1" si="11"/>
        <v>11.120265710261245</v>
      </c>
      <c r="AC61">
        <f t="shared" ca="1" si="11"/>
        <v>9.4209219194040887</v>
      </c>
      <c r="AD61">
        <f t="shared" ca="1" si="11"/>
        <v>12.133709951086026</v>
      </c>
      <c r="AE61">
        <f t="shared" ca="1" si="11"/>
        <v>11.440634181397417</v>
      </c>
      <c r="AF61">
        <f t="shared" ca="1" si="11"/>
        <v>12.220304646481074</v>
      </c>
      <c r="AG61">
        <f t="shared" ca="1" si="11"/>
        <v>9.1848545675803095</v>
      </c>
      <c r="AH61">
        <f t="shared" ca="1" si="11"/>
        <v>11.282377432573861</v>
      </c>
    </row>
    <row r="62" spans="1:34">
      <c r="A62" t="str">
        <f>CYF!A62</f>
        <v>Coffee</v>
      </c>
      <c r="B62" t="str">
        <f>CYF!B62</f>
        <v>DireDawa</v>
      </c>
      <c r="C62">
        <f t="shared" ca="1" si="10"/>
        <v>10.778447824167344</v>
      </c>
      <c r="D62">
        <f t="shared" ca="1" si="11"/>
        <v>11.218822629410329</v>
      </c>
      <c r="E62">
        <f t="shared" ca="1" si="11"/>
        <v>9.1478103198437193</v>
      </c>
      <c r="F62">
        <f t="shared" ca="1" si="11"/>
        <v>11.834241721677037</v>
      </c>
      <c r="G62">
        <f t="shared" ca="1" si="11"/>
        <v>9.2539430816838077</v>
      </c>
      <c r="H62">
        <f t="shared" ca="1" si="11"/>
        <v>12.294620441286726</v>
      </c>
      <c r="I62">
        <f t="shared" ca="1" si="11"/>
        <v>11.412837220328761</v>
      </c>
      <c r="J62">
        <f t="shared" ref="J62:Y68" ca="1" si="12">IF(1-MOD(COLUMN(),2),25-RAND()*3,(18+RAND()*5))/2</f>
        <v>12.040507154533667</v>
      </c>
      <c r="K62">
        <f t="shared" ca="1" si="12"/>
        <v>10.231042726989891</v>
      </c>
      <c r="L62">
        <f t="shared" ca="1" si="12"/>
        <v>11.404639561373157</v>
      </c>
      <c r="M62">
        <f t="shared" ca="1" si="12"/>
        <v>9.921220046606809</v>
      </c>
      <c r="N62">
        <f t="shared" ca="1" si="12"/>
        <v>11.525649871120057</v>
      </c>
      <c r="O62">
        <f t="shared" ca="1" si="12"/>
        <v>10.503918724581521</v>
      </c>
      <c r="P62">
        <f t="shared" ca="1" si="12"/>
        <v>12.488337058302088</v>
      </c>
      <c r="Q62">
        <f t="shared" ca="1" si="12"/>
        <v>10.454688419670678</v>
      </c>
      <c r="R62">
        <f t="shared" ca="1" si="12"/>
        <v>11.936330596491343</v>
      </c>
      <c r="S62">
        <f t="shared" ca="1" si="12"/>
        <v>10.479533967589241</v>
      </c>
      <c r="T62">
        <f t="shared" ca="1" si="12"/>
        <v>11.910028420077772</v>
      </c>
      <c r="U62">
        <f t="shared" ca="1" si="12"/>
        <v>10.220390720556246</v>
      </c>
      <c r="V62">
        <f t="shared" ca="1" si="12"/>
        <v>11.180757668486986</v>
      </c>
      <c r="W62">
        <f t="shared" ca="1" si="12"/>
        <v>11.260146383543276</v>
      </c>
      <c r="X62">
        <f t="shared" ca="1" si="12"/>
        <v>12.411583677440936</v>
      </c>
      <c r="Y62">
        <f t="shared" ca="1" si="12"/>
        <v>9.1553819970991057</v>
      </c>
      <c r="Z62">
        <f t="shared" ref="Z62:AH68" ca="1" si="13">IF(1-MOD(COLUMN(),2),25-RAND()*3,(18+RAND()*5))/2</f>
        <v>12.124338273289744</v>
      </c>
      <c r="AA62">
        <f t="shared" ca="1" si="13"/>
        <v>9.0468118523128354</v>
      </c>
      <c r="AB62">
        <f t="shared" ca="1" si="13"/>
        <v>11.413809048543131</v>
      </c>
      <c r="AC62">
        <f t="shared" ca="1" si="13"/>
        <v>9.3617330330998065</v>
      </c>
      <c r="AD62">
        <f t="shared" ca="1" si="13"/>
        <v>11.391955259954509</v>
      </c>
      <c r="AE62">
        <f t="shared" ca="1" si="13"/>
        <v>9.1151791253519381</v>
      </c>
      <c r="AF62">
        <f t="shared" ca="1" si="13"/>
        <v>11.70391495885697</v>
      </c>
      <c r="AG62">
        <f t="shared" ca="1" si="13"/>
        <v>10.695155137468891</v>
      </c>
      <c r="AH62">
        <f t="shared" ca="1" si="13"/>
        <v>11.680551497980806</v>
      </c>
    </row>
    <row r="63" spans="1:34">
      <c r="A63" t="str">
        <f>CYF!A63</f>
        <v>Coffee</v>
      </c>
      <c r="B63" t="str">
        <f>CYF!B63</f>
        <v>Gambela</v>
      </c>
      <c r="C63">
        <f t="shared" ca="1" si="10"/>
        <v>9.2704699943872448</v>
      </c>
      <c r="D63">
        <f t="shared" ca="1" si="10"/>
        <v>12.119376044593096</v>
      </c>
      <c r="E63">
        <f t="shared" ca="1" si="10"/>
        <v>10.065234858899846</v>
      </c>
      <c r="F63">
        <f t="shared" ca="1" si="10"/>
        <v>11.571283403059656</v>
      </c>
      <c r="G63">
        <f t="shared" ca="1" si="10"/>
        <v>9.0127946842432873</v>
      </c>
      <c r="H63">
        <f t="shared" ca="1" si="10"/>
        <v>11.98824049285253</v>
      </c>
      <c r="I63">
        <f t="shared" ref="I63:X68" ca="1" si="14">IF(1-MOD(COLUMN(),2),25-RAND()*3,(18+RAND()*5))/2</f>
        <v>10.63722459267283</v>
      </c>
      <c r="J63">
        <f t="shared" ca="1" si="14"/>
        <v>12.332700693001904</v>
      </c>
      <c r="K63">
        <f t="shared" ca="1" si="14"/>
        <v>9.1949340894948968</v>
      </c>
      <c r="L63">
        <f t="shared" ca="1" si="14"/>
        <v>11.486770742258729</v>
      </c>
      <c r="M63">
        <f t="shared" ca="1" si="14"/>
        <v>11.454986615144772</v>
      </c>
      <c r="N63">
        <f t="shared" ca="1" si="14"/>
        <v>11.64643944306234</v>
      </c>
      <c r="O63">
        <f t="shared" ca="1" si="14"/>
        <v>10.108268916413845</v>
      </c>
      <c r="P63">
        <f t="shared" ca="1" si="14"/>
        <v>12.015710888596297</v>
      </c>
      <c r="Q63">
        <f t="shared" ca="1" si="14"/>
        <v>9.9879389700770318</v>
      </c>
      <c r="R63">
        <f t="shared" ca="1" si="14"/>
        <v>12.446775148655966</v>
      </c>
      <c r="S63">
        <f t="shared" ca="1" si="14"/>
        <v>9.600606745952728</v>
      </c>
      <c r="T63">
        <f t="shared" ca="1" si="14"/>
        <v>11.975457290707345</v>
      </c>
      <c r="U63">
        <f t="shared" ca="1" si="14"/>
        <v>10.058866988877273</v>
      </c>
      <c r="V63">
        <f t="shared" ca="1" si="14"/>
        <v>11.527468651110549</v>
      </c>
      <c r="W63">
        <f t="shared" ca="1" si="14"/>
        <v>10.961244986727115</v>
      </c>
      <c r="X63">
        <f t="shared" ca="1" si="14"/>
        <v>11.678925369881489</v>
      </c>
      <c r="Y63">
        <f t="shared" ca="1" si="12"/>
        <v>9.8900263566441922</v>
      </c>
      <c r="Z63">
        <f t="shared" ca="1" si="13"/>
        <v>11.000419381320503</v>
      </c>
      <c r="AA63">
        <f t="shared" ca="1" si="13"/>
        <v>9.3799773582201293</v>
      </c>
      <c r="AB63">
        <f t="shared" ca="1" si="13"/>
        <v>11.428950532666635</v>
      </c>
      <c r="AC63">
        <f t="shared" ca="1" si="13"/>
        <v>9.1583174020951343</v>
      </c>
      <c r="AD63">
        <f t="shared" ca="1" si="13"/>
        <v>12.440683733686114</v>
      </c>
      <c r="AE63">
        <f t="shared" ca="1" si="13"/>
        <v>10.254154434504542</v>
      </c>
      <c r="AF63">
        <f t="shared" ca="1" si="13"/>
        <v>12.015034473524121</v>
      </c>
      <c r="AG63">
        <f t="shared" ca="1" si="13"/>
        <v>9.7734804418668659</v>
      </c>
      <c r="AH63">
        <f t="shared" ca="1" si="13"/>
        <v>12.389819368612928</v>
      </c>
    </row>
    <row r="64" spans="1:34">
      <c r="A64" t="str">
        <f>CYF!A64</f>
        <v>Coffee</v>
      </c>
      <c r="B64" t="str">
        <f>CYF!B64</f>
        <v>Harari</v>
      </c>
      <c r="C64">
        <f t="shared" ref="C64:R68" ca="1" si="15">IF(1-MOD(COLUMN(),2),25-RAND()*3,(18+RAND()*5))/2</f>
        <v>11.3408555901475</v>
      </c>
      <c r="D64">
        <f t="shared" ca="1" si="15"/>
        <v>11.239241167037193</v>
      </c>
      <c r="E64">
        <f t="shared" ca="1" si="15"/>
        <v>10.584117374816156</v>
      </c>
      <c r="F64">
        <f t="shared" ca="1" si="15"/>
        <v>12.025690524297476</v>
      </c>
      <c r="G64">
        <f t="shared" ca="1" si="15"/>
        <v>10.645108765007954</v>
      </c>
      <c r="H64">
        <f t="shared" ca="1" si="15"/>
        <v>11.661948232723644</v>
      </c>
      <c r="I64">
        <f t="shared" ca="1" si="15"/>
        <v>9.1244123862038222</v>
      </c>
      <c r="J64">
        <f t="shared" ca="1" si="15"/>
        <v>11.903451228062691</v>
      </c>
      <c r="K64">
        <f t="shared" ca="1" si="15"/>
        <v>11.492879308940735</v>
      </c>
      <c r="L64">
        <f t="shared" ca="1" si="15"/>
        <v>12.173515283383205</v>
      </c>
      <c r="M64">
        <f t="shared" ca="1" si="15"/>
        <v>10.980156451974072</v>
      </c>
      <c r="N64">
        <f t="shared" ca="1" si="15"/>
        <v>11.16201147598667</v>
      </c>
      <c r="O64">
        <f t="shared" ca="1" si="15"/>
        <v>9.7391006396533673</v>
      </c>
      <c r="P64">
        <f t="shared" ca="1" si="15"/>
        <v>12.257788453774692</v>
      </c>
      <c r="Q64">
        <f t="shared" ca="1" si="15"/>
        <v>9.4980427328544863</v>
      </c>
      <c r="R64">
        <f t="shared" ca="1" si="15"/>
        <v>12.089466865697577</v>
      </c>
      <c r="S64">
        <f t="shared" ca="1" si="14"/>
        <v>11.260000816782014</v>
      </c>
      <c r="T64">
        <f t="shared" ca="1" si="14"/>
        <v>12.379811227650022</v>
      </c>
      <c r="U64">
        <f t="shared" ca="1" si="14"/>
        <v>9.4885527186141339</v>
      </c>
      <c r="V64">
        <f t="shared" ca="1" si="14"/>
        <v>11.343760969440414</v>
      </c>
      <c r="W64">
        <f t="shared" ca="1" si="14"/>
        <v>11.402094581920744</v>
      </c>
      <c r="X64">
        <f t="shared" ca="1" si="14"/>
        <v>11.366264603484195</v>
      </c>
      <c r="Y64">
        <f t="shared" ca="1" si="12"/>
        <v>9.3160644933037009</v>
      </c>
      <c r="Z64">
        <f t="shared" ca="1" si="13"/>
        <v>11.090133551412222</v>
      </c>
      <c r="AA64">
        <f t="shared" ca="1" si="13"/>
        <v>10.199818962186702</v>
      </c>
      <c r="AB64">
        <f t="shared" ca="1" si="13"/>
        <v>11.077092304635825</v>
      </c>
      <c r="AC64">
        <f t="shared" ca="1" si="13"/>
        <v>11.265835597636096</v>
      </c>
      <c r="AD64">
        <f t="shared" ca="1" si="13"/>
        <v>11.482012199808031</v>
      </c>
      <c r="AE64">
        <f t="shared" ca="1" si="13"/>
        <v>9.6437282498203274</v>
      </c>
      <c r="AF64">
        <f t="shared" ca="1" si="13"/>
        <v>11.208960538223437</v>
      </c>
      <c r="AG64">
        <f t="shared" ca="1" si="13"/>
        <v>9.3107238732408995</v>
      </c>
      <c r="AH64">
        <f t="shared" ca="1" si="13"/>
        <v>12.401708331852038</v>
      </c>
    </row>
    <row r="65" spans="1:34">
      <c r="A65" t="str">
        <f>CYF!A65</f>
        <v>Coffee</v>
      </c>
      <c r="B65" t="str">
        <f>CYF!B65</f>
        <v>Oromia</v>
      </c>
      <c r="C65">
        <f t="shared" ca="1" si="15"/>
        <v>10.475326573041063</v>
      </c>
      <c r="D65">
        <f t="shared" ca="1" si="15"/>
        <v>11.351906984286902</v>
      </c>
      <c r="E65">
        <f t="shared" ca="1" si="15"/>
        <v>9.7160846128502794</v>
      </c>
      <c r="F65">
        <f t="shared" ca="1" si="15"/>
        <v>11.836683042133949</v>
      </c>
      <c r="G65">
        <f t="shared" ca="1" si="15"/>
        <v>10.112340201717995</v>
      </c>
      <c r="H65">
        <f t="shared" ca="1" si="15"/>
        <v>12.061231741670596</v>
      </c>
      <c r="I65">
        <f t="shared" ca="1" si="15"/>
        <v>10.62687097975763</v>
      </c>
      <c r="J65">
        <f t="shared" ca="1" si="15"/>
        <v>12.461190307022166</v>
      </c>
      <c r="K65">
        <f t="shared" ca="1" si="15"/>
        <v>9.4869511585700295</v>
      </c>
      <c r="L65">
        <f t="shared" ca="1" si="15"/>
        <v>11.162621132981268</v>
      </c>
      <c r="M65">
        <f t="shared" ca="1" si="15"/>
        <v>10.07228808606005</v>
      </c>
      <c r="N65">
        <f t="shared" ca="1" si="15"/>
        <v>11.309124238871075</v>
      </c>
      <c r="O65">
        <f t="shared" ca="1" si="15"/>
        <v>9.3596505237633707</v>
      </c>
      <c r="P65">
        <f t="shared" ca="1" si="15"/>
        <v>11.496385972414396</v>
      </c>
      <c r="Q65">
        <f t="shared" ca="1" si="15"/>
        <v>9.3113581894417248</v>
      </c>
      <c r="R65">
        <f t="shared" ca="1" si="15"/>
        <v>11.073978994559386</v>
      </c>
      <c r="S65">
        <f t="shared" ca="1" si="14"/>
        <v>9.5404366618990739</v>
      </c>
      <c r="T65">
        <f t="shared" ca="1" si="14"/>
        <v>12.362014747973655</v>
      </c>
      <c r="U65">
        <f t="shared" ca="1" si="14"/>
        <v>11.062560149247027</v>
      </c>
      <c r="V65">
        <f t="shared" ca="1" si="14"/>
        <v>11.872477690511531</v>
      </c>
      <c r="W65">
        <f t="shared" ca="1" si="14"/>
        <v>11.277993525089194</v>
      </c>
      <c r="X65">
        <f t="shared" ca="1" si="14"/>
        <v>11.932175428426172</v>
      </c>
      <c r="Y65">
        <f t="shared" ca="1" si="12"/>
        <v>9.7634544646254771</v>
      </c>
      <c r="Z65">
        <f t="shared" ca="1" si="13"/>
        <v>11.102545691449714</v>
      </c>
      <c r="AA65">
        <f t="shared" ca="1" si="13"/>
        <v>11.379333173647868</v>
      </c>
      <c r="AB65">
        <f t="shared" ca="1" si="13"/>
        <v>11.804039179612365</v>
      </c>
      <c r="AC65">
        <f t="shared" ca="1" si="13"/>
        <v>10.144665827375782</v>
      </c>
      <c r="AD65">
        <f t="shared" ca="1" si="13"/>
        <v>12.457268640955286</v>
      </c>
      <c r="AE65">
        <f t="shared" ca="1" si="13"/>
        <v>11.413966050337308</v>
      </c>
      <c r="AF65">
        <f t="shared" ca="1" si="13"/>
        <v>12.092344369047328</v>
      </c>
      <c r="AG65">
        <f t="shared" ca="1" si="13"/>
        <v>9.0174446666095651</v>
      </c>
      <c r="AH65">
        <f t="shared" ca="1" si="13"/>
        <v>11.08271894572867</v>
      </c>
    </row>
    <row r="66" spans="1:34">
      <c r="A66" t="str">
        <f>CYF!A66</f>
        <v>Coffee</v>
      </c>
      <c r="B66" t="str">
        <f>CYF!B66</f>
        <v>Somali</v>
      </c>
      <c r="C66">
        <f t="shared" ca="1" si="15"/>
        <v>9.144708116587017</v>
      </c>
      <c r="D66">
        <f t="shared" ca="1" si="15"/>
        <v>11.972787750741743</v>
      </c>
      <c r="E66">
        <f t="shared" ca="1" si="15"/>
        <v>9.5284658907946405</v>
      </c>
      <c r="F66">
        <f t="shared" ca="1" si="15"/>
        <v>11.535273164371658</v>
      </c>
      <c r="G66">
        <f t="shared" ca="1" si="15"/>
        <v>10.203747807990087</v>
      </c>
      <c r="H66">
        <f t="shared" ca="1" si="15"/>
        <v>11.607461752459583</v>
      </c>
      <c r="I66">
        <f t="shared" ca="1" si="15"/>
        <v>9.1326401104309554</v>
      </c>
      <c r="J66">
        <f t="shared" ca="1" si="15"/>
        <v>11.75060756366806</v>
      </c>
      <c r="K66">
        <f t="shared" ca="1" si="15"/>
        <v>9.9705908138798449</v>
      </c>
      <c r="L66">
        <f t="shared" ca="1" si="15"/>
        <v>12.158472919818042</v>
      </c>
      <c r="M66">
        <f t="shared" ca="1" si="15"/>
        <v>10.189595267329816</v>
      </c>
      <c r="N66">
        <f t="shared" ca="1" si="15"/>
        <v>12.262774840497697</v>
      </c>
      <c r="O66">
        <f t="shared" ca="1" si="15"/>
        <v>9.2378214588769225</v>
      </c>
      <c r="P66">
        <f t="shared" ca="1" si="15"/>
        <v>12.121307683526661</v>
      </c>
      <c r="Q66">
        <f t="shared" ca="1" si="15"/>
        <v>11.335254275530824</v>
      </c>
      <c r="R66">
        <f t="shared" ca="1" si="15"/>
        <v>12.24881254530256</v>
      </c>
      <c r="S66">
        <f t="shared" ca="1" si="14"/>
        <v>10.268956491408304</v>
      </c>
      <c r="T66">
        <f t="shared" ca="1" si="14"/>
        <v>11.893054682989108</v>
      </c>
      <c r="U66">
        <f t="shared" ca="1" si="14"/>
        <v>11.005792643988517</v>
      </c>
      <c r="V66">
        <f t="shared" ca="1" si="14"/>
        <v>11.470543121169495</v>
      </c>
      <c r="W66">
        <f t="shared" ca="1" si="14"/>
        <v>9.5357558930635591</v>
      </c>
      <c r="X66">
        <f t="shared" ca="1" si="14"/>
        <v>12.348539331019616</v>
      </c>
      <c r="Y66">
        <f t="shared" ca="1" si="12"/>
        <v>9.3740599342897628</v>
      </c>
      <c r="Z66">
        <f t="shared" ca="1" si="13"/>
        <v>12.365137737214868</v>
      </c>
      <c r="AA66">
        <f t="shared" ca="1" si="13"/>
        <v>11.144001976535014</v>
      </c>
      <c r="AB66">
        <f t="shared" ca="1" si="13"/>
        <v>11.328138243840909</v>
      </c>
      <c r="AC66">
        <f t="shared" ca="1" si="13"/>
        <v>9.1538622009234221</v>
      </c>
      <c r="AD66">
        <f t="shared" ca="1" si="13"/>
        <v>11.008723104686112</v>
      </c>
      <c r="AE66">
        <f t="shared" ca="1" si="13"/>
        <v>10.00392121737355</v>
      </c>
      <c r="AF66">
        <f t="shared" ca="1" si="13"/>
        <v>11.744823714378292</v>
      </c>
      <c r="AG66">
        <f t="shared" ca="1" si="13"/>
        <v>9.9765850137517997</v>
      </c>
      <c r="AH66">
        <f t="shared" ca="1" si="13"/>
        <v>12.420557054674441</v>
      </c>
    </row>
    <row r="67" spans="1:34">
      <c r="A67" t="str">
        <f>CYF!A67</f>
        <v>Coffee</v>
      </c>
      <c r="B67" t="str">
        <f>CYF!B67</f>
        <v>SNNPR</v>
      </c>
      <c r="C67">
        <f t="shared" ca="1" si="15"/>
        <v>10.909332810467925</v>
      </c>
      <c r="D67">
        <f t="shared" ca="1" si="15"/>
        <v>11.762158178190521</v>
      </c>
      <c r="E67">
        <f t="shared" ca="1" si="15"/>
        <v>9.8656169814655961</v>
      </c>
      <c r="F67">
        <f t="shared" ca="1" si="15"/>
        <v>11.256233777460935</v>
      </c>
      <c r="G67">
        <f t="shared" ca="1" si="15"/>
        <v>9.2546291554997637</v>
      </c>
      <c r="H67">
        <f t="shared" ca="1" si="15"/>
        <v>11.377853063007672</v>
      </c>
      <c r="I67">
        <f t="shared" ca="1" si="15"/>
        <v>10.926924261965606</v>
      </c>
      <c r="J67">
        <f t="shared" ca="1" si="15"/>
        <v>11.964111295050234</v>
      </c>
      <c r="K67">
        <f t="shared" ca="1" si="15"/>
        <v>9.2528753307763001</v>
      </c>
      <c r="L67">
        <f t="shared" ca="1" si="15"/>
        <v>11.781766880642492</v>
      </c>
      <c r="M67">
        <f t="shared" ca="1" si="15"/>
        <v>9.7395007125296296</v>
      </c>
      <c r="N67">
        <f t="shared" ca="1" si="15"/>
        <v>11.223990436356214</v>
      </c>
      <c r="O67">
        <f t="shared" ca="1" si="15"/>
        <v>10.340888011994231</v>
      </c>
      <c r="P67">
        <f t="shared" ca="1" si="15"/>
        <v>11.677586848440578</v>
      </c>
      <c r="Q67">
        <f t="shared" ca="1" si="15"/>
        <v>9.2185995104163538</v>
      </c>
      <c r="R67">
        <f t="shared" ca="1" si="15"/>
        <v>11.409313983300862</v>
      </c>
      <c r="S67">
        <f t="shared" ca="1" si="14"/>
        <v>9.4768653438195738</v>
      </c>
      <c r="T67">
        <f t="shared" ca="1" si="14"/>
        <v>12.223321520988543</v>
      </c>
      <c r="U67">
        <f t="shared" ca="1" si="14"/>
        <v>10.123396537047547</v>
      </c>
      <c r="V67">
        <f t="shared" ca="1" si="14"/>
        <v>11.868976448678787</v>
      </c>
      <c r="W67">
        <f t="shared" ca="1" si="14"/>
        <v>9.3604447263663815</v>
      </c>
      <c r="X67">
        <f t="shared" ca="1" si="14"/>
        <v>12.47223057354174</v>
      </c>
      <c r="Y67">
        <f t="shared" ca="1" si="12"/>
        <v>11.412807796787082</v>
      </c>
      <c r="Z67">
        <f t="shared" ca="1" si="13"/>
        <v>12.030804265485909</v>
      </c>
      <c r="AA67">
        <f t="shared" ca="1" si="13"/>
        <v>11.415844051822186</v>
      </c>
      <c r="AB67">
        <f t="shared" ca="1" si="13"/>
        <v>11.879962107431224</v>
      </c>
      <c r="AC67">
        <f t="shared" ca="1" si="13"/>
        <v>11.063038752325983</v>
      </c>
      <c r="AD67">
        <f t="shared" ca="1" si="13"/>
        <v>11.000146804950624</v>
      </c>
      <c r="AE67">
        <f t="shared" ca="1" si="13"/>
        <v>9.2054749750810068</v>
      </c>
      <c r="AF67">
        <f t="shared" ca="1" si="13"/>
        <v>12.247663869467901</v>
      </c>
      <c r="AG67">
        <f t="shared" ca="1" si="13"/>
        <v>9.1870730601855719</v>
      </c>
      <c r="AH67">
        <f t="shared" ca="1" si="13"/>
        <v>11.671206973574211</v>
      </c>
    </row>
    <row r="68" spans="1:34">
      <c r="A68" t="str">
        <f>CYF!A68</f>
        <v>Coffee</v>
      </c>
      <c r="B68" t="str">
        <f>CYF!B68</f>
        <v>Tigray</v>
      </c>
      <c r="C68">
        <f t="shared" ca="1" si="15"/>
        <v>9.5710724081905916</v>
      </c>
      <c r="D68">
        <f t="shared" ca="1" si="15"/>
        <v>12.438620707425036</v>
      </c>
      <c r="E68">
        <f t="shared" ca="1" si="15"/>
        <v>9.5769589908593886</v>
      </c>
      <c r="F68">
        <f t="shared" ca="1" si="15"/>
        <v>11.949168072865014</v>
      </c>
      <c r="G68">
        <f t="shared" ca="1" si="15"/>
        <v>10.869539426229071</v>
      </c>
      <c r="H68">
        <f t="shared" ca="1" si="15"/>
        <v>11.515549990767033</v>
      </c>
      <c r="I68">
        <f t="shared" ca="1" si="15"/>
        <v>9.1790064674951193</v>
      </c>
      <c r="J68">
        <f t="shared" ca="1" si="15"/>
        <v>11.180361559494923</v>
      </c>
      <c r="K68">
        <f t="shared" ca="1" si="15"/>
        <v>9.3469924033213658</v>
      </c>
      <c r="L68">
        <f t="shared" ca="1" si="15"/>
        <v>12.398708400519025</v>
      </c>
      <c r="M68">
        <f t="shared" ca="1" si="15"/>
        <v>10.12798500428015</v>
      </c>
      <c r="N68">
        <f t="shared" ca="1" si="15"/>
        <v>11.690869427647748</v>
      </c>
      <c r="O68">
        <f t="shared" ca="1" si="15"/>
        <v>10.069342532493575</v>
      </c>
      <c r="P68">
        <f t="shared" ca="1" si="15"/>
        <v>11.35922323641293</v>
      </c>
      <c r="Q68">
        <f t="shared" ca="1" si="15"/>
        <v>10.127991353704481</v>
      </c>
      <c r="R68">
        <f t="shared" ca="1" si="15"/>
        <v>12.035125646532338</v>
      </c>
      <c r="S68">
        <f t="shared" ca="1" si="14"/>
        <v>9.6958882813521257</v>
      </c>
      <c r="T68">
        <f t="shared" ca="1" si="14"/>
        <v>11.792684936457075</v>
      </c>
      <c r="U68">
        <f t="shared" ca="1" si="14"/>
        <v>9.5210124534465717</v>
      </c>
      <c r="V68">
        <f t="shared" ca="1" si="14"/>
        <v>12.123537427904534</v>
      </c>
      <c r="W68">
        <f t="shared" ca="1" si="14"/>
        <v>11.452547040853998</v>
      </c>
      <c r="X68">
        <f t="shared" ca="1" si="14"/>
        <v>12.20903849150741</v>
      </c>
      <c r="Y68">
        <f t="shared" ca="1" si="12"/>
        <v>11.084295796502055</v>
      </c>
      <c r="Z68">
        <f t="shared" ca="1" si="13"/>
        <v>12.4872276328644</v>
      </c>
      <c r="AA68">
        <f t="shared" ca="1" si="13"/>
        <v>11.264721181082766</v>
      </c>
      <c r="AB68">
        <f t="shared" ca="1" si="13"/>
        <v>11.314731171164457</v>
      </c>
      <c r="AC68">
        <f t="shared" ca="1" si="13"/>
        <v>9.4938305343823295</v>
      </c>
      <c r="AD68">
        <f t="shared" ca="1" si="13"/>
        <v>11.288241780679829</v>
      </c>
      <c r="AE68">
        <f t="shared" ca="1" si="13"/>
        <v>9.3593740124389679</v>
      </c>
      <c r="AF68">
        <f t="shared" ca="1" si="13"/>
        <v>12.104897605538007</v>
      </c>
      <c r="AG68">
        <f t="shared" ca="1" si="13"/>
        <v>10.135586321980032</v>
      </c>
      <c r="AH68">
        <f t="shared" ca="1" si="13"/>
        <v>11.097047765881531</v>
      </c>
    </row>
    <row r="101" spans="1:17">
      <c r="B101">
        <f t="array" ref="B101:Q101">TRANSPOSE(Years)</f>
        <v>2015</v>
      </c>
      <c r="C101">
        <v>2016</v>
      </c>
      <c r="D101">
        <v>2017</v>
      </c>
      <c r="E101">
        <v>2018</v>
      </c>
      <c r="F101">
        <v>2019</v>
      </c>
      <c r="G101">
        <v>2020</v>
      </c>
      <c r="H101">
        <v>2021</v>
      </c>
      <c r="I101">
        <v>2022</v>
      </c>
      <c r="J101">
        <v>2023</v>
      </c>
      <c r="K101">
        <v>2024</v>
      </c>
      <c r="L101">
        <v>2025</v>
      </c>
      <c r="M101">
        <v>2026</v>
      </c>
      <c r="N101">
        <v>2027</v>
      </c>
      <c r="O101">
        <v>2028</v>
      </c>
      <c r="P101">
        <v>2029</v>
      </c>
      <c r="Q101">
        <v>2030</v>
      </c>
    </row>
    <row r="102" spans="1:17">
      <c r="A102" t="str">
        <f t="array" ref="A102:A112">Nodes</f>
        <v>AddisAbaba</v>
      </c>
      <c r="B102">
        <v>1000</v>
      </c>
      <c r="C102">
        <v>1000</v>
      </c>
      <c r="D102">
        <v>1000</v>
      </c>
      <c r="E102">
        <v>1000</v>
      </c>
      <c r="F102">
        <v>1000</v>
      </c>
      <c r="G102">
        <v>1000</v>
      </c>
      <c r="H102">
        <v>1000</v>
      </c>
      <c r="I102">
        <v>1000</v>
      </c>
      <c r="J102">
        <v>1000</v>
      </c>
      <c r="K102">
        <v>1000</v>
      </c>
      <c r="L102">
        <v>1000</v>
      </c>
      <c r="M102">
        <v>1000</v>
      </c>
      <c r="N102">
        <v>1000</v>
      </c>
      <c r="O102">
        <v>1000</v>
      </c>
      <c r="P102">
        <v>1000</v>
      </c>
      <c r="Q102">
        <v>1000</v>
      </c>
    </row>
    <row r="103" spans="1:17">
      <c r="A103" t="str">
        <v>Afar</v>
      </c>
      <c r="B103">
        <v>1000</v>
      </c>
      <c r="C103">
        <v>1000</v>
      </c>
      <c r="D103">
        <v>1000</v>
      </c>
      <c r="E103">
        <v>1000</v>
      </c>
      <c r="F103">
        <v>1000</v>
      </c>
      <c r="G103">
        <v>1000</v>
      </c>
      <c r="H103">
        <v>1000</v>
      </c>
      <c r="I103">
        <v>1000</v>
      </c>
      <c r="J103">
        <v>1000</v>
      </c>
      <c r="K103">
        <v>1000</v>
      </c>
      <c r="L103">
        <v>1000</v>
      </c>
      <c r="M103">
        <v>1000</v>
      </c>
      <c r="N103">
        <v>1000</v>
      </c>
      <c r="O103">
        <v>1000</v>
      </c>
      <c r="P103">
        <v>1000</v>
      </c>
      <c r="Q103">
        <v>1000</v>
      </c>
    </row>
    <row r="104" spans="1:17">
      <c r="A104" t="str">
        <v>Amhara</v>
      </c>
      <c r="B104">
        <v>1000</v>
      </c>
      <c r="C104">
        <v>1000</v>
      </c>
      <c r="D104">
        <v>1000</v>
      </c>
      <c r="E104">
        <v>1000</v>
      </c>
      <c r="F104">
        <v>1000</v>
      </c>
      <c r="G104">
        <v>1000</v>
      </c>
      <c r="H104">
        <v>1000</v>
      </c>
      <c r="I104">
        <v>1000</v>
      </c>
      <c r="J104">
        <v>1000</v>
      </c>
      <c r="K104">
        <v>1000</v>
      </c>
      <c r="L104">
        <v>1000</v>
      </c>
      <c r="M104">
        <v>1000</v>
      </c>
      <c r="N104">
        <v>1000</v>
      </c>
      <c r="O104">
        <v>1000</v>
      </c>
      <c r="P104">
        <v>1000</v>
      </c>
      <c r="Q104">
        <v>1000</v>
      </c>
    </row>
    <row r="105" spans="1:17">
      <c r="A105" t="str">
        <v>Gumuz</v>
      </c>
      <c r="B105">
        <v>1000</v>
      </c>
      <c r="C105">
        <v>1000</v>
      </c>
      <c r="D105">
        <v>1000</v>
      </c>
      <c r="E105">
        <v>1000</v>
      </c>
      <c r="F105">
        <v>1000</v>
      </c>
      <c r="G105">
        <v>1000</v>
      </c>
      <c r="H105">
        <v>1000</v>
      </c>
      <c r="I105">
        <v>1000</v>
      </c>
      <c r="J105">
        <v>1000</v>
      </c>
      <c r="K105">
        <v>1000</v>
      </c>
      <c r="L105">
        <v>1000</v>
      </c>
      <c r="M105">
        <v>1000</v>
      </c>
      <c r="N105">
        <v>1000</v>
      </c>
      <c r="O105">
        <v>1000</v>
      </c>
      <c r="P105">
        <v>1000</v>
      </c>
      <c r="Q105">
        <v>1000</v>
      </c>
    </row>
    <row r="106" spans="1:17">
      <c r="A106" t="str">
        <v>DireDawa</v>
      </c>
      <c r="B106">
        <v>1000</v>
      </c>
      <c r="C106">
        <v>1000</v>
      </c>
      <c r="D106">
        <v>1000</v>
      </c>
      <c r="E106">
        <v>1000</v>
      </c>
      <c r="F106">
        <v>1000</v>
      </c>
      <c r="G106">
        <v>1000</v>
      </c>
      <c r="H106">
        <v>1000</v>
      </c>
      <c r="I106">
        <v>1000</v>
      </c>
      <c r="J106">
        <v>1000</v>
      </c>
      <c r="K106">
        <v>1000</v>
      </c>
      <c r="L106">
        <v>1000</v>
      </c>
      <c r="M106">
        <v>1000</v>
      </c>
      <c r="N106">
        <v>1000</v>
      </c>
      <c r="O106">
        <v>1000</v>
      </c>
      <c r="P106">
        <v>1000</v>
      </c>
      <c r="Q106">
        <v>1000</v>
      </c>
    </row>
    <row r="107" spans="1:17">
      <c r="A107" t="str">
        <v>Gambela</v>
      </c>
      <c r="B107">
        <v>1000</v>
      </c>
      <c r="C107">
        <v>1000</v>
      </c>
      <c r="D107">
        <v>1000</v>
      </c>
      <c r="E107">
        <v>1000</v>
      </c>
      <c r="F107">
        <v>1000</v>
      </c>
      <c r="G107">
        <v>1000</v>
      </c>
      <c r="H107">
        <v>1000</v>
      </c>
      <c r="I107">
        <v>1000</v>
      </c>
      <c r="J107">
        <v>1000</v>
      </c>
      <c r="K107">
        <v>1000</v>
      </c>
      <c r="L107">
        <v>1000</v>
      </c>
      <c r="M107">
        <v>1000</v>
      </c>
      <c r="N107">
        <v>1000</v>
      </c>
      <c r="O107">
        <v>1000</v>
      </c>
      <c r="P107">
        <v>1000</v>
      </c>
      <c r="Q107">
        <v>1000</v>
      </c>
    </row>
    <row r="108" spans="1:17">
      <c r="A108" t="str">
        <v>Harari</v>
      </c>
      <c r="B108">
        <v>1000</v>
      </c>
      <c r="C108">
        <v>1000</v>
      </c>
      <c r="D108">
        <v>1000</v>
      </c>
      <c r="E108">
        <v>1000</v>
      </c>
      <c r="F108">
        <v>1000</v>
      </c>
      <c r="G108">
        <v>1000</v>
      </c>
      <c r="H108">
        <v>1000</v>
      </c>
      <c r="I108">
        <v>1000</v>
      </c>
      <c r="J108">
        <v>1000</v>
      </c>
      <c r="K108">
        <v>1000</v>
      </c>
      <c r="L108">
        <v>1000</v>
      </c>
      <c r="M108">
        <v>1000</v>
      </c>
      <c r="N108">
        <v>1000</v>
      </c>
      <c r="O108">
        <v>1000</v>
      </c>
      <c r="P108">
        <v>1000</v>
      </c>
      <c r="Q108">
        <v>1000</v>
      </c>
    </row>
    <row r="109" spans="1:17">
      <c r="A109" t="str">
        <v>Oromia</v>
      </c>
      <c r="B109">
        <v>1000</v>
      </c>
      <c r="C109">
        <v>1000</v>
      </c>
      <c r="D109">
        <v>1000</v>
      </c>
      <c r="E109">
        <v>1000</v>
      </c>
      <c r="F109">
        <v>1000</v>
      </c>
      <c r="G109">
        <v>1000</v>
      </c>
      <c r="H109">
        <v>1000</v>
      </c>
      <c r="I109">
        <v>1000</v>
      </c>
      <c r="J109">
        <v>1000</v>
      </c>
      <c r="K109">
        <v>1000</v>
      </c>
      <c r="L109">
        <v>1000</v>
      </c>
      <c r="M109">
        <v>1000</v>
      </c>
      <c r="N109">
        <v>1000</v>
      </c>
      <c r="O109">
        <v>1000</v>
      </c>
      <c r="P109">
        <v>1000</v>
      </c>
      <c r="Q109">
        <v>1000</v>
      </c>
    </row>
    <row r="110" spans="1:17">
      <c r="A110" t="str">
        <v>Somali</v>
      </c>
      <c r="B110">
        <v>1000</v>
      </c>
      <c r="C110">
        <v>1000</v>
      </c>
      <c r="D110">
        <v>1000</v>
      </c>
      <c r="E110">
        <v>1000</v>
      </c>
      <c r="F110">
        <v>1000</v>
      </c>
      <c r="G110">
        <v>1000</v>
      </c>
      <c r="H110">
        <v>1000</v>
      </c>
      <c r="I110">
        <v>1000</v>
      </c>
      <c r="J110">
        <v>1000</v>
      </c>
      <c r="K110">
        <v>1000</v>
      </c>
      <c r="L110">
        <v>1000</v>
      </c>
      <c r="M110">
        <v>1000</v>
      </c>
      <c r="N110">
        <v>1000</v>
      </c>
      <c r="O110">
        <v>1000</v>
      </c>
      <c r="P110">
        <v>1000</v>
      </c>
      <c r="Q110">
        <v>1000</v>
      </c>
    </row>
    <row r="111" spans="1:17">
      <c r="A111" t="str">
        <v>SNNPR</v>
      </c>
      <c r="B111">
        <v>1000</v>
      </c>
      <c r="C111">
        <v>1000</v>
      </c>
      <c r="D111">
        <v>1000</v>
      </c>
      <c r="E111">
        <v>1000</v>
      </c>
      <c r="F111">
        <v>1000</v>
      </c>
      <c r="G111">
        <v>1000</v>
      </c>
      <c r="H111">
        <v>1000</v>
      </c>
      <c r="I111">
        <v>1000</v>
      </c>
      <c r="J111">
        <v>1000</v>
      </c>
      <c r="K111">
        <v>1000</v>
      </c>
      <c r="L111">
        <v>1000</v>
      </c>
      <c r="M111">
        <v>1000</v>
      </c>
      <c r="N111">
        <v>1000</v>
      </c>
      <c r="O111">
        <v>1000</v>
      </c>
      <c r="P111">
        <v>1000</v>
      </c>
      <c r="Q111">
        <v>1000</v>
      </c>
    </row>
    <row r="112" spans="1:17">
      <c r="A112" t="str">
        <v>Tigray</v>
      </c>
      <c r="B112">
        <v>1000</v>
      </c>
      <c r="C112">
        <v>1000</v>
      </c>
      <c r="D112">
        <v>1000</v>
      </c>
      <c r="E112">
        <v>1000</v>
      </c>
      <c r="F112">
        <v>1000</v>
      </c>
      <c r="G112">
        <v>1000</v>
      </c>
      <c r="H112">
        <v>1000</v>
      </c>
      <c r="I112">
        <v>1000</v>
      </c>
      <c r="J112">
        <v>1000</v>
      </c>
      <c r="K112">
        <v>1000</v>
      </c>
      <c r="L112">
        <v>1000</v>
      </c>
      <c r="M112">
        <v>1000</v>
      </c>
      <c r="N112">
        <v>1000</v>
      </c>
      <c r="O112">
        <v>1000</v>
      </c>
      <c r="P112">
        <v>1000</v>
      </c>
      <c r="Q112">
        <v>1000</v>
      </c>
    </row>
    <row r="121" spans="1:17">
      <c r="B121">
        <f t="array" ref="B121:Q121">TRANSPOSE(Years)</f>
        <v>2015</v>
      </c>
      <c r="C121">
        <v>2016</v>
      </c>
      <c r="D121">
        <v>2017</v>
      </c>
      <c r="E121">
        <v>2018</v>
      </c>
      <c r="F121">
        <v>2019</v>
      </c>
      <c r="G121">
        <v>2020</v>
      </c>
      <c r="H121">
        <v>2021</v>
      </c>
      <c r="I121">
        <v>2022</v>
      </c>
      <c r="J121">
        <v>2023</v>
      </c>
      <c r="K121">
        <v>2024</v>
      </c>
      <c r="L121">
        <v>2025</v>
      </c>
      <c r="M121">
        <v>2026</v>
      </c>
      <c r="N121">
        <v>2027</v>
      </c>
      <c r="O121">
        <v>2028</v>
      </c>
      <c r="P121">
        <v>2029</v>
      </c>
      <c r="Q121">
        <v>2030</v>
      </c>
    </row>
    <row r="122" spans="1:17">
      <c r="A122" t="str">
        <f t="array" ref="A122:A132">Nodes</f>
        <v>AddisAbaba</v>
      </c>
      <c r="B122">
        <v>5</v>
      </c>
      <c r="C122">
        <v>5</v>
      </c>
      <c r="D122">
        <v>5</v>
      </c>
      <c r="E122">
        <v>5</v>
      </c>
      <c r="F122">
        <v>5</v>
      </c>
      <c r="G122">
        <v>5</v>
      </c>
      <c r="H122">
        <v>5</v>
      </c>
      <c r="I122">
        <v>5</v>
      </c>
      <c r="J122">
        <v>5</v>
      </c>
      <c r="K122">
        <v>5</v>
      </c>
      <c r="L122">
        <v>5</v>
      </c>
      <c r="M122">
        <v>5</v>
      </c>
      <c r="N122">
        <v>5</v>
      </c>
      <c r="O122">
        <v>5</v>
      </c>
      <c r="P122">
        <v>5</v>
      </c>
      <c r="Q122">
        <v>5</v>
      </c>
    </row>
    <row r="123" spans="1:17">
      <c r="A123" t="str">
        <v>Afar</v>
      </c>
      <c r="B123">
        <v>5</v>
      </c>
      <c r="C123">
        <v>5</v>
      </c>
      <c r="D123">
        <v>5</v>
      </c>
      <c r="E123">
        <v>5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5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</row>
    <row r="124" spans="1:17">
      <c r="A124" t="str">
        <v>Amhara</v>
      </c>
      <c r="B124">
        <v>5</v>
      </c>
      <c r="C124">
        <v>5</v>
      </c>
      <c r="D124">
        <v>5</v>
      </c>
      <c r="E124">
        <v>5</v>
      </c>
      <c r="F124">
        <v>5</v>
      </c>
      <c r="G124">
        <v>5</v>
      </c>
      <c r="H124">
        <v>5</v>
      </c>
      <c r="I124">
        <v>5</v>
      </c>
      <c r="J124">
        <v>5</v>
      </c>
      <c r="K124">
        <v>5</v>
      </c>
      <c r="L124">
        <v>5</v>
      </c>
      <c r="M124">
        <v>5</v>
      </c>
      <c r="N124">
        <v>5</v>
      </c>
      <c r="O124">
        <v>5</v>
      </c>
      <c r="P124">
        <v>5</v>
      </c>
      <c r="Q124">
        <v>5</v>
      </c>
    </row>
    <row r="125" spans="1:17">
      <c r="A125" t="str">
        <v>Gumuz</v>
      </c>
      <c r="B125">
        <v>5</v>
      </c>
      <c r="C125">
        <v>5</v>
      </c>
      <c r="D125">
        <v>5</v>
      </c>
      <c r="E125">
        <v>5</v>
      </c>
      <c r="F125">
        <v>5</v>
      </c>
      <c r="G125">
        <v>5</v>
      </c>
      <c r="H125">
        <v>5</v>
      </c>
      <c r="I125">
        <v>5</v>
      </c>
      <c r="J125">
        <v>5</v>
      </c>
      <c r="K125">
        <v>5</v>
      </c>
      <c r="L125">
        <v>5</v>
      </c>
      <c r="M125">
        <v>5</v>
      </c>
      <c r="N125">
        <v>5</v>
      </c>
      <c r="O125">
        <v>5</v>
      </c>
      <c r="P125">
        <v>5</v>
      </c>
      <c r="Q125">
        <v>5</v>
      </c>
    </row>
    <row r="126" spans="1:17">
      <c r="A126" t="str">
        <v>DireDawa</v>
      </c>
      <c r="B126">
        <v>5</v>
      </c>
      <c r="C126">
        <v>5</v>
      </c>
      <c r="D126">
        <v>5</v>
      </c>
      <c r="E126">
        <v>5</v>
      </c>
      <c r="F126">
        <v>5</v>
      </c>
      <c r="G126">
        <v>5</v>
      </c>
      <c r="H126">
        <v>5</v>
      </c>
      <c r="I126">
        <v>5</v>
      </c>
      <c r="J126">
        <v>5</v>
      </c>
      <c r="K126">
        <v>5</v>
      </c>
      <c r="L126">
        <v>5</v>
      </c>
      <c r="M126">
        <v>5</v>
      </c>
      <c r="N126">
        <v>5</v>
      </c>
      <c r="O126">
        <v>5</v>
      </c>
      <c r="P126">
        <v>5</v>
      </c>
      <c r="Q126">
        <v>5</v>
      </c>
    </row>
    <row r="127" spans="1:17">
      <c r="A127" t="str">
        <v>Gambela</v>
      </c>
      <c r="B127">
        <v>5</v>
      </c>
      <c r="C127">
        <v>5</v>
      </c>
      <c r="D127">
        <v>5</v>
      </c>
      <c r="E127">
        <v>5</v>
      </c>
      <c r="F127">
        <v>5</v>
      </c>
      <c r="G127">
        <v>5</v>
      </c>
      <c r="H127">
        <v>5</v>
      </c>
      <c r="I127">
        <v>5</v>
      </c>
      <c r="J127">
        <v>5</v>
      </c>
      <c r="K127">
        <v>5</v>
      </c>
      <c r="L127">
        <v>5</v>
      </c>
      <c r="M127">
        <v>5</v>
      </c>
      <c r="N127">
        <v>5</v>
      </c>
      <c r="O127">
        <v>5</v>
      </c>
      <c r="P127">
        <v>5</v>
      </c>
      <c r="Q127">
        <v>5</v>
      </c>
    </row>
    <row r="128" spans="1:17">
      <c r="A128" t="str">
        <v>Harari</v>
      </c>
      <c r="B128">
        <v>5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5</v>
      </c>
      <c r="I128">
        <v>5</v>
      </c>
      <c r="J128">
        <v>5</v>
      </c>
      <c r="K128">
        <v>5</v>
      </c>
      <c r="L128">
        <v>5</v>
      </c>
      <c r="M128">
        <v>5</v>
      </c>
      <c r="N128">
        <v>5</v>
      </c>
      <c r="O128">
        <v>5</v>
      </c>
      <c r="P128">
        <v>5</v>
      </c>
      <c r="Q128">
        <v>5</v>
      </c>
    </row>
    <row r="129" spans="1:17">
      <c r="A129" t="str">
        <v>Oromia</v>
      </c>
      <c r="B129">
        <v>5</v>
      </c>
      <c r="C129">
        <v>5</v>
      </c>
      <c r="D129">
        <v>5</v>
      </c>
      <c r="E129">
        <v>5</v>
      </c>
      <c r="F129">
        <v>5</v>
      </c>
      <c r="G129">
        <v>5</v>
      </c>
      <c r="H129">
        <v>5</v>
      </c>
      <c r="I129">
        <v>5</v>
      </c>
      <c r="J129">
        <v>5</v>
      </c>
      <c r="K129">
        <v>5</v>
      </c>
      <c r="L129">
        <v>5</v>
      </c>
      <c r="M129">
        <v>5</v>
      </c>
      <c r="N129">
        <v>5</v>
      </c>
      <c r="O129">
        <v>5</v>
      </c>
      <c r="P129">
        <v>5</v>
      </c>
      <c r="Q129">
        <v>5</v>
      </c>
    </row>
    <row r="130" spans="1:17">
      <c r="A130" t="str">
        <v>Somali</v>
      </c>
      <c r="B130">
        <v>5</v>
      </c>
      <c r="C130">
        <v>5</v>
      </c>
      <c r="D130">
        <v>5</v>
      </c>
      <c r="E130">
        <v>5</v>
      </c>
      <c r="F130">
        <v>5</v>
      </c>
      <c r="G130">
        <v>5</v>
      </c>
      <c r="H130">
        <v>5</v>
      </c>
      <c r="I130">
        <v>5</v>
      </c>
      <c r="J130">
        <v>5</v>
      </c>
      <c r="K130">
        <v>5</v>
      </c>
      <c r="L130">
        <v>5</v>
      </c>
      <c r="M130">
        <v>5</v>
      </c>
      <c r="N130">
        <v>5</v>
      </c>
      <c r="O130">
        <v>5</v>
      </c>
      <c r="P130">
        <v>5</v>
      </c>
      <c r="Q130">
        <v>5</v>
      </c>
    </row>
    <row r="131" spans="1:17">
      <c r="A131" t="str">
        <v>SNNPR</v>
      </c>
      <c r="B131">
        <v>5</v>
      </c>
      <c r="C131">
        <v>5</v>
      </c>
      <c r="D131">
        <v>5</v>
      </c>
      <c r="E131">
        <v>5</v>
      </c>
      <c r="F131">
        <v>5</v>
      </c>
      <c r="G131">
        <v>5</v>
      </c>
      <c r="H131">
        <v>5</v>
      </c>
      <c r="I131">
        <v>5</v>
      </c>
      <c r="J131">
        <v>5</v>
      </c>
      <c r="K131">
        <v>5</v>
      </c>
      <c r="L131">
        <v>5</v>
      </c>
      <c r="M131">
        <v>5</v>
      </c>
      <c r="N131">
        <v>5</v>
      </c>
      <c r="O131">
        <v>5</v>
      </c>
      <c r="P131">
        <v>5</v>
      </c>
      <c r="Q131">
        <v>5</v>
      </c>
    </row>
    <row r="132" spans="1:17">
      <c r="A132" t="str">
        <v>Tigray</v>
      </c>
      <c r="B132">
        <v>5</v>
      </c>
      <c r="C132">
        <v>5</v>
      </c>
      <c r="D132">
        <v>5</v>
      </c>
      <c r="E132">
        <v>5</v>
      </c>
      <c r="F132">
        <v>5</v>
      </c>
      <c r="G132">
        <v>5</v>
      </c>
      <c r="H132">
        <v>5</v>
      </c>
      <c r="I132">
        <v>5</v>
      </c>
      <c r="J132">
        <v>5</v>
      </c>
      <c r="K132">
        <v>5</v>
      </c>
      <c r="L132">
        <v>5</v>
      </c>
      <c r="M132">
        <v>5</v>
      </c>
      <c r="N132">
        <v>5</v>
      </c>
      <c r="O132">
        <v>5</v>
      </c>
      <c r="P132">
        <v>5</v>
      </c>
      <c r="Q132">
        <v>5</v>
      </c>
    </row>
    <row r="141" spans="1:17">
      <c r="A141" t="str">
        <f t="array" ref="A141:A151">Nodes</f>
        <v>AddisAbaba</v>
      </c>
      <c r="B141" s="3">
        <v>50</v>
      </c>
    </row>
    <row r="142" spans="1:17">
      <c r="A142" t="str">
        <v>Afar</v>
      </c>
      <c r="B142" s="3">
        <v>100</v>
      </c>
    </row>
    <row r="143" spans="1:17">
      <c r="A143" t="str">
        <v>Amhara</v>
      </c>
      <c r="B143" s="3">
        <v>100</v>
      </c>
    </row>
    <row r="144" spans="1:17">
      <c r="A144" t="str">
        <v>Gumuz</v>
      </c>
      <c r="B144" s="3">
        <v>100</v>
      </c>
    </row>
    <row r="145" spans="1:13">
      <c r="A145" t="str">
        <v>DireDawa</v>
      </c>
      <c r="B145" s="3">
        <v>100</v>
      </c>
    </row>
    <row r="146" spans="1:13">
      <c r="A146" t="str">
        <v>Gambela</v>
      </c>
      <c r="B146" s="3">
        <v>100</v>
      </c>
    </row>
    <row r="147" spans="1:13">
      <c r="A147" t="str">
        <v>Harari</v>
      </c>
      <c r="B147" s="3">
        <v>100</v>
      </c>
    </row>
    <row r="148" spans="1:13">
      <c r="A148" t="str">
        <v>Oromia</v>
      </c>
      <c r="B148" s="3">
        <v>100</v>
      </c>
    </row>
    <row r="149" spans="1:13">
      <c r="A149" t="str">
        <v>Somali</v>
      </c>
      <c r="B149" s="3">
        <v>100</v>
      </c>
    </row>
    <row r="150" spans="1:13">
      <c r="A150" t="str">
        <v>SNNPR</v>
      </c>
      <c r="B150" s="3">
        <v>100</v>
      </c>
    </row>
    <row r="151" spans="1:13">
      <c r="A151" t="str">
        <v>Tigray</v>
      </c>
      <c r="B151" s="3">
        <v>100</v>
      </c>
    </row>
    <row r="160" spans="1:13">
      <c r="B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3</v>
      </c>
      <c r="I160" t="s">
        <v>3</v>
      </c>
      <c r="J160" t="s">
        <v>3</v>
      </c>
      <c r="K160" t="s">
        <v>3</v>
      </c>
      <c r="L160" t="s">
        <v>3</v>
      </c>
      <c r="M160" t="s">
        <v>3</v>
      </c>
    </row>
    <row r="161" spans="1:13">
      <c r="B161" t="str">
        <f t="array" ref="B161:G161">TRANSPOSE(Crops)</f>
        <v>Teff</v>
      </c>
      <c r="C161" t="str">
        <v>Sorghum</v>
      </c>
      <c r="D161" t="str">
        <v>Maize</v>
      </c>
      <c r="E161" t="str">
        <v>Lentils</v>
      </c>
      <c r="F161" t="str">
        <v>Vegetables</v>
      </c>
      <c r="G161" t="str">
        <v>Coffee</v>
      </c>
      <c r="H161" t="str">
        <f t="array" ref="H161:M161">TRANSPOSE(Crops)</f>
        <v>Teff</v>
      </c>
      <c r="I161" t="str">
        <v>Sorghum</v>
      </c>
      <c r="J161" t="str">
        <v>Maize</v>
      </c>
      <c r="K161" t="str">
        <v>Lentils</v>
      </c>
      <c r="L161" t="str">
        <v>Vegetables</v>
      </c>
      <c r="M161" t="str">
        <v>Coffee</v>
      </c>
    </row>
    <row r="162" spans="1:13">
      <c r="A162" t="str">
        <f t="array" ref="A162:A172">Nodes</f>
        <v>AddisAbaba</v>
      </c>
      <c r="B162" s="2">
        <f>$B141/6*0.6</f>
        <v>5</v>
      </c>
      <c r="C162" s="2">
        <f t="shared" ref="C162:G162" si="16">$B141/6*0.6</f>
        <v>5</v>
      </c>
      <c r="D162" s="2">
        <f t="shared" si="16"/>
        <v>5</v>
      </c>
      <c r="E162" s="2">
        <f t="shared" si="16"/>
        <v>5</v>
      </c>
      <c r="F162" s="2">
        <f t="shared" si="16"/>
        <v>5</v>
      </c>
      <c r="G162" s="2">
        <f t="shared" si="16"/>
        <v>5</v>
      </c>
      <c r="H162" s="2">
        <f>$B141/6*0.4</f>
        <v>3.3333333333333339</v>
      </c>
      <c r="I162" s="2">
        <f t="shared" ref="I162:M162" si="17">$B141/6*0.4</f>
        <v>3.3333333333333339</v>
      </c>
      <c r="J162" s="2">
        <f t="shared" si="17"/>
        <v>3.3333333333333339</v>
      </c>
      <c r="K162" s="2">
        <f t="shared" si="17"/>
        <v>3.3333333333333339</v>
      </c>
      <c r="L162" s="2">
        <f t="shared" si="17"/>
        <v>3.3333333333333339</v>
      </c>
      <c r="M162" s="2">
        <f t="shared" si="17"/>
        <v>3.3333333333333339</v>
      </c>
    </row>
    <row r="163" spans="1:13">
      <c r="A163" t="str">
        <v>Afar</v>
      </c>
      <c r="B163" s="2">
        <f t="shared" ref="B163:G163" si="18">$B142/6*0.6</f>
        <v>10</v>
      </c>
      <c r="C163" s="2">
        <f t="shared" si="18"/>
        <v>10</v>
      </c>
      <c r="D163" s="2">
        <f t="shared" si="18"/>
        <v>10</v>
      </c>
      <c r="E163" s="2">
        <f t="shared" si="18"/>
        <v>10</v>
      </c>
      <c r="F163" s="2">
        <f t="shared" si="18"/>
        <v>10</v>
      </c>
      <c r="G163" s="2">
        <f t="shared" si="18"/>
        <v>10</v>
      </c>
      <c r="H163" s="2">
        <f t="shared" ref="H163:M163" si="19">$B142/6*0.4</f>
        <v>6.6666666666666679</v>
      </c>
      <c r="I163" s="2">
        <f t="shared" si="19"/>
        <v>6.6666666666666679</v>
      </c>
      <c r="J163" s="2">
        <f t="shared" si="19"/>
        <v>6.6666666666666679</v>
      </c>
      <c r="K163" s="2">
        <f t="shared" si="19"/>
        <v>6.6666666666666679</v>
      </c>
      <c r="L163" s="2">
        <f t="shared" si="19"/>
        <v>6.6666666666666679</v>
      </c>
      <c r="M163" s="2">
        <f t="shared" si="19"/>
        <v>6.6666666666666679</v>
      </c>
    </row>
    <row r="164" spans="1:13">
      <c r="A164" t="str">
        <v>Amhara</v>
      </c>
      <c r="B164" s="2">
        <f t="shared" ref="B164:G164" si="20">$B143/6*0.6</f>
        <v>10</v>
      </c>
      <c r="C164" s="2">
        <f t="shared" si="20"/>
        <v>10</v>
      </c>
      <c r="D164" s="2">
        <f t="shared" si="20"/>
        <v>10</v>
      </c>
      <c r="E164" s="2">
        <f t="shared" si="20"/>
        <v>10</v>
      </c>
      <c r="F164" s="2">
        <f t="shared" si="20"/>
        <v>10</v>
      </c>
      <c r="G164" s="2">
        <f t="shared" si="20"/>
        <v>10</v>
      </c>
      <c r="H164" s="2">
        <f t="shared" ref="H164:M164" si="21">$B143/6*0.4</f>
        <v>6.6666666666666679</v>
      </c>
      <c r="I164" s="2">
        <f t="shared" si="21"/>
        <v>6.6666666666666679</v>
      </c>
      <c r="J164" s="2">
        <f t="shared" si="21"/>
        <v>6.6666666666666679</v>
      </c>
      <c r="K164" s="2">
        <f t="shared" si="21"/>
        <v>6.6666666666666679</v>
      </c>
      <c r="L164" s="2">
        <f t="shared" si="21"/>
        <v>6.6666666666666679</v>
      </c>
      <c r="M164" s="2">
        <f t="shared" si="21"/>
        <v>6.6666666666666679</v>
      </c>
    </row>
    <row r="165" spans="1:13">
      <c r="A165" t="str">
        <v>Gumuz</v>
      </c>
      <c r="B165" s="2">
        <f t="shared" ref="B165:G165" si="22">$B144/6*0.6</f>
        <v>10</v>
      </c>
      <c r="C165" s="2">
        <f t="shared" si="22"/>
        <v>10</v>
      </c>
      <c r="D165" s="2">
        <f t="shared" si="22"/>
        <v>10</v>
      </c>
      <c r="E165" s="2">
        <f t="shared" si="22"/>
        <v>10</v>
      </c>
      <c r="F165" s="2">
        <f t="shared" si="22"/>
        <v>10</v>
      </c>
      <c r="G165" s="2">
        <f t="shared" si="22"/>
        <v>10</v>
      </c>
      <c r="H165" s="2">
        <f t="shared" ref="H165:M165" si="23">$B144/6*0.4</f>
        <v>6.6666666666666679</v>
      </c>
      <c r="I165" s="2">
        <f t="shared" si="23"/>
        <v>6.6666666666666679</v>
      </c>
      <c r="J165" s="2">
        <f t="shared" si="23"/>
        <v>6.6666666666666679</v>
      </c>
      <c r="K165" s="2">
        <f t="shared" si="23"/>
        <v>6.6666666666666679</v>
      </c>
      <c r="L165" s="2">
        <f t="shared" si="23"/>
        <v>6.6666666666666679</v>
      </c>
      <c r="M165" s="2">
        <f t="shared" si="23"/>
        <v>6.6666666666666679</v>
      </c>
    </row>
    <row r="166" spans="1:13">
      <c r="A166" t="str">
        <v>DireDawa</v>
      </c>
      <c r="B166" s="2">
        <f t="shared" ref="B166:G166" si="24">$B145/6*0.6</f>
        <v>10</v>
      </c>
      <c r="C166" s="2">
        <f t="shared" si="24"/>
        <v>10</v>
      </c>
      <c r="D166" s="2">
        <f t="shared" si="24"/>
        <v>10</v>
      </c>
      <c r="E166" s="2">
        <f t="shared" si="24"/>
        <v>10</v>
      </c>
      <c r="F166" s="2">
        <f t="shared" si="24"/>
        <v>10</v>
      </c>
      <c r="G166" s="2">
        <f t="shared" si="24"/>
        <v>10</v>
      </c>
      <c r="H166" s="2">
        <f t="shared" ref="H166:M166" si="25">$B145/6*0.4</f>
        <v>6.6666666666666679</v>
      </c>
      <c r="I166" s="2">
        <f t="shared" si="25"/>
        <v>6.6666666666666679</v>
      </c>
      <c r="J166" s="2">
        <f t="shared" si="25"/>
        <v>6.6666666666666679</v>
      </c>
      <c r="K166" s="2">
        <f t="shared" si="25"/>
        <v>6.6666666666666679</v>
      </c>
      <c r="L166" s="2">
        <f t="shared" si="25"/>
        <v>6.6666666666666679</v>
      </c>
      <c r="M166" s="2">
        <f t="shared" si="25"/>
        <v>6.6666666666666679</v>
      </c>
    </row>
    <row r="167" spans="1:13">
      <c r="A167" t="str">
        <v>Gambela</v>
      </c>
      <c r="B167" s="2">
        <f t="shared" ref="B167:G167" si="26">$B146/6*0.6</f>
        <v>10</v>
      </c>
      <c r="C167" s="2">
        <f t="shared" si="26"/>
        <v>10</v>
      </c>
      <c r="D167" s="2">
        <f t="shared" si="26"/>
        <v>10</v>
      </c>
      <c r="E167" s="2">
        <f t="shared" si="26"/>
        <v>10</v>
      </c>
      <c r="F167" s="2">
        <f t="shared" si="26"/>
        <v>10</v>
      </c>
      <c r="G167" s="2">
        <f t="shared" si="26"/>
        <v>10</v>
      </c>
      <c r="H167" s="2">
        <f t="shared" ref="H167:M167" si="27">$B146/6*0.4</f>
        <v>6.6666666666666679</v>
      </c>
      <c r="I167" s="2">
        <f t="shared" si="27"/>
        <v>6.6666666666666679</v>
      </c>
      <c r="J167" s="2">
        <f t="shared" si="27"/>
        <v>6.6666666666666679</v>
      </c>
      <c r="K167" s="2">
        <f t="shared" si="27"/>
        <v>6.6666666666666679</v>
      </c>
      <c r="L167" s="2">
        <f t="shared" si="27"/>
        <v>6.6666666666666679</v>
      </c>
      <c r="M167" s="2">
        <f t="shared" si="27"/>
        <v>6.6666666666666679</v>
      </c>
    </row>
    <row r="168" spans="1:13">
      <c r="A168" t="str">
        <v>Harari</v>
      </c>
      <c r="B168" s="2">
        <f t="shared" ref="B168:G168" si="28">$B147/6*0.6</f>
        <v>10</v>
      </c>
      <c r="C168" s="2">
        <f t="shared" si="28"/>
        <v>10</v>
      </c>
      <c r="D168" s="2">
        <f t="shared" si="28"/>
        <v>10</v>
      </c>
      <c r="E168" s="2">
        <f t="shared" si="28"/>
        <v>10</v>
      </c>
      <c r="F168" s="2">
        <f t="shared" si="28"/>
        <v>10</v>
      </c>
      <c r="G168" s="2">
        <f t="shared" si="28"/>
        <v>10</v>
      </c>
      <c r="H168" s="2">
        <f t="shared" ref="H168:M168" si="29">$B147/6*0.4</f>
        <v>6.6666666666666679</v>
      </c>
      <c r="I168" s="2">
        <f t="shared" si="29"/>
        <v>6.6666666666666679</v>
      </c>
      <c r="J168" s="2">
        <f t="shared" si="29"/>
        <v>6.6666666666666679</v>
      </c>
      <c r="K168" s="2">
        <f t="shared" si="29"/>
        <v>6.6666666666666679</v>
      </c>
      <c r="L168" s="2">
        <f t="shared" si="29"/>
        <v>6.6666666666666679</v>
      </c>
      <c r="M168" s="2">
        <f t="shared" si="29"/>
        <v>6.6666666666666679</v>
      </c>
    </row>
    <row r="169" spans="1:13">
      <c r="A169" t="str">
        <v>Oromia</v>
      </c>
      <c r="B169" s="2">
        <f t="shared" ref="B169:G169" si="30">$B148/6*0.6</f>
        <v>10</v>
      </c>
      <c r="C169" s="2">
        <f t="shared" si="30"/>
        <v>10</v>
      </c>
      <c r="D169" s="2">
        <f t="shared" si="30"/>
        <v>10</v>
      </c>
      <c r="E169" s="2">
        <f t="shared" si="30"/>
        <v>10</v>
      </c>
      <c r="F169" s="2">
        <f t="shared" si="30"/>
        <v>10</v>
      </c>
      <c r="G169" s="2">
        <f t="shared" si="30"/>
        <v>10</v>
      </c>
      <c r="H169" s="2">
        <f t="shared" ref="H169:M169" si="31">$B148/6*0.4</f>
        <v>6.6666666666666679</v>
      </c>
      <c r="I169" s="2">
        <f t="shared" si="31"/>
        <v>6.6666666666666679</v>
      </c>
      <c r="J169" s="2">
        <f t="shared" si="31"/>
        <v>6.6666666666666679</v>
      </c>
      <c r="K169" s="2">
        <f t="shared" si="31"/>
        <v>6.6666666666666679</v>
      </c>
      <c r="L169" s="2">
        <f t="shared" si="31"/>
        <v>6.6666666666666679</v>
      </c>
      <c r="M169" s="2">
        <f t="shared" si="31"/>
        <v>6.6666666666666679</v>
      </c>
    </row>
    <row r="170" spans="1:13">
      <c r="A170" t="str">
        <v>Somali</v>
      </c>
      <c r="B170" s="2">
        <f t="shared" ref="B170:G170" si="32">$B149/6*0.6</f>
        <v>10</v>
      </c>
      <c r="C170" s="2">
        <f t="shared" si="32"/>
        <v>10</v>
      </c>
      <c r="D170" s="2">
        <f t="shared" si="32"/>
        <v>10</v>
      </c>
      <c r="E170" s="2">
        <f t="shared" si="32"/>
        <v>10</v>
      </c>
      <c r="F170" s="2">
        <f t="shared" si="32"/>
        <v>10</v>
      </c>
      <c r="G170" s="2">
        <f t="shared" si="32"/>
        <v>10</v>
      </c>
      <c r="H170" s="2">
        <f t="shared" ref="H170:M170" si="33">$B149/6*0.4</f>
        <v>6.6666666666666679</v>
      </c>
      <c r="I170" s="2">
        <f t="shared" si="33"/>
        <v>6.6666666666666679</v>
      </c>
      <c r="J170" s="2">
        <f t="shared" si="33"/>
        <v>6.6666666666666679</v>
      </c>
      <c r="K170" s="2">
        <f t="shared" si="33"/>
        <v>6.6666666666666679</v>
      </c>
      <c r="L170" s="2">
        <f t="shared" si="33"/>
        <v>6.6666666666666679</v>
      </c>
      <c r="M170" s="2">
        <f t="shared" si="33"/>
        <v>6.6666666666666679</v>
      </c>
    </row>
    <row r="171" spans="1:13">
      <c r="A171" t="str">
        <v>SNNPR</v>
      </c>
      <c r="B171" s="2">
        <f t="shared" ref="B171:G171" si="34">$B150/6*0.6</f>
        <v>10</v>
      </c>
      <c r="C171" s="2">
        <f t="shared" si="34"/>
        <v>10</v>
      </c>
      <c r="D171" s="2">
        <f t="shared" si="34"/>
        <v>10</v>
      </c>
      <c r="E171" s="2">
        <f t="shared" si="34"/>
        <v>10</v>
      </c>
      <c r="F171" s="2">
        <f t="shared" si="34"/>
        <v>10</v>
      </c>
      <c r="G171" s="2">
        <f t="shared" si="34"/>
        <v>10</v>
      </c>
      <c r="H171" s="2">
        <f t="shared" ref="H171:M171" si="35">$B150/6*0.4</f>
        <v>6.6666666666666679</v>
      </c>
      <c r="I171" s="2">
        <f t="shared" si="35"/>
        <v>6.6666666666666679</v>
      </c>
      <c r="J171" s="2">
        <f t="shared" si="35"/>
        <v>6.6666666666666679</v>
      </c>
      <c r="K171" s="2">
        <f t="shared" si="35"/>
        <v>6.6666666666666679</v>
      </c>
      <c r="L171" s="2">
        <f t="shared" si="35"/>
        <v>6.6666666666666679</v>
      </c>
      <c r="M171" s="2">
        <f t="shared" si="35"/>
        <v>6.6666666666666679</v>
      </c>
    </row>
    <row r="172" spans="1:13">
      <c r="A172" t="str">
        <v>Tigray</v>
      </c>
      <c r="B172" s="2">
        <f t="shared" ref="B172:G172" si="36">$B151/6*0.6</f>
        <v>10</v>
      </c>
      <c r="C172" s="2">
        <f t="shared" si="36"/>
        <v>10</v>
      </c>
      <c r="D172" s="2">
        <f t="shared" si="36"/>
        <v>10</v>
      </c>
      <c r="E172" s="2">
        <f t="shared" si="36"/>
        <v>10</v>
      </c>
      <c r="F172" s="2">
        <f t="shared" si="36"/>
        <v>10</v>
      </c>
      <c r="G172" s="2">
        <f t="shared" si="36"/>
        <v>10</v>
      </c>
      <c r="H172" s="2">
        <f t="shared" ref="H172:M172" si="37">$B151/6*0.4</f>
        <v>6.6666666666666679</v>
      </c>
      <c r="I172" s="2">
        <f t="shared" si="37"/>
        <v>6.6666666666666679</v>
      </c>
      <c r="J172" s="2">
        <f t="shared" si="37"/>
        <v>6.6666666666666679</v>
      </c>
      <c r="K172" s="2">
        <f t="shared" si="37"/>
        <v>6.6666666666666679</v>
      </c>
      <c r="L172" s="2">
        <f t="shared" si="37"/>
        <v>6.6666666666666679</v>
      </c>
      <c r="M172" s="2">
        <f t="shared" si="37"/>
        <v>6.6666666666666679</v>
      </c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/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v>0.2</v>
      </c>
      <c r="D3" s="2">
        <v>0.2</v>
      </c>
      <c r="E3" s="2">
        <v>0.2</v>
      </c>
      <c r="F3" s="2">
        <v>0.2</v>
      </c>
      <c r="G3" s="2">
        <v>0.2</v>
      </c>
      <c r="H3" s="2">
        <v>0.2</v>
      </c>
      <c r="I3" s="2">
        <v>0.2</v>
      </c>
      <c r="J3" s="2">
        <v>0.2</v>
      </c>
      <c r="K3" s="2">
        <v>0.2</v>
      </c>
      <c r="L3" s="2">
        <v>0.2</v>
      </c>
      <c r="M3" s="2">
        <v>0.2</v>
      </c>
      <c r="N3" s="2">
        <v>0.2</v>
      </c>
      <c r="O3" s="2">
        <v>0.2</v>
      </c>
      <c r="P3" s="2">
        <v>0.2</v>
      </c>
      <c r="Q3" s="2">
        <v>0.2</v>
      </c>
      <c r="R3" s="2">
        <v>0.2</v>
      </c>
      <c r="S3" s="2">
        <v>0.2</v>
      </c>
      <c r="T3" s="2">
        <v>0.2</v>
      </c>
      <c r="U3" s="2">
        <v>0.2</v>
      </c>
      <c r="V3" s="2">
        <v>0.2</v>
      </c>
      <c r="W3" s="2">
        <v>0.2</v>
      </c>
      <c r="X3" s="2">
        <v>0.2</v>
      </c>
      <c r="Y3" s="2">
        <v>0.2</v>
      </c>
      <c r="Z3" s="2">
        <v>0.2</v>
      </c>
      <c r="AA3" s="2">
        <v>0.2</v>
      </c>
      <c r="AB3" s="2">
        <v>0.2</v>
      </c>
      <c r="AC3" s="2">
        <v>0.2</v>
      </c>
      <c r="AD3" s="2">
        <v>0.2</v>
      </c>
      <c r="AE3" s="2">
        <v>0.2</v>
      </c>
      <c r="AF3" s="2">
        <v>0.2</v>
      </c>
      <c r="AG3" s="2">
        <v>0.2</v>
      </c>
      <c r="AH3" s="2">
        <v>0.2</v>
      </c>
    </row>
    <row r="4" spans="1:34">
      <c r="A4" t="str">
        <f>sets!$H$3</f>
        <v>Teff</v>
      </c>
      <c r="B4" t="str">
        <v>Afar</v>
      </c>
      <c r="C4" s="2">
        <v>0.2</v>
      </c>
      <c r="D4" s="2">
        <v>0.2</v>
      </c>
      <c r="E4" s="2">
        <v>0.2</v>
      </c>
      <c r="F4" s="2">
        <v>0.2</v>
      </c>
      <c r="G4" s="2">
        <v>0.2</v>
      </c>
      <c r="H4" s="2">
        <v>0.2</v>
      </c>
      <c r="I4" s="2">
        <v>0.2</v>
      </c>
      <c r="J4" s="2">
        <v>0.2</v>
      </c>
      <c r="K4" s="2">
        <v>0.2</v>
      </c>
      <c r="L4" s="2">
        <v>0.2</v>
      </c>
      <c r="M4" s="2">
        <v>0.2</v>
      </c>
      <c r="N4" s="2">
        <v>0.2</v>
      </c>
      <c r="O4" s="2">
        <v>0.2</v>
      </c>
      <c r="P4" s="2">
        <v>0.2</v>
      </c>
      <c r="Q4" s="2">
        <v>0.2</v>
      </c>
      <c r="R4" s="2">
        <v>0.2</v>
      </c>
      <c r="S4" s="2">
        <v>0.2</v>
      </c>
      <c r="T4" s="2">
        <v>0.2</v>
      </c>
      <c r="U4" s="2">
        <v>0.2</v>
      </c>
      <c r="V4" s="2">
        <v>0.2</v>
      </c>
      <c r="W4" s="2">
        <v>0.2</v>
      </c>
      <c r="X4" s="2">
        <v>0.2</v>
      </c>
      <c r="Y4" s="2">
        <v>0.2</v>
      </c>
      <c r="Z4" s="2">
        <v>0.2</v>
      </c>
      <c r="AA4" s="2">
        <v>0.2</v>
      </c>
      <c r="AB4" s="2">
        <v>0.2</v>
      </c>
      <c r="AC4" s="2">
        <v>0.2</v>
      </c>
      <c r="AD4" s="2">
        <v>0.2</v>
      </c>
      <c r="AE4" s="2">
        <v>0.2</v>
      </c>
      <c r="AF4" s="2">
        <v>0.2</v>
      </c>
      <c r="AG4" s="2">
        <v>0.2</v>
      </c>
      <c r="AH4" s="2">
        <v>0.2</v>
      </c>
    </row>
    <row r="5" spans="1:34">
      <c r="A5" t="str">
        <f>sets!$H$3</f>
        <v>Teff</v>
      </c>
      <c r="B5" t="str">
        <v>Amhara</v>
      </c>
      <c r="C5" s="2">
        <v>0.2</v>
      </c>
      <c r="D5" s="2">
        <v>0.2</v>
      </c>
      <c r="E5" s="2">
        <v>0.2</v>
      </c>
      <c r="F5" s="2">
        <v>0.2</v>
      </c>
      <c r="G5" s="2">
        <v>0.2</v>
      </c>
      <c r="H5" s="2">
        <v>0.2</v>
      </c>
      <c r="I5" s="2">
        <v>0.2</v>
      </c>
      <c r="J5" s="2">
        <v>0.2</v>
      </c>
      <c r="K5" s="2">
        <v>0.2</v>
      </c>
      <c r="L5" s="2">
        <v>0.2</v>
      </c>
      <c r="M5" s="2">
        <v>0.2</v>
      </c>
      <c r="N5" s="2">
        <v>0.2</v>
      </c>
      <c r="O5" s="2">
        <v>0.2</v>
      </c>
      <c r="P5" s="2">
        <v>0.2</v>
      </c>
      <c r="Q5" s="2">
        <v>0.2</v>
      </c>
      <c r="R5" s="2">
        <v>0.2</v>
      </c>
      <c r="S5" s="2">
        <v>0.2</v>
      </c>
      <c r="T5" s="2">
        <v>0.2</v>
      </c>
      <c r="U5" s="2">
        <v>0.2</v>
      </c>
      <c r="V5" s="2">
        <v>0.2</v>
      </c>
      <c r="W5" s="2">
        <v>0.2</v>
      </c>
      <c r="X5" s="2">
        <v>0.2</v>
      </c>
      <c r="Y5" s="2">
        <v>0.2</v>
      </c>
      <c r="Z5" s="2">
        <v>0.2</v>
      </c>
      <c r="AA5" s="2">
        <v>0.2</v>
      </c>
      <c r="AB5" s="2">
        <v>0.2</v>
      </c>
      <c r="AC5" s="2">
        <v>0.2</v>
      </c>
      <c r="AD5" s="2">
        <v>0.2</v>
      </c>
      <c r="AE5" s="2">
        <v>0.2</v>
      </c>
      <c r="AF5" s="2">
        <v>0.2</v>
      </c>
      <c r="AG5" s="2">
        <v>0.2</v>
      </c>
      <c r="AH5" s="2">
        <v>0.2</v>
      </c>
    </row>
    <row r="6" spans="1:34">
      <c r="A6" t="str">
        <f>sets!$H$3</f>
        <v>Teff</v>
      </c>
      <c r="B6" t="str">
        <v>Gumuz</v>
      </c>
      <c r="C6" s="2">
        <v>0.2</v>
      </c>
      <c r="D6" s="2">
        <v>0.2</v>
      </c>
      <c r="E6" s="2">
        <v>0.2</v>
      </c>
      <c r="F6" s="2">
        <v>0.2</v>
      </c>
      <c r="G6" s="2">
        <v>0.2</v>
      </c>
      <c r="H6" s="2">
        <v>0.2</v>
      </c>
      <c r="I6" s="2">
        <v>0.2</v>
      </c>
      <c r="J6" s="2">
        <v>0.2</v>
      </c>
      <c r="K6" s="2">
        <v>0.2</v>
      </c>
      <c r="L6" s="2">
        <v>0.2</v>
      </c>
      <c r="M6" s="2">
        <v>0.2</v>
      </c>
      <c r="N6" s="2">
        <v>0.2</v>
      </c>
      <c r="O6" s="2">
        <v>0.2</v>
      </c>
      <c r="P6" s="2">
        <v>0.2</v>
      </c>
      <c r="Q6" s="2">
        <v>0.2</v>
      </c>
      <c r="R6" s="2">
        <v>0.2</v>
      </c>
      <c r="S6" s="2">
        <v>0.2</v>
      </c>
      <c r="T6" s="2">
        <v>0.2</v>
      </c>
      <c r="U6" s="2">
        <v>0.2</v>
      </c>
      <c r="V6" s="2">
        <v>0.2</v>
      </c>
      <c r="W6" s="2">
        <v>0.2</v>
      </c>
      <c r="X6" s="2">
        <v>0.2</v>
      </c>
      <c r="Y6" s="2">
        <v>0.2</v>
      </c>
      <c r="Z6" s="2">
        <v>0.2</v>
      </c>
      <c r="AA6" s="2">
        <v>0.2</v>
      </c>
      <c r="AB6" s="2">
        <v>0.2</v>
      </c>
      <c r="AC6" s="2">
        <v>0.2</v>
      </c>
      <c r="AD6" s="2">
        <v>0.2</v>
      </c>
      <c r="AE6" s="2">
        <v>0.2</v>
      </c>
      <c r="AF6" s="2">
        <v>0.2</v>
      </c>
      <c r="AG6" s="2">
        <v>0.2</v>
      </c>
      <c r="AH6" s="2">
        <v>0.2</v>
      </c>
    </row>
    <row r="7" spans="1:34">
      <c r="A7" t="str">
        <f>sets!$H$3</f>
        <v>Teff</v>
      </c>
      <c r="B7" t="str">
        <v>DireDawa</v>
      </c>
      <c r="C7" s="2">
        <v>0.2</v>
      </c>
      <c r="D7" s="2">
        <v>0.2</v>
      </c>
      <c r="E7" s="2">
        <v>0.2</v>
      </c>
      <c r="F7" s="2">
        <v>0.2</v>
      </c>
      <c r="G7" s="2">
        <v>0.2</v>
      </c>
      <c r="H7" s="2">
        <v>0.2</v>
      </c>
      <c r="I7" s="2">
        <v>0.2</v>
      </c>
      <c r="J7" s="2">
        <v>0.2</v>
      </c>
      <c r="K7" s="2">
        <v>0.2</v>
      </c>
      <c r="L7" s="2">
        <v>0.2</v>
      </c>
      <c r="M7" s="2">
        <v>0.2</v>
      </c>
      <c r="N7" s="2">
        <v>0.2</v>
      </c>
      <c r="O7" s="2">
        <v>0.2</v>
      </c>
      <c r="P7" s="2">
        <v>0.2</v>
      </c>
      <c r="Q7" s="2">
        <v>0.2</v>
      </c>
      <c r="R7" s="2">
        <v>0.2</v>
      </c>
      <c r="S7" s="2">
        <v>0.2</v>
      </c>
      <c r="T7" s="2">
        <v>0.2</v>
      </c>
      <c r="U7" s="2">
        <v>0.2</v>
      </c>
      <c r="V7" s="2">
        <v>0.2</v>
      </c>
      <c r="W7" s="2">
        <v>0.2</v>
      </c>
      <c r="X7" s="2">
        <v>0.2</v>
      </c>
      <c r="Y7" s="2">
        <v>0.2</v>
      </c>
      <c r="Z7" s="2">
        <v>0.2</v>
      </c>
      <c r="AA7" s="2">
        <v>0.2</v>
      </c>
      <c r="AB7" s="2">
        <v>0.2</v>
      </c>
      <c r="AC7" s="2">
        <v>0.2</v>
      </c>
      <c r="AD7" s="2">
        <v>0.2</v>
      </c>
      <c r="AE7" s="2">
        <v>0.2</v>
      </c>
      <c r="AF7" s="2">
        <v>0.2</v>
      </c>
      <c r="AG7" s="2">
        <v>0.2</v>
      </c>
      <c r="AH7" s="2">
        <v>0.2</v>
      </c>
    </row>
    <row r="8" spans="1:34">
      <c r="A8" t="str">
        <f>sets!$H$3</f>
        <v>Teff</v>
      </c>
      <c r="B8" t="str">
        <v>Gambela</v>
      </c>
      <c r="C8" s="2">
        <v>0.2</v>
      </c>
      <c r="D8" s="2">
        <v>0.2</v>
      </c>
      <c r="E8" s="2">
        <v>0.2</v>
      </c>
      <c r="F8" s="2">
        <v>0.2</v>
      </c>
      <c r="G8" s="2">
        <v>0.2</v>
      </c>
      <c r="H8" s="2">
        <v>0.2</v>
      </c>
      <c r="I8" s="2">
        <v>0.2</v>
      </c>
      <c r="J8" s="2">
        <v>0.2</v>
      </c>
      <c r="K8" s="2">
        <v>0.2</v>
      </c>
      <c r="L8" s="2">
        <v>0.2</v>
      </c>
      <c r="M8" s="2">
        <v>0.2</v>
      </c>
      <c r="N8" s="2">
        <v>0.2</v>
      </c>
      <c r="O8" s="2">
        <v>0.2</v>
      </c>
      <c r="P8" s="2">
        <v>0.2</v>
      </c>
      <c r="Q8" s="2">
        <v>0.2</v>
      </c>
      <c r="R8" s="2">
        <v>0.2</v>
      </c>
      <c r="S8" s="2">
        <v>0.2</v>
      </c>
      <c r="T8" s="2">
        <v>0.2</v>
      </c>
      <c r="U8" s="2">
        <v>0.2</v>
      </c>
      <c r="V8" s="2">
        <v>0.2</v>
      </c>
      <c r="W8" s="2">
        <v>0.2</v>
      </c>
      <c r="X8" s="2">
        <v>0.2</v>
      </c>
      <c r="Y8" s="2">
        <v>0.2</v>
      </c>
      <c r="Z8" s="2">
        <v>0.2</v>
      </c>
      <c r="AA8" s="2">
        <v>0.2</v>
      </c>
      <c r="AB8" s="2">
        <v>0.2</v>
      </c>
      <c r="AC8" s="2">
        <v>0.2</v>
      </c>
      <c r="AD8" s="2">
        <v>0.2</v>
      </c>
      <c r="AE8" s="2">
        <v>0.2</v>
      </c>
      <c r="AF8" s="2">
        <v>0.2</v>
      </c>
      <c r="AG8" s="2">
        <v>0.2</v>
      </c>
      <c r="AH8" s="2">
        <v>0.2</v>
      </c>
    </row>
    <row r="9" spans="1:34">
      <c r="A9" t="str">
        <f>sets!$H$3</f>
        <v>Teff</v>
      </c>
      <c r="B9" t="str">
        <v>Harari</v>
      </c>
      <c r="C9" s="2">
        <v>0.2</v>
      </c>
      <c r="D9" s="2">
        <v>0.2</v>
      </c>
      <c r="E9" s="2">
        <v>0.2</v>
      </c>
      <c r="F9" s="2">
        <v>0.2</v>
      </c>
      <c r="G9" s="2">
        <v>0.2</v>
      </c>
      <c r="H9" s="2">
        <v>0.2</v>
      </c>
      <c r="I9" s="2">
        <v>0.2</v>
      </c>
      <c r="J9" s="2">
        <v>0.2</v>
      </c>
      <c r="K9" s="2">
        <v>0.2</v>
      </c>
      <c r="L9" s="2">
        <v>0.2</v>
      </c>
      <c r="M9" s="2">
        <v>0.2</v>
      </c>
      <c r="N9" s="2">
        <v>0.2</v>
      </c>
      <c r="O9" s="2">
        <v>0.2</v>
      </c>
      <c r="P9" s="2">
        <v>0.2</v>
      </c>
      <c r="Q9" s="2">
        <v>0.2</v>
      </c>
      <c r="R9" s="2">
        <v>0.2</v>
      </c>
      <c r="S9" s="2">
        <v>0.2</v>
      </c>
      <c r="T9" s="2">
        <v>0.2</v>
      </c>
      <c r="U9" s="2">
        <v>0.2</v>
      </c>
      <c r="V9" s="2">
        <v>0.2</v>
      </c>
      <c r="W9" s="2">
        <v>0.2</v>
      </c>
      <c r="X9" s="2">
        <v>0.2</v>
      </c>
      <c r="Y9" s="2">
        <v>0.2</v>
      </c>
      <c r="Z9" s="2">
        <v>0.2</v>
      </c>
      <c r="AA9" s="2">
        <v>0.2</v>
      </c>
      <c r="AB9" s="2">
        <v>0.2</v>
      </c>
      <c r="AC9" s="2">
        <v>0.2</v>
      </c>
      <c r="AD9" s="2">
        <v>0.2</v>
      </c>
      <c r="AE9" s="2">
        <v>0.2</v>
      </c>
      <c r="AF9" s="2">
        <v>0.2</v>
      </c>
      <c r="AG9" s="2">
        <v>0.2</v>
      </c>
      <c r="AH9" s="2">
        <v>0.2</v>
      </c>
    </row>
    <row r="10" spans="1:34">
      <c r="A10" t="str">
        <f>sets!$H$3</f>
        <v>Teff</v>
      </c>
      <c r="B10" t="str">
        <v>Oromia</v>
      </c>
      <c r="C10" s="2">
        <v>0.2</v>
      </c>
      <c r="D10" s="2">
        <v>0.2</v>
      </c>
      <c r="E10" s="2">
        <v>0.2</v>
      </c>
      <c r="F10" s="2">
        <v>0.2</v>
      </c>
      <c r="G10" s="2">
        <v>0.2</v>
      </c>
      <c r="H10" s="2">
        <v>0.2</v>
      </c>
      <c r="I10" s="2">
        <v>0.2</v>
      </c>
      <c r="J10" s="2">
        <v>0.2</v>
      </c>
      <c r="K10" s="2">
        <v>0.2</v>
      </c>
      <c r="L10" s="2">
        <v>0.2</v>
      </c>
      <c r="M10" s="2">
        <v>0.2</v>
      </c>
      <c r="N10" s="2">
        <v>0.2</v>
      </c>
      <c r="O10" s="2">
        <v>0.2</v>
      </c>
      <c r="P10" s="2">
        <v>0.2</v>
      </c>
      <c r="Q10" s="2">
        <v>0.2</v>
      </c>
      <c r="R10" s="2">
        <v>0.2</v>
      </c>
      <c r="S10" s="2">
        <v>0.2</v>
      </c>
      <c r="T10" s="2">
        <v>0.2</v>
      </c>
      <c r="U10" s="2">
        <v>0.2</v>
      </c>
      <c r="V10" s="2">
        <v>0.2</v>
      </c>
      <c r="W10" s="2">
        <v>0.2</v>
      </c>
      <c r="X10" s="2">
        <v>0.2</v>
      </c>
      <c r="Y10" s="2">
        <v>0.2</v>
      </c>
      <c r="Z10" s="2">
        <v>0.2</v>
      </c>
      <c r="AA10" s="2">
        <v>0.2</v>
      </c>
      <c r="AB10" s="2">
        <v>0.2</v>
      </c>
      <c r="AC10" s="2">
        <v>0.2</v>
      </c>
      <c r="AD10" s="2">
        <v>0.2</v>
      </c>
      <c r="AE10" s="2">
        <v>0.2</v>
      </c>
      <c r="AF10" s="2">
        <v>0.2</v>
      </c>
      <c r="AG10" s="2">
        <v>0.2</v>
      </c>
      <c r="AH10" s="2">
        <v>0.2</v>
      </c>
    </row>
    <row r="11" spans="1:34">
      <c r="A11" t="str">
        <f>sets!$H$3</f>
        <v>Teff</v>
      </c>
      <c r="B11" t="str">
        <v>Somali</v>
      </c>
      <c r="C11" s="2">
        <v>0.2</v>
      </c>
      <c r="D11" s="2">
        <v>0.2</v>
      </c>
      <c r="E11" s="2">
        <v>0.2</v>
      </c>
      <c r="F11" s="2">
        <v>0.2</v>
      </c>
      <c r="G11" s="2">
        <v>0.2</v>
      </c>
      <c r="H11" s="2">
        <v>0.2</v>
      </c>
      <c r="I11" s="2">
        <v>0.2</v>
      </c>
      <c r="J11" s="2">
        <v>0.2</v>
      </c>
      <c r="K11" s="2">
        <v>0.2</v>
      </c>
      <c r="L11" s="2">
        <v>0.2</v>
      </c>
      <c r="M11" s="2">
        <v>0.2</v>
      </c>
      <c r="N11" s="2">
        <v>0.2</v>
      </c>
      <c r="O11" s="2">
        <v>0.2</v>
      </c>
      <c r="P11" s="2">
        <v>0.2</v>
      </c>
      <c r="Q11" s="2">
        <v>0.2</v>
      </c>
      <c r="R11" s="2">
        <v>0.2</v>
      </c>
      <c r="S11" s="2">
        <v>0.2</v>
      </c>
      <c r="T11" s="2">
        <v>0.2</v>
      </c>
      <c r="U11" s="2">
        <v>0.2</v>
      </c>
      <c r="V11" s="2">
        <v>0.2</v>
      </c>
      <c r="W11" s="2">
        <v>0.2</v>
      </c>
      <c r="X11" s="2">
        <v>0.2</v>
      </c>
      <c r="Y11" s="2">
        <v>0.2</v>
      </c>
      <c r="Z11" s="2">
        <v>0.2</v>
      </c>
      <c r="AA11" s="2">
        <v>0.2</v>
      </c>
      <c r="AB11" s="2">
        <v>0.2</v>
      </c>
      <c r="AC11" s="2">
        <v>0.2</v>
      </c>
      <c r="AD11" s="2">
        <v>0.2</v>
      </c>
      <c r="AE11" s="2">
        <v>0.2</v>
      </c>
      <c r="AF11" s="2">
        <v>0.2</v>
      </c>
      <c r="AG11" s="2">
        <v>0.2</v>
      </c>
      <c r="AH11" s="2">
        <v>0.2</v>
      </c>
    </row>
    <row r="12" spans="1:34">
      <c r="A12" t="str">
        <f>sets!$H$3</f>
        <v>Teff</v>
      </c>
      <c r="B12" t="str">
        <v>SNNPR</v>
      </c>
      <c r="C12" s="2">
        <v>0.2</v>
      </c>
      <c r="D12" s="2">
        <v>0.2</v>
      </c>
      <c r="E12" s="2">
        <v>0.2</v>
      </c>
      <c r="F12" s="2">
        <v>0.2</v>
      </c>
      <c r="G12" s="2">
        <v>0.2</v>
      </c>
      <c r="H12" s="2">
        <v>0.2</v>
      </c>
      <c r="I12" s="2">
        <v>0.2</v>
      </c>
      <c r="J12" s="2">
        <v>0.2</v>
      </c>
      <c r="K12" s="2">
        <v>0.2</v>
      </c>
      <c r="L12" s="2">
        <v>0.2</v>
      </c>
      <c r="M12" s="2">
        <v>0.2</v>
      </c>
      <c r="N12" s="2">
        <v>0.2</v>
      </c>
      <c r="O12" s="2">
        <v>0.2</v>
      </c>
      <c r="P12" s="2">
        <v>0.2</v>
      </c>
      <c r="Q12" s="2">
        <v>0.2</v>
      </c>
      <c r="R12" s="2">
        <v>0.2</v>
      </c>
      <c r="S12" s="2">
        <v>0.2</v>
      </c>
      <c r="T12" s="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>
        <v>0.2</v>
      </c>
      <c r="AG12" s="2">
        <v>0.2</v>
      </c>
      <c r="AH12" s="2">
        <v>0.2</v>
      </c>
    </row>
    <row r="13" spans="1:34">
      <c r="A13" t="str">
        <f>sets!$H$3</f>
        <v>Teff</v>
      </c>
      <c r="B13" t="str">
        <v>Tigray</v>
      </c>
      <c r="C13" s="2">
        <v>0.2</v>
      </c>
      <c r="D13" s="2">
        <v>0.2</v>
      </c>
      <c r="E13" s="2">
        <v>0.2</v>
      </c>
      <c r="F13" s="2">
        <v>0.2</v>
      </c>
      <c r="G13" s="2">
        <v>0.2</v>
      </c>
      <c r="H13" s="2">
        <v>0.2</v>
      </c>
      <c r="I13" s="2">
        <v>0.2</v>
      </c>
      <c r="J13" s="2">
        <v>0.2</v>
      </c>
      <c r="K13" s="2">
        <v>0.2</v>
      </c>
      <c r="L13" s="2">
        <v>0.2</v>
      </c>
      <c r="M13" s="2">
        <v>0.2</v>
      </c>
      <c r="N13" s="2">
        <v>0.2</v>
      </c>
      <c r="O13" s="2">
        <v>0.2</v>
      </c>
      <c r="P13" s="2">
        <v>0.2</v>
      </c>
      <c r="Q13" s="2">
        <v>0.2</v>
      </c>
      <c r="R13" s="2">
        <v>0.2</v>
      </c>
      <c r="S13" s="2">
        <v>0.2</v>
      </c>
      <c r="T13" s="2">
        <v>0.2</v>
      </c>
      <c r="U13" s="2">
        <v>0.2</v>
      </c>
      <c r="V13" s="2">
        <v>0.2</v>
      </c>
      <c r="W13" s="2">
        <v>0.2</v>
      </c>
      <c r="X13" s="2">
        <v>0.2</v>
      </c>
      <c r="Y13" s="2">
        <v>0.2</v>
      </c>
      <c r="Z13" s="2">
        <v>0.2</v>
      </c>
      <c r="AA13" s="2">
        <v>0.2</v>
      </c>
      <c r="AB13" s="2">
        <v>0.2</v>
      </c>
      <c r="AC13" s="2">
        <v>0.2</v>
      </c>
      <c r="AD13" s="2">
        <v>0.2</v>
      </c>
      <c r="AE13" s="2">
        <v>0.2</v>
      </c>
      <c r="AF13" s="2">
        <v>0.2</v>
      </c>
      <c r="AG13" s="2">
        <v>0.2</v>
      </c>
      <c r="AH13" s="2">
        <v>0.2</v>
      </c>
    </row>
    <row r="14" spans="1:34">
      <c r="A14" t="str">
        <f t="shared" ref="A14:A45" si="2">INDEX(Food,MATCH(A3,Food,0)+1)</f>
        <v>Sorghum</v>
      </c>
      <c r="B14" t="str">
        <f>B3</f>
        <v>AddisAbaba</v>
      </c>
      <c r="C14" s="2">
        <v>0.2</v>
      </c>
      <c r="D14" s="2">
        <v>0.2</v>
      </c>
      <c r="E14" s="2">
        <v>0.2</v>
      </c>
      <c r="F14" s="2">
        <v>0.2</v>
      </c>
      <c r="G14" s="2">
        <v>0.2</v>
      </c>
      <c r="H14" s="2">
        <v>0.2</v>
      </c>
      <c r="I14" s="2">
        <v>0.2</v>
      </c>
      <c r="J14" s="2">
        <v>0.2</v>
      </c>
      <c r="K14" s="2">
        <v>0.2</v>
      </c>
      <c r="L14" s="2">
        <v>0.2</v>
      </c>
      <c r="M14" s="2">
        <v>0.2</v>
      </c>
      <c r="N14" s="2">
        <v>0.2</v>
      </c>
      <c r="O14" s="2">
        <v>0.2</v>
      </c>
      <c r="P14" s="2">
        <v>0.2</v>
      </c>
      <c r="Q14" s="2">
        <v>0.2</v>
      </c>
      <c r="R14" s="2">
        <v>0.2</v>
      </c>
      <c r="S14" s="2">
        <v>0.2</v>
      </c>
      <c r="T14" s="2">
        <v>0.2</v>
      </c>
      <c r="U14" s="2">
        <v>0.2</v>
      </c>
      <c r="V14" s="2">
        <v>0.2</v>
      </c>
      <c r="W14" s="2">
        <v>0.2</v>
      </c>
      <c r="X14" s="2">
        <v>0.2</v>
      </c>
      <c r="Y14" s="2">
        <v>0.2</v>
      </c>
      <c r="Z14" s="2">
        <v>0.2</v>
      </c>
      <c r="AA14" s="2">
        <v>0.2</v>
      </c>
      <c r="AB14" s="2">
        <v>0.2</v>
      </c>
      <c r="AC14" s="2">
        <v>0.2</v>
      </c>
      <c r="AD14" s="2">
        <v>0.2</v>
      </c>
      <c r="AE14" s="2">
        <v>0.2</v>
      </c>
      <c r="AF14" s="2">
        <v>0.2</v>
      </c>
      <c r="AG14" s="2">
        <v>0.2</v>
      </c>
      <c r="AH14" s="2">
        <v>0.2</v>
      </c>
    </row>
    <row r="15" spans="1:34">
      <c r="A15" t="str">
        <f t="shared" si="2"/>
        <v>Sorghum</v>
      </c>
      <c r="B15" t="str">
        <f t="shared" ref="B15:B68" si="3">B4</f>
        <v>Afar</v>
      </c>
      <c r="C15" s="2">
        <v>0.2</v>
      </c>
      <c r="D15" s="2">
        <v>0.2</v>
      </c>
      <c r="E15" s="2">
        <v>0.2</v>
      </c>
      <c r="F15" s="2">
        <v>0.2</v>
      </c>
      <c r="G15" s="2">
        <v>0.2</v>
      </c>
      <c r="H15" s="2">
        <v>0.2</v>
      </c>
      <c r="I15" s="2">
        <v>0.2</v>
      </c>
      <c r="J15" s="2">
        <v>0.2</v>
      </c>
      <c r="K15" s="2">
        <v>0.2</v>
      </c>
      <c r="L15" s="2">
        <v>0.2</v>
      </c>
      <c r="M15" s="2">
        <v>0.2</v>
      </c>
      <c r="N15" s="2">
        <v>0.2</v>
      </c>
      <c r="O15" s="2">
        <v>0.2</v>
      </c>
      <c r="P15" s="2">
        <v>0.2</v>
      </c>
      <c r="Q15" s="2">
        <v>0.2</v>
      </c>
      <c r="R15" s="2">
        <v>0.2</v>
      </c>
      <c r="S15" s="2">
        <v>0.2</v>
      </c>
      <c r="T15" s="2">
        <v>0.2</v>
      </c>
      <c r="U15" s="2">
        <v>0.2</v>
      </c>
      <c r="V15" s="2">
        <v>0.2</v>
      </c>
      <c r="W15" s="2">
        <v>0.2</v>
      </c>
      <c r="X15" s="2">
        <v>0.2</v>
      </c>
      <c r="Y15" s="2">
        <v>0.2</v>
      </c>
      <c r="Z15" s="2">
        <v>0.2</v>
      </c>
      <c r="AA15" s="2">
        <v>0.2</v>
      </c>
      <c r="AB15" s="2">
        <v>0.2</v>
      </c>
      <c r="AC15" s="2">
        <v>0.2</v>
      </c>
      <c r="AD15" s="2">
        <v>0.2</v>
      </c>
      <c r="AE15" s="2">
        <v>0.2</v>
      </c>
      <c r="AF15" s="2">
        <v>0.2</v>
      </c>
      <c r="AG15" s="2">
        <v>0.2</v>
      </c>
      <c r="AH15" s="2">
        <v>0.2</v>
      </c>
    </row>
    <row r="16" spans="1:34">
      <c r="A16" t="str">
        <f t="shared" si="2"/>
        <v>Sorghum</v>
      </c>
      <c r="B16" t="str">
        <f t="shared" si="3"/>
        <v>Amhara</v>
      </c>
      <c r="C16" s="2">
        <v>0.2</v>
      </c>
      <c r="D16" s="2">
        <v>0.2</v>
      </c>
      <c r="E16" s="2">
        <v>0.2</v>
      </c>
      <c r="F16" s="2">
        <v>0.2</v>
      </c>
      <c r="G16" s="2">
        <v>0.2</v>
      </c>
      <c r="H16" s="2">
        <v>0.2</v>
      </c>
      <c r="I16" s="2">
        <v>0.2</v>
      </c>
      <c r="J16" s="2">
        <v>0.2</v>
      </c>
      <c r="K16" s="2">
        <v>0.2</v>
      </c>
      <c r="L16" s="2">
        <v>0.2</v>
      </c>
      <c r="M16" s="2">
        <v>0.2</v>
      </c>
      <c r="N16" s="2">
        <v>0.2</v>
      </c>
      <c r="O16" s="2">
        <v>0.2</v>
      </c>
      <c r="P16" s="2">
        <v>0.2</v>
      </c>
      <c r="Q16" s="2">
        <v>0.2</v>
      </c>
      <c r="R16" s="2">
        <v>0.2</v>
      </c>
      <c r="S16" s="2">
        <v>0.2</v>
      </c>
      <c r="T16" s="2">
        <v>0.2</v>
      </c>
      <c r="U16" s="2">
        <v>0.2</v>
      </c>
      <c r="V16" s="2">
        <v>0.2</v>
      </c>
      <c r="W16" s="2">
        <v>0.2</v>
      </c>
      <c r="X16" s="2">
        <v>0.2</v>
      </c>
      <c r="Y16" s="2">
        <v>0.2</v>
      </c>
      <c r="Z16" s="2">
        <v>0.2</v>
      </c>
      <c r="AA16" s="2">
        <v>0.2</v>
      </c>
      <c r="AB16" s="2">
        <v>0.2</v>
      </c>
      <c r="AC16" s="2">
        <v>0.2</v>
      </c>
      <c r="AD16" s="2">
        <v>0.2</v>
      </c>
      <c r="AE16" s="2">
        <v>0.2</v>
      </c>
      <c r="AF16" s="2">
        <v>0.2</v>
      </c>
      <c r="AG16" s="2">
        <v>0.2</v>
      </c>
      <c r="AH16" s="2">
        <v>0.2</v>
      </c>
    </row>
    <row r="17" spans="1:34">
      <c r="A17" t="str">
        <f t="shared" si="2"/>
        <v>Sorghum</v>
      </c>
      <c r="B17" t="str">
        <f t="shared" si="3"/>
        <v>Gumuz</v>
      </c>
      <c r="C17" s="2">
        <v>0.2</v>
      </c>
      <c r="D17" s="2">
        <v>0.2</v>
      </c>
      <c r="E17" s="2">
        <v>0.2</v>
      </c>
      <c r="F17" s="2">
        <v>0.2</v>
      </c>
      <c r="G17" s="2">
        <v>0.2</v>
      </c>
      <c r="H17" s="2">
        <v>0.2</v>
      </c>
      <c r="I17" s="2">
        <v>0.2</v>
      </c>
      <c r="J17" s="2">
        <v>0.2</v>
      </c>
      <c r="K17" s="2">
        <v>0.2</v>
      </c>
      <c r="L17" s="2">
        <v>0.2</v>
      </c>
      <c r="M17" s="2">
        <v>0.2</v>
      </c>
      <c r="N17" s="2">
        <v>0.2</v>
      </c>
      <c r="O17" s="2">
        <v>0.2</v>
      </c>
      <c r="P17" s="2">
        <v>0.2</v>
      </c>
      <c r="Q17" s="2">
        <v>0.2</v>
      </c>
      <c r="R17" s="2">
        <v>0.2</v>
      </c>
      <c r="S17" s="2">
        <v>0.2</v>
      </c>
      <c r="T17" s="2">
        <v>0.2</v>
      </c>
      <c r="U17" s="2">
        <v>0.2</v>
      </c>
      <c r="V17" s="2">
        <v>0.2</v>
      </c>
      <c r="W17" s="2">
        <v>0.2</v>
      </c>
      <c r="X17" s="2">
        <v>0.2</v>
      </c>
      <c r="Y17" s="2">
        <v>0.2</v>
      </c>
      <c r="Z17" s="2">
        <v>0.2</v>
      </c>
      <c r="AA17" s="2">
        <v>0.2</v>
      </c>
      <c r="AB17" s="2">
        <v>0.2</v>
      </c>
      <c r="AC17" s="2">
        <v>0.2</v>
      </c>
      <c r="AD17" s="2">
        <v>0.2</v>
      </c>
      <c r="AE17" s="2">
        <v>0.2</v>
      </c>
      <c r="AF17" s="2">
        <v>0.2</v>
      </c>
      <c r="AG17" s="2">
        <v>0.2</v>
      </c>
      <c r="AH17" s="2">
        <v>0.2</v>
      </c>
    </row>
    <row r="18" spans="1:34">
      <c r="A18" t="str">
        <f t="shared" si="2"/>
        <v>Sorghum</v>
      </c>
      <c r="B18" t="str">
        <f t="shared" si="3"/>
        <v>DireDawa</v>
      </c>
      <c r="C18" s="2">
        <v>0.2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  <c r="I18" s="2">
        <v>0.2</v>
      </c>
      <c r="J18" s="2">
        <v>0.2</v>
      </c>
      <c r="K18" s="2">
        <v>0.2</v>
      </c>
      <c r="L18" s="2">
        <v>0.2</v>
      </c>
      <c r="M18" s="2">
        <v>0.2</v>
      </c>
      <c r="N18" s="2">
        <v>0.2</v>
      </c>
      <c r="O18" s="2">
        <v>0.2</v>
      </c>
      <c r="P18" s="2">
        <v>0.2</v>
      </c>
      <c r="Q18" s="2">
        <v>0.2</v>
      </c>
      <c r="R18" s="2">
        <v>0.2</v>
      </c>
      <c r="S18" s="2">
        <v>0.2</v>
      </c>
      <c r="T18" s="2">
        <v>0.2</v>
      </c>
      <c r="U18" s="2">
        <v>0.2</v>
      </c>
      <c r="V18" s="2">
        <v>0.2</v>
      </c>
      <c r="W18" s="2">
        <v>0.2</v>
      </c>
      <c r="X18" s="2">
        <v>0.2</v>
      </c>
      <c r="Y18" s="2">
        <v>0.2</v>
      </c>
      <c r="Z18" s="2">
        <v>0.2</v>
      </c>
      <c r="AA18" s="2">
        <v>0.2</v>
      </c>
      <c r="AB18" s="2">
        <v>0.2</v>
      </c>
      <c r="AC18" s="2">
        <v>0.2</v>
      </c>
      <c r="AD18" s="2">
        <v>0.2</v>
      </c>
      <c r="AE18" s="2">
        <v>0.2</v>
      </c>
      <c r="AF18" s="2">
        <v>0.2</v>
      </c>
      <c r="AG18" s="2">
        <v>0.2</v>
      </c>
      <c r="AH18" s="2">
        <v>0.2</v>
      </c>
    </row>
    <row r="19" spans="1:34">
      <c r="A19" t="str">
        <f t="shared" si="2"/>
        <v>Sorghum</v>
      </c>
      <c r="B19" t="str">
        <f t="shared" si="3"/>
        <v>Gambela</v>
      </c>
      <c r="C19" s="2">
        <v>0.2</v>
      </c>
      <c r="D19" s="2">
        <v>0.2</v>
      </c>
      <c r="E19" s="2">
        <v>0.2</v>
      </c>
      <c r="F19" s="2">
        <v>0.2</v>
      </c>
      <c r="G19" s="2">
        <v>0.2</v>
      </c>
      <c r="H19" s="2">
        <v>0.2</v>
      </c>
      <c r="I19" s="2">
        <v>0.2</v>
      </c>
      <c r="J19" s="2">
        <v>0.2</v>
      </c>
      <c r="K19" s="2">
        <v>0.2</v>
      </c>
      <c r="L19" s="2">
        <v>0.2</v>
      </c>
      <c r="M19" s="2">
        <v>0.2</v>
      </c>
      <c r="N19" s="2">
        <v>0.2</v>
      </c>
      <c r="O19" s="2">
        <v>0.2</v>
      </c>
      <c r="P19" s="2">
        <v>0.2</v>
      </c>
      <c r="Q19" s="2">
        <v>0.2</v>
      </c>
      <c r="R19" s="2">
        <v>0.2</v>
      </c>
      <c r="S19" s="2">
        <v>0.2</v>
      </c>
      <c r="T19" s="2">
        <v>0.2</v>
      </c>
      <c r="U19" s="2">
        <v>0.2</v>
      </c>
      <c r="V19" s="2">
        <v>0.2</v>
      </c>
      <c r="W19" s="2">
        <v>0.2</v>
      </c>
      <c r="X19" s="2">
        <v>0.2</v>
      </c>
      <c r="Y19" s="2">
        <v>0.2</v>
      </c>
      <c r="Z19" s="2">
        <v>0.2</v>
      </c>
      <c r="AA19" s="2">
        <v>0.2</v>
      </c>
      <c r="AB19" s="2">
        <v>0.2</v>
      </c>
      <c r="AC19" s="2">
        <v>0.2</v>
      </c>
      <c r="AD19" s="2">
        <v>0.2</v>
      </c>
      <c r="AE19" s="2">
        <v>0.2</v>
      </c>
      <c r="AF19" s="2">
        <v>0.2</v>
      </c>
      <c r="AG19" s="2">
        <v>0.2</v>
      </c>
      <c r="AH19" s="2">
        <v>0.2</v>
      </c>
    </row>
    <row r="20" spans="1:34">
      <c r="A20" t="str">
        <f t="shared" si="2"/>
        <v>Sorghum</v>
      </c>
      <c r="B20" t="str">
        <f t="shared" si="3"/>
        <v>Harari</v>
      </c>
      <c r="C20" s="2">
        <v>0.2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  <c r="I20" s="2">
        <v>0.2</v>
      </c>
      <c r="J20" s="2">
        <v>0.2</v>
      </c>
      <c r="K20" s="2">
        <v>0.2</v>
      </c>
      <c r="L20" s="2">
        <v>0.2</v>
      </c>
      <c r="M20" s="2">
        <v>0.2</v>
      </c>
      <c r="N20" s="2">
        <v>0.2</v>
      </c>
      <c r="O20" s="2">
        <v>0.2</v>
      </c>
      <c r="P20" s="2">
        <v>0.2</v>
      </c>
      <c r="Q20" s="2">
        <v>0.2</v>
      </c>
      <c r="R20" s="2">
        <v>0.2</v>
      </c>
      <c r="S20" s="2">
        <v>0.2</v>
      </c>
      <c r="T20" s="2">
        <v>0.2</v>
      </c>
      <c r="U20" s="2">
        <v>0.2</v>
      </c>
      <c r="V20" s="2">
        <v>0.2</v>
      </c>
      <c r="W20" s="2">
        <v>0.2</v>
      </c>
      <c r="X20" s="2">
        <v>0.2</v>
      </c>
      <c r="Y20" s="2">
        <v>0.2</v>
      </c>
      <c r="Z20" s="2">
        <v>0.2</v>
      </c>
      <c r="AA20" s="2">
        <v>0.2</v>
      </c>
      <c r="AB20" s="2">
        <v>0.2</v>
      </c>
      <c r="AC20" s="2">
        <v>0.2</v>
      </c>
      <c r="AD20" s="2">
        <v>0.2</v>
      </c>
      <c r="AE20" s="2">
        <v>0.2</v>
      </c>
      <c r="AF20" s="2">
        <v>0.2</v>
      </c>
      <c r="AG20" s="2">
        <v>0.2</v>
      </c>
      <c r="AH20" s="2">
        <v>0.2</v>
      </c>
    </row>
    <row r="21" spans="1:34">
      <c r="A21" t="str">
        <f t="shared" si="2"/>
        <v>Sorghum</v>
      </c>
      <c r="B21" t="str">
        <f t="shared" si="3"/>
        <v>Oromia</v>
      </c>
      <c r="C21" s="2">
        <v>0.2</v>
      </c>
      <c r="D21" s="2">
        <v>0.2</v>
      </c>
      <c r="E21" s="2">
        <v>0.2</v>
      </c>
      <c r="F21" s="2">
        <v>0.2</v>
      </c>
      <c r="G21" s="2">
        <v>0.2</v>
      </c>
      <c r="H21" s="2">
        <v>0.2</v>
      </c>
      <c r="I21" s="2">
        <v>0.2</v>
      </c>
      <c r="J21" s="2">
        <v>0.2</v>
      </c>
      <c r="K21" s="2">
        <v>0.2</v>
      </c>
      <c r="L21" s="2">
        <v>0.2</v>
      </c>
      <c r="M21" s="2">
        <v>0.2</v>
      </c>
      <c r="N21" s="2">
        <v>0.2</v>
      </c>
      <c r="O21" s="2">
        <v>0.2</v>
      </c>
      <c r="P21" s="2">
        <v>0.2</v>
      </c>
      <c r="Q21" s="2">
        <v>0.2</v>
      </c>
      <c r="R21" s="2">
        <v>0.2</v>
      </c>
      <c r="S21" s="2">
        <v>0.2</v>
      </c>
      <c r="T21" s="2">
        <v>0.2</v>
      </c>
      <c r="U21" s="2">
        <v>0.2</v>
      </c>
      <c r="V21" s="2">
        <v>0.2</v>
      </c>
      <c r="W21" s="2">
        <v>0.2</v>
      </c>
      <c r="X21" s="2">
        <v>0.2</v>
      </c>
      <c r="Y21" s="2">
        <v>0.2</v>
      </c>
      <c r="Z21" s="2">
        <v>0.2</v>
      </c>
      <c r="AA21" s="2">
        <v>0.2</v>
      </c>
      <c r="AB21" s="2">
        <v>0.2</v>
      </c>
      <c r="AC21" s="2">
        <v>0.2</v>
      </c>
      <c r="AD21" s="2">
        <v>0.2</v>
      </c>
      <c r="AE21" s="2">
        <v>0.2</v>
      </c>
      <c r="AF21" s="2">
        <v>0.2</v>
      </c>
      <c r="AG21" s="2">
        <v>0.2</v>
      </c>
      <c r="AH21" s="2">
        <v>0.2</v>
      </c>
    </row>
    <row r="22" spans="1:34">
      <c r="A22" t="str">
        <f t="shared" si="2"/>
        <v>Sorghum</v>
      </c>
      <c r="B22" t="str">
        <f t="shared" si="3"/>
        <v>Somali</v>
      </c>
      <c r="C22" s="2">
        <v>0.2</v>
      </c>
      <c r="D22" s="2">
        <v>0.2</v>
      </c>
      <c r="E22" s="2">
        <v>0.2</v>
      </c>
      <c r="F22" s="2">
        <v>0.2</v>
      </c>
      <c r="G22" s="2">
        <v>0.2</v>
      </c>
      <c r="H22" s="2">
        <v>0.2</v>
      </c>
      <c r="I22" s="2">
        <v>0.2</v>
      </c>
      <c r="J22" s="2">
        <v>0.2</v>
      </c>
      <c r="K22" s="2">
        <v>0.2</v>
      </c>
      <c r="L22" s="2">
        <v>0.2</v>
      </c>
      <c r="M22" s="2">
        <v>0.2</v>
      </c>
      <c r="N22" s="2">
        <v>0.2</v>
      </c>
      <c r="O22" s="2">
        <v>0.2</v>
      </c>
      <c r="P22" s="2">
        <v>0.2</v>
      </c>
      <c r="Q22" s="2">
        <v>0.2</v>
      </c>
      <c r="R22" s="2">
        <v>0.2</v>
      </c>
      <c r="S22" s="2">
        <v>0.2</v>
      </c>
      <c r="T22" s="2">
        <v>0.2</v>
      </c>
      <c r="U22" s="2">
        <v>0.2</v>
      </c>
      <c r="V22" s="2">
        <v>0.2</v>
      </c>
      <c r="W22" s="2">
        <v>0.2</v>
      </c>
      <c r="X22" s="2">
        <v>0.2</v>
      </c>
      <c r="Y22" s="2">
        <v>0.2</v>
      </c>
      <c r="Z22" s="2">
        <v>0.2</v>
      </c>
      <c r="AA22" s="2">
        <v>0.2</v>
      </c>
      <c r="AB22" s="2">
        <v>0.2</v>
      </c>
      <c r="AC22" s="2">
        <v>0.2</v>
      </c>
      <c r="AD22" s="2">
        <v>0.2</v>
      </c>
      <c r="AE22" s="2">
        <v>0.2</v>
      </c>
      <c r="AF22" s="2">
        <v>0.2</v>
      </c>
      <c r="AG22" s="2">
        <v>0.2</v>
      </c>
      <c r="AH22" s="2">
        <v>0.2</v>
      </c>
    </row>
    <row r="23" spans="1:34">
      <c r="A23" t="str">
        <f t="shared" si="2"/>
        <v>Sorghum</v>
      </c>
      <c r="B23" t="str">
        <f t="shared" si="3"/>
        <v>SNNPR</v>
      </c>
      <c r="C23" s="2">
        <v>0.2</v>
      </c>
      <c r="D23" s="2">
        <v>0.2</v>
      </c>
      <c r="E23" s="2">
        <v>0.2</v>
      </c>
      <c r="F23" s="2">
        <v>0.2</v>
      </c>
      <c r="G23" s="2">
        <v>0.2</v>
      </c>
      <c r="H23" s="2">
        <v>0.2</v>
      </c>
      <c r="I23" s="2">
        <v>0.2</v>
      </c>
      <c r="J23" s="2">
        <v>0.2</v>
      </c>
      <c r="K23" s="2">
        <v>0.2</v>
      </c>
      <c r="L23" s="2">
        <v>0.2</v>
      </c>
      <c r="M23" s="2">
        <v>0.2</v>
      </c>
      <c r="N23" s="2">
        <v>0.2</v>
      </c>
      <c r="O23" s="2">
        <v>0.2</v>
      </c>
      <c r="P23" s="2">
        <v>0.2</v>
      </c>
      <c r="Q23" s="2">
        <v>0.2</v>
      </c>
      <c r="R23" s="2">
        <v>0.2</v>
      </c>
      <c r="S23" s="2">
        <v>0.2</v>
      </c>
      <c r="T23" s="2">
        <v>0.2</v>
      </c>
      <c r="U23" s="2">
        <v>0.2</v>
      </c>
      <c r="V23" s="2">
        <v>0.2</v>
      </c>
      <c r="W23" s="2">
        <v>0.2</v>
      </c>
      <c r="X23" s="2">
        <v>0.2</v>
      </c>
      <c r="Y23" s="2">
        <v>0.2</v>
      </c>
      <c r="Z23" s="2">
        <v>0.2</v>
      </c>
      <c r="AA23" s="2">
        <v>0.2</v>
      </c>
      <c r="AB23" s="2">
        <v>0.2</v>
      </c>
      <c r="AC23" s="2">
        <v>0.2</v>
      </c>
      <c r="AD23" s="2">
        <v>0.2</v>
      </c>
      <c r="AE23" s="2">
        <v>0.2</v>
      </c>
      <c r="AF23" s="2">
        <v>0.2</v>
      </c>
      <c r="AG23" s="2">
        <v>0.2</v>
      </c>
      <c r="AH23" s="2">
        <v>0.2</v>
      </c>
    </row>
    <row r="24" spans="1:34">
      <c r="A24" t="str">
        <f t="shared" si="2"/>
        <v>Sorghum</v>
      </c>
      <c r="B24" t="str">
        <f t="shared" si="3"/>
        <v>Tigray</v>
      </c>
      <c r="C24" s="2">
        <v>0.2</v>
      </c>
      <c r="D24" s="2">
        <v>0.2</v>
      </c>
      <c r="E24" s="2">
        <v>0.2</v>
      </c>
      <c r="F24" s="2">
        <v>0.2</v>
      </c>
      <c r="G24" s="2">
        <v>0.2</v>
      </c>
      <c r="H24" s="2">
        <v>0.2</v>
      </c>
      <c r="I24" s="2">
        <v>0.2</v>
      </c>
      <c r="J24" s="2">
        <v>0.2</v>
      </c>
      <c r="K24" s="2">
        <v>0.2</v>
      </c>
      <c r="L24" s="2">
        <v>0.2</v>
      </c>
      <c r="M24" s="2">
        <v>0.2</v>
      </c>
      <c r="N24" s="2">
        <v>0.2</v>
      </c>
      <c r="O24" s="2">
        <v>0.2</v>
      </c>
      <c r="P24" s="2">
        <v>0.2</v>
      </c>
      <c r="Q24" s="2">
        <v>0.2</v>
      </c>
      <c r="R24" s="2">
        <v>0.2</v>
      </c>
      <c r="S24" s="2">
        <v>0.2</v>
      </c>
      <c r="T24" s="2">
        <v>0.2</v>
      </c>
      <c r="U24" s="2">
        <v>0.2</v>
      </c>
      <c r="V24" s="2">
        <v>0.2</v>
      </c>
      <c r="W24" s="2">
        <v>0.2</v>
      </c>
      <c r="X24" s="2">
        <v>0.2</v>
      </c>
      <c r="Y24" s="2">
        <v>0.2</v>
      </c>
      <c r="Z24" s="2">
        <v>0.2</v>
      </c>
      <c r="AA24" s="2">
        <v>0.2</v>
      </c>
      <c r="AB24" s="2">
        <v>0.2</v>
      </c>
      <c r="AC24" s="2">
        <v>0.2</v>
      </c>
      <c r="AD24" s="2">
        <v>0.2</v>
      </c>
      <c r="AE24" s="2">
        <v>0.2</v>
      </c>
      <c r="AF24" s="2">
        <v>0.2</v>
      </c>
      <c r="AG24" s="2">
        <v>0.2</v>
      </c>
      <c r="AH24" s="2">
        <v>0.2</v>
      </c>
    </row>
    <row r="25" spans="1:34">
      <c r="A25" t="str">
        <f t="shared" si="2"/>
        <v>Maize</v>
      </c>
      <c r="B25" t="str">
        <f t="shared" si="3"/>
        <v>AddisAbaba</v>
      </c>
      <c r="C25" s="2">
        <v>0.2</v>
      </c>
      <c r="D25" s="2">
        <v>0.2</v>
      </c>
      <c r="E25" s="2">
        <v>0.2</v>
      </c>
      <c r="F25" s="2">
        <v>0.2</v>
      </c>
      <c r="G25" s="2">
        <v>0.2</v>
      </c>
      <c r="H25" s="2">
        <v>0.2</v>
      </c>
      <c r="I25" s="2">
        <v>0.2</v>
      </c>
      <c r="J25" s="2">
        <v>0.2</v>
      </c>
      <c r="K25" s="2">
        <v>0.2</v>
      </c>
      <c r="L25" s="2">
        <v>0.2</v>
      </c>
      <c r="M25" s="2">
        <v>0.2</v>
      </c>
      <c r="N25" s="2">
        <v>0.2</v>
      </c>
      <c r="O25" s="2">
        <v>0.2</v>
      </c>
      <c r="P25" s="2">
        <v>0.2</v>
      </c>
      <c r="Q25" s="2">
        <v>0.2</v>
      </c>
      <c r="R25" s="2">
        <v>0.2</v>
      </c>
      <c r="S25" s="2">
        <v>0.2</v>
      </c>
      <c r="T25" s="2">
        <v>0.2</v>
      </c>
      <c r="U25" s="2">
        <v>0.2</v>
      </c>
      <c r="V25" s="2">
        <v>0.2</v>
      </c>
      <c r="W25" s="2">
        <v>0.2</v>
      </c>
      <c r="X25" s="2">
        <v>0.2</v>
      </c>
      <c r="Y25" s="2">
        <v>0.2</v>
      </c>
      <c r="Z25" s="2">
        <v>0.2</v>
      </c>
      <c r="AA25" s="2">
        <v>0.2</v>
      </c>
      <c r="AB25" s="2">
        <v>0.2</v>
      </c>
      <c r="AC25" s="2">
        <v>0.2</v>
      </c>
      <c r="AD25" s="2">
        <v>0.2</v>
      </c>
      <c r="AE25" s="2">
        <v>0.2</v>
      </c>
      <c r="AF25" s="2">
        <v>0.2</v>
      </c>
      <c r="AG25" s="2">
        <v>0.2</v>
      </c>
      <c r="AH25" s="2">
        <v>0.2</v>
      </c>
    </row>
    <row r="26" spans="1:34">
      <c r="A26" t="str">
        <f t="shared" si="2"/>
        <v>Maize</v>
      </c>
      <c r="B26" t="str">
        <f t="shared" si="3"/>
        <v>Afar</v>
      </c>
      <c r="C26" s="2">
        <v>0.2</v>
      </c>
      <c r="D26" s="2">
        <v>0.2</v>
      </c>
      <c r="E26" s="2">
        <v>0.2</v>
      </c>
      <c r="F26" s="2">
        <v>0.2</v>
      </c>
      <c r="G26" s="2">
        <v>0.2</v>
      </c>
      <c r="H26" s="2">
        <v>0.2</v>
      </c>
      <c r="I26" s="2">
        <v>0.2</v>
      </c>
      <c r="J26" s="2">
        <v>0.2</v>
      </c>
      <c r="K26" s="2">
        <v>0.2</v>
      </c>
      <c r="L26" s="2">
        <v>0.2</v>
      </c>
      <c r="M26" s="2">
        <v>0.2</v>
      </c>
      <c r="N26" s="2">
        <v>0.2</v>
      </c>
      <c r="O26" s="2">
        <v>0.2</v>
      </c>
      <c r="P26" s="2">
        <v>0.2</v>
      </c>
      <c r="Q26" s="2">
        <v>0.2</v>
      </c>
      <c r="R26" s="2">
        <v>0.2</v>
      </c>
      <c r="S26" s="2">
        <v>0.2</v>
      </c>
      <c r="T26" s="2">
        <v>0.2</v>
      </c>
      <c r="U26" s="2">
        <v>0.2</v>
      </c>
      <c r="V26" s="2">
        <v>0.2</v>
      </c>
      <c r="W26" s="2">
        <v>0.2</v>
      </c>
      <c r="X26" s="2">
        <v>0.2</v>
      </c>
      <c r="Y26" s="2">
        <v>0.2</v>
      </c>
      <c r="Z26" s="2">
        <v>0.2</v>
      </c>
      <c r="AA26" s="2">
        <v>0.2</v>
      </c>
      <c r="AB26" s="2">
        <v>0.2</v>
      </c>
      <c r="AC26" s="2">
        <v>0.2</v>
      </c>
      <c r="AD26" s="2">
        <v>0.2</v>
      </c>
      <c r="AE26" s="2">
        <v>0.2</v>
      </c>
      <c r="AF26" s="2">
        <v>0.2</v>
      </c>
      <c r="AG26" s="2">
        <v>0.2</v>
      </c>
      <c r="AH26" s="2">
        <v>0.2</v>
      </c>
    </row>
    <row r="27" spans="1:34">
      <c r="A27" t="str">
        <f t="shared" si="2"/>
        <v>Maize</v>
      </c>
      <c r="B27" t="str">
        <f t="shared" si="3"/>
        <v>Amhara</v>
      </c>
      <c r="C27" s="2">
        <v>0.2</v>
      </c>
      <c r="D27" s="2">
        <v>0.2</v>
      </c>
      <c r="E27" s="2">
        <v>0.2</v>
      </c>
      <c r="F27" s="2">
        <v>0.2</v>
      </c>
      <c r="G27" s="2">
        <v>0.2</v>
      </c>
      <c r="H27" s="2">
        <v>0.2</v>
      </c>
      <c r="I27" s="2">
        <v>0.2</v>
      </c>
      <c r="J27" s="2">
        <v>0.2</v>
      </c>
      <c r="K27" s="2">
        <v>0.2</v>
      </c>
      <c r="L27" s="2">
        <v>0.2</v>
      </c>
      <c r="M27" s="2">
        <v>0.2</v>
      </c>
      <c r="N27" s="2">
        <v>0.2</v>
      </c>
      <c r="O27" s="2">
        <v>0.2</v>
      </c>
      <c r="P27" s="2">
        <v>0.2</v>
      </c>
      <c r="Q27" s="2">
        <v>0.2</v>
      </c>
      <c r="R27" s="2">
        <v>0.2</v>
      </c>
      <c r="S27" s="2">
        <v>0.2</v>
      </c>
      <c r="T27" s="2">
        <v>0.2</v>
      </c>
      <c r="U27" s="2">
        <v>0.2</v>
      </c>
      <c r="V27" s="2">
        <v>0.2</v>
      </c>
      <c r="W27" s="2">
        <v>0.2</v>
      </c>
      <c r="X27" s="2">
        <v>0.2</v>
      </c>
      <c r="Y27" s="2">
        <v>0.2</v>
      </c>
      <c r="Z27" s="2">
        <v>0.2</v>
      </c>
      <c r="AA27" s="2">
        <v>0.2</v>
      </c>
      <c r="AB27" s="2">
        <v>0.2</v>
      </c>
      <c r="AC27" s="2">
        <v>0.2</v>
      </c>
      <c r="AD27" s="2">
        <v>0.2</v>
      </c>
      <c r="AE27" s="2">
        <v>0.2</v>
      </c>
      <c r="AF27" s="2">
        <v>0.2</v>
      </c>
      <c r="AG27" s="2">
        <v>0.2</v>
      </c>
      <c r="AH27" s="2">
        <v>0.2</v>
      </c>
    </row>
    <row r="28" spans="1:34">
      <c r="A28" t="str">
        <f t="shared" si="2"/>
        <v>Maize</v>
      </c>
      <c r="B28" t="str">
        <f t="shared" si="3"/>
        <v>Gumuz</v>
      </c>
      <c r="C28" s="2">
        <v>0.2</v>
      </c>
      <c r="D28" s="2">
        <v>0.2</v>
      </c>
      <c r="E28" s="2">
        <v>0.2</v>
      </c>
      <c r="F28" s="2">
        <v>0.2</v>
      </c>
      <c r="G28" s="2">
        <v>0.2</v>
      </c>
      <c r="H28" s="2">
        <v>0.2</v>
      </c>
      <c r="I28" s="2">
        <v>0.2</v>
      </c>
      <c r="J28" s="2">
        <v>0.2</v>
      </c>
      <c r="K28" s="2">
        <v>0.2</v>
      </c>
      <c r="L28" s="2">
        <v>0.2</v>
      </c>
      <c r="M28" s="2">
        <v>0.2</v>
      </c>
      <c r="N28" s="2">
        <v>0.2</v>
      </c>
      <c r="O28" s="2">
        <v>0.2</v>
      </c>
      <c r="P28" s="2">
        <v>0.2</v>
      </c>
      <c r="Q28" s="2">
        <v>0.2</v>
      </c>
      <c r="R28" s="2">
        <v>0.2</v>
      </c>
      <c r="S28" s="2">
        <v>0.2</v>
      </c>
      <c r="T28" s="2">
        <v>0.2</v>
      </c>
      <c r="U28" s="2">
        <v>0.2</v>
      </c>
      <c r="V28" s="2">
        <v>0.2</v>
      </c>
      <c r="W28" s="2">
        <v>0.2</v>
      </c>
      <c r="X28" s="2">
        <v>0.2</v>
      </c>
      <c r="Y28" s="2">
        <v>0.2</v>
      </c>
      <c r="Z28" s="2">
        <v>0.2</v>
      </c>
      <c r="AA28" s="2">
        <v>0.2</v>
      </c>
      <c r="AB28" s="2">
        <v>0.2</v>
      </c>
      <c r="AC28" s="2">
        <v>0.2</v>
      </c>
      <c r="AD28" s="2">
        <v>0.2</v>
      </c>
      <c r="AE28" s="2">
        <v>0.2</v>
      </c>
      <c r="AF28" s="2">
        <v>0.2</v>
      </c>
      <c r="AG28" s="2">
        <v>0.2</v>
      </c>
      <c r="AH28" s="2">
        <v>0.2</v>
      </c>
    </row>
    <row r="29" spans="1:34">
      <c r="A29" t="str">
        <f t="shared" si="2"/>
        <v>Maize</v>
      </c>
      <c r="B29" t="str">
        <f t="shared" si="3"/>
        <v>DireDawa</v>
      </c>
      <c r="C29" s="2">
        <v>0.2</v>
      </c>
      <c r="D29" s="2">
        <v>0.2</v>
      </c>
      <c r="E29" s="2">
        <v>0.2</v>
      </c>
      <c r="F29" s="2">
        <v>0.2</v>
      </c>
      <c r="G29" s="2">
        <v>0.2</v>
      </c>
      <c r="H29" s="2">
        <v>0.2</v>
      </c>
      <c r="I29" s="2">
        <v>0.2</v>
      </c>
      <c r="J29" s="2">
        <v>0.2</v>
      </c>
      <c r="K29" s="2">
        <v>0.2</v>
      </c>
      <c r="L29" s="2">
        <v>0.2</v>
      </c>
      <c r="M29" s="2">
        <v>0.2</v>
      </c>
      <c r="N29" s="2">
        <v>0.2</v>
      </c>
      <c r="O29" s="2">
        <v>0.2</v>
      </c>
      <c r="P29" s="2">
        <v>0.2</v>
      </c>
      <c r="Q29" s="2">
        <v>0.2</v>
      </c>
      <c r="R29" s="2">
        <v>0.2</v>
      </c>
      <c r="S29" s="2">
        <v>0.2</v>
      </c>
      <c r="T29" s="2">
        <v>0.2</v>
      </c>
      <c r="U29" s="2">
        <v>0.2</v>
      </c>
      <c r="V29" s="2">
        <v>0.2</v>
      </c>
      <c r="W29" s="2">
        <v>0.2</v>
      </c>
      <c r="X29" s="2">
        <v>0.2</v>
      </c>
      <c r="Y29" s="2">
        <v>0.2</v>
      </c>
      <c r="Z29" s="2">
        <v>0.2</v>
      </c>
      <c r="AA29" s="2">
        <v>0.2</v>
      </c>
      <c r="AB29" s="2">
        <v>0.2</v>
      </c>
      <c r="AC29" s="2">
        <v>0.2</v>
      </c>
      <c r="AD29" s="2">
        <v>0.2</v>
      </c>
      <c r="AE29" s="2">
        <v>0.2</v>
      </c>
      <c r="AF29" s="2">
        <v>0.2</v>
      </c>
      <c r="AG29" s="2">
        <v>0.2</v>
      </c>
      <c r="AH29" s="2">
        <v>0.2</v>
      </c>
    </row>
    <row r="30" spans="1:34">
      <c r="A30" t="str">
        <f t="shared" si="2"/>
        <v>Maize</v>
      </c>
      <c r="B30" t="str">
        <f t="shared" si="3"/>
        <v>Gambela</v>
      </c>
      <c r="C30" s="2">
        <v>0.2</v>
      </c>
      <c r="D30" s="2">
        <v>0.2</v>
      </c>
      <c r="E30" s="2">
        <v>0.2</v>
      </c>
      <c r="F30" s="2">
        <v>0.2</v>
      </c>
      <c r="G30" s="2">
        <v>0.2</v>
      </c>
      <c r="H30" s="2">
        <v>0.2</v>
      </c>
      <c r="I30" s="2">
        <v>0.2</v>
      </c>
      <c r="J30" s="2">
        <v>0.2</v>
      </c>
      <c r="K30" s="2">
        <v>0.2</v>
      </c>
      <c r="L30" s="2">
        <v>0.2</v>
      </c>
      <c r="M30" s="2">
        <v>0.2</v>
      </c>
      <c r="N30" s="2">
        <v>0.2</v>
      </c>
      <c r="O30" s="2">
        <v>0.2</v>
      </c>
      <c r="P30" s="2">
        <v>0.2</v>
      </c>
      <c r="Q30" s="2">
        <v>0.2</v>
      </c>
      <c r="R30" s="2">
        <v>0.2</v>
      </c>
      <c r="S30" s="2">
        <v>0.2</v>
      </c>
      <c r="T30" s="2">
        <v>0.2</v>
      </c>
      <c r="U30" s="2">
        <v>0.2</v>
      </c>
      <c r="V30" s="2">
        <v>0.2</v>
      </c>
      <c r="W30" s="2">
        <v>0.2</v>
      </c>
      <c r="X30" s="2">
        <v>0.2</v>
      </c>
      <c r="Y30" s="2">
        <v>0.2</v>
      </c>
      <c r="Z30" s="2">
        <v>0.2</v>
      </c>
      <c r="AA30" s="2">
        <v>0.2</v>
      </c>
      <c r="AB30" s="2">
        <v>0.2</v>
      </c>
      <c r="AC30" s="2">
        <v>0.2</v>
      </c>
      <c r="AD30" s="2">
        <v>0.2</v>
      </c>
      <c r="AE30" s="2">
        <v>0.2</v>
      </c>
      <c r="AF30" s="2">
        <v>0.2</v>
      </c>
      <c r="AG30" s="2">
        <v>0.2</v>
      </c>
      <c r="AH30" s="2">
        <v>0.2</v>
      </c>
    </row>
    <row r="31" spans="1:34">
      <c r="A31" t="str">
        <f t="shared" si="2"/>
        <v>Maize</v>
      </c>
      <c r="B31" t="str">
        <f t="shared" si="3"/>
        <v>Harari</v>
      </c>
      <c r="C31" s="2">
        <v>0.2</v>
      </c>
      <c r="D31" s="2">
        <v>0.2</v>
      </c>
      <c r="E31" s="2">
        <v>0.2</v>
      </c>
      <c r="F31" s="2">
        <v>0.2</v>
      </c>
      <c r="G31" s="2">
        <v>0.2</v>
      </c>
      <c r="H31" s="2">
        <v>0.2</v>
      </c>
      <c r="I31" s="2">
        <v>0.2</v>
      </c>
      <c r="J31" s="2">
        <v>0.2</v>
      </c>
      <c r="K31" s="2">
        <v>0.2</v>
      </c>
      <c r="L31" s="2">
        <v>0.2</v>
      </c>
      <c r="M31" s="2">
        <v>0.2</v>
      </c>
      <c r="N31" s="2">
        <v>0.2</v>
      </c>
      <c r="O31" s="2">
        <v>0.2</v>
      </c>
      <c r="P31" s="2">
        <v>0.2</v>
      </c>
      <c r="Q31" s="2">
        <v>0.2</v>
      </c>
      <c r="R31" s="2">
        <v>0.2</v>
      </c>
      <c r="S31" s="2">
        <v>0.2</v>
      </c>
      <c r="T31" s="2">
        <v>0.2</v>
      </c>
      <c r="U31" s="2">
        <v>0.2</v>
      </c>
      <c r="V31" s="2">
        <v>0.2</v>
      </c>
      <c r="W31" s="2">
        <v>0.2</v>
      </c>
      <c r="X31" s="2">
        <v>0.2</v>
      </c>
      <c r="Y31" s="2">
        <v>0.2</v>
      </c>
      <c r="Z31" s="2">
        <v>0.2</v>
      </c>
      <c r="AA31" s="2">
        <v>0.2</v>
      </c>
      <c r="AB31" s="2">
        <v>0.2</v>
      </c>
      <c r="AC31" s="2">
        <v>0.2</v>
      </c>
      <c r="AD31" s="2">
        <v>0.2</v>
      </c>
      <c r="AE31" s="2">
        <v>0.2</v>
      </c>
      <c r="AF31" s="2">
        <v>0.2</v>
      </c>
      <c r="AG31" s="2">
        <v>0.2</v>
      </c>
      <c r="AH31" s="2">
        <v>0.2</v>
      </c>
    </row>
    <row r="32" spans="1:34">
      <c r="A32" t="str">
        <f t="shared" si="2"/>
        <v>Maize</v>
      </c>
      <c r="B32" t="str">
        <f t="shared" si="3"/>
        <v>Oromia</v>
      </c>
      <c r="C32" s="2">
        <v>0.2</v>
      </c>
      <c r="D32" s="2">
        <v>0.2</v>
      </c>
      <c r="E32" s="2">
        <v>0.2</v>
      </c>
      <c r="F32" s="2">
        <v>0.2</v>
      </c>
      <c r="G32" s="2">
        <v>0.2</v>
      </c>
      <c r="H32" s="2">
        <v>0.2</v>
      </c>
      <c r="I32" s="2">
        <v>0.2</v>
      </c>
      <c r="J32" s="2">
        <v>0.2</v>
      </c>
      <c r="K32" s="2">
        <v>0.2</v>
      </c>
      <c r="L32" s="2">
        <v>0.2</v>
      </c>
      <c r="M32" s="2">
        <v>0.2</v>
      </c>
      <c r="N32" s="2">
        <v>0.2</v>
      </c>
      <c r="O32" s="2">
        <v>0.2</v>
      </c>
      <c r="P32" s="2">
        <v>0.2</v>
      </c>
      <c r="Q32" s="2">
        <v>0.2</v>
      </c>
      <c r="R32" s="2">
        <v>0.2</v>
      </c>
      <c r="S32" s="2">
        <v>0.2</v>
      </c>
      <c r="T32" s="2">
        <v>0.2</v>
      </c>
      <c r="U32" s="2">
        <v>0.2</v>
      </c>
      <c r="V32" s="2">
        <v>0.2</v>
      </c>
      <c r="W32" s="2">
        <v>0.2</v>
      </c>
      <c r="X32" s="2">
        <v>0.2</v>
      </c>
      <c r="Y32" s="2">
        <v>0.2</v>
      </c>
      <c r="Z32" s="2">
        <v>0.2</v>
      </c>
      <c r="AA32" s="2">
        <v>0.2</v>
      </c>
      <c r="AB32" s="2">
        <v>0.2</v>
      </c>
      <c r="AC32" s="2">
        <v>0.2</v>
      </c>
      <c r="AD32" s="2">
        <v>0.2</v>
      </c>
      <c r="AE32" s="2">
        <v>0.2</v>
      </c>
      <c r="AF32" s="2">
        <v>0.2</v>
      </c>
      <c r="AG32" s="2">
        <v>0.2</v>
      </c>
      <c r="AH32" s="2">
        <v>0.2</v>
      </c>
    </row>
    <row r="33" spans="1:34">
      <c r="A33" t="str">
        <f t="shared" si="2"/>
        <v>Maize</v>
      </c>
      <c r="B33" t="str">
        <f t="shared" si="3"/>
        <v>Somali</v>
      </c>
      <c r="C33" s="2">
        <v>0.2</v>
      </c>
      <c r="D33" s="2">
        <v>0.2</v>
      </c>
      <c r="E33" s="2">
        <v>0.2</v>
      </c>
      <c r="F33" s="2">
        <v>0.2</v>
      </c>
      <c r="G33" s="2">
        <v>0.2</v>
      </c>
      <c r="H33" s="2">
        <v>0.2</v>
      </c>
      <c r="I33" s="2">
        <v>0.2</v>
      </c>
      <c r="J33" s="2">
        <v>0.2</v>
      </c>
      <c r="K33" s="2">
        <v>0.2</v>
      </c>
      <c r="L33" s="2">
        <v>0.2</v>
      </c>
      <c r="M33" s="2">
        <v>0.2</v>
      </c>
      <c r="N33" s="2">
        <v>0.2</v>
      </c>
      <c r="O33" s="2">
        <v>0.2</v>
      </c>
      <c r="P33" s="2">
        <v>0.2</v>
      </c>
      <c r="Q33" s="2">
        <v>0.2</v>
      </c>
      <c r="R33" s="2">
        <v>0.2</v>
      </c>
      <c r="S33" s="2">
        <v>0.2</v>
      </c>
      <c r="T33" s="2">
        <v>0.2</v>
      </c>
      <c r="U33" s="2">
        <v>0.2</v>
      </c>
      <c r="V33" s="2">
        <v>0.2</v>
      </c>
      <c r="W33" s="2">
        <v>0.2</v>
      </c>
      <c r="X33" s="2">
        <v>0.2</v>
      </c>
      <c r="Y33" s="2">
        <v>0.2</v>
      </c>
      <c r="Z33" s="2">
        <v>0.2</v>
      </c>
      <c r="AA33" s="2">
        <v>0.2</v>
      </c>
      <c r="AB33" s="2">
        <v>0.2</v>
      </c>
      <c r="AC33" s="2">
        <v>0.2</v>
      </c>
      <c r="AD33" s="2">
        <v>0.2</v>
      </c>
      <c r="AE33" s="2">
        <v>0.2</v>
      </c>
      <c r="AF33" s="2">
        <v>0.2</v>
      </c>
      <c r="AG33" s="2">
        <v>0.2</v>
      </c>
      <c r="AH33" s="2">
        <v>0.2</v>
      </c>
    </row>
    <row r="34" spans="1:34">
      <c r="A34" t="str">
        <f t="shared" si="2"/>
        <v>Maize</v>
      </c>
      <c r="B34" t="str">
        <f t="shared" si="3"/>
        <v>SNNPR</v>
      </c>
      <c r="C34" s="2">
        <v>0.2</v>
      </c>
      <c r="D34" s="2">
        <v>0.2</v>
      </c>
      <c r="E34" s="2">
        <v>0.2</v>
      </c>
      <c r="F34" s="2">
        <v>0.2</v>
      </c>
      <c r="G34" s="2">
        <v>0.2</v>
      </c>
      <c r="H34" s="2">
        <v>0.2</v>
      </c>
      <c r="I34" s="2">
        <v>0.2</v>
      </c>
      <c r="J34" s="2">
        <v>0.2</v>
      </c>
      <c r="K34" s="2">
        <v>0.2</v>
      </c>
      <c r="L34" s="2">
        <v>0.2</v>
      </c>
      <c r="M34" s="2">
        <v>0.2</v>
      </c>
      <c r="N34" s="2">
        <v>0.2</v>
      </c>
      <c r="O34" s="2">
        <v>0.2</v>
      </c>
      <c r="P34" s="2">
        <v>0.2</v>
      </c>
      <c r="Q34" s="2">
        <v>0.2</v>
      </c>
      <c r="R34" s="2">
        <v>0.2</v>
      </c>
      <c r="S34" s="2">
        <v>0.2</v>
      </c>
      <c r="T34" s="2">
        <v>0.2</v>
      </c>
      <c r="U34" s="2">
        <v>0.2</v>
      </c>
      <c r="V34" s="2">
        <v>0.2</v>
      </c>
      <c r="W34" s="2">
        <v>0.2</v>
      </c>
      <c r="X34" s="2">
        <v>0.2</v>
      </c>
      <c r="Y34" s="2">
        <v>0.2</v>
      </c>
      <c r="Z34" s="2">
        <v>0.2</v>
      </c>
      <c r="AA34" s="2">
        <v>0.2</v>
      </c>
      <c r="AB34" s="2">
        <v>0.2</v>
      </c>
      <c r="AC34" s="2">
        <v>0.2</v>
      </c>
      <c r="AD34" s="2">
        <v>0.2</v>
      </c>
      <c r="AE34" s="2">
        <v>0.2</v>
      </c>
      <c r="AF34" s="2">
        <v>0.2</v>
      </c>
      <c r="AG34" s="2">
        <v>0.2</v>
      </c>
      <c r="AH34" s="2">
        <v>0.2</v>
      </c>
    </row>
    <row r="35" spans="1:34">
      <c r="A35" t="str">
        <f t="shared" si="2"/>
        <v>Maize</v>
      </c>
      <c r="B35" t="str">
        <f t="shared" si="3"/>
        <v>Tigray</v>
      </c>
      <c r="C35" s="2">
        <v>0.2</v>
      </c>
      <c r="D35" s="2">
        <v>0.2</v>
      </c>
      <c r="E35" s="2">
        <v>0.2</v>
      </c>
      <c r="F35" s="2">
        <v>0.2</v>
      </c>
      <c r="G35" s="2">
        <v>0.2</v>
      </c>
      <c r="H35" s="2">
        <v>0.2</v>
      </c>
      <c r="I35" s="2">
        <v>0.2</v>
      </c>
      <c r="J35" s="2">
        <v>0.2</v>
      </c>
      <c r="K35" s="2">
        <v>0.2</v>
      </c>
      <c r="L35" s="2">
        <v>0.2</v>
      </c>
      <c r="M35" s="2">
        <v>0.2</v>
      </c>
      <c r="N35" s="2">
        <v>0.2</v>
      </c>
      <c r="O35" s="2">
        <v>0.2</v>
      </c>
      <c r="P35" s="2">
        <v>0.2</v>
      </c>
      <c r="Q35" s="2">
        <v>0.2</v>
      </c>
      <c r="R35" s="2">
        <v>0.2</v>
      </c>
      <c r="S35" s="2">
        <v>0.2</v>
      </c>
      <c r="T35" s="2">
        <v>0.2</v>
      </c>
      <c r="U35" s="2">
        <v>0.2</v>
      </c>
      <c r="V35" s="2">
        <v>0.2</v>
      </c>
      <c r="W35" s="2">
        <v>0.2</v>
      </c>
      <c r="X35" s="2">
        <v>0.2</v>
      </c>
      <c r="Y35" s="2">
        <v>0.2</v>
      </c>
      <c r="Z35" s="2">
        <v>0.2</v>
      </c>
      <c r="AA35" s="2">
        <v>0.2</v>
      </c>
      <c r="AB35" s="2">
        <v>0.2</v>
      </c>
      <c r="AC35" s="2">
        <v>0.2</v>
      </c>
      <c r="AD35" s="2">
        <v>0.2</v>
      </c>
      <c r="AE35" s="2">
        <v>0.2</v>
      </c>
      <c r="AF35" s="2">
        <v>0.2</v>
      </c>
      <c r="AG35" s="2">
        <v>0.2</v>
      </c>
      <c r="AH35" s="2">
        <v>0.2</v>
      </c>
    </row>
    <row r="36" spans="1:34">
      <c r="A36" t="str">
        <f t="shared" si="2"/>
        <v>Lentils</v>
      </c>
      <c r="B36" t="str">
        <f t="shared" si="3"/>
        <v>AddisAbaba</v>
      </c>
      <c r="C36" s="2">
        <v>0.2</v>
      </c>
      <c r="D36" s="2">
        <v>0.2</v>
      </c>
      <c r="E36" s="2">
        <v>0.2</v>
      </c>
      <c r="F36" s="2">
        <v>0.2</v>
      </c>
      <c r="G36" s="2">
        <v>0.2</v>
      </c>
      <c r="H36" s="2">
        <v>0.2</v>
      </c>
      <c r="I36" s="2">
        <v>0.2</v>
      </c>
      <c r="J36" s="2">
        <v>0.2</v>
      </c>
      <c r="K36" s="2">
        <v>0.2</v>
      </c>
      <c r="L36" s="2">
        <v>0.2</v>
      </c>
      <c r="M36" s="2">
        <v>0.2</v>
      </c>
      <c r="N36" s="2">
        <v>0.2</v>
      </c>
      <c r="O36" s="2">
        <v>0.2</v>
      </c>
      <c r="P36" s="2">
        <v>0.2</v>
      </c>
      <c r="Q36" s="2">
        <v>0.2</v>
      </c>
      <c r="R36" s="2">
        <v>0.2</v>
      </c>
      <c r="S36" s="2">
        <v>0.2</v>
      </c>
      <c r="T36" s="2">
        <v>0.2</v>
      </c>
      <c r="U36" s="2">
        <v>0.2</v>
      </c>
      <c r="V36" s="2">
        <v>0.2</v>
      </c>
      <c r="W36" s="2">
        <v>0.2</v>
      </c>
      <c r="X36" s="2">
        <v>0.2</v>
      </c>
      <c r="Y36" s="2">
        <v>0.2</v>
      </c>
      <c r="Z36" s="2">
        <v>0.2</v>
      </c>
      <c r="AA36" s="2">
        <v>0.2</v>
      </c>
      <c r="AB36" s="2">
        <v>0.2</v>
      </c>
      <c r="AC36" s="2">
        <v>0.2</v>
      </c>
      <c r="AD36" s="2">
        <v>0.2</v>
      </c>
      <c r="AE36" s="2">
        <v>0.2</v>
      </c>
      <c r="AF36" s="2">
        <v>0.2</v>
      </c>
      <c r="AG36" s="2">
        <v>0.2</v>
      </c>
      <c r="AH36" s="2">
        <v>0.2</v>
      </c>
    </row>
    <row r="37" spans="1:34">
      <c r="A37" t="str">
        <f t="shared" si="2"/>
        <v>Lentils</v>
      </c>
      <c r="B37" t="str">
        <f t="shared" si="3"/>
        <v>Afar</v>
      </c>
      <c r="C37" s="2">
        <v>0.2</v>
      </c>
      <c r="D37" s="2">
        <v>0.2</v>
      </c>
      <c r="E37" s="2">
        <v>0.2</v>
      </c>
      <c r="F37" s="2">
        <v>0.2</v>
      </c>
      <c r="G37" s="2">
        <v>0.2</v>
      </c>
      <c r="H37" s="2">
        <v>0.2</v>
      </c>
      <c r="I37" s="2">
        <v>0.2</v>
      </c>
      <c r="J37" s="2">
        <v>0.2</v>
      </c>
      <c r="K37" s="2">
        <v>0.2</v>
      </c>
      <c r="L37" s="2">
        <v>0.2</v>
      </c>
      <c r="M37" s="2">
        <v>0.2</v>
      </c>
      <c r="N37" s="2">
        <v>0.2</v>
      </c>
      <c r="O37" s="2">
        <v>0.2</v>
      </c>
      <c r="P37" s="2">
        <v>0.2</v>
      </c>
      <c r="Q37" s="2">
        <v>0.2</v>
      </c>
      <c r="R37" s="2">
        <v>0.2</v>
      </c>
      <c r="S37" s="2">
        <v>0.2</v>
      </c>
      <c r="T37" s="2">
        <v>0.2</v>
      </c>
      <c r="U37" s="2">
        <v>0.2</v>
      </c>
      <c r="V37" s="2">
        <v>0.2</v>
      </c>
      <c r="W37" s="2">
        <v>0.2</v>
      </c>
      <c r="X37" s="2">
        <v>0.2</v>
      </c>
      <c r="Y37" s="2">
        <v>0.2</v>
      </c>
      <c r="Z37" s="2">
        <v>0.2</v>
      </c>
      <c r="AA37" s="2">
        <v>0.2</v>
      </c>
      <c r="AB37" s="2">
        <v>0.2</v>
      </c>
      <c r="AC37" s="2">
        <v>0.2</v>
      </c>
      <c r="AD37" s="2">
        <v>0.2</v>
      </c>
      <c r="AE37" s="2">
        <v>0.2</v>
      </c>
      <c r="AF37" s="2">
        <v>0.2</v>
      </c>
      <c r="AG37" s="2">
        <v>0.2</v>
      </c>
      <c r="AH37" s="2">
        <v>0.2</v>
      </c>
    </row>
    <row r="38" spans="1:34">
      <c r="A38" t="str">
        <f t="shared" si="2"/>
        <v>Lentils</v>
      </c>
      <c r="B38" t="str">
        <f t="shared" si="3"/>
        <v>Amhara</v>
      </c>
      <c r="C38" s="2">
        <v>0.2</v>
      </c>
      <c r="D38" s="2">
        <v>0.2</v>
      </c>
      <c r="E38" s="2">
        <v>0.2</v>
      </c>
      <c r="F38" s="2">
        <v>0.2</v>
      </c>
      <c r="G38" s="2">
        <v>0.2</v>
      </c>
      <c r="H38" s="2">
        <v>0.2</v>
      </c>
      <c r="I38" s="2">
        <v>0.2</v>
      </c>
      <c r="J38" s="2">
        <v>0.2</v>
      </c>
      <c r="K38" s="2">
        <v>0.2</v>
      </c>
      <c r="L38" s="2">
        <v>0.2</v>
      </c>
      <c r="M38" s="2">
        <v>0.2</v>
      </c>
      <c r="N38" s="2">
        <v>0.2</v>
      </c>
      <c r="O38" s="2">
        <v>0.2</v>
      </c>
      <c r="P38" s="2">
        <v>0.2</v>
      </c>
      <c r="Q38" s="2">
        <v>0.2</v>
      </c>
      <c r="R38" s="2">
        <v>0.2</v>
      </c>
      <c r="S38" s="2">
        <v>0.2</v>
      </c>
      <c r="T38" s="2">
        <v>0.2</v>
      </c>
      <c r="U38" s="2">
        <v>0.2</v>
      </c>
      <c r="V38" s="2">
        <v>0.2</v>
      </c>
      <c r="W38" s="2">
        <v>0.2</v>
      </c>
      <c r="X38" s="2">
        <v>0.2</v>
      </c>
      <c r="Y38" s="2">
        <v>0.2</v>
      </c>
      <c r="Z38" s="2">
        <v>0.2</v>
      </c>
      <c r="AA38" s="2">
        <v>0.2</v>
      </c>
      <c r="AB38" s="2">
        <v>0.2</v>
      </c>
      <c r="AC38" s="2">
        <v>0.2</v>
      </c>
      <c r="AD38" s="2">
        <v>0.2</v>
      </c>
      <c r="AE38" s="2">
        <v>0.2</v>
      </c>
      <c r="AF38" s="2">
        <v>0.2</v>
      </c>
      <c r="AG38" s="2">
        <v>0.2</v>
      </c>
      <c r="AH38" s="2">
        <v>0.2</v>
      </c>
    </row>
    <row r="39" spans="1:34">
      <c r="A39" t="str">
        <f t="shared" si="2"/>
        <v>Lentils</v>
      </c>
      <c r="B39" t="str">
        <f t="shared" si="3"/>
        <v>Gumuz</v>
      </c>
      <c r="C39" s="2">
        <v>0.2</v>
      </c>
      <c r="D39" s="2">
        <v>0.2</v>
      </c>
      <c r="E39" s="2">
        <v>0.2</v>
      </c>
      <c r="F39" s="2">
        <v>0.2</v>
      </c>
      <c r="G39" s="2">
        <v>0.2</v>
      </c>
      <c r="H39" s="2">
        <v>0.2</v>
      </c>
      <c r="I39" s="2">
        <v>0.2</v>
      </c>
      <c r="J39" s="2">
        <v>0.2</v>
      </c>
      <c r="K39" s="2">
        <v>0.2</v>
      </c>
      <c r="L39" s="2">
        <v>0.2</v>
      </c>
      <c r="M39" s="2">
        <v>0.2</v>
      </c>
      <c r="N39" s="2">
        <v>0.2</v>
      </c>
      <c r="O39" s="2">
        <v>0.2</v>
      </c>
      <c r="P39" s="2">
        <v>0.2</v>
      </c>
      <c r="Q39" s="2">
        <v>0.2</v>
      </c>
      <c r="R39" s="2">
        <v>0.2</v>
      </c>
      <c r="S39" s="2">
        <v>0.2</v>
      </c>
      <c r="T39" s="2">
        <v>0.2</v>
      </c>
      <c r="U39" s="2">
        <v>0.2</v>
      </c>
      <c r="V39" s="2">
        <v>0.2</v>
      </c>
      <c r="W39" s="2">
        <v>0.2</v>
      </c>
      <c r="X39" s="2">
        <v>0.2</v>
      </c>
      <c r="Y39" s="2">
        <v>0.2</v>
      </c>
      <c r="Z39" s="2">
        <v>0.2</v>
      </c>
      <c r="AA39" s="2">
        <v>0.2</v>
      </c>
      <c r="AB39" s="2">
        <v>0.2</v>
      </c>
      <c r="AC39" s="2">
        <v>0.2</v>
      </c>
      <c r="AD39" s="2">
        <v>0.2</v>
      </c>
      <c r="AE39" s="2">
        <v>0.2</v>
      </c>
      <c r="AF39" s="2">
        <v>0.2</v>
      </c>
      <c r="AG39" s="2">
        <v>0.2</v>
      </c>
      <c r="AH39" s="2">
        <v>0.2</v>
      </c>
    </row>
    <row r="40" spans="1:34">
      <c r="A40" t="str">
        <f t="shared" si="2"/>
        <v>Lentils</v>
      </c>
      <c r="B40" t="str">
        <f t="shared" si="3"/>
        <v>DireDawa</v>
      </c>
      <c r="C40" s="2">
        <v>0.2</v>
      </c>
      <c r="D40" s="2">
        <v>0.2</v>
      </c>
      <c r="E40" s="2">
        <v>0.2</v>
      </c>
      <c r="F40" s="2">
        <v>0.2</v>
      </c>
      <c r="G40" s="2">
        <v>0.2</v>
      </c>
      <c r="H40" s="2">
        <v>0.2</v>
      </c>
      <c r="I40" s="2">
        <v>0.2</v>
      </c>
      <c r="J40" s="2">
        <v>0.2</v>
      </c>
      <c r="K40" s="2">
        <v>0.2</v>
      </c>
      <c r="L40" s="2">
        <v>0.2</v>
      </c>
      <c r="M40" s="2">
        <v>0.2</v>
      </c>
      <c r="N40" s="2">
        <v>0.2</v>
      </c>
      <c r="O40" s="2">
        <v>0.2</v>
      </c>
      <c r="P40" s="2">
        <v>0.2</v>
      </c>
      <c r="Q40" s="2">
        <v>0.2</v>
      </c>
      <c r="R40" s="2">
        <v>0.2</v>
      </c>
      <c r="S40" s="2">
        <v>0.2</v>
      </c>
      <c r="T40" s="2">
        <v>0.2</v>
      </c>
      <c r="U40" s="2">
        <v>0.2</v>
      </c>
      <c r="V40" s="2">
        <v>0.2</v>
      </c>
      <c r="W40" s="2">
        <v>0.2</v>
      </c>
      <c r="X40" s="2">
        <v>0.2</v>
      </c>
      <c r="Y40" s="2">
        <v>0.2</v>
      </c>
      <c r="Z40" s="2">
        <v>0.2</v>
      </c>
      <c r="AA40" s="2">
        <v>0.2</v>
      </c>
      <c r="AB40" s="2">
        <v>0.2</v>
      </c>
      <c r="AC40" s="2">
        <v>0.2</v>
      </c>
      <c r="AD40" s="2">
        <v>0.2</v>
      </c>
      <c r="AE40" s="2">
        <v>0.2</v>
      </c>
      <c r="AF40" s="2">
        <v>0.2</v>
      </c>
      <c r="AG40" s="2">
        <v>0.2</v>
      </c>
      <c r="AH40" s="2">
        <v>0.2</v>
      </c>
    </row>
    <row r="41" spans="1:34">
      <c r="A41" t="str">
        <f t="shared" si="2"/>
        <v>Lentils</v>
      </c>
      <c r="B41" t="str">
        <f t="shared" si="3"/>
        <v>Gambela</v>
      </c>
      <c r="C41" s="2">
        <v>0.2</v>
      </c>
      <c r="D41" s="2">
        <v>0.2</v>
      </c>
      <c r="E41" s="2">
        <v>0.2</v>
      </c>
      <c r="F41" s="2">
        <v>0.2</v>
      </c>
      <c r="G41" s="2">
        <v>0.2</v>
      </c>
      <c r="H41" s="2">
        <v>0.2</v>
      </c>
      <c r="I41" s="2">
        <v>0.2</v>
      </c>
      <c r="J41" s="2">
        <v>0.2</v>
      </c>
      <c r="K41" s="2">
        <v>0.2</v>
      </c>
      <c r="L41" s="2">
        <v>0.2</v>
      </c>
      <c r="M41" s="2">
        <v>0.2</v>
      </c>
      <c r="N41" s="2">
        <v>0.2</v>
      </c>
      <c r="O41" s="2">
        <v>0.2</v>
      </c>
      <c r="P41" s="2">
        <v>0.2</v>
      </c>
      <c r="Q41" s="2">
        <v>0.2</v>
      </c>
      <c r="R41" s="2">
        <v>0.2</v>
      </c>
      <c r="S41" s="2">
        <v>0.2</v>
      </c>
      <c r="T41" s="2">
        <v>0.2</v>
      </c>
      <c r="U41" s="2">
        <v>0.2</v>
      </c>
      <c r="V41" s="2">
        <v>0.2</v>
      </c>
      <c r="W41" s="2">
        <v>0.2</v>
      </c>
      <c r="X41" s="2">
        <v>0.2</v>
      </c>
      <c r="Y41" s="2">
        <v>0.2</v>
      </c>
      <c r="Z41" s="2">
        <v>0.2</v>
      </c>
      <c r="AA41" s="2">
        <v>0.2</v>
      </c>
      <c r="AB41" s="2">
        <v>0.2</v>
      </c>
      <c r="AC41" s="2">
        <v>0.2</v>
      </c>
      <c r="AD41" s="2">
        <v>0.2</v>
      </c>
      <c r="AE41" s="2">
        <v>0.2</v>
      </c>
      <c r="AF41" s="2">
        <v>0.2</v>
      </c>
      <c r="AG41" s="2">
        <v>0.2</v>
      </c>
      <c r="AH41" s="2">
        <v>0.2</v>
      </c>
    </row>
    <row r="42" spans="1:34">
      <c r="A42" t="str">
        <f t="shared" si="2"/>
        <v>Lentils</v>
      </c>
      <c r="B42" t="str">
        <f t="shared" si="3"/>
        <v>Harari</v>
      </c>
      <c r="C42" s="2">
        <v>0.2</v>
      </c>
      <c r="D42" s="2">
        <v>0.2</v>
      </c>
      <c r="E42" s="2">
        <v>0.2</v>
      </c>
      <c r="F42" s="2">
        <v>0.2</v>
      </c>
      <c r="G42" s="2">
        <v>0.2</v>
      </c>
      <c r="H42" s="2">
        <v>0.2</v>
      </c>
      <c r="I42" s="2">
        <v>0.2</v>
      </c>
      <c r="J42" s="2">
        <v>0.2</v>
      </c>
      <c r="K42" s="2">
        <v>0.2</v>
      </c>
      <c r="L42" s="2">
        <v>0.2</v>
      </c>
      <c r="M42" s="2">
        <v>0.2</v>
      </c>
      <c r="N42" s="2">
        <v>0.2</v>
      </c>
      <c r="O42" s="2">
        <v>0.2</v>
      </c>
      <c r="P42" s="2">
        <v>0.2</v>
      </c>
      <c r="Q42" s="2">
        <v>0.2</v>
      </c>
      <c r="R42" s="2">
        <v>0.2</v>
      </c>
      <c r="S42" s="2">
        <v>0.2</v>
      </c>
      <c r="T42" s="2">
        <v>0.2</v>
      </c>
      <c r="U42" s="2">
        <v>0.2</v>
      </c>
      <c r="V42" s="2">
        <v>0.2</v>
      </c>
      <c r="W42" s="2">
        <v>0.2</v>
      </c>
      <c r="X42" s="2">
        <v>0.2</v>
      </c>
      <c r="Y42" s="2">
        <v>0.2</v>
      </c>
      <c r="Z42" s="2">
        <v>0.2</v>
      </c>
      <c r="AA42" s="2">
        <v>0.2</v>
      </c>
      <c r="AB42" s="2">
        <v>0.2</v>
      </c>
      <c r="AC42" s="2">
        <v>0.2</v>
      </c>
      <c r="AD42" s="2">
        <v>0.2</v>
      </c>
      <c r="AE42" s="2">
        <v>0.2</v>
      </c>
      <c r="AF42" s="2">
        <v>0.2</v>
      </c>
      <c r="AG42" s="2">
        <v>0.2</v>
      </c>
      <c r="AH42" s="2">
        <v>0.2</v>
      </c>
    </row>
    <row r="43" spans="1:34">
      <c r="A43" t="str">
        <f t="shared" si="2"/>
        <v>Lentils</v>
      </c>
      <c r="B43" t="str">
        <f t="shared" si="3"/>
        <v>Oromia</v>
      </c>
      <c r="C43" s="2">
        <v>0.2</v>
      </c>
      <c r="D43" s="2">
        <v>0.2</v>
      </c>
      <c r="E43" s="2">
        <v>0.2</v>
      </c>
      <c r="F43" s="2">
        <v>0.2</v>
      </c>
      <c r="G43" s="2">
        <v>0.2</v>
      </c>
      <c r="H43" s="2">
        <v>0.2</v>
      </c>
      <c r="I43" s="2">
        <v>0.2</v>
      </c>
      <c r="J43" s="2">
        <v>0.2</v>
      </c>
      <c r="K43" s="2">
        <v>0.2</v>
      </c>
      <c r="L43" s="2">
        <v>0.2</v>
      </c>
      <c r="M43" s="2">
        <v>0.2</v>
      </c>
      <c r="N43" s="2">
        <v>0.2</v>
      </c>
      <c r="O43" s="2">
        <v>0.2</v>
      </c>
      <c r="P43" s="2">
        <v>0.2</v>
      </c>
      <c r="Q43" s="2">
        <v>0.2</v>
      </c>
      <c r="R43" s="2">
        <v>0.2</v>
      </c>
      <c r="S43" s="2">
        <v>0.2</v>
      </c>
      <c r="T43" s="2">
        <v>0.2</v>
      </c>
      <c r="U43" s="2">
        <v>0.2</v>
      </c>
      <c r="V43" s="2">
        <v>0.2</v>
      </c>
      <c r="W43" s="2">
        <v>0.2</v>
      </c>
      <c r="X43" s="2">
        <v>0.2</v>
      </c>
      <c r="Y43" s="2">
        <v>0.2</v>
      </c>
      <c r="Z43" s="2">
        <v>0.2</v>
      </c>
      <c r="AA43" s="2">
        <v>0.2</v>
      </c>
      <c r="AB43" s="2">
        <v>0.2</v>
      </c>
      <c r="AC43" s="2">
        <v>0.2</v>
      </c>
      <c r="AD43" s="2">
        <v>0.2</v>
      </c>
      <c r="AE43" s="2">
        <v>0.2</v>
      </c>
      <c r="AF43" s="2">
        <v>0.2</v>
      </c>
      <c r="AG43" s="2">
        <v>0.2</v>
      </c>
      <c r="AH43" s="2">
        <v>0.2</v>
      </c>
    </row>
    <row r="44" spans="1:34">
      <c r="A44" t="str">
        <f t="shared" si="2"/>
        <v>Lentils</v>
      </c>
      <c r="B44" t="str">
        <f t="shared" si="3"/>
        <v>Somali</v>
      </c>
      <c r="C44" s="2">
        <v>0.2</v>
      </c>
      <c r="D44" s="2">
        <v>0.2</v>
      </c>
      <c r="E44" s="2">
        <v>0.2</v>
      </c>
      <c r="F44" s="2">
        <v>0.2</v>
      </c>
      <c r="G44" s="2">
        <v>0.2</v>
      </c>
      <c r="H44" s="2">
        <v>0.2</v>
      </c>
      <c r="I44" s="2">
        <v>0.2</v>
      </c>
      <c r="J44" s="2">
        <v>0.2</v>
      </c>
      <c r="K44" s="2">
        <v>0.2</v>
      </c>
      <c r="L44" s="2">
        <v>0.2</v>
      </c>
      <c r="M44" s="2">
        <v>0.2</v>
      </c>
      <c r="N44" s="2">
        <v>0.2</v>
      </c>
      <c r="O44" s="2">
        <v>0.2</v>
      </c>
      <c r="P44" s="2">
        <v>0.2</v>
      </c>
      <c r="Q44" s="2">
        <v>0.2</v>
      </c>
      <c r="R44" s="2">
        <v>0.2</v>
      </c>
      <c r="S44" s="2">
        <v>0.2</v>
      </c>
      <c r="T44" s="2">
        <v>0.2</v>
      </c>
      <c r="U44" s="2">
        <v>0.2</v>
      </c>
      <c r="V44" s="2">
        <v>0.2</v>
      </c>
      <c r="W44" s="2">
        <v>0.2</v>
      </c>
      <c r="X44" s="2">
        <v>0.2</v>
      </c>
      <c r="Y44" s="2">
        <v>0.2</v>
      </c>
      <c r="Z44" s="2">
        <v>0.2</v>
      </c>
      <c r="AA44" s="2">
        <v>0.2</v>
      </c>
      <c r="AB44" s="2">
        <v>0.2</v>
      </c>
      <c r="AC44" s="2">
        <v>0.2</v>
      </c>
      <c r="AD44" s="2">
        <v>0.2</v>
      </c>
      <c r="AE44" s="2">
        <v>0.2</v>
      </c>
      <c r="AF44" s="2">
        <v>0.2</v>
      </c>
      <c r="AG44" s="2">
        <v>0.2</v>
      </c>
      <c r="AH44" s="2">
        <v>0.2</v>
      </c>
    </row>
    <row r="45" spans="1:34">
      <c r="A45" t="str">
        <f t="shared" si="2"/>
        <v>Lentils</v>
      </c>
      <c r="B45" t="str">
        <f t="shared" si="3"/>
        <v>SNNPR</v>
      </c>
      <c r="C45" s="2">
        <v>0.2</v>
      </c>
      <c r="D45" s="2">
        <v>0.2</v>
      </c>
      <c r="E45" s="2">
        <v>0.2</v>
      </c>
      <c r="F45" s="2">
        <v>0.2</v>
      </c>
      <c r="G45" s="2">
        <v>0.2</v>
      </c>
      <c r="H45" s="2">
        <v>0.2</v>
      </c>
      <c r="I45" s="2">
        <v>0.2</v>
      </c>
      <c r="J45" s="2">
        <v>0.2</v>
      </c>
      <c r="K45" s="2">
        <v>0.2</v>
      </c>
      <c r="L45" s="2">
        <v>0.2</v>
      </c>
      <c r="M45" s="2">
        <v>0.2</v>
      </c>
      <c r="N45" s="2">
        <v>0.2</v>
      </c>
      <c r="O45" s="2">
        <v>0.2</v>
      </c>
      <c r="P45" s="2">
        <v>0.2</v>
      </c>
      <c r="Q45" s="2">
        <v>0.2</v>
      </c>
      <c r="R45" s="2">
        <v>0.2</v>
      </c>
      <c r="S45" s="2">
        <v>0.2</v>
      </c>
      <c r="T45" s="2">
        <v>0.2</v>
      </c>
      <c r="U45" s="2">
        <v>0.2</v>
      </c>
      <c r="V45" s="2">
        <v>0.2</v>
      </c>
      <c r="W45" s="2">
        <v>0.2</v>
      </c>
      <c r="X45" s="2">
        <v>0.2</v>
      </c>
      <c r="Y45" s="2">
        <v>0.2</v>
      </c>
      <c r="Z45" s="2">
        <v>0.2</v>
      </c>
      <c r="AA45" s="2">
        <v>0.2</v>
      </c>
      <c r="AB45" s="2">
        <v>0.2</v>
      </c>
      <c r="AC45" s="2">
        <v>0.2</v>
      </c>
      <c r="AD45" s="2">
        <v>0.2</v>
      </c>
      <c r="AE45" s="2">
        <v>0.2</v>
      </c>
      <c r="AF45" s="2">
        <v>0.2</v>
      </c>
      <c r="AG45" s="2">
        <v>0.2</v>
      </c>
      <c r="AH45" s="2">
        <v>0.2</v>
      </c>
    </row>
    <row r="46" spans="1:34">
      <c r="A46" t="str">
        <f t="shared" ref="A46:A68" si="4">INDEX(Food,MATCH(A35,Food,0)+1)</f>
        <v>Lentils</v>
      </c>
      <c r="B46" t="str">
        <f t="shared" si="3"/>
        <v>Tigray</v>
      </c>
      <c r="C46" s="2">
        <v>0.2</v>
      </c>
      <c r="D46" s="2">
        <v>0.2</v>
      </c>
      <c r="E46" s="2">
        <v>0.2</v>
      </c>
      <c r="F46" s="2">
        <v>0.2</v>
      </c>
      <c r="G46" s="2">
        <v>0.2</v>
      </c>
      <c r="H46" s="2">
        <v>0.2</v>
      </c>
      <c r="I46" s="2">
        <v>0.2</v>
      </c>
      <c r="J46" s="2">
        <v>0.2</v>
      </c>
      <c r="K46" s="2">
        <v>0.2</v>
      </c>
      <c r="L46" s="2">
        <v>0.2</v>
      </c>
      <c r="M46" s="2">
        <v>0.2</v>
      </c>
      <c r="N46" s="2">
        <v>0.2</v>
      </c>
      <c r="O46" s="2">
        <v>0.2</v>
      </c>
      <c r="P46" s="2">
        <v>0.2</v>
      </c>
      <c r="Q46" s="2">
        <v>0.2</v>
      </c>
      <c r="R46" s="2">
        <v>0.2</v>
      </c>
      <c r="S46" s="2">
        <v>0.2</v>
      </c>
      <c r="T46" s="2">
        <v>0.2</v>
      </c>
      <c r="U46" s="2">
        <v>0.2</v>
      </c>
      <c r="V46" s="2">
        <v>0.2</v>
      </c>
      <c r="W46" s="2">
        <v>0.2</v>
      </c>
      <c r="X46" s="2">
        <v>0.2</v>
      </c>
      <c r="Y46" s="2">
        <v>0.2</v>
      </c>
      <c r="Z46" s="2">
        <v>0.2</v>
      </c>
      <c r="AA46" s="2">
        <v>0.2</v>
      </c>
      <c r="AB46" s="2">
        <v>0.2</v>
      </c>
      <c r="AC46" s="2">
        <v>0.2</v>
      </c>
      <c r="AD46" s="2">
        <v>0.2</v>
      </c>
      <c r="AE46" s="2">
        <v>0.2</v>
      </c>
      <c r="AF46" s="2">
        <v>0.2</v>
      </c>
      <c r="AG46" s="2">
        <v>0.2</v>
      </c>
      <c r="AH46" s="2">
        <v>0.2</v>
      </c>
    </row>
    <row r="47" spans="1:34">
      <c r="A47" t="str">
        <f t="shared" si="4"/>
        <v>Vegetables</v>
      </c>
      <c r="B47" t="str">
        <f t="shared" si="3"/>
        <v>AddisAbaba</v>
      </c>
      <c r="C47" s="2">
        <v>0.2</v>
      </c>
      <c r="D47" s="2">
        <v>0.2</v>
      </c>
      <c r="E47" s="2">
        <v>0.2</v>
      </c>
      <c r="F47" s="2">
        <v>0.2</v>
      </c>
      <c r="G47" s="2">
        <v>0.2</v>
      </c>
      <c r="H47" s="2">
        <v>0.2</v>
      </c>
      <c r="I47" s="2">
        <v>0.2</v>
      </c>
      <c r="J47" s="2">
        <v>0.2</v>
      </c>
      <c r="K47" s="2">
        <v>0.2</v>
      </c>
      <c r="L47" s="2">
        <v>0.2</v>
      </c>
      <c r="M47" s="2">
        <v>0.2</v>
      </c>
      <c r="N47" s="2">
        <v>0.2</v>
      </c>
      <c r="O47" s="2">
        <v>0.2</v>
      </c>
      <c r="P47" s="2">
        <v>0.2</v>
      </c>
      <c r="Q47" s="2">
        <v>0.2</v>
      </c>
      <c r="R47" s="2">
        <v>0.2</v>
      </c>
      <c r="S47" s="2">
        <v>0.2</v>
      </c>
      <c r="T47" s="2">
        <v>0.2</v>
      </c>
      <c r="U47" s="2">
        <v>0.2</v>
      </c>
      <c r="V47" s="2">
        <v>0.2</v>
      </c>
      <c r="W47" s="2">
        <v>0.2</v>
      </c>
      <c r="X47" s="2">
        <v>0.2</v>
      </c>
      <c r="Y47" s="2">
        <v>0.2</v>
      </c>
      <c r="Z47" s="2">
        <v>0.2</v>
      </c>
      <c r="AA47" s="2">
        <v>0.2</v>
      </c>
      <c r="AB47" s="2">
        <v>0.2</v>
      </c>
      <c r="AC47" s="2">
        <v>0.2</v>
      </c>
      <c r="AD47" s="2">
        <v>0.2</v>
      </c>
      <c r="AE47" s="2">
        <v>0.2</v>
      </c>
      <c r="AF47" s="2">
        <v>0.2</v>
      </c>
      <c r="AG47" s="2">
        <v>0.2</v>
      </c>
      <c r="AH47" s="2">
        <v>0.2</v>
      </c>
    </row>
    <row r="48" spans="1:34">
      <c r="A48" t="str">
        <f t="shared" si="4"/>
        <v>Vegetables</v>
      </c>
      <c r="B48" t="str">
        <f t="shared" si="3"/>
        <v>Afar</v>
      </c>
      <c r="C48" s="2">
        <v>0.2</v>
      </c>
      <c r="D48" s="2">
        <v>0.2</v>
      </c>
      <c r="E48" s="2">
        <v>0.2</v>
      </c>
      <c r="F48" s="2">
        <v>0.2</v>
      </c>
      <c r="G48" s="2">
        <v>0.2</v>
      </c>
      <c r="H48" s="2">
        <v>0.2</v>
      </c>
      <c r="I48" s="2">
        <v>0.2</v>
      </c>
      <c r="J48" s="2">
        <v>0.2</v>
      </c>
      <c r="K48" s="2">
        <v>0.2</v>
      </c>
      <c r="L48" s="2">
        <v>0.2</v>
      </c>
      <c r="M48" s="2">
        <v>0.2</v>
      </c>
      <c r="N48" s="2">
        <v>0.2</v>
      </c>
      <c r="O48" s="2">
        <v>0.2</v>
      </c>
      <c r="P48" s="2">
        <v>0.2</v>
      </c>
      <c r="Q48" s="2">
        <v>0.2</v>
      </c>
      <c r="R48" s="2">
        <v>0.2</v>
      </c>
      <c r="S48" s="2">
        <v>0.2</v>
      </c>
      <c r="T48" s="2">
        <v>0.2</v>
      </c>
      <c r="U48" s="2">
        <v>0.2</v>
      </c>
      <c r="V48" s="2">
        <v>0.2</v>
      </c>
      <c r="W48" s="2">
        <v>0.2</v>
      </c>
      <c r="X48" s="2">
        <v>0.2</v>
      </c>
      <c r="Y48" s="2">
        <v>0.2</v>
      </c>
      <c r="Z48" s="2">
        <v>0.2</v>
      </c>
      <c r="AA48" s="2">
        <v>0.2</v>
      </c>
      <c r="AB48" s="2">
        <v>0.2</v>
      </c>
      <c r="AC48" s="2">
        <v>0.2</v>
      </c>
      <c r="AD48" s="2">
        <v>0.2</v>
      </c>
      <c r="AE48" s="2">
        <v>0.2</v>
      </c>
      <c r="AF48" s="2">
        <v>0.2</v>
      </c>
      <c r="AG48" s="2">
        <v>0.2</v>
      </c>
      <c r="AH48" s="2">
        <v>0.2</v>
      </c>
    </row>
    <row r="49" spans="1:34">
      <c r="A49" t="str">
        <f t="shared" si="4"/>
        <v>Vegetables</v>
      </c>
      <c r="B49" t="str">
        <f t="shared" si="3"/>
        <v>Amhara</v>
      </c>
      <c r="C49" s="2">
        <v>0.2</v>
      </c>
      <c r="D49" s="2">
        <v>0.2</v>
      </c>
      <c r="E49" s="2">
        <v>0.2</v>
      </c>
      <c r="F49" s="2">
        <v>0.2</v>
      </c>
      <c r="G49" s="2">
        <v>0.2</v>
      </c>
      <c r="H49" s="2">
        <v>0.2</v>
      </c>
      <c r="I49" s="2">
        <v>0.2</v>
      </c>
      <c r="J49" s="2">
        <v>0.2</v>
      </c>
      <c r="K49" s="2">
        <v>0.2</v>
      </c>
      <c r="L49" s="2">
        <v>0.2</v>
      </c>
      <c r="M49" s="2">
        <v>0.2</v>
      </c>
      <c r="N49" s="2">
        <v>0.2</v>
      </c>
      <c r="O49" s="2">
        <v>0.2</v>
      </c>
      <c r="P49" s="2">
        <v>0.2</v>
      </c>
      <c r="Q49" s="2">
        <v>0.2</v>
      </c>
      <c r="R49" s="2">
        <v>0.2</v>
      </c>
      <c r="S49" s="2">
        <v>0.2</v>
      </c>
      <c r="T49" s="2">
        <v>0.2</v>
      </c>
      <c r="U49" s="2">
        <v>0.2</v>
      </c>
      <c r="V49" s="2">
        <v>0.2</v>
      </c>
      <c r="W49" s="2">
        <v>0.2</v>
      </c>
      <c r="X49" s="2">
        <v>0.2</v>
      </c>
      <c r="Y49" s="2">
        <v>0.2</v>
      </c>
      <c r="Z49" s="2">
        <v>0.2</v>
      </c>
      <c r="AA49" s="2">
        <v>0.2</v>
      </c>
      <c r="AB49" s="2">
        <v>0.2</v>
      </c>
      <c r="AC49" s="2">
        <v>0.2</v>
      </c>
      <c r="AD49" s="2">
        <v>0.2</v>
      </c>
      <c r="AE49" s="2">
        <v>0.2</v>
      </c>
      <c r="AF49" s="2">
        <v>0.2</v>
      </c>
      <c r="AG49" s="2">
        <v>0.2</v>
      </c>
      <c r="AH49" s="2">
        <v>0.2</v>
      </c>
    </row>
    <row r="50" spans="1:34">
      <c r="A50" t="str">
        <f t="shared" si="4"/>
        <v>Vegetables</v>
      </c>
      <c r="B50" t="str">
        <f t="shared" si="3"/>
        <v>Gumuz</v>
      </c>
      <c r="C50" s="2">
        <v>0.2</v>
      </c>
      <c r="D50" s="2">
        <v>0.2</v>
      </c>
      <c r="E50" s="2">
        <v>0.2</v>
      </c>
      <c r="F50" s="2">
        <v>0.2</v>
      </c>
      <c r="G50" s="2">
        <v>0.2</v>
      </c>
      <c r="H50" s="2">
        <v>0.2</v>
      </c>
      <c r="I50" s="2">
        <v>0.2</v>
      </c>
      <c r="J50" s="2">
        <v>0.2</v>
      </c>
      <c r="K50" s="2">
        <v>0.2</v>
      </c>
      <c r="L50" s="2">
        <v>0.2</v>
      </c>
      <c r="M50" s="2">
        <v>0.2</v>
      </c>
      <c r="N50" s="2">
        <v>0.2</v>
      </c>
      <c r="O50" s="2">
        <v>0.2</v>
      </c>
      <c r="P50" s="2">
        <v>0.2</v>
      </c>
      <c r="Q50" s="2">
        <v>0.2</v>
      </c>
      <c r="R50" s="2">
        <v>0.2</v>
      </c>
      <c r="S50" s="2">
        <v>0.2</v>
      </c>
      <c r="T50" s="2">
        <v>0.2</v>
      </c>
      <c r="U50" s="2">
        <v>0.2</v>
      </c>
      <c r="V50" s="2">
        <v>0.2</v>
      </c>
      <c r="W50" s="2">
        <v>0.2</v>
      </c>
      <c r="X50" s="2">
        <v>0.2</v>
      </c>
      <c r="Y50" s="2">
        <v>0.2</v>
      </c>
      <c r="Z50" s="2">
        <v>0.2</v>
      </c>
      <c r="AA50" s="2">
        <v>0.2</v>
      </c>
      <c r="AB50" s="2">
        <v>0.2</v>
      </c>
      <c r="AC50" s="2">
        <v>0.2</v>
      </c>
      <c r="AD50" s="2">
        <v>0.2</v>
      </c>
      <c r="AE50" s="2">
        <v>0.2</v>
      </c>
      <c r="AF50" s="2">
        <v>0.2</v>
      </c>
      <c r="AG50" s="2">
        <v>0.2</v>
      </c>
      <c r="AH50" s="2">
        <v>0.2</v>
      </c>
    </row>
    <row r="51" spans="1:34">
      <c r="A51" t="str">
        <f t="shared" si="4"/>
        <v>Vegetables</v>
      </c>
      <c r="B51" t="str">
        <f t="shared" si="3"/>
        <v>DireDawa</v>
      </c>
      <c r="C51" s="2">
        <v>0.2</v>
      </c>
      <c r="D51" s="2">
        <v>0.2</v>
      </c>
      <c r="E51" s="2">
        <v>0.2</v>
      </c>
      <c r="F51" s="2">
        <v>0.2</v>
      </c>
      <c r="G51" s="2">
        <v>0.2</v>
      </c>
      <c r="H51" s="2">
        <v>0.2</v>
      </c>
      <c r="I51" s="2">
        <v>0.2</v>
      </c>
      <c r="J51" s="2">
        <v>0.2</v>
      </c>
      <c r="K51" s="2">
        <v>0.2</v>
      </c>
      <c r="L51" s="2">
        <v>0.2</v>
      </c>
      <c r="M51" s="2">
        <v>0.2</v>
      </c>
      <c r="N51" s="2">
        <v>0.2</v>
      </c>
      <c r="O51" s="2">
        <v>0.2</v>
      </c>
      <c r="P51" s="2">
        <v>0.2</v>
      </c>
      <c r="Q51" s="2">
        <v>0.2</v>
      </c>
      <c r="R51" s="2">
        <v>0.2</v>
      </c>
      <c r="S51" s="2">
        <v>0.2</v>
      </c>
      <c r="T51" s="2">
        <v>0.2</v>
      </c>
      <c r="U51" s="2">
        <v>0.2</v>
      </c>
      <c r="V51" s="2">
        <v>0.2</v>
      </c>
      <c r="W51" s="2">
        <v>0.2</v>
      </c>
      <c r="X51" s="2">
        <v>0.2</v>
      </c>
      <c r="Y51" s="2">
        <v>0.2</v>
      </c>
      <c r="Z51" s="2">
        <v>0.2</v>
      </c>
      <c r="AA51" s="2">
        <v>0.2</v>
      </c>
      <c r="AB51" s="2">
        <v>0.2</v>
      </c>
      <c r="AC51" s="2">
        <v>0.2</v>
      </c>
      <c r="AD51" s="2">
        <v>0.2</v>
      </c>
      <c r="AE51" s="2">
        <v>0.2</v>
      </c>
      <c r="AF51" s="2">
        <v>0.2</v>
      </c>
      <c r="AG51" s="2">
        <v>0.2</v>
      </c>
      <c r="AH51" s="2">
        <v>0.2</v>
      </c>
    </row>
    <row r="52" spans="1:34">
      <c r="A52" t="str">
        <f t="shared" si="4"/>
        <v>Vegetables</v>
      </c>
      <c r="B52" t="str">
        <f t="shared" si="3"/>
        <v>Gambela</v>
      </c>
      <c r="C52" s="2">
        <v>0.2</v>
      </c>
      <c r="D52" s="2">
        <v>0.2</v>
      </c>
      <c r="E52" s="2">
        <v>0.2</v>
      </c>
      <c r="F52" s="2">
        <v>0.2</v>
      </c>
      <c r="G52" s="2">
        <v>0.2</v>
      </c>
      <c r="H52" s="2">
        <v>0.2</v>
      </c>
      <c r="I52" s="2">
        <v>0.2</v>
      </c>
      <c r="J52" s="2">
        <v>0.2</v>
      </c>
      <c r="K52" s="2">
        <v>0.2</v>
      </c>
      <c r="L52" s="2">
        <v>0.2</v>
      </c>
      <c r="M52" s="2">
        <v>0.2</v>
      </c>
      <c r="N52" s="2">
        <v>0.2</v>
      </c>
      <c r="O52" s="2">
        <v>0.2</v>
      </c>
      <c r="P52" s="2">
        <v>0.2</v>
      </c>
      <c r="Q52" s="2">
        <v>0.2</v>
      </c>
      <c r="R52" s="2">
        <v>0.2</v>
      </c>
      <c r="S52" s="2">
        <v>0.2</v>
      </c>
      <c r="T52" s="2">
        <v>0.2</v>
      </c>
      <c r="U52" s="2">
        <v>0.2</v>
      </c>
      <c r="V52" s="2">
        <v>0.2</v>
      </c>
      <c r="W52" s="2">
        <v>0.2</v>
      </c>
      <c r="X52" s="2">
        <v>0.2</v>
      </c>
      <c r="Y52" s="2">
        <v>0.2</v>
      </c>
      <c r="Z52" s="2">
        <v>0.2</v>
      </c>
      <c r="AA52" s="2">
        <v>0.2</v>
      </c>
      <c r="AB52" s="2">
        <v>0.2</v>
      </c>
      <c r="AC52" s="2">
        <v>0.2</v>
      </c>
      <c r="AD52" s="2">
        <v>0.2</v>
      </c>
      <c r="AE52" s="2">
        <v>0.2</v>
      </c>
      <c r="AF52" s="2">
        <v>0.2</v>
      </c>
      <c r="AG52" s="2">
        <v>0.2</v>
      </c>
      <c r="AH52" s="2">
        <v>0.2</v>
      </c>
    </row>
    <row r="53" spans="1:34">
      <c r="A53" t="str">
        <f t="shared" si="4"/>
        <v>Vegetables</v>
      </c>
      <c r="B53" t="str">
        <f t="shared" si="3"/>
        <v>Harari</v>
      </c>
      <c r="C53" s="2">
        <v>0.2</v>
      </c>
      <c r="D53" s="2">
        <v>0.2</v>
      </c>
      <c r="E53" s="2">
        <v>0.2</v>
      </c>
      <c r="F53" s="2">
        <v>0.2</v>
      </c>
      <c r="G53" s="2">
        <v>0.2</v>
      </c>
      <c r="H53" s="2">
        <v>0.2</v>
      </c>
      <c r="I53" s="2">
        <v>0.2</v>
      </c>
      <c r="J53" s="2">
        <v>0.2</v>
      </c>
      <c r="K53" s="2">
        <v>0.2</v>
      </c>
      <c r="L53" s="2">
        <v>0.2</v>
      </c>
      <c r="M53" s="2">
        <v>0.2</v>
      </c>
      <c r="N53" s="2">
        <v>0.2</v>
      </c>
      <c r="O53" s="2">
        <v>0.2</v>
      </c>
      <c r="P53" s="2">
        <v>0.2</v>
      </c>
      <c r="Q53" s="2">
        <v>0.2</v>
      </c>
      <c r="R53" s="2">
        <v>0.2</v>
      </c>
      <c r="S53" s="2">
        <v>0.2</v>
      </c>
      <c r="T53" s="2">
        <v>0.2</v>
      </c>
      <c r="U53" s="2">
        <v>0.2</v>
      </c>
      <c r="V53" s="2">
        <v>0.2</v>
      </c>
      <c r="W53" s="2">
        <v>0.2</v>
      </c>
      <c r="X53" s="2">
        <v>0.2</v>
      </c>
      <c r="Y53" s="2">
        <v>0.2</v>
      </c>
      <c r="Z53" s="2">
        <v>0.2</v>
      </c>
      <c r="AA53" s="2">
        <v>0.2</v>
      </c>
      <c r="AB53" s="2">
        <v>0.2</v>
      </c>
      <c r="AC53" s="2">
        <v>0.2</v>
      </c>
      <c r="AD53" s="2">
        <v>0.2</v>
      </c>
      <c r="AE53" s="2">
        <v>0.2</v>
      </c>
      <c r="AF53" s="2">
        <v>0.2</v>
      </c>
      <c r="AG53" s="2">
        <v>0.2</v>
      </c>
      <c r="AH53" s="2">
        <v>0.2</v>
      </c>
    </row>
    <row r="54" spans="1:34">
      <c r="A54" t="str">
        <f t="shared" si="4"/>
        <v>Vegetables</v>
      </c>
      <c r="B54" t="str">
        <f t="shared" si="3"/>
        <v>Oromia</v>
      </c>
      <c r="C54" s="2">
        <v>0.2</v>
      </c>
      <c r="D54" s="2">
        <v>0.2</v>
      </c>
      <c r="E54" s="2">
        <v>0.2</v>
      </c>
      <c r="F54" s="2">
        <v>0.2</v>
      </c>
      <c r="G54" s="2">
        <v>0.2</v>
      </c>
      <c r="H54" s="2">
        <v>0.2</v>
      </c>
      <c r="I54" s="2">
        <v>0.2</v>
      </c>
      <c r="J54" s="2">
        <v>0.2</v>
      </c>
      <c r="K54" s="2">
        <v>0.2</v>
      </c>
      <c r="L54" s="2">
        <v>0.2</v>
      </c>
      <c r="M54" s="2">
        <v>0.2</v>
      </c>
      <c r="N54" s="2">
        <v>0.2</v>
      </c>
      <c r="O54" s="2">
        <v>0.2</v>
      </c>
      <c r="P54" s="2">
        <v>0.2</v>
      </c>
      <c r="Q54" s="2">
        <v>0.2</v>
      </c>
      <c r="R54" s="2">
        <v>0.2</v>
      </c>
      <c r="S54" s="2">
        <v>0.2</v>
      </c>
      <c r="T54" s="2">
        <v>0.2</v>
      </c>
      <c r="U54" s="2">
        <v>0.2</v>
      </c>
      <c r="V54" s="2">
        <v>0.2</v>
      </c>
      <c r="W54" s="2">
        <v>0.2</v>
      </c>
      <c r="X54" s="2">
        <v>0.2</v>
      </c>
      <c r="Y54" s="2">
        <v>0.2</v>
      </c>
      <c r="Z54" s="2">
        <v>0.2</v>
      </c>
      <c r="AA54" s="2">
        <v>0.2</v>
      </c>
      <c r="AB54" s="2">
        <v>0.2</v>
      </c>
      <c r="AC54" s="2">
        <v>0.2</v>
      </c>
      <c r="AD54" s="2">
        <v>0.2</v>
      </c>
      <c r="AE54" s="2">
        <v>0.2</v>
      </c>
      <c r="AF54" s="2">
        <v>0.2</v>
      </c>
      <c r="AG54" s="2">
        <v>0.2</v>
      </c>
      <c r="AH54" s="2">
        <v>0.2</v>
      </c>
    </row>
    <row r="55" spans="1:34">
      <c r="A55" t="str">
        <f t="shared" si="4"/>
        <v>Vegetables</v>
      </c>
      <c r="B55" t="str">
        <f t="shared" si="3"/>
        <v>Somali</v>
      </c>
      <c r="C55" s="2">
        <v>0.2</v>
      </c>
      <c r="D55" s="2">
        <v>0.2</v>
      </c>
      <c r="E55" s="2">
        <v>0.2</v>
      </c>
      <c r="F55" s="2">
        <v>0.2</v>
      </c>
      <c r="G55" s="2">
        <v>0.2</v>
      </c>
      <c r="H55" s="2">
        <v>0.2</v>
      </c>
      <c r="I55" s="2">
        <v>0.2</v>
      </c>
      <c r="J55" s="2">
        <v>0.2</v>
      </c>
      <c r="K55" s="2">
        <v>0.2</v>
      </c>
      <c r="L55" s="2">
        <v>0.2</v>
      </c>
      <c r="M55" s="2">
        <v>0.2</v>
      </c>
      <c r="N55" s="2">
        <v>0.2</v>
      </c>
      <c r="O55" s="2">
        <v>0.2</v>
      </c>
      <c r="P55" s="2">
        <v>0.2</v>
      </c>
      <c r="Q55" s="2">
        <v>0.2</v>
      </c>
      <c r="R55" s="2">
        <v>0.2</v>
      </c>
      <c r="S55" s="2">
        <v>0.2</v>
      </c>
      <c r="T55" s="2">
        <v>0.2</v>
      </c>
      <c r="U55" s="2">
        <v>0.2</v>
      </c>
      <c r="V55" s="2">
        <v>0.2</v>
      </c>
      <c r="W55" s="2">
        <v>0.2</v>
      </c>
      <c r="X55" s="2">
        <v>0.2</v>
      </c>
      <c r="Y55" s="2">
        <v>0.2</v>
      </c>
      <c r="Z55" s="2">
        <v>0.2</v>
      </c>
      <c r="AA55" s="2">
        <v>0.2</v>
      </c>
      <c r="AB55" s="2">
        <v>0.2</v>
      </c>
      <c r="AC55" s="2">
        <v>0.2</v>
      </c>
      <c r="AD55" s="2">
        <v>0.2</v>
      </c>
      <c r="AE55" s="2">
        <v>0.2</v>
      </c>
      <c r="AF55" s="2">
        <v>0.2</v>
      </c>
      <c r="AG55" s="2">
        <v>0.2</v>
      </c>
      <c r="AH55" s="2">
        <v>0.2</v>
      </c>
    </row>
    <row r="56" spans="1:34">
      <c r="A56" t="str">
        <f t="shared" si="4"/>
        <v>Vegetables</v>
      </c>
      <c r="B56" t="str">
        <f t="shared" si="3"/>
        <v>SNNPR</v>
      </c>
      <c r="C56" s="2">
        <v>0.2</v>
      </c>
      <c r="D56" s="2">
        <v>0.2</v>
      </c>
      <c r="E56" s="2">
        <v>0.2</v>
      </c>
      <c r="F56" s="2">
        <v>0.2</v>
      </c>
      <c r="G56" s="2">
        <v>0.2</v>
      </c>
      <c r="H56" s="2">
        <v>0.2</v>
      </c>
      <c r="I56" s="2">
        <v>0.2</v>
      </c>
      <c r="J56" s="2">
        <v>0.2</v>
      </c>
      <c r="K56" s="2">
        <v>0.2</v>
      </c>
      <c r="L56" s="2">
        <v>0.2</v>
      </c>
      <c r="M56" s="2">
        <v>0.2</v>
      </c>
      <c r="N56" s="2">
        <v>0.2</v>
      </c>
      <c r="O56" s="2">
        <v>0.2</v>
      </c>
      <c r="P56" s="2">
        <v>0.2</v>
      </c>
      <c r="Q56" s="2">
        <v>0.2</v>
      </c>
      <c r="R56" s="2">
        <v>0.2</v>
      </c>
      <c r="S56" s="2">
        <v>0.2</v>
      </c>
      <c r="T56" s="2">
        <v>0.2</v>
      </c>
      <c r="U56" s="2">
        <v>0.2</v>
      </c>
      <c r="V56" s="2">
        <v>0.2</v>
      </c>
      <c r="W56" s="2">
        <v>0.2</v>
      </c>
      <c r="X56" s="2">
        <v>0.2</v>
      </c>
      <c r="Y56" s="2">
        <v>0.2</v>
      </c>
      <c r="Z56" s="2">
        <v>0.2</v>
      </c>
      <c r="AA56" s="2">
        <v>0.2</v>
      </c>
      <c r="AB56" s="2">
        <v>0.2</v>
      </c>
      <c r="AC56" s="2">
        <v>0.2</v>
      </c>
      <c r="AD56" s="2">
        <v>0.2</v>
      </c>
      <c r="AE56" s="2">
        <v>0.2</v>
      </c>
      <c r="AF56" s="2">
        <v>0.2</v>
      </c>
      <c r="AG56" s="2">
        <v>0.2</v>
      </c>
      <c r="AH56" s="2">
        <v>0.2</v>
      </c>
    </row>
    <row r="57" spans="1:34">
      <c r="A57" t="str">
        <f t="shared" si="4"/>
        <v>Vegetables</v>
      </c>
      <c r="B57" t="str">
        <f t="shared" si="3"/>
        <v>Tigray</v>
      </c>
      <c r="C57" s="2">
        <v>0.2</v>
      </c>
      <c r="D57" s="2">
        <v>0.2</v>
      </c>
      <c r="E57" s="2">
        <v>0.2</v>
      </c>
      <c r="F57" s="2">
        <v>0.2</v>
      </c>
      <c r="G57" s="2">
        <v>0.2</v>
      </c>
      <c r="H57" s="2">
        <v>0.2</v>
      </c>
      <c r="I57" s="2">
        <v>0.2</v>
      </c>
      <c r="J57" s="2">
        <v>0.2</v>
      </c>
      <c r="K57" s="2">
        <v>0.2</v>
      </c>
      <c r="L57" s="2">
        <v>0.2</v>
      </c>
      <c r="M57" s="2">
        <v>0.2</v>
      </c>
      <c r="N57" s="2">
        <v>0.2</v>
      </c>
      <c r="O57" s="2">
        <v>0.2</v>
      </c>
      <c r="P57" s="2">
        <v>0.2</v>
      </c>
      <c r="Q57" s="2">
        <v>0.2</v>
      </c>
      <c r="R57" s="2">
        <v>0.2</v>
      </c>
      <c r="S57" s="2">
        <v>0.2</v>
      </c>
      <c r="T57" s="2">
        <v>0.2</v>
      </c>
      <c r="U57" s="2">
        <v>0.2</v>
      </c>
      <c r="V57" s="2">
        <v>0.2</v>
      </c>
      <c r="W57" s="2">
        <v>0.2</v>
      </c>
      <c r="X57" s="2">
        <v>0.2</v>
      </c>
      <c r="Y57" s="2">
        <v>0.2</v>
      </c>
      <c r="Z57" s="2">
        <v>0.2</v>
      </c>
      <c r="AA57" s="2">
        <v>0.2</v>
      </c>
      <c r="AB57" s="2">
        <v>0.2</v>
      </c>
      <c r="AC57" s="2">
        <v>0.2</v>
      </c>
      <c r="AD57" s="2">
        <v>0.2</v>
      </c>
      <c r="AE57" s="2">
        <v>0.2</v>
      </c>
      <c r="AF57" s="2">
        <v>0.2</v>
      </c>
      <c r="AG57" s="2">
        <v>0.2</v>
      </c>
      <c r="AH57" s="2">
        <v>0.2</v>
      </c>
    </row>
    <row r="58" spans="1:34">
      <c r="A58" t="str">
        <f t="shared" si="4"/>
        <v>Coffee</v>
      </c>
      <c r="B58" t="str">
        <f t="shared" si="3"/>
        <v>AddisAbaba</v>
      </c>
      <c r="C58" s="2">
        <v>0.2</v>
      </c>
      <c r="D58" s="2">
        <v>0.2</v>
      </c>
      <c r="E58" s="2">
        <v>0.2</v>
      </c>
      <c r="F58" s="2">
        <v>0.2</v>
      </c>
      <c r="G58" s="2">
        <v>0.2</v>
      </c>
      <c r="H58" s="2">
        <v>0.2</v>
      </c>
      <c r="I58" s="2">
        <v>0.2</v>
      </c>
      <c r="J58" s="2">
        <v>0.2</v>
      </c>
      <c r="K58" s="2">
        <v>0.2</v>
      </c>
      <c r="L58" s="2">
        <v>0.2</v>
      </c>
      <c r="M58" s="2">
        <v>0.2</v>
      </c>
      <c r="N58" s="2">
        <v>0.2</v>
      </c>
      <c r="O58" s="2">
        <v>0.2</v>
      </c>
      <c r="P58" s="2">
        <v>0.2</v>
      </c>
      <c r="Q58" s="2">
        <v>0.2</v>
      </c>
      <c r="R58" s="2">
        <v>0.2</v>
      </c>
      <c r="S58" s="2">
        <v>0.2</v>
      </c>
      <c r="T58" s="2">
        <v>0.2</v>
      </c>
      <c r="U58" s="2">
        <v>0.2</v>
      </c>
      <c r="V58" s="2">
        <v>0.2</v>
      </c>
      <c r="W58" s="2">
        <v>0.2</v>
      </c>
      <c r="X58" s="2">
        <v>0.2</v>
      </c>
      <c r="Y58" s="2">
        <v>0.2</v>
      </c>
      <c r="Z58" s="2">
        <v>0.2</v>
      </c>
      <c r="AA58" s="2">
        <v>0.2</v>
      </c>
      <c r="AB58" s="2">
        <v>0.2</v>
      </c>
      <c r="AC58" s="2">
        <v>0.2</v>
      </c>
      <c r="AD58" s="2">
        <v>0.2</v>
      </c>
      <c r="AE58" s="2">
        <v>0.2</v>
      </c>
      <c r="AF58" s="2">
        <v>0.2</v>
      </c>
      <c r="AG58" s="2">
        <v>0.2</v>
      </c>
      <c r="AH58" s="2">
        <v>0.2</v>
      </c>
    </row>
    <row r="59" spans="1:34">
      <c r="A59" t="str">
        <f t="shared" si="4"/>
        <v>Coffee</v>
      </c>
      <c r="B59" t="str">
        <f t="shared" si="3"/>
        <v>Afar</v>
      </c>
      <c r="C59" s="2">
        <v>0.2</v>
      </c>
      <c r="D59" s="2">
        <v>0.2</v>
      </c>
      <c r="E59" s="2">
        <v>0.2</v>
      </c>
      <c r="F59" s="2">
        <v>0.2</v>
      </c>
      <c r="G59" s="2">
        <v>0.2</v>
      </c>
      <c r="H59" s="2">
        <v>0.2</v>
      </c>
      <c r="I59" s="2">
        <v>0.2</v>
      </c>
      <c r="J59" s="2">
        <v>0.2</v>
      </c>
      <c r="K59" s="2">
        <v>0.2</v>
      </c>
      <c r="L59" s="2">
        <v>0.2</v>
      </c>
      <c r="M59" s="2">
        <v>0.2</v>
      </c>
      <c r="N59" s="2">
        <v>0.2</v>
      </c>
      <c r="O59" s="2">
        <v>0.2</v>
      </c>
      <c r="P59" s="2">
        <v>0.2</v>
      </c>
      <c r="Q59" s="2">
        <v>0.2</v>
      </c>
      <c r="R59" s="2">
        <v>0.2</v>
      </c>
      <c r="S59" s="2">
        <v>0.2</v>
      </c>
      <c r="T59" s="2">
        <v>0.2</v>
      </c>
      <c r="U59" s="2">
        <v>0.2</v>
      </c>
      <c r="V59" s="2">
        <v>0.2</v>
      </c>
      <c r="W59" s="2">
        <v>0.2</v>
      </c>
      <c r="X59" s="2">
        <v>0.2</v>
      </c>
      <c r="Y59" s="2">
        <v>0.2</v>
      </c>
      <c r="Z59" s="2">
        <v>0.2</v>
      </c>
      <c r="AA59" s="2">
        <v>0.2</v>
      </c>
      <c r="AB59" s="2">
        <v>0.2</v>
      </c>
      <c r="AC59" s="2">
        <v>0.2</v>
      </c>
      <c r="AD59" s="2">
        <v>0.2</v>
      </c>
      <c r="AE59" s="2">
        <v>0.2</v>
      </c>
      <c r="AF59" s="2">
        <v>0.2</v>
      </c>
      <c r="AG59" s="2">
        <v>0.2</v>
      </c>
      <c r="AH59" s="2">
        <v>0.2</v>
      </c>
    </row>
    <row r="60" spans="1:34">
      <c r="A60" t="str">
        <f t="shared" si="4"/>
        <v>Coffee</v>
      </c>
      <c r="B60" t="str">
        <f t="shared" si="3"/>
        <v>Amhara</v>
      </c>
      <c r="C60" s="2">
        <v>0.2</v>
      </c>
      <c r="D60" s="2">
        <v>0.2</v>
      </c>
      <c r="E60" s="2">
        <v>0.2</v>
      </c>
      <c r="F60" s="2">
        <v>0.2</v>
      </c>
      <c r="G60" s="2">
        <v>0.2</v>
      </c>
      <c r="H60" s="2">
        <v>0.2</v>
      </c>
      <c r="I60" s="2">
        <v>0.2</v>
      </c>
      <c r="J60" s="2">
        <v>0.2</v>
      </c>
      <c r="K60" s="2">
        <v>0.2</v>
      </c>
      <c r="L60" s="2">
        <v>0.2</v>
      </c>
      <c r="M60" s="2">
        <v>0.2</v>
      </c>
      <c r="N60" s="2">
        <v>0.2</v>
      </c>
      <c r="O60" s="2">
        <v>0.2</v>
      </c>
      <c r="P60" s="2">
        <v>0.2</v>
      </c>
      <c r="Q60" s="2">
        <v>0.2</v>
      </c>
      <c r="R60" s="2">
        <v>0.2</v>
      </c>
      <c r="S60" s="2">
        <v>0.2</v>
      </c>
      <c r="T60" s="2">
        <v>0.2</v>
      </c>
      <c r="U60" s="2">
        <v>0.2</v>
      </c>
      <c r="V60" s="2">
        <v>0.2</v>
      </c>
      <c r="W60" s="2">
        <v>0.2</v>
      </c>
      <c r="X60" s="2">
        <v>0.2</v>
      </c>
      <c r="Y60" s="2">
        <v>0.2</v>
      </c>
      <c r="Z60" s="2">
        <v>0.2</v>
      </c>
      <c r="AA60" s="2">
        <v>0.2</v>
      </c>
      <c r="AB60" s="2">
        <v>0.2</v>
      </c>
      <c r="AC60" s="2">
        <v>0.2</v>
      </c>
      <c r="AD60" s="2">
        <v>0.2</v>
      </c>
      <c r="AE60" s="2">
        <v>0.2</v>
      </c>
      <c r="AF60" s="2">
        <v>0.2</v>
      </c>
      <c r="AG60" s="2">
        <v>0.2</v>
      </c>
      <c r="AH60" s="2">
        <v>0.2</v>
      </c>
    </row>
    <row r="61" spans="1:34">
      <c r="A61" t="str">
        <f t="shared" si="4"/>
        <v>Coffee</v>
      </c>
      <c r="B61" t="str">
        <f t="shared" si="3"/>
        <v>Gumuz</v>
      </c>
      <c r="C61" s="2">
        <v>0.2</v>
      </c>
      <c r="D61" s="2">
        <v>0.2</v>
      </c>
      <c r="E61" s="2">
        <v>0.2</v>
      </c>
      <c r="F61" s="2">
        <v>0.2</v>
      </c>
      <c r="G61" s="2">
        <v>0.2</v>
      </c>
      <c r="H61" s="2">
        <v>0.2</v>
      </c>
      <c r="I61" s="2">
        <v>0.2</v>
      </c>
      <c r="J61" s="2">
        <v>0.2</v>
      </c>
      <c r="K61" s="2">
        <v>0.2</v>
      </c>
      <c r="L61" s="2">
        <v>0.2</v>
      </c>
      <c r="M61" s="2">
        <v>0.2</v>
      </c>
      <c r="N61" s="2">
        <v>0.2</v>
      </c>
      <c r="O61" s="2">
        <v>0.2</v>
      </c>
      <c r="P61" s="2">
        <v>0.2</v>
      </c>
      <c r="Q61" s="2">
        <v>0.2</v>
      </c>
      <c r="R61" s="2">
        <v>0.2</v>
      </c>
      <c r="S61" s="2">
        <v>0.2</v>
      </c>
      <c r="T61" s="2">
        <v>0.2</v>
      </c>
      <c r="U61" s="2">
        <v>0.2</v>
      </c>
      <c r="V61" s="2">
        <v>0.2</v>
      </c>
      <c r="W61" s="2">
        <v>0.2</v>
      </c>
      <c r="X61" s="2">
        <v>0.2</v>
      </c>
      <c r="Y61" s="2">
        <v>0.2</v>
      </c>
      <c r="Z61" s="2">
        <v>0.2</v>
      </c>
      <c r="AA61" s="2">
        <v>0.2</v>
      </c>
      <c r="AB61" s="2">
        <v>0.2</v>
      </c>
      <c r="AC61" s="2">
        <v>0.2</v>
      </c>
      <c r="AD61" s="2">
        <v>0.2</v>
      </c>
      <c r="AE61" s="2">
        <v>0.2</v>
      </c>
      <c r="AF61" s="2">
        <v>0.2</v>
      </c>
      <c r="AG61" s="2">
        <v>0.2</v>
      </c>
      <c r="AH61" s="2">
        <v>0.2</v>
      </c>
    </row>
    <row r="62" spans="1:34">
      <c r="A62" t="str">
        <f t="shared" si="4"/>
        <v>Coffee</v>
      </c>
      <c r="B62" t="str">
        <f t="shared" si="3"/>
        <v>DireDawa</v>
      </c>
      <c r="C62" s="2">
        <v>0.2</v>
      </c>
      <c r="D62" s="2">
        <v>0.2</v>
      </c>
      <c r="E62" s="2">
        <v>0.2</v>
      </c>
      <c r="F62" s="2">
        <v>0.2</v>
      </c>
      <c r="G62" s="2">
        <v>0.2</v>
      </c>
      <c r="H62" s="2">
        <v>0.2</v>
      </c>
      <c r="I62" s="2">
        <v>0.2</v>
      </c>
      <c r="J62" s="2">
        <v>0.2</v>
      </c>
      <c r="K62" s="2">
        <v>0.2</v>
      </c>
      <c r="L62" s="2">
        <v>0.2</v>
      </c>
      <c r="M62" s="2">
        <v>0.2</v>
      </c>
      <c r="N62" s="2">
        <v>0.2</v>
      </c>
      <c r="O62" s="2">
        <v>0.2</v>
      </c>
      <c r="P62" s="2">
        <v>0.2</v>
      </c>
      <c r="Q62" s="2">
        <v>0.2</v>
      </c>
      <c r="R62" s="2">
        <v>0.2</v>
      </c>
      <c r="S62" s="2">
        <v>0.2</v>
      </c>
      <c r="T62" s="2">
        <v>0.2</v>
      </c>
      <c r="U62" s="2">
        <v>0.2</v>
      </c>
      <c r="V62" s="2">
        <v>0.2</v>
      </c>
      <c r="W62" s="2">
        <v>0.2</v>
      </c>
      <c r="X62" s="2">
        <v>0.2</v>
      </c>
      <c r="Y62" s="2">
        <v>0.2</v>
      </c>
      <c r="Z62" s="2">
        <v>0.2</v>
      </c>
      <c r="AA62" s="2">
        <v>0.2</v>
      </c>
      <c r="AB62" s="2">
        <v>0.2</v>
      </c>
      <c r="AC62" s="2">
        <v>0.2</v>
      </c>
      <c r="AD62" s="2">
        <v>0.2</v>
      </c>
      <c r="AE62" s="2">
        <v>0.2</v>
      </c>
      <c r="AF62" s="2">
        <v>0.2</v>
      </c>
      <c r="AG62" s="2">
        <v>0.2</v>
      </c>
      <c r="AH62" s="2">
        <v>0.2</v>
      </c>
    </row>
    <row r="63" spans="1:34">
      <c r="A63" t="str">
        <f t="shared" si="4"/>
        <v>Coffee</v>
      </c>
      <c r="B63" t="str">
        <f t="shared" si="3"/>
        <v>Gambela</v>
      </c>
      <c r="C63" s="2">
        <v>0.2</v>
      </c>
      <c r="D63" s="2">
        <v>0.2</v>
      </c>
      <c r="E63" s="2">
        <v>0.2</v>
      </c>
      <c r="F63" s="2">
        <v>0.2</v>
      </c>
      <c r="G63" s="2">
        <v>0.2</v>
      </c>
      <c r="H63" s="2">
        <v>0.2</v>
      </c>
      <c r="I63" s="2">
        <v>0.2</v>
      </c>
      <c r="J63" s="2">
        <v>0.2</v>
      </c>
      <c r="K63" s="2">
        <v>0.2</v>
      </c>
      <c r="L63" s="2">
        <v>0.2</v>
      </c>
      <c r="M63" s="2">
        <v>0.2</v>
      </c>
      <c r="N63" s="2">
        <v>0.2</v>
      </c>
      <c r="O63" s="2">
        <v>0.2</v>
      </c>
      <c r="P63" s="2">
        <v>0.2</v>
      </c>
      <c r="Q63" s="2">
        <v>0.2</v>
      </c>
      <c r="R63" s="2">
        <v>0.2</v>
      </c>
      <c r="S63" s="2">
        <v>0.2</v>
      </c>
      <c r="T63" s="2">
        <v>0.2</v>
      </c>
      <c r="U63" s="2">
        <v>0.2</v>
      </c>
      <c r="V63" s="2">
        <v>0.2</v>
      </c>
      <c r="W63" s="2">
        <v>0.2</v>
      </c>
      <c r="X63" s="2">
        <v>0.2</v>
      </c>
      <c r="Y63" s="2">
        <v>0.2</v>
      </c>
      <c r="Z63" s="2">
        <v>0.2</v>
      </c>
      <c r="AA63" s="2">
        <v>0.2</v>
      </c>
      <c r="AB63" s="2">
        <v>0.2</v>
      </c>
      <c r="AC63" s="2">
        <v>0.2</v>
      </c>
      <c r="AD63" s="2">
        <v>0.2</v>
      </c>
      <c r="AE63" s="2">
        <v>0.2</v>
      </c>
      <c r="AF63" s="2">
        <v>0.2</v>
      </c>
      <c r="AG63" s="2">
        <v>0.2</v>
      </c>
      <c r="AH63" s="2">
        <v>0.2</v>
      </c>
    </row>
    <row r="64" spans="1:34">
      <c r="A64" t="str">
        <f t="shared" si="4"/>
        <v>Coffee</v>
      </c>
      <c r="B64" t="str">
        <f t="shared" si="3"/>
        <v>Harari</v>
      </c>
      <c r="C64" s="2">
        <v>0.2</v>
      </c>
      <c r="D64" s="2">
        <v>0.2</v>
      </c>
      <c r="E64" s="2">
        <v>0.2</v>
      </c>
      <c r="F64" s="2">
        <v>0.2</v>
      </c>
      <c r="G64" s="2">
        <v>0.2</v>
      </c>
      <c r="H64" s="2">
        <v>0.2</v>
      </c>
      <c r="I64" s="2">
        <v>0.2</v>
      </c>
      <c r="J64" s="2">
        <v>0.2</v>
      </c>
      <c r="K64" s="2">
        <v>0.2</v>
      </c>
      <c r="L64" s="2">
        <v>0.2</v>
      </c>
      <c r="M64" s="2">
        <v>0.2</v>
      </c>
      <c r="N64" s="2">
        <v>0.2</v>
      </c>
      <c r="O64" s="2">
        <v>0.2</v>
      </c>
      <c r="P64" s="2">
        <v>0.2</v>
      </c>
      <c r="Q64" s="2">
        <v>0.2</v>
      </c>
      <c r="R64" s="2">
        <v>0.2</v>
      </c>
      <c r="S64" s="2">
        <v>0.2</v>
      </c>
      <c r="T64" s="2">
        <v>0.2</v>
      </c>
      <c r="U64" s="2">
        <v>0.2</v>
      </c>
      <c r="V64" s="2">
        <v>0.2</v>
      </c>
      <c r="W64" s="2">
        <v>0.2</v>
      </c>
      <c r="X64" s="2">
        <v>0.2</v>
      </c>
      <c r="Y64" s="2">
        <v>0.2</v>
      </c>
      <c r="Z64" s="2">
        <v>0.2</v>
      </c>
      <c r="AA64" s="2">
        <v>0.2</v>
      </c>
      <c r="AB64" s="2">
        <v>0.2</v>
      </c>
      <c r="AC64" s="2">
        <v>0.2</v>
      </c>
      <c r="AD64" s="2">
        <v>0.2</v>
      </c>
      <c r="AE64" s="2">
        <v>0.2</v>
      </c>
      <c r="AF64" s="2">
        <v>0.2</v>
      </c>
      <c r="AG64" s="2">
        <v>0.2</v>
      </c>
      <c r="AH64" s="2">
        <v>0.2</v>
      </c>
    </row>
    <row r="65" spans="1:34">
      <c r="A65" t="str">
        <f t="shared" si="4"/>
        <v>Coffee</v>
      </c>
      <c r="B65" t="str">
        <f t="shared" si="3"/>
        <v>Oromia</v>
      </c>
      <c r="C65" s="2">
        <v>0.2</v>
      </c>
      <c r="D65" s="2">
        <v>0.2</v>
      </c>
      <c r="E65" s="2">
        <v>0.2</v>
      </c>
      <c r="F65" s="2">
        <v>0.2</v>
      </c>
      <c r="G65" s="2">
        <v>0.2</v>
      </c>
      <c r="H65" s="2">
        <v>0.2</v>
      </c>
      <c r="I65" s="2">
        <v>0.2</v>
      </c>
      <c r="J65" s="2">
        <v>0.2</v>
      </c>
      <c r="K65" s="2">
        <v>0.2</v>
      </c>
      <c r="L65" s="2">
        <v>0.2</v>
      </c>
      <c r="M65" s="2">
        <v>0.2</v>
      </c>
      <c r="N65" s="2">
        <v>0.2</v>
      </c>
      <c r="O65" s="2">
        <v>0.2</v>
      </c>
      <c r="P65" s="2">
        <v>0.2</v>
      </c>
      <c r="Q65" s="2">
        <v>0.2</v>
      </c>
      <c r="R65" s="2">
        <v>0.2</v>
      </c>
      <c r="S65" s="2">
        <v>0.2</v>
      </c>
      <c r="T65" s="2">
        <v>0.2</v>
      </c>
      <c r="U65" s="2">
        <v>0.2</v>
      </c>
      <c r="V65" s="2">
        <v>0.2</v>
      </c>
      <c r="W65" s="2">
        <v>0.2</v>
      </c>
      <c r="X65" s="2">
        <v>0.2</v>
      </c>
      <c r="Y65" s="2">
        <v>0.2</v>
      </c>
      <c r="Z65" s="2">
        <v>0.2</v>
      </c>
      <c r="AA65" s="2">
        <v>0.2</v>
      </c>
      <c r="AB65" s="2">
        <v>0.2</v>
      </c>
      <c r="AC65" s="2">
        <v>0.2</v>
      </c>
      <c r="AD65" s="2">
        <v>0.2</v>
      </c>
      <c r="AE65" s="2">
        <v>0.2</v>
      </c>
      <c r="AF65" s="2">
        <v>0.2</v>
      </c>
      <c r="AG65" s="2">
        <v>0.2</v>
      </c>
      <c r="AH65" s="2">
        <v>0.2</v>
      </c>
    </row>
    <row r="66" spans="1:34">
      <c r="A66" t="str">
        <f t="shared" si="4"/>
        <v>Coffee</v>
      </c>
      <c r="B66" t="str">
        <f t="shared" si="3"/>
        <v>Somali</v>
      </c>
      <c r="C66" s="2">
        <v>0.2</v>
      </c>
      <c r="D66" s="2">
        <v>0.2</v>
      </c>
      <c r="E66" s="2">
        <v>0.2</v>
      </c>
      <c r="F66" s="2">
        <v>0.2</v>
      </c>
      <c r="G66" s="2">
        <v>0.2</v>
      </c>
      <c r="H66" s="2">
        <v>0.2</v>
      </c>
      <c r="I66" s="2">
        <v>0.2</v>
      </c>
      <c r="J66" s="2">
        <v>0.2</v>
      </c>
      <c r="K66" s="2">
        <v>0.2</v>
      </c>
      <c r="L66" s="2">
        <v>0.2</v>
      </c>
      <c r="M66" s="2">
        <v>0.2</v>
      </c>
      <c r="N66" s="2">
        <v>0.2</v>
      </c>
      <c r="O66" s="2">
        <v>0.2</v>
      </c>
      <c r="P66" s="2">
        <v>0.2</v>
      </c>
      <c r="Q66" s="2">
        <v>0.2</v>
      </c>
      <c r="R66" s="2">
        <v>0.2</v>
      </c>
      <c r="S66" s="2">
        <v>0.2</v>
      </c>
      <c r="T66" s="2">
        <v>0.2</v>
      </c>
      <c r="U66" s="2">
        <v>0.2</v>
      </c>
      <c r="V66" s="2">
        <v>0.2</v>
      </c>
      <c r="W66" s="2">
        <v>0.2</v>
      </c>
      <c r="X66" s="2">
        <v>0.2</v>
      </c>
      <c r="Y66" s="2">
        <v>0.2</v>
      </c>
      <c r="Z66" s="2">
        <v>0.2</v>
      </c>
      <c r="AA66" s="2">
        <v>0.2</v>
      </c>
      <c r="AB66" s="2">
        <v>0.2</v>
      </c>
      <c r="AC66" s="2">
        <v>0.2</v>
      </c>
      <c r="AD66" s="2">
        <v>0.2</v>
      </c>
      <c r="AE66" s="2">
        <v>0.2</v>
      </c>
      <c r="AF66" s="2">
        <v>0.2</v>
      </c>
      <c r="AG66" s="2">
        <v>0.2</v>
      </c>
      <c r="AH66" s="2">
        <v>0.2</v>
      </c>
    </row>
    <row r="67" spans="1:34">
      <c r="A67" t="str">
        <f t="shared" si="4"/>
        <v>Coffee</v>
      </c>
      <c r="B67" t="str">
        <f t="shared" si="3"/>
        <v>SNNPR</v>
      </c>
      <c r="C67" s="2">
        <v>0.2</v>
      </c>
      <c r="D67" s="2">
        <v>0.2</v>
      </c>
      <c r="E67" s="2">
        <v>0.2</v>
      </c>
      <c r="F67" s="2">
        <v>0.2</v>
      </c>
      <c r="G67" s="2">
        <v>0.2</v>
      </c>
      <c r="H67" s="2">
        <v>0.2</v>
      </c>
      <c r="I67" s="2">
        <v>0.2</v>
      </c>
      <c r="J67" s="2">
        <v>0.2</v>
      </c>
      <c r="K67" s="2">
        <v>0.2</v>
      </c>
      <c r="L67" s="2">
        <v>0.2</v>
      </c>
      <c r="M67" s="2">
        <v>0.2</v>
      </c>
      <c r="N67" s="2">
        <v>0.2</v>
      </c>
      <c r="O67" s="2">
        <v>0.2</v>
      </c>
      <c r="P67" s="2">
        <v>0.2</v>
      </c>
      <c r="Q67" s="2">
        <v>0.2</v>
      </c>
      <c r="R67" s="2">
        <v>0.2</v>
      </c>
      <c r="S67" s="2">
        <v>0.2</v>
      </c>
      <c r="T67" s="2">
        <v>0.2</v>
      </c>
      <c r="U67" s="2">
        <v>0.2</v>
      </c>
      <c r="V67" s="2">
        <v>0.2</v>
      </c>
      <c r="W67" s="2">
        <v>0.2</v>
      </c>
      <c r="X67" s="2">
        <v>0.2</v>
      </c>
      <c r="Y67" s="2">
        <v>0.2</v>
      </c>
      <c r="Z67" s="2">
        <v>0.2</v>
      </c>
      <c r="AA67" s="2">
        <v>0.2</v>
      </c>
      <c r="AB67" s="2">
        <v>0.2</v>
      </c>
      <c r="AC67" s="2">
        <v>0.2</v>
      </c>
      <c r="AD67" s="2">
        <v>0.2</v>
      </c>
      <c r="AE67" s="2">
        <v>0.2</v>
      </c>
      <c r="AF67" s="2">
        <v>0.2</v>
      </c>
      <c r="AG67" s="2">
        <v>0.2</v>
      </c>
      <c r="AH67" s="2">
        <v>0.2</v>
      </c>
    </row>
    <row r="68" spans="1:34">
      <c r="A68" t="str">
        <f t="shared" si="4"/>
        <v>Coffee</v>
      </c>
      <c r="B68" t="str">
        <f t="shared" si="3"/>
        <v>Tigray</v>
      </c>
      <c r="C68" s="2">
        <v>0.2</v>
      </c>
      <c r="D68" s="2">
        <v>0.2</v>
      </c>
      <c r="E68" s="2">
        <v>0.2</v>
      </c>
      <c r="F68" s="2">
        <v>0.2</v>
      </c>
      <c r="G68" s="2">
        <v>0.2</v>
      </c>
      <c r="H68" s="2">
        <v>0.2</v>
      </c>
      <c r="I68" s="2">
        <v>0.2</v>
      </c>
      <c r="J68" s="2">
        <v>0.2</v>
      </c>
      <c r="K68" s="2">
        <v>0.2</v>
      </c>
      <c r="L68" s="2">
        <v>0.2</v>
      </c>
      <c r="M68" s="2">
        <v>0.2</v>
      </c>
      <c r="N68" s="2">
        <v>0.2</v>
      </c>
      <c r="O68" s="2">
        <v>0.2</v>
      </c>
      <c r="P68" s="2">
        <v>0.2</v>
      </c>
      <c r="Q68" s="2">
        <v>0.2</v>
      </c>
      <c r="R68" s="2">
        <v>0.2</v>
      </c>
      <c r="S68" s="2">
        <v>0.2</v>
      </c>
      <c r="T68" s="2">
        <v>0.2</v>
      </c>
      <c r="U68" s="2">
        <v>0.2</v>
      </c>
      <c r="V68" s="2">
        <v>0.2</v>
      </c>
      <c r="W68" s="2">
        <v>0.2</v>
      </c>
      <c r="X68" s="2">
        <v>0.2</v>
      </c>
      <c r="Y68" s="2">
        <v>0.2</v>
      </c>
      <c r="Z68" s="2">
        <v>0.2</v>
      </c>
      <c r="AA68" s="2">
        <v>0.2</v>
      </c>
      <c r="AB68" s="2">
        <v>0.2</v>
      </c>
      <c r="AC68" s="2">
        <v>0.2</v>
      </c>
      <c r="AD68" s="2">
        <v>0.2</v>
      </c>
      <c r="AE68" s="2">
        <v>0.2</v>
      </c>
      <c r="AF68" s="2">
        <v>0.2</v>
      </c>
      <c r="AG68" s="2">
        <v>0.2</v>
      </c>
      <c r="AH68" s="2">
        <v>0.2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68"/>
  <sheetViews>
    <sheetView zoomScale="85" zoomScaleNormal="85" workbookViewId="0"/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(RAND()*0.1+0.2)*100</f>
        <v>22.51248611014756</v>
      </c>
      <c r="D3" s="2">
        <f t="shared" ref="D3:AH11" ca="1" si="2">(RAND()*0.1+0.2)*100</f>
        <v>25.027663930832617</v>
      </c>
      <c r="E3" s="2">
        <f t="shared" ca="1" si="2"/>
        <v>24.079085890161103</v>
      </c>
      <c r="F3" s="2">
        <f t="shared" ca="1" si="2"/>
        <v>20.798134657523601</v>
      </c>
      <c r="G3" s="2">
        <f t="shared" ca="1" si="2"/>
        <v>28.952745533161089</v>
      </c>
      <c r="H3" s="2">
        <f t="shared" ca="1" si="2"/>
        <v>28.049606414554539</v>
      </c>
      <c r="I3" s="2">
        <f t="shared" ca="1" si="2"/>
        <v>27.881091086729192</v>
      </c>
      <c r="J3" s="2">
        <f t="shared" ca="1" si="2"/>
        <v>26.398511898667117</v>
      </c>
      <c r="K3" s="2">
        <f t="shared" ca="1" si="2"/>
        <v>29.845699416277021</v>
      </c>
      <c r="L3" s="2">
        <f t="shared" ca="1" si="2"/>
        <v>23.45986604150243</v>
      </c>
      <c r="M3" s="2">
        <f t="shared" ca="1" si="2"/>
        <v>29.339467884222408</v>
      </c>
      <c r="N3" s="2">
        <f t="shared" ca="1" si="2"/>
        <v>22.326969370725237</v>
      </c>
      <c r="O3" s="2">
        <f t="shared" ca="1" si="2"/>
        <v>24.203417508498013</v>
      </c>
      <c r="P3" s="2">
        <f t="shared" ca="1" si="2"/>
        <v>20.433490458860859</v>
      </c>
      <c r="Q3" s="2">
        <f t="shared" ca="1" si="2"/>
        <v>20.536021340976262</v>
      </c>
      <c r="R3" s="2">
        <f t="shared" ca="1" si="2"/>
        <v>28.673668973721771</v>
      </c>
      <c r="S3" s="2">
        <f t="shared" ca="1" si="2"/>
        <v>25.827958911282504</v>
      </c>
      <c r="T3" s="2">
        <f t="shared" ca="1" si="2"/>
        <v>27.135457349957115</v>
      </c>
      <c r="U3" s="2">
        <f t="shared" ca="1" si="2"/>
        <v>25.294712094132894</v>
      </c>
      <c r="V3" s="2">
        <f t="shared" ca="1" si="2"/>
        <v>21.513277941447196</v>
      </c>
      <c r="W3" s="2">
        <f t="shared" ca="1" si="2"/>
        <v>23.739350726565689</v>
      </c>
      <c r="X3" s="2">
        <f t="shared" ca="1" si="2"/>
        <v>29.068650668499291</v>
      </c>
      <c r="Y3" s="2">
        <f t="shared" ca="1" si="2"/>
        <v>21.1770061484665</v>
      </c>
      <c r="Z3" s="2">
        <f t="shared" ca="1" si="2"/>
        <v>21.001456917111184</v>
      </c>
      <c r="AA3" s="2">
        <f t="shared" ca="1" si="2"/>
        <v>26.060168623302015</v>
      </c>
      <c r="AB3" s="2">
        <f t="shared" ca="1" si="2"/>
        <v>24.39020056655497</v>
      </c>
      <c r="AC3" s="2">
        <f t="shared" ca="1" si="2"/>
        <v>28.968757114989842</v>
      </c>
      <c r="AD3" s="2">
        <f t="shared" ca="1" si="2"/>
        <v>21.385900097335711</v>
      </c>
      <c r="AE3" s="2">
        <f t="shared" ca="1" si="2"/>
        <v>22.799548180078908</v>
      </c>
      <c r="AF3" s="2">
        <f t="shared" ca="1" si="2"/>
        <v>25.292355346800743</v>
      </c>
      <c r="AG3" s="2">
        <f t="shared" ca="1" si="2"/>
        <v>27.93378541671035</v>
      </c>
      <c r="AH3" s="2">
        <f t="shared" ca="1" si="2"/>
        <v>23.374718583280025</v>
      </c>
    </row>
    <row r="4" spans="1:34">
      <c r="A4" t="str">
        <f>sets!$H$3</f>
        <v>Teff</v>
      </c>
      <c r="B4" t="str">
        <v>Afar</v>
      </c>
      <c r="C4" s="2">
        <f t="shared" ref="C4:R27" ca="1" si="3">(RAND()*0.1+0.2)*100</f>
        <v>22.484863261909361</v>
      </c>
      <c r="D4" s="2">
        <f t="shared" ca="1" si="2"/>
        <v>25.116888064772958</v>
      </c>
      <c r="E4" s="2">
        <f t="shared" ca="1" si="2"/>
        <v>27.78639810016087</v>
      </c>
      <c r="F4" s="2">
        <f t="shared" ca="1" si="2"/>
        <v>21.990163122925811</v>
      </c>
      <c r="G4" s="2">
        <f t="shared" ca="1" si="2"/>
        <v>26.41721465940871</v>
      </c>
      <c r="H4" s="2">
        <f t="shared" ca="1" si="2"/>
        <v>29.868876488320943</v>
      </c>
      <c r="I4" s="2">
        <f t="shared" ca="1" si="2"/>
        <v>21.035859412174034</v>
      </c>
      <c r="J4" s="2">
        <f t="shared" ca="1" si="2"/>
        <v>22.092082814893448</v>
      </c>
      <c r="K4" s="2">
        <f t="shared" ca="1" si="2"/>
        <v>26.379679261799392</v>
      </c>
      <c r="L4" s="2">
        <f t="shared" ca="1" si="2"/>
        <v>21.922679870394035</v>
      </c>
      <c r="M4" s="2">
        <f t="shared" ca="1" si="2"/>
        <v>29.802106786376992</v>
      </c>
      <c r="N4" s="2">
        <f t="shared" ca="1" si="2"/>
        <v>25.149738028776042</v>
      </c>
      <c r="O4" s="2">
        <f t="shared" ca="1" si="2"/>
        <v>29.905237805984065</v>
      </c>
      <c r="P4" s="2">
        <f t="shared" ca="1" si="2"/>
        <v>27.701773203046493</v>
      </c>
      <c r="Q4" s="2">
        <f t="shared" ca="1" si="2"/>
        <v>21.673550203543172</v>
      </c>
      <c r="R4" s="2">
        <f t="shared" ca="1" si="2"/>
        <v>26.548371492952771</v>
      </c>
      <c r="S4" s="2">
        <f t="shared" ca="1" si="2"/>
        <v>20.597649140734575</v>
      </c>
      <c r="T4" s="2">
        <f t="shared" ca="1" si="2"/>
        <v>29.29489838872103</v>
      </c>
      <c r="U4" s="2">
        <f t="shared" ca="1" si="2"/>
        <v>22.366431575809539</v>
      </c>
      <c r="V4" s="2">
        <f t="shared" ca="1" si="2"/>
        <v>21.177544985053036</v>
      </c>
      <c r="W4" s="2">
        <f t="shared" ca="1" si="2"/>
        <v>22.263879601273221</v>
      </c>
      <c r="X4" s="2">
        <f t="shared" ca="1" si="2"/>
        <v>20.194720912764659</v>
      </c>
      <c r="Y4" s="2">
        <f t="shared" ca="1" si="2"/>
        <v>21.315793168229948</v>
      </c>
      <c r="Z4" s="2">
        <f t="shared" ca="1" si="2"/>
        <v>25.715245314808122</v>
      </c>
      <c r="AA4" s="2">
        <f t="shared" ca="1" si="2"/>
        <v>21.296655402444063</v>
      </c>
      <c r="AB4" s="2">
        <f t="shared" ca="1" si="2"/>
        <v>28.363757458814241</v>
      </c>
      <c r="AC4" s="2">
        <f t="shared" ca="1" si="2"/>
        <v>26.45805098798774</v>
      </c>
      <c r="AD4" s="2">
        <f t="shared" ca="1" si="2"/>
        <v>27.628516213910189</v>
      </c>
      <c r="AE4" s="2">
        <f t="shared" ca="1" si="2"/>
        <v>21.077753703782154</v>
      </c>
      <c r="AF4" s="2">
        <f t="shared" ca="1" si="2"/>
        <v>29.181787640063312</v>
      </c>
      <c r="AG4" s="2">
        <f t="shared" ca="1" si="2"/>
        <v>20.421694707370712</v>
      </c>
      <c r="AH4" s="2">
        <f t="shared" ca="1" si="2"/>
        <v>28.453721946503034</v>
      </c>
    </row>
    <row r="5" spans="1:34">
      <c r="A5" t="str">
        <f>sets!$H$3</f>
        <v>Teff</v>
      </c>
      <c r="B5" t="str">
        <v>Amhara</v>
      </c>
      <c r="C5" s="2">
        <f t="shared" ca="1" si="3"/>
        <v>26.588308766017516</v>
      </c>
      <c r="D5" s="2">
        <f t="shared" ca="1" si="2"/>
        <v>29.996737089009173</v>
      </c>
      <c r="E5" s="2">
        <f t="shared" ca="1" si="2"/>
        <v>29.219854493593722</v>
      </c>
      <c r="F5" s="2">
        <f t="shared" ca="1" si="2"/>
        <v>23.698109519685296</v>
      </c>
      <c r="G5" s="2">
        <f t="shared" ca="1" si="2"/>
        <v>20.18871132253264</v>
      </c>
      <c r="H5" s="2">
        <f t="shared" ca="1" si="2"/>
        <v>22.339096226546271</v>
      </c>
      <c r="I5" s="2">
        <f t="shared" ca="1" si="2"/>
        <v>24.596378097711423</v>
      </c>
      <c r="J5" s="2">
        <f t="shared" ca="1" si="2"/>
        <v>24.645111106314399</v>
      </c>
      <c r="K5" s="2">
        <f t="shared" ca="1" si="2"/>
        <v>24.393579489261345</v>
      </c>
      <c r="L5" s="2">
        <f t="shared" ca="1" si="2"/>
        <v>29.81085887017565</v>
      </c>
      <c r="M5" s="2">
        <f t="shared" ca="1" si="2"/>
        <v>21.680510876764043</v>
      </c>
      <c r="N5" s="2">
        <f t="shared" ca="1" si="2"/>
        <v>29.126695550111155</v>
      </c>
      <c r="O5" s="2">
        <f t="shared" ca="1" si="2"/>
        <v>27.0594287421441</v>
      </c>
      <c r="P5" s="2">
        <f t="shared" ca="1" si="2"/>
        <v>22.312856516535415</v>
      </c>
      <c r="Q5" s="2">
        <f t="shared" ca="1" si="2"/>
        <v>23.152001653229814</v>
      </c>
      <c r="R5" s="2">
        <f t="shared" ca="1" si="2"/>
        <v>25.563660415205447</v>
      </c>
      <c r="S5" s="2">
        <f t="shared" ca="1" si="2"/>
        <v>26.78875296582579</v>
      </c>
      <c r="T5" s="2">
        <f t="shared" ca="1" si="2"/>
        <v>22.181483733516817</v>
      </c>
      <c r="U5" s="2">
        <f t="shared" ca="1" si="2"/>
        <v>29.634558914507856</v>
      </c>
      <c r="V5" s="2">
        <f t="shared" ca="1" si="2"/>
        <v>27.891853538727794</v>
      </c>
      <c r="W5" s="2">
        <f t="shared" ca="1" si="2"/>
        <v>28.180863701866311</v>
      </c>
      <c r="X5" s="2">
        <f t="shared" ca="1" si="2"/>
        <v>20.125345105246723</v>
      </c>
      <c r="Y5" s="2">
        <f t="shared" ca="1" si="2"/>
        <v>20.839737076363608</v>
      </c>
      <c r="Z5" s="2">
        <f t="shared" ca="1" si="2"/>
        <v>26.266703119428115</v>
      </c>
      <c r="AA5" s="2">
        <f t="shared" ca="1" si="2"/>
        <v>24.498867420666183</v>
      </c>
      <c r="AB5" s="2">
        <f t="shared" ca="1" si="2"/>
        <v>27.093157276883616</v>
      </c>
      <c r="AC5" s="2">
        <f t="shared" ca="1" si="2"/>
        <v>21.772270974686418</v>
      </c>
      <c r="AD5" s="2">
        <f t="shared" ca="1" si="2"/>
        <v>25.996886193561146</v>
      </c>
      <c r="AE5" s="2">
        <f t="shared" ca="1" si="2"/>
        <v>29.270987524687897</v>
      </c>
      <c r="AF5" s="2">
        <f t="shared" ca="1" si="2"/>
        <v>26.65631416653429</v>
      </c>
      <c r="AG5" s="2">
        <f t="shared" ca="1" si="2"/>
        <v>23.449259290690673</v>
      </c>
      <c r="AH5" s="2">
        <f t="shared" ca="1" si="2"/>
        <v>28.043078553343843</v>
      </c>
    </row>
    <row r="6" spans="1:34">
      <c r="A6" t="str">
        <f>sets!$H$3</f>
        <v>Teff</v>
      </c>
      <c r="B6" t="str">
        <v>Gumuz</v>
      </c>
      <c r="C6" s="2">
        <f t="shared" ca="1" si="3"/>
        <v>27.462941068898388</v>
      </c>
      <c r="D6" s="2">
        <f t="shared" ca="1" si="2"/>
        <v>28.67503188162252</v>
      </c>
      <c r="E6" s="2">
        <f t="shared" ca="1" si="2"/>
        <v>29.386463967357805</v>
      </c>
      <c r="F6" s="2">
        <f t="shared" ca="1" si="2"/>
        <v>23.340448508135076</v>
      </c>
      <c r="G6" s="2">
        <f t="shared" ca="1" si="2"/>
        <v>29.379604870704938</v>
      </c>
      <c r="H6" s="2">
        <f t="shared" ca="1" si="2"/>
        <v>20.667795596290336</v>
      </c>
      <c r="I6" s="2">
        <f t="shared" ca="1" si="2"/>
        <v>24.182505749665129</v>
      </c>
      <c r="J6" s="2">
        <f t="shared" ca="1" si="2"/>
        <v>25.719765654703895</v>
      </c>
      <c r="K6" s="2">
        <f t="shared" ca="1" si="2"/>
        <v>22.44916040151476</v>
      </c>
      <c r="L6" s="2">
        <f t="shared" ca="1" si="2"/>
        <v>23.724975157258051</v>
      </c>
      <c r="M6" s="2">
        <f t="shared" ca="1" si="2"/>
        <v>28.880195208884857</v>
      </c>
      <c r="N6" s="2">
        <f t="shared" ca="1" si="2"/>
        <v>21.949283531381191</v>
      </c>
      <c r="O6" s="2">
        <f t="shared" ca="1" si="2"/>
        <v>21.664774437357092</v>
      </c>
      <c r="P6" s="2">
        <f t="shared" ca="1" si="2"/>
        <v>29.555101496588659</v>
      </c>
      <c r="Q6" s="2">
        <f t="shared" ca="1" si="2"/>
        <v>20.761634681942386</v>
      </c>
      <c r="R6" s="2">
        <f t="shared" ca="1" si="2"/>
        <v>21.421166277345812</v>
      </c>
      <c r="S6" s="2">
        <f t="shared" ca="1" si="2"/>
        <v>22.569104143019004</v>
      </c>
      <c r="T6" s="2">
        <f t="shared" ca="1" si="2"/>
        <v>28.969413838199248</v>
      </c>
      <c r="U6" s="2">
        <f t="shared" ca="1" si="2"/>
        <v>21.311357099247953</v>
      </c>
      <c r="V6" s="2">
        <f t="shared" ca="1" si="2"/>
        <v>25.738509751510225</v>
      </c>
      <c r="W6" s="2">
        <f t="shared" ca="1" si="2"/>
        <v>25.415330890822464</v>
      </c>
      <c r="X6" s="2">
        <f t="shared" ca="1" si="2"/>
        <v>27.169238109657158</v>
      </c>
      <c r="Y6" s="2">
        <f t="shared" ca="1" si="2"/>
        <v>24.601507326720313</v>
      </c>
      <c r="Z6" s="2">
        <f t="shared" ca="1" si="2"/>
        <v>20.173039949666247</v>
      </c>
      <c r="AA6" s="2">
        <f t="shared" ca="1" si="2"/>
        <v>21.284899910477574</v>
      </c>
      <c r="AB6" s="2">
        <f t="shared" ca="1" si="2"/>
        <v>28.926612905802973</v>
      </c>
      <c r="AC6" s="2">
        <f t="shared" ca="1" si="2"/>
        <v>26.93580925799991</v>
      </c>
      <c r="AD6" s="2">
        <f t="shared" ca="1" si="2"/>
        <v>22.623192868123549</v>
      </c>
      <c r="AE6" s="2">
        <f t="shared" ca="1" si="2"/>
        <v>27.635593085898126</v>
      </c>
      <c r="AF6" s="2">
        <f t="shared" ca="1" si="2"/>
        <v>27.833953029147008</v>
      </c>
      <c r="AG6" s="2">
        <f t="shared" ca="1" si="2"/>
        <v>25.586877256649345</v>
      </c>
      <c r="AH6" s="2">
        <f t="shared" ca="1" si="2"/>
        <v>29.142311155407569</v>
      </c>
    </row>
    <row r="7" spans="1:34">
      <c r="A7" t="str">
        <f>sets!$H$3</f>
        <v>Teff</v>
      </c>
      <c r="B7" t="str">
        <v>DireDawa</v>
      </c>
      <c r="C7" s="2">
        <f t="shared" ca="1" si="3"/>
        <v>24.145696055219425</v>
      </c>
      <c r="D7" s="2">
        <f t="shared" ca="1" si="2"/>
        <v>24.938904702684994</v>
      </c>
      <c r="E7" s="2">
        <f t="shared" ca="1" si="2"/>
        <v>24.921356634551987</v>
      </c>
      <c r="F7" s="2">
        <f t="shared" ca="1" si="2"/>
        <v>24.354507102734555</v>
      </c>
      <c r="G7" s="2">
        <f t="shared" ca="1" si="2"/>
        <v>29.643161208519373</v>
      </c>
      <c r="H7" s="2">
        <f t="shared" ca="1" si="2"/>
        <v>22.487434422694932</v>
      </c>
      <c r="I7" s="2">
        <f t="shared" ca="1" si="2"/>
        <v>21.345934127087222</v>
      </c>
      <c r="J7" s="2">
        <f t="shared" ca="1" si="2"/>
        <v>27.795316762330131</v>
      </c>
      <c r="K7" s="2">
        <f t="shared" ca="1" si="2"/>
        <v>28.26130609959235</v>
      </c>
      <c r="L7" s="2">
        <f t="shared" ca="1" si="2"/>
        <v>26.860633329049215</v>
      </c>
      <c r="M7" s="2">
        <f t="shared" ca="1" si="2"/>
        <v>25.34631132066481</v>
      </c>
      <c r="N7" s="2">
        <f t="shared" ca="1" si="2"/>
        <v>26.598272179366276</v>
      </c>
      <c r="O7" s="2">
        <f t="shared" ca="1" si="2"/>
        <v>27.415011171067842</v>
      </c>
      <c r="P7" s="2">
        <f t="shared" ca="1" si="2"/>
        <v>23.102056298386866</v>
      </c>
      <c r="Q7" s="2">
        <f t="shared" ca="1" si="2"/>
        <v>26.284705537935547</v>
      </c>
      <c r="R7" s="2">
        <f t="shared" ca="1" si="2"/>
        <v>27.836567206981229</v>
      </c>
      <c r="S7" s="2">
        <f t="shared" ca="1" si="2"/>
        <v>22.915832576204799</v>
      </c>
      <c r="T7" s="2">
        <f t="shared" ca="1" si="2"/>
        <v>21.507338353135591</v>
      </c>
      <c r="U7" s="2">
        <f t="shared" ca="1" si="2"/>
        <v>24.41505120202158</v>
      </c>
      <c r="V7" s="2">
        <f t="shared" ca="1" si="2"/>
        <v>25.93558828255053</v>
      </c>
      <c r="W7" s="2">
        <f t="shared" ca="1" si="2"/>
        <v>23.777568490608473</v>
      </c>
      <c r="X7" s="2">
        <f t="shared" ca="1" si="2"/>
        <v>22.794739235847903</v>
      </c>
      <c r="Y7" s="2">
        <f t="shared" ca="1" si="2"/>
        <v>27.053469557863835</v>
      </c>
      <c r="Z7" s="2">
        <f t="shared" ca="1" si="2"/>
        <v>25.704261110771487</v>
      </c>
      <c r="AA7" s="2">
        <f t="shared" ca="1" si="2"/>
        <v>20.965299323387001</v>
      </c>
      <c r="AB7" s="2">
        <f t="shared" ca="1" si="2"/>
        <v>28.349677883455527</v>
      </c>
      <c r="AC7" s="2">
        <f t="shared" ca="1" si="2"/>
        <v>27.244666812049463</v>
      </c>
      <c r="AD7" s="2">
        <f t="shared" ca="1" si="2"/>
        <v>21.549055506075675</v>
      </c>
      <c r="AE7" s="2">
        <f t="shared" ca="1" si="2"/>
        <v>29.342993376333297</v>
      </c>
      <c r="AF7" s="2">
        <f t="shared" ca="1" si="2"/>
        <v>26.900960921012896</v>
      </c>
      <c r="AG7" s="2">
        <f t="shared" ca="1" si="2"/>
        <v>29.397640071574305</v>
      </c>
      <c r="AH7" s="2">
        <f t="shared" ca="1" si="2"/>
        <v>27.563252296012188</v>
      </c>
    </row>
    <row r="8" spans="1:34">
      <c r="A8" t="str">
        <f>sets!$H$3</f>
        <v>Teff</v>
      </c>
      <c r="B8" t="str">
        <v>Gambela</v>
      </c>
      <c r="C8" s="2">
        <f t="shared" ca="1" si="3"/>
        <v>29.018151730053948</v>
      </c>
      <c r="D8" s="2">
        <f t="shared" ca="1" si="2"/>
        <v>28.165570962806751</v>
      </c>
      <c r="E8" s="2">
        <f t="shared" ca="1" si="2"/>
        <v>23.45414950103018</v>
      </c>
      <c r="F8" s="2">
        <f t="shared" ca="1" si="2"/>
        <v>20.736328967626257</v>
      </c>
      <c r="G8" s="2">
        <f t="shared" ca="1" si="2"/>
        <v>25.683403338459264</v>
      </c>
      <c r="H8" s="2">
        <f t="shared" ca="1" si="2"/>
        <v>25.366832388415027</v>
      </c>
      <c r="I8" s="2">
        <f t="shared" ca="1" si="2"/>
        <v>29.896751659720376</v>
      </c>
      <c r="J8" s="2">
        <f t="shared" ca="1" si="2"/>
        <v>26.900087852524766</v>
      </c>
      <c r="K8" s="2">
        <f t="shared" ca="1" si="2"/>
        <v>22.684645861814623</v>
      </c>
      <c r="L8" s="2">
        <f t="shared" ca="1" si="2"/>
        <v>21.294723956717121</v>
      </c>
      <c r="M8" s="2">
        <f t="shared" ca="1" si="2"/>
        <v>21.786958054347952</v>
      </c>
      <c r="N8" s="2">
        <f t="shared" ca="1" si="2"/>
        <v>24.691625829298374</v>
      </c>
      <c r="O8" s="2">
        <f t="shared" ca="1" si="2"/>
        <v>21.732563450593144</v>
      </c>
      <c r="P8" s="2">
        <f t="shared" ca="1" si="2"/>
        <v>22.297585656066097</v>
      </c>
      <c r="Q8" s="2">
        <f t="shared" ca="1" si="2"/>
        <v>21.882395425359409</v>
      </c>
      <c r="R8" s="2">
        <f t="shared" ca="1" si="2"/>
        <v>26.832950689926665</v>
      </c>
      <c r="S8" s="2">
        <f t="shared" ca="1" si="2"/>
        <v>23.353460473248326</v>
      </c>
      <c r="T8" s="2">
        <f t="shared" ca="1" si="2"/>
        <v>26.797144236184195</v>
      </c>
      <c r="U8" s="2">
        <f t="shared" ca="1" si="2"/>
        <v>21.894356847853459</v>
      </c>
      <c r="V8" s="2">
        <f t="shared" ca="1" si="2"/>
        <v>26.249522759805128</v>
      </c>
      <c r="W8" s="2">
        <f t="shared" ca="1" si="2"/>
        <v>24.855867099261822</v>
      </c>
      <c r="X8" s="2">
        <f t="shared" ca="1" si="2"/>
        <v>22.232641829913081</v>
      </c>
      <c r="Y8" s="2">
        <f t="shared" ca="1" si="2"/>
        <v>22.957940299832146</v>
      </c>
      <c r="Z8" s="2">
        <f t="shared" ca="1" si="2"/>
        <v>24.583539698004124</v>
      </c>
      <c r="AA8" s="2">
        <f t="shared" ca="1" si="2"/>
        <v>24.24374038044655</v>
      </c>
      <c r="AB8" s="2">
        <f t="shared" ca="1" si="2"/>
        <v>24.25579103531858</v>
      </c>
      <c r="AC8" s="2">
        <f t="shared" ca="1" si="2"/>
        <v>26.425870168745401</v>
      </c>
      <c r="AD8" s="2">
        <f t="shared" ca="1" si="2"/>
        <v>22.118009307704966</v>
      </c>
      <c r="AE8" s="2">
        <f t="shared" ca="1" si="2"/>
        <v>26.372135670410334</v>
      </c>
      <c r="AF8" s="2">
        <f t="shared" ca="1" si="2"/>
        <v>26.536224193094291</v>
      </c>
      <c r="AG8" s="2">
        <f t="shared" ca="1" si="2"/>
        <v>24.546490045572771</v>
      </c>
      <c r="AH8" s="2">
        <f t="shared" ca="1" si="2"/>
        <v>24.439508974723019</v>
      </c>
    </row>
    <row r="9" spans="1:34">
      <c r="A9" t="str">
        <f>sets!$H$3</f>
        <v>Teff</v>
      </c>
      <c r="B9" t="str">
        <v>Harari</v>
      </c>
      <c r="C9" s="2">
        <f t="shared" ca="1" si="3"/>
        <v>21.014947781583114</v>
      </c>
      <c r="D9" s="2">
        <f t="shared" ca="1" si="2"/>
        <v>21.82553393602311</v>
      </c>
      <c r="E9" s="2">
        <f t="shared" ca="1" si="2"/>
        <v>27.8889043827443</v>
      </c>
      <c r="F9" s="2">
        <f t="shared" ca="1" si="2"/>
        <v>25.120368500042755</v>
      </c>
      <c r="G9" s="2">
        <f t="shared" ca="1" si="2"/>
        <v>24.550949889967271</v>
      </c>
      <c r="H9" s="2">
        <f t="shared" ca="1" si="2"/>
        <v>22.820896393735861</v>
      </c>
      <c r="I9" s="2">
        <f t="shared" ca="1" si="2"/>
        <v>23.346051311889681</v>
      </c>
      <c r="J9" s="2">
        <f t="shared" ca="1" si="2"/>
        <v>28.381970446367315</v>
      </c>
      <c r="K9" s="2">
        <f t="shared" ca="1" si="2"/>
        <v>22.985685448462799</v>
      </c>
      <c r="L9" s="2">
        <f t="shared" ca="1" si="2"/>
        <v>20.64104812075276</v>
      </c>
      <c r="M9" s="2">
        <f t="shared" ca="1" si="2"/>
        <v>20.745026890676279</v>
      </c>
      <c r="N9" s="2">
        <f t="shared" ca="1" si="2"/>
        <v>29.981494707422744</v>
      </c>
      <c r="O9" s="2">
        <f t="shared" ca="1" si="2"/>
        <v>29.125929926284609</v>
      </c>
      <c r="P9" s="2">
        <f t="shared" ca="1" si="2"/>
        <v>26.797274450742808</v>
      </c>
      <c r="Q9" s="2">
        <f t="shared" ca="1" si="2"/>
        <v>29.118102435363578</v>
      </c>
      <c r="R9" s="2">
        <f t="shared" ca="1" si="2"/>
        <v>28.425624812049598</v>
      </c>
      <c r="S9" s="2">
        <f t="shared" ca="1" si="2"/>
        <v>22.424965195089666</v>
      </c>
      <c r="T9" s="2">
        <f t="shared" ca="1" si="2"/>
        <v>22.959197100871346</v>
      </c>
      <c r="U9" s="2">
        <f t="shared" ca="1" si="2"/>
        <v>24.629418778427016</v>
      </c>
      <c r="V9" s="2">
        <f t="shared" ca="1" si="2"/>
        <v>25.1964319277598</v>
      </c>
      <c r="W9" s="2">
        <f t="shared" ca="1" si="2"/>
        <v>27.659985333558478</v>
      </c>
      <c r="X9" s="2">
        <f t="shared" ca="1" si="2"/>
        <v>25.375489566359853</v>
      </c>
      <c r="Y9" s="2">
        <f t="shared" ca="1" si="2"/>
        <v>27.792787647305705</v>
      </c>
      <c r="Z9" s="2">
        <f t="shared" ca="1" si="2"/>
        <v>25.43057666240448</v>
      </c>
      <c r="AA9" s="2">
        <f t="shared" ca="1" si="2"/>
        <v>28.410465036151272</v>
      </c>
      <c r="AB9" s="2">
        <f t="shared" ca="1" si="2"/>
        <v>27.743486173597976</v>
      </c>
      <c r="AC9" s="2">
        <f t="shared" ca="1" si="2"/>
        <v>23.524528459904623</v>
      </c>
      <c r="AD9" s="2">
        <f t="shared" ca="1" si="2"/>
        <v>21.967511200818414</v>
      </c>
      <c r="AE9" s="2">
        <f t="shared" ca="1" si="2"/>
        <v>21.824531614327039</v>
      </c>
      <c r="AF9" s="2">
        <f t="shared" ca="1" si="2"/>
        <v>26.187075327425962</v>
      </c>
      <c r="AG9" s="2">
        <f t="shared" ca="1" si="2"/>
        <v>25.182319534696806</v>
      </c>
      <c r="AH9" s="2">
        <f t="shared" ca="1" si="2"/>
        <v>24.045697107110648</v>
      </c>
    </row>
    <row r="10" spans="1:34">
      <c r="A10" t="str">
        <f>sets!$H$3</f>
        <v>Teff</v>
      </c>
      <c r="B10" t="str">
        <v>Oromia</v>
      </c>
      <c r="C10" s="2">
        <f t="shared" ca="1" si="3"/>
        <v>24.444172293649419</v>
      </c>
      <c r="D10" s="2">
        <f t="shared" ca="1" si="2"/>
        <v>29.334675274305578</v>
      </c>
      <c r="E10" s="2">
        <f t="shared" ca="1" si="2"/>
        <v>24.97725345014468</v>
      </c>
      <c r="F10" s="2">
        <f t="shared" ca="1" si="2"/>
        <v>25.954665624270785</v>
      </c>
      <c r="G10" s="2">
        <f t="shared" ca="1" si="2"/>
        <v>25.169301864598985</v>
      </c>
      <c r="H10" s="2">
        <f t="shared" ca="1" si="2"/>
        <v>24.938111190340237</v>
      </c>
      <c r="I10" s="2">
        <f t="shared" ca="1" si="2"/>
        <v>25.861303879858049</v>
      </c>
      <c r="J10" s="2">
        <f t="shared" ca="1" si="2"/>
        <v>20.346443259948899</v>
      </c>
      <c r="K10" s="2">
        <f t="shared" ca="1" si="2"/>
        <v>22.743459631381661</v>
      </c>
      <c r="L10" s="2">
        <f t="shared" ca="1" si="2"/>
        <v>29.959463847326646</v>
      </c>
      <c r="M10" s="2">
        <f t="shared" ca="1" si="2"/>
        <v>26.549493791485812</v>
      </c>
      <c r="N10" s="2">
        <f t="shared" ca="1" si="2"/>
        <v>23.605612578570064</v>
      </c>
      <c r="O10" s="2">
        <f t="shared" ca="1" si="2"/>
        <v>21.557477415153183</v>
      </c>
      <c r="P10" s="2">
        <f t="shared" ca="1" si="2"/>
        <v>28.339695585047579</v>
      </c>
      <c r="Q10" s="2">
        <f t="shared" ca="1" si="2"/>
        <v>26.810827434160174</v>
      </c>
      <c r="R10" s="2">
        <f t="shared" ca="1" si="2"/>
        <v>20.777598541601634</v>
      </c>
      <c r="S10" s="2">
        <f t="shared" ca="1" si="2"/>
        <v>23.8807589471025</v>
      </c>
      <c r="T10" s="2">
        <f t="shared" ca="1" si="2"/>
        <v>28.374068669969827</v>
      </c>
      <c r="U10" s="2">
        <f t="shared" ca="1" si="2"/>
        <v>28.927696033475144</v>
      </c>
      <c r="V10" s="2">
        <f t="shared" ca="1" si="2"/>
        <v>24.614716220445608</v>
      </c>
      <c r="W10" s="2">
        <f t="shared" ca="1" si="2"/>
        <v>27.529269622536884</v>
      </c>
      <c r="X10" s="2">
        <f t="shared" ca="1" si="2"/>
        <v>27.988485597219121</v>
      </c>
      <c r="Y10" s="2">
        <f t="shared" ca="1" si="2"/>
        <v>29.894355323425469</v>
      </c>
      <c r="Z10" s="2">
        <f t="shared" ca="1" si="2"/>
        <v>29.282175758025371</v>
      </c>
      <c r="AA10" s="2">
        <f t="shared" ca="1" si="2"/>
        <v>24.662311243024853</v>
      </c>
      <c r="AB10" s="2">
        <f t="shared" ca="1" si="2"/>
        <v>27.409850415541147</v>
      </c>
      <c r="AC10" s="2">
        <f t="shared" ca="1" si="2"/>
        <v>29.001787542267017</v>
      </c>
      <c r="AD10" s="2">
        <f t="shared" ca="1" si="2"/>
        <v>20.397586175561933</v>
      </c>
      <c r="AE10" s="2">
        <f t="shared" ca="1" si="2"/>
        <v>29.417930151400252</v>
      </c>
      <c r="AF10" s="2">
        <f t="shared" ca="1" si="2"/>
        <v>25.646385633686599</v>
      </c>
      <c r="AG10" s="2">
        <f t="shared" ca="1" si="2"/>
        <v>20.994498764417429</v>
      </c>
      <c r="AH10" s="2">
        <f t="shared" ca="1" si="2"/>
        <v>29.923577292424593</v>
      </c>
    </row>
    <row r="11" spans="1:34">
      <c r="A11" t="str">
        <f>sets!$H$3</f>
        <v>Teff</v>
      </c>
      <c r="B11" t="str">
        <v>Somali</v>
      </c>
      <c r="C11" s="2">
        <f t="shared" ca="1" si="3"/>
        <v>24.301934550920585</v>
      </c>
      <c r="D11" s="2">
        <f t="shared" ca="1" si="2"/>
        <v>25.084218691794547</v>
      </c>
      <c r="E11" s="2">
        <f t="shared" ca="1" si="2"/>
        <v>20.641078174909129</v>
      </c>
      <c r="F11" s="2">
        <f t="shared" ca="1" si="2"/>
        <v>28.83714259632119</v>
      </c>
      <c r="G11" s="2">
        <f t="shared" ca="1" si="2"/>
        <v>20.959509274982899</v>
      </c>
      <c r="H11" s="2">
        <f t="shared" ca="1" si="2"/>
        <v>25.339610913575072</v>
      </c>
      <c r="I11" s="2">
        <f t="shared" ca="1" si="2"/>
        <v>21.007780692811771</v>
      </c>
      <c r="J11" s="2">
        <f t="shared" ca="1" si="2"/>
        <v>21.888243385487087</v>
      </c>
      <c r="K11" s="2">
        <f t="shared" ref="K11:Z42" ca="1" si="4">(RAND()*0.1+0.2)*100</f>
        <v>25.40702581623604</v>
      </c>
      <c r="L11" s="2">
        <f t="shared" ca="1" si="4"/>
        <v>22.82697092407739</v>
      </c>
      <c r="M11" s="2">
        <f t="shared" ca="1" si="4"/>
        <v>24.513427891980832</v>
      </c>
      <c r="N11" s="2">
        <f t="shared" ca="1" si="4"/>
        <v>27.132379868240609</v>
      </c>
      <c r="O11" s="2">
        <f t="shared" ca="1" si="4"/>
        <v>21.155489104802612</v>
      </c>
      <c r="P11" s="2">
        <f t="shared" ca="1" si="4"/>
        <v>28.693165413573574</v>
      </c>
      <c r="Q11" s="2">
        <f t="shared" ca="1" si="4"/>
        <v>27.547855392384701</v>
      </c>
      <c r="R11" s="2">
        <f t="shared" ca="1" si="4"/>
        <v>22.014705384566863</v>
      </c>
      <c r="S11" s="2">
        <f t="shared" ca="1" si="4"/>
        <v>28.058626271512345</v>
      </c>
      <c r="T11" s="2">
        <f t="shared" ca="1" si="4"/>
        <v>29.0610822595077</v>
      </c>
      <c r="U11" s="2">
        <f t="shared" ca="1" si="4"/>
        <v>27.681373628907991</v>
      </c>
      <c r="V11" s="2">
        <f t="shared" ca="1" si="4"/>
        <v>21.951691474154281</v>
      </c>
      <c r="W11" s="2">
        <f t="shared" ca="1" si="4"/>
        <v>21.108387782200079</v>
      </c>
      <c r="X11" s="2">
        <f t="shared" ca="1" si="4"/>
        <v>26.695305251710966</v>
      </c>
      <c r="Y11" s="2">
        <f t="shared" ca="1" si="4"/>
        <v>21.032790511628058</v>
      </c>
      <c r="Z11" s="2">
        <f t="shared" ca="1" si="4"/>
        <v>22.679442334354739</v>
      </c>
      <c r="AA11" s="2">
        <f t="shared" ref="AA11:AH42" ca="1" si="5">(RAND()*0.1+0.2)*100</f>
        <v>26.81067038725093</v>
      </c>
      <c r="AB11" s="2">
        <f t="shared" ca="1" si="5"/>
        <v>21.691052052996429</v>
      </c>
      <c r="AC11" s="2">
        <f t="shared" ca="1" si="5"/>
        <v>26.408781208860422</v>
      </c>
      <c r="AD11" s="2">
        <f t="shared" ca="1" si="5"/>
        <v>25.024157112095835</v>
      </c>
      <c r="AE11" s="2">
        <f t="shared" ca="1" si="5"/>
        <v>23.849075015825413</v>
      </c>
      <c r="AF11" s="2">
        <f t="shared" ca="1" si="5"/>
        <v>29.746605021632998</v>
      </c>
      <c r="AG11" s="2">
        <f t="shared" ca="1" si="5"/>
        <v>23.357843350052111</v>
      </c>
      <c r="AH11" s="2">
        <f t="shared" ca="1" si="5"/>
        <v>24.758086683821642</v>
      </c>
    </row>
    <row r="12" spans="1:34">
      <c r="A12" t="str">
        <f>sets!$H$3</f>
        <v>Teff</v>
      </c>
      <c r="B12" t="str">
        <v>SNNPR</v>
      </c>
      <c r="C12" s="2">
        <f t="shared" ca="1" si="3"/>
        <v>22.142106183226122</v>
      </c>
      <c r="D12" s="2">
        <f t="shared" ca="1" si="3"/>
        <v>25.025220173635056</v>
      </c>
      <c r="E12" s="2">
        <f t="shared" ca="1" si="3"/>
        <v>20.09603208094159</v>
      </c>
      <c r="F12" s="2">
        <f t="shared" ca="1" si="3"/>
        <v>27.888409080210373</v>
      </c>
      <c r="G12" s="2">
        <f t="shared" ca="1" si="3"/>
        <v>20.379058157182868</v>
      </c>
      <c r="H12" s="2">
        <f t="shared" ca="1" si="3"/>
        <v>22.375590883828266</v>
      </c>
      <c r="I12" s="2">
        <f t="shared" ca="1" si="3"/>
        <v>20.683556345291773</v>
      </c>
      <c r="J12" s="2">
        <f t="shared" ca="1" si="3"/>
        <v>26.418158997054814</v>
      </c>
      <c r="K12" s="2">
        <f t="shared" ca="1" si="3"/>
        <v>27.820288785143681</v>
      </c>
      <c r="L12" s="2">
        <f t="shared" ca="1" si="3"/>
        <v>23.494880782163811</v>
      </c>
      <c r="M12" s="2">
        <f t="shared" ca="1" si="3"/>
        <v>23.926498549969015</v>
      </c>
      <c r="N12" s="2">
        <f t="shared" ca="1" si="3"/>
        <v>25.365582120952347</v>
      </c>
      <c r="O12" s="2">
        <f t="shared" ca="1" si="3"/>
        <v>21.478430948024439</v>
      </c>
      <c r="P12" s="2">
        <f t="shared" ca="1" si="3"/>
        <v>25.906220165259832</v>
      </c>
      <c r="Q12" s="2">
        <f t="shared" ca="1" si="3"/>
        <v>25.858056629885851</v>
      </c>
      <c r="R12" s="2">
        <f t="shared" ca="1" si="3"/>
        <v>27.918560246628367</v>
      </c>
      <c r="S12" s="2">
        <f t="shared" ca="1" si="4"/>
        <v>24.418863434342107</v>
      </c>
      <c r="T12" s="2">
        <f t="shared" ca="1" si="4"/>
        <v>20.359358873344956</v>
      </c>
      <c r="U12" s="2">
        <f t="shared" ca="1" si="4"/>
        <v>20.687974937595285</v>
      </c>
      <c r="V12" s="2">
        <f t="shared" ca="1" si="4"/>
        <v>24.959754303959354</v>
      </c>
      <c r="W12" s="2">
        <f t="shared" ca="1" si="4"/>
        <v>28.793173555502499</v>
      </c>
      <c r="X12" s="2">
        <f t="shared" ca="1" si="4"/>
        <v>25.630925921899323</v>
      </c>
      <c r="Y12" s="2">
        <f t="shared" ca="1" si="4"/>
        <v>21.374632172365345</v>
      </c>
      <c r="Z12" s="2">
        <f t="shared" ca="1" si="4"/>
        <v>25.522202928619265</v>
      </c>
      <c r="AA12" s="2">
        <f t="shared" ca="1" si="5"/>
        <v>27.11201927472041</v>
      </c>
      <c r="AB12" s="2">
        <f t="shared" ca="1" si="5"/>
        <v>28.98388597839341</v>
      </c>
      <c r="AC12" s="2">
        <f t="shared" ca="1" si="5"/>
        <v>28.224710476119803</v>
      </c>
      <c r="AD12" s="2">
        <f t="shared" ca="1" si="5"/>
        <v>28.152318974398426</v>
      </c>
      <c r="AE12" s="2">
        <f t="shared" ca="1" si="5"/>
        <v>27.693267689208529</v>
      </c>
      <c r="AF12" s="2">
        <f t="shared" ca="1" si="5"/>
        <v>24.500242783347943</v>
      </c>
      <c r="AG12" s="2">
        <f t="shared" ca="1" si="5"/>
        <v>28.541312285765962</v>
      </c>
      <c r="AH12" s="2">
        <f t="shared" ca="1" si="5"/>
        <v>29.054703540124986</v>
      </c>
    </row>
    <row r="13" spans="1:34">
      <c r="A13" t="str">
        <f>sets!$H$3</f>
        <v>Teff</v>
      </c>
      <c r="B13" t="str">
        <v>Tigray</v>
      </c>
      <c r="C13" s="2">
        <f t="shared" ca="1" si="3"/>
        <v>25.542429352654892</v>
      </c>
      <c r="D13" s="2">
        <f t="shared" ca="1" si="3"/>
        <v>23.650668172126167</v>
      </c>
      <c r="E13" s="2">
        <f t="shared" ca="1" si="3"/>
        <v>21.040911132696174</v>
      </c>
      <c r="F13" s="2">
        <f t="shared" ca="1" si="3"/>
        <v>25.903555628587434</v>
      </c>
      <c r="G13" s="2">
        <f t="shared" ca="1" si="3"/>
        <v>24.362676485576547</v>
      </c>
      <c r="H13" s="2">
        <f t="shared" ca="1" si="3"/>
        <v>23.081037220980921</v>
      </c>
      <c r="I13" s="2">
        <f t="shared" ca="1" si="3"/>
        <v>27.619462132468382</v>
      </c>
      <c r="J13" s="2">
        <f t="shared" ca="1" si="3"/>
        <v>24.793853504182366</v>
      </c>
      <c r="K13" s="2">
        <f t="shared" ca="1" si="3"/>
        <v>21.923189572035405</v>
      </c>
      <c r="L13" s="2">
        <f t="shared" ca="1" si="3"/>
        <v>29.204890069239376</v>
      </c>
      <c r="M13" s="2">
        <f t="shared" ca="1" si="3"/>
        <v>20.31609831945206</v>
      </c>
      <c r="N13" s="2">
        <f t="shared" ca="1" si="3"/>
        <v>22.627901029288356</v>
      </c>
      <c r="O13" s="2">
        <f t="shared" ca="1" si="3"/>
        <v>26.729513187992517</v>
      </c>
      <c r="P13" s="2">
        <f t="shared" ca="1" si="3"/>
        <v>24.901954752813594</v>
      </c>
      <c r="Q13" s="2">
        <f t="shared" ca="1" si="3"/>
        <v>28.159172229089808</v>
      </c>
      <c r="R13" s="2">
        <f t="shared" ca="1" si="3"/>
        <v>22.902473855557972</v>
      </c>
      <c r="S13" s="2">
        <f t="shared" ca="1" si="4"/>
        <v>22.962306194584546</v>
      </c>
      <c r="T13" s="2">
        <f t="shared" ca="1" si="4"/>
        <v>24.520150187671213</v>
      </c>
      <c r="U13" s="2">
        <f t="shared" ca="1" si="4"/>
        <v>24.40600740823859</v>
      </c>
      <c r="V13" s="2">
        <f t="shared" ca="1" si="4"/>
        <v>27.6529526927274</v>
      </c>
      <c r="W13" s="2">
        <f t="shared" ca="1" si="4"/>
        <v>22.786588043521146</v>
      </c>
      <c r="X13" s="2">
        <f t="shared" ca="1" si="4"/>
        <v>20.500223724540962</v>
      </c>
      <c r="Y13" s="2">
        <f t="shared" ca="1" si="4"/>
        <v>23.06378039474745</v>
      </c>
      <c r="Z13" s="2">
        <f t="shared" ca="1" si="4"/>
        <v>24.791547156491514</v>
      </c>
      <c r="AA13" s="2">
        <f t="shared" ca="1" si="5"/>
        <v>26.939071730543475</v>
      </c>
      <c r="AB13" s="2">
        <f t="shared" ca="1" si="5"/>
        <v>23.735675686141203</v>
      </c>
      <c r="AC13" s="2">
        <f t="shared" ca="1" si="5"/>
        <v>21.834112625012715</v>
      </c>
      <c r="AD13" s="2">
        <f t="shared" ca="1" si="5"/>
        <v>29.582883444814506</v>
      </c>
      <c r="AE13" s="2">
        <f t="shared" ca="1" si="5"/>
        <v>22.966388374077258</v>
      </c>
      <c r="AF13" s="2">
        <f t="shared" ca="1" si="5"/>
        <v>24.496334661885001</v>
      </c>
      <c r="AG13" s="2">
        <f t="shared" ca="1" si="5"/>
        <v>22.242034766901909</v>
      </c>
      <c r="AH13" s="2">
        <f t="shared" ca="1" si="5"/>
        <v>20.968565424057665</v>
      </c>
    </row>
    <row r="14" spans="1:34">
      <c r="A14" t="str">
        <f t="shared" ref="A14:A68" si="6">INDEX(Food,MATCH(A3,Food,0)+1)</f>
        <v>Sorghum</v>
      </c>
      <c r="B14" t="str">
        <f>B3</f>
        <v>AddisAbaba</v>
      </c>
      <c r="C14" s="2">
        <f t="shared" ca="1" si="3"/>
        <v>22.731066166040232</v>
      </c>
      <c r="D14" s="2">
        <f t="shared" ca="1" si="3"/>
        <v>20.008061340836051</v>
      </c>
      <c r="E14" s="2">
        <f t="shared" ca="1" si="3"/>
        <v>23.951558172770699</v>
      </c>
      <c r="F14" s="2">
        <f t="shared" ca="1" si="3"/>
        <v>23.480034111305127</v>
      </c>
      <c r="G14" s="2">
        <f t="shared" ca="1" si="3"/>
        <v>25.48388497595392</v>
      </c>
      <c r="H14" s="2">
        <f t="shared" ca="1" si="3"/>
        <v>27.771533853783026</v>
      </c>
      <c r="I14" s="2">
        <f t="shared" ca="1" si="3"/>
        <v>28.163407777318284</v>
      </c>
      <c r="J14" s="2">
        <f t="shared" ca="1" si="3"/>
        <v>28.428119669493331</v>
      </c>
      <c r="K14" s="2">
        <f t="shared" ca="1" si="3"/>
        <v>20.044405593787289</v>
      </c>
      <c r="L14" s="2">
        <f t="shared" ca="1" si="3"/>
        <v>25.349797346295048</v>
      </c>
      <c r="M14" s="2">
        <f t="shared" ca="1" si="3"/>
        <v>22.199646981101353</v>
      </c>
      <c r="N14" s="2">
        <f t="shared" ca="1" si="3"/>
        <v>22.041300268578013</v>
      </c>
      <c r="O14" s="2">
        <f t="shared" ca="1" si="3"/>
        <v>24.154903465116185</v>
      </c>
      <c r="P14" s="2">
        <f t="shared" ca="1" si="3"/>
        <v>25.543018086204285</v>
      </c>
      <c r="Q14" s="2">
        <f t="shared" ca="1" si="3"/>
        <v>27.085386499548669</v>
      </c>
      <c r="R14" s="2">
        <f t="shared" ca="1" si="3"/>
        <v>29.313202037592728</v>
      </c>
      <c r="S14" s="2">
        <f t="shared" ca="1" si="4"/>
        <v>20.455214867196343</v>
      </c>
      <c r="T14" s="2">
        <f t="shared" ca="1" si="4"/>
        <v>26.236892269944761</v>
      </c>
      <c r="U14" s="2">
        <f t="shared" ca="1" si="4"/>
        <v>20.141676517914156</v>
      </c>
      <c r="V14" s="2">
        <f t="shared" ca="1" si="4"/>
        <v>26.2193083362816</v>
      </c>
      <c r="W14" s="2">
        <f t="shared" ca="1" si="4"/>
        <v>26.96256195675813</v>
      </c>
      <c r="X14" s="2">
        <f t="shared" ca="1" si="4"/>
        <v>22.108473481249476</v>
      </c>
      <c r="Y14" s="2">
        <f t="shared" ca="1" si="4"/>
        <v>23.215395808849582</v>
      </c>
      <c r="Z14" s="2">
        <f t="shared" ca="1" si="4"/>
        <v>23.453827178672494</v>
      </c>
      <c r="AA14" s="2">
        <f t="shared" ca="1" si="5"/>
        <v>26.042465649276192</v>
      </c>
      <c r="AB14" s="2">
        <f t="shared" ca="1" si="5"/>
        <v>20.803731279071101</v>
      </c>
      <c r="AC14" s="2">
        <f t="shared" ca="1" si="5"/>
        <v>27.99157719481012</v>
      </c>
      <c r="AD14" s="2">
        <f t="shared" ca="1" si="5"/>
        <v>24.931800413168752</v>
      </c>
      <c r="AE14" s="2">
        <f t="shared" ca="1" si="5"/>
        <v>28.551100220808696</v>
      </c>
      <c r="AF14" s="2">
        <f t="shared" ca="1" si="5"/>
        <v>24.431518970887595</v>
      </c>
      <c r="AG14" s="2">
        <f t="shared" ca="1" si="5"/>
        <v>26.949859935978605</v>
      </c>
      <c r="AH14" s="2">
        <f t="shared" ca="1" si="5"/>
        <v>25.078778173139771</v>
      </c>
    </row>
    <row r="15" spans="1:34">
      <c r="A15" t="str">
        <f t="shared" si="6"/>
        <v>Sorghum</v>
      </c>
      <c r="B15" t="str">
        <f t="shared" ref="B15:B68" si="7">B4</f>
        <v>Afar</v>
      </c>
      <c r="C15" s="2">
        <f t="shared" ca="1" si="3"/>
        <v>21.471421265515904</v>
      </c>
      <c r="D15" s="2">
        <f t="shared" ca="1" si="3"/>
        <v>28.359137691639958</v>
      </c>
      <c r="E15" s="2">
        <f t="shared" ca="1" si="3"/>
        <v>25.29101005371982</v>
      </c>
      <c r="F15" s="2">
        <f t="shared" ca="1" si="3"/>
        <v>20.610831792074091</v>
      </c>
      <c r="G15" s="2">
        <f t="shared" ca="1" si="3"/>
        <v>29.152877999386064</v>
      </c>
      <c r="H15" s="2">
        <f t="shared" ca="1" si="3"/>
        <v>21.988141189926086</v>
      </c>
      <c r="I15" s="2">
        <f t="shared" ca="1" si="3"/>
        <v>21.727090728086939</v>
      </c>
      <c r="J15" s="2">
        <f t="shared" ca="1" si="3"/>
        <v>27.24536479925645</v>
      </c>
      <c r="K15" s="2">
        <f t="shared" ca="1" si="3"/>
        <v>29.464252914032439</v>
      </c>
      <c r="L15" s="2">
        <f t="shared" ca="1" si="3"/>
        <v>21.899763318660238</v>
      </c>
      <c r="M15" s="2">
        <f t="shared" ca="1" si="3"/>
        <v>24.623114224008553</v>
      </c>
      <c r="N15" s="2">
        <f t="shared" ca="1" si="3"/>
        <v>27.528870544882793</v>
      </c>
      <c r="O15" s="2">
        <f t="shared" ca="1" si="3"/>
        <v>29.389173191140504</v>
      </c>
      <c r="P15" s="2">
        <f t="shared" ca="1" si="3"/>
        <v>23.080151503781146</v>
      </c>
      <c r="Q15" s="2">
        <f t="shared" ca="1" si="3"/>
        <v>28.961293142832833</v>
      </c>
      <c r="R15" s="2">
        <f t="shared" ca="1" si="3"/>
        <v>20.830848294455016</v>
      </c>
      <c r="S15" s="2">
        <f t="shared" ca="1" si="4"/>
        <v>21.97673235058836</v>
      </c>
      <c r="T15" s="2">
        <f t="shared" ca="1" si="4"/>
        <v>23.21776100601608</v>
      </c>
      <c r="U15" s="2">
        <f t="shared" ca="1" si="4"/>
        <v>25.120573586798901</v>
      </c>
      <c r="V15" s="2">
        <f t="shared" ca="1" si="4"/>
        <v>29.788543387603113</v>
      </c>
      <c r="W15" s="2">
        <f t="shared" ca="1" si="4"/>
        <v>26.901309662387359</v>
      </c>
      <c r="X15" s="2">
        <f t="shared" ca="1" si="4"/>
        <v>20.000125878168333</v>
      </c>
      <c r="Y15" s="2">
        <f t="shared" ca="1" si="4"/>
        <v>28.934899150501632</v>
      </c>
      <c r="Z15" s="2">
        <f t="shared" ca="1" si="4"/>
        <v>23.251293685619181</v>
      </c>
      <c r="AA15" s="2">
        <f t="shared" ca="1" si="5"/>
        <v>25.817943447592899</v>
      </c>
      <c r="AB15" s="2">
        <f t="shared" ca="1" si="5"/>
        <v>29.684615330133695</v>
      </c>
      <c r="AC15" s="2">
        <f t="shared" ca="1" si="5"/>
        <v>28.798316276368869</v>
      </c>
      <c r="AD15" s="2">
        <f t="shared" ca="1" si="5"/>
        <v>24.023929411732787</v>
      </c>
      <c r="AE15" s="2">
        <f t="shared" ca="1" si="5"/>
        <v>26.466264508262661</v>
      </c>
      <c r="AF15" s="2">
        <f t="shared" ca="1" si="5"/>
        <v>24.788804948821525</v>
      </c>
      <c r="AG15" s="2">
        <f t="shared" ca="1" si="5"/>
        <v>22.905971756389924</v>
      </c>
      <c r="AH15" s="2">
        <f t="shared" ca="1" si="5"/>
        <v>23.652031447607115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28.215973360914639</v>
      </c>
      <c r="D16" s="2">
        <f t="shared" ca="1" si="3"/>
        <v>26.983394325457422</v>
      </c>
      <c r="E16" s="2">
        <f t="shared" ca="1" si="3"/>
        <v>21.403385936240198</v>
      </c>
      <c r="F16" s="2">
        <f t="shared" ca="1" si="3"/>
        <v>24.346907485909171</v>
      </c>
      <c r="G16" s="2">
        <f t="shared" ca="1" si="3"/>
        <v>24.642988864671675</v>
      </c>
      <c r="H16" s="2">
        <f t="shared" ca="1" si="3"/>
        <v>29.761159161925356</v>
      </c>
      <c r="I16" s="2">
        <f t="shared" ca="1" si="3"/>
        <v>27.277892214469446</v>
      </c>
      <c r="J16" s="2">
        <f t="shared" ca="1" si="3"/>
        <v>25.184237099462091</v>
      </c>
      <c r="K16" s="2">
        <f t="shared" ca="1" si="3"/>
        <v>25.734620861801794</v>
      </c>
      <c r="L16" s="2">
        <f t="shared" ca="1" si="3"/>
        <v>23.987721379460648</v>
      </c>
      <c r="M16" s="2">
        <f t="shared" ca="1" si="3"/>
        <v>22.800876924272444</v>
      </c>
      <c r="N16" s="2">
        <f t="shared" ca="1" si="3"/>
        <v>21.708258073972747</v>
      </c>
      <c r="O16" s="2">
        <f t="shared" ca="1" si="3"/>
        <v>24.99057879231562</v>
      </c>
      <c r="P16" s="2">
        <f t="shared" ca="1" si="3"/>
        <v>24.679313029227913</v>
      </c>
      <c r="Q16" s="2">
        <f t="shared" ca="1" si="3"/>
        <v>29.129570698668662</v>
      </c>
      <c r="R16" s="2">
        <f t="shared" ca="1" si="3"/>
        <v>24.44928733908403</v>
      </c>
      <c r="S16" s="2">
        <f t="shared" ca="1" si="4"/>
        <v>23.606530337626282</v>
      </c>
      <c r="T16" s="2">
        <f t="shared" ca="1" si="4"/>
        <v>23.074917879264216</v>
      </c>
      <c r="U16" s="2">
        <f t="shared" ca="1" si="4"/>
        <v>28.091361094498811</v>
      </c>
      <c r="V16" s="2">
        <f t="shared" ca="1" si="4"/>
        <v>24.598397176079533</v>
      </c>
      <c r="W16" s="2">
        <f t="shared" ca="1" si="4"/>
        <v>20.873089243087712</v>
      </c>
      <c r="X16" s="2">
        <f t="shared" ca="1" si="4"/>
        <v>22.720663088053172</v>
      </c>
      <c r="Y16" s="2">
        <f t="shared" ca="1" si="4"/>
        <v>22.200306758211291</v>
      </c>
      <c r="Z16" s="2">
        <f t="shared" ca="1" si="4"/>
        <v>27.668954935320262</v>
      </c>
      <c r="AA16" s="2">
        <f t="shared" ca="1" si="5"/>
        <v>27.881677345111878</v>
      </c>
      <c r="AB16" s="2">
        <f t="shared" ca="1" si="5"/>
        <v>26.44384332065669</v>
      </c>
      <c r="AC16" s="2">
        <f t="shared" ca="1" si="5"/>
        <v>28.609169585002931</v>
      </c>
      <c r="AD16" s="2">
        <f t="shared" ca="1" si="5"/>
        <v>21.395828021673875</v>
      </c>
      <c r="AE16" s="2">
        <f t="shared" ca="1" si="5"/>
        <v>26.303499962863906</v>
      </c>
      <c r="AF16" s="2">
        <f t="shared" ca="1" si="5"/>
        <v>26.253475374080516</v>
      </c>
      <c r="AG16" s="2">
        <f t="shared" ca="1" si="5"/>
        <v>25.474926167395719</v>
      </c>
      <c r="AH16" s="2">
        <f t="shared" ca="1" si="5"/>
        <v>22.80531405077793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25.326779380446617</v>
      </c>
      <c r="D17" s="2">
        <f t="shared" ca="1" si="3"/>
        <v>20.8276060711352</v>
      </c>
      <c r="E17" s="2">
        <f t="shared" ca="1" si="3"/>
        <v>22.783624966003703</v>
      </c>
      <c r="F17" s="2">
        <f t="shared" ca="1" si="3"/>
        <v>25.930227464031642</v>
      </c>
      <c r="G17" s="2">
        <f t="shared" ca="1" si="3"/>
        <v>24.440809382548274</v>
      </c>
      <c r="H17" s="2">
        <f t="shared" ca="1" si="3"/>
        <v>23.074535652101542</v>
      </c>
      <c r="I17" s="2">
        <f t="shared" ca="1" si="3"/>
        <v>20.710780929999693</v>
      </c>
      <c r="J17" s="2">
        <f t="shared" ca="1" si="3"/>
        <v>25.860872336750585</v>
      </c>
      <c r="K17" s="2">
        <f t="shared" ca="1" si="3"/>
        <v>26.083708527157139</v>
      </c>
      <c r="L17" s="2">
        <f t="shared" ca="1" si="3"/>
        <v>23.577888585234351</v>
      </c>
      <c r="M17" s="2">
        <f t="shared" ca="1" si="3"/>
        <v>22.786696273681763</v>
      </c>
      <c r="N17" s="2">
        <f t="shared" ca="1" si="3"/>
        <v>22.452613798808702</v>
      </c>
      <c r="O17" s="2">
        <f t="shared" ca="1" si="3"/>
        <v>23.211544041013653</v>
      </c>
      <c r="P17" s="2">
        <f t="shared" ca="1" si="3"/>
        <v>21.045068099366031</v>
      </c>
      <c r="Q17" s="2">
        <f t="shared" ca="1" si="3"/>
        <v>21.150224666248658</v>
      </c>
      <c r="R17" s="2">
        <f t="shared" ca="1" si="3"/>
        <v>27.281183881282544</v>
      </c>
      <c r="S17" s="2">
        <f t="shared" ca="1" si="4"/>
        <v>24.451999434600605</v>
      </c>
      <c r="T17" s="2">
        <f t="shared" ca="1" si="4"/>
        <v>22.968363943089663</v>
      </c>
      <c r="U17" s="2">
        <f t="shared" ca="1" si="4"/>
        <v>20.260675958500414</v>
      </c>
      <c r="V17" s="2">
        <f t="shared" ca="1" si="4"/>
        <v>28.430063467268678</v>
      </c>
      <c r="W17" s="2">
        <f t="shared" ca="1" si="4"/>
        <v>28.594911303200419</v>
      </c>
      <c r="X17" s="2">
        <f t="shared" ca="1" si="4"/>
        <v>22.405506314753062</v>
      </c>
      <c r="Y17" s="2">
        <f t="shared" ca="1" si="4"/>
        <v>26.069023972892314</v>
      </c>
      <c r="Z17" s="2">
        <f t="shared" ca="1" si="4"/>
        <v>21.995557416710287</v>
      </c>
      <c r="AA17" s="2">
        <f t="shared" ca="1" si="5"/>
        <v>23.493843011800223</v>
      </c>
      <c r="AB17" s="2">
        <f t="shared" ca="1" si="5"/>
        <v>23.166373487120879</v>
      </c>
      <c r="AC17" s="2">
        <f t="shared" ca="1" si="5"/>
        <v>25.754235365797541</v>
      </c>
      <c r="AD17" s="2">
        <f t="shared" ca="1" si="5"/>
        <v>29.727592181587582</v>
      </c>
      <c r="AE17" s="2">
        <f t="shared" ca="1" si="5"/>
        <v>22.319668799905358</v>
      </c>
      <c r="AF17" s="2">
        <f t="shared" ca="1" si="5"/>
        <v>21.574688196157844</v>
      </c>
      <c r="AG17" s="2">
        <f t="shared" ca="1" si="5"/>
        <v>21.271686365534833</v>
      </c>
      <c r="AH17" s="2">
        <f t="shared" ca="1" si="5"/>
        <v>20.475026904027583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26.517241069655061</v>
      </c>
      <c r="D18" s="2">
        <f t="shared" ca="1" si="3"/>
        <v>20.094810154845781</v>
      </c>
      <c r="E18" s="2">
        <f t="shared" ca="1" si="3"/>
        <v>28.076114720276369</v>
      </c>
      <c r="F18" s="2">
        <f t="shared" ca="1" si="3"/>
        <v>22.553656023717057</v>
      </c>
      <c r="G18" s="2">
        <f t="shared" ca="1" si="3"/>
        <v>28.753334535352248</v>
      </c>
      <c r="H18" s="2">
        <f t="shared" ca="1" si="3"/>
        <v>21.823053102682472</v>
      </c>
      <c r="I18" s="2">
        <f t="shared" ca="1" si="3"/>
        <v>26.87252294327741</v>
      </c>
      <c r="J18" s="2">
        <f t="shared" ca="1" si="3"/>
        <v>25.945766700970154</v>
      </c>
      <c r="K18" s="2">
        <f t="shared" ca="1" si="3"/>
        <v>20.55125077885932</v>
      </c>
      <c r="L18" s="2">
        <f t="shared" ca="1" si="3"/>
        <v>24.125047663018318</v>
      </c>
      <c r="M18" s="2">
        <f t="shared" ca="1" si="3"/>
        <v>28.831701738841218</v>
      </c>
      <c r="N18" s="2">
        <f t="shared" ca="1" si="3"/>
        <v>25.046972565659765</v>
      </c>
      <c r="O18" s="2">
        <f t="shared" ca="1" si="3"/>
        <v>28.17145695111105</v>
      </c>
      <c r="P18" s="2">
        <f t="shared" ca="1" si="3"/>
        <v>25.636340566215882</v>
      </c>
      <c r="Q18" s="2">
        <f t="shared" ca="1" si="3"/>
        <v>27.295082725059</v>
      </c>
      <c r="R18" s="2">
        <f t="shared" ca="1" si="3"/>
        <v>26.691294350132083</v>
      </c>
      <c r="S18" s="2">
        <f t="shared" ca="1" si="4"/>
        <v>21.857913602282046</v>
      </c>
      <c r="T18" s="2">
        <f t="shared" ca="1" si="4"/>
        <v>22.718137710118373</v>
      </c>
      <c r="U18" s="2">
        <f t="shared" ca="1" si="4"/>
        <v>24.225542869804396</v>
      </c>
      <c r="V18" s="2">
        <f t="shared" ca="1" si="4"/>
        <v>24.076497512279378</v>
      </c>
      <c r="W18" s="2">
        <f t="shared" ca="1" si="4"/>
        <v>29.290438740009449</v>
      </c>
      <c r="X18" s="2">
        <f t="shared" ca="1" si="4"/>
        <v>24.544638605404341</v>
      </c>
      <c r="Y18" s="2">
        <f t="shared" ca="1" si="4"/>
        <v>28.582107116793264</v>
      </c>
      <c r="Z18" s="2">
        <f t="shared" ca="1" si="4"/>
        <v>26.801270928091313</v>
      </c>
      <c r="AA18" s="2">
        <f t="shared" ca="1" si="5"/>
        <v>27.464948371009147</v>
      </c>
      <c r="AB18" s="2">
        <f t="shared" ca="1" si="5"/>
        <v>26.183912329971264</v>
      </c>
      <c r="AC18" s="2">
        <f t="shared" ca="1" si="5"/>
        <v>27.187663262652563</v>
      </c>
      <c r="AD18" s="2">
        <f t="shared" ca="1" si="5"/>
        <v>23.931397669013187</v>
      </c>
      <c r="AE18" s="2">
        <f t="shared" ca="1" si="5"/>
        <v>20.178839212980993</v>
      </c>
      <c r="AF18" s="2">
        <f t="shared" ca="1" si="5"/>
        <v>24.41506105971736</v>
      </c>
      <c r="AG18" s="2">
        <f t="shared" ca="1" si="5"/>
        <v>20.328502559186688</v>
      </c>
      <c r="AH18" s="2">
        <f t="shared" ca="1" si="5"/>
        <v>24.438196806261022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27.552256946587093</v>
      </c>
      <c r="D19" s="2">
        <f t="shared" ca="1" si="3"/>
        <v>25.736185183757048</v>
      </c>
      <c r="E19" s="2">
        <f t="shared" ca="1" si="3"/>
        <v>20.385199351237159</v>
      </c>
      <c r="F19" s="2">
        <f t="shared" ca="1" si="3"/>
        <v>25.56983347455537</v>
      </c>
      <c r="G19" s="2">
        <f t="shared" ca="1" si="3"/>
        <v>24.985245663317084</v>
      </c>
      <c r="H19" s="2">
        <f t="shared" ca="1" si="3"/>
        <v>21.800044928072243</v>
      </c>
      <c r="I19" s="2">
        <f t="shared" ca="1" si="3"/>
        <v>26.799004717382346</v>
      </c>
      <c r="J19" s="2">
        <f t="shared" ca="1" si="3"/>
        <v>26.81231461808294</v>
      </c>
      <c r="K19" s="2">
        <f t="shared" ca="1" si="3"/>
        <v>24.91420856766586</v>
      </c>
      <c r="L19" s="2">
        <f t="shared" ca="1" si="3"/>
        <v>28.052875347786838</v>
      </c>
      <c r="M19" s="2">
        <f t="shared" ca="1" si="3"/>
        <v>25.829626116781228</v>
      </c>
      <c r="N19" s="2">
        <f t="shared" ca="1" si="3"/>
        <v>20.90419822683641</v>
      </c>
      <c r="O19" s="2">
        <f t="shared" ca="1" si="3"/>
        <v>28.615683623629923</v>
      </c>
      <c r="P19" s="2">
        <f t="shared" ca="1" si="3"/>
        <v>21.126206318594672</v>
      </c>
      <c r="Q19" s="2">
        <f t="shared" ca="1" si="3"/>
        <v>23.36044203828445</v>
      </c>
      <c r="R19" s="2">
        <f t="shared" ca="1" si="3"/>
        <v>23.329025073707125</v>
      </c>
      <c r="S19" s="2">
        <f t="shared" ca="1" si="4"/>
        <v>25.720237002119557</v>
      </c>
      <c r="T19" s="2">
        <f t="shared" ca="1" si="4"/>
        <v>26.036353203878544</v>
      </c>
      <c r="U19" s="2">
        <f t="shared" ca="1" si="4"/>
        <v>21.492397958542135</v>
      </c>
      <c r="V19" s="2">
        <f t="shared" ca="1" si="4"/>
        <v>21.491563650154259</v>
      </c>
      <c r="W19" s="2">
        <f t="shared" ca="1" si="4"/>
        <v>20.919850178336176</v>
      </c>
      <c r="X19" s="2">
        <f t="shared" ca="1" si="4"/>
        <v>21.548849363983091</v>
      </c>
      <c r="Y19" s="2">
        <f t="shared" ca="1" si="4"/>
        <v>25.441539965384536</v>
      </c>
      <c r="Z19" s="2">
        <f t="shared" ca="1" si="4"/>
        <v>20.044154324375356</v>
      </c>
      <c r="AA19" s="2">
        <f t="shared" ca="1" si="5"/>
        <v>29.593935076816873</v>
      </c>
      <c r="AB19" s="2">
        <f t="shared" ca="1" si="5"/>
        <v>29.643870410776408</v>
      </c>
      <c r="AC19" s="2">
        <f t="shared" ca="1" si="5"/>
        <v>29.656753815702068</v>
      </c>
      <c r="AD19" s="2">
        <f t="shared" ca="1" si="5"/>
        <v>28.75135807839969</v>
      </c>
      <c r="AE19" s="2">
        <f t="shared" ca="1" si="5"/>
        <v>22.433322063660707</v>
      </c>
      <c r="AF19" s="2">
        <f t="shared" ca="1" si="5"/>
        <v>21.222945310971674</v>
      </c>
      <c r="AG19" s="2">
        <f t="shared" ca="1" si="5"/>
        <v>20.688319280853506</v>
      </c>
      <c r="AH19" s="2">
        <f t="shared" ca="1" si="5"/>
        <v>20.585328990738144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22.77353315191241</v>
      </c>
      <c r="D20" s="2">
        <f t="shared" ca="1" si="3"/>
        <v>21.771041127606424</v>
      </c>
      <c r="E20" s="2">
        <f t="shared" ca="1" si="3"/>
        <v>23.38317453049002</v>
      </c>
      <c r="F20" s="2">
        <f t="shared" ca="1" si="3"/>
        <v>27.949611357842407</v>
      </c>
      <c r="G20" s="2">
        <f t="shared" ca="1" si="3"/>
        <v>22.246861902416903</v>
      </c>
      <c r="H20" s="2">
        <f t="shared" ca="1" si="3"/>
        <v>21.012107025971151</v>
      </c>
      <c r="I20" s="2">
        <f t="shared" ca="1" si="3"/>
        <v>28.698472741198639</v>
      </c>
      <c r="J20" s="2">
        <f t="shared" ca="1" si="3"/>
        <v>22.79274882623973</v>
      </c>
      <c r="K20" s="2">
        <f t="shared" ca="1" si="3"/>
        <v>25.758681375487875</v>
      </c>
      <c r="L20" s="2">
        <f t="shared" ca="1" si="3"/>
        <v>20.631021983239634</v>
      </c>
      <c r="M20" s="2">
        <f t="shared" ca="1" si="3"/>
        <v>24.64155740173614</v>
      </c>
      <c r="N20" s="2">
        <f t="shared" ca="1" si="3"/>
        <v>22.07149669577997</v>
      </c>
      <c r="O20" s="2">
        <f t="shared" ca="1" si="3"/>
        <v>28.85333879376326</v>
      </c>
      <c r="P20" s="2">
        <f t="shared" ca="1" si="3"/>
        <v>29.997364418559062</v>
      </c>
      <c r="Q20" s="2">
        <f t="shared" ca="1" si="3"/>
        <v>27.644184762192236</v>
      </c>
      <c r="R20" s="2">
        <f t="shared" ca="1" si="3"/>
        <v>27.407654402100651</v>
      </c>
      <c r="S20" s="2">
        <f t="shared" ca="1" si="4"/>
        <v>20.506156903309119</v>
      </c>
      <c r="T20" s="2">
        <f t="shared" ca="1" si="4"/>
        <v>22.777136139887759</v>
      </c>
      <c r="U20" s="2">
        <f t="shared" ca="1" si="4"/>
        <v>27.967331496161275</v>
      </c>
      <c r="V20" s="2">
        <f t="shared" ca="1" si="4"/>
        <v>26.458051971480323</v>
      </c>
      <c r="W20" s="2">
        <f t="shared" ca="1" si="4"/>
        <v>27.564186403458933</v>
      </c>
      <c r="X20" s="2">
        <f t="shared" ca="1" si="4"/>
        <v>23.086814627556389</v>
      </c>
      <c r="Y20" s="2">
        <f t="shared" ca="1" si="4"/>
        <v>24.521348014014237</v>
      </c>
      <c r="Z20" s="2">
        <f t="shared" ca="1" si="4"/>
        <v>21.886246351895057</v>
      </c>
      <c r="AA20" s="2">
        <f t="shared" ca="1" si="5"/>
        <v>20.177321967377907</v>
      </c>
      <c r="AB20" s="2">
        <f t="shared" ca="1" si="5"/>
        <v>24.243209346690257</v>
      </c>
      <c r="AC20" s="2">
        <f t="shared" ca="1" si="5"/>
        <v>28.278918745524273</v>
      </c>
      <c r="AD20" s="2">
        <f t="shared" ca="1" si="5"/>
        <v>28.920717478585857</v>
      </c>
      <c r="AE20" s="2">
        <f t="shared" ca="1" si="5"/>
        <v>27.883831554690708</v>
      </c>
      <c r="AF20" s="2">
        <f t="shared" ca="1" si="5"/>
        <v>22.980931018216022</v>
      </c>
      <c r="AG20" s="2">
        <f t="shared" ca="1" si="5"/>
        <v>22.43053271765919</v>
      </c>
      <c r="AH20" s="2">
        <f t="shared" ca="1" si="5"/>
        <v>24.656385978603232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29.897564512738533</v>
      </c>
      <c r="D21" s="2">
        <f t="shared" ca="1" si="3"/>
        <v>24.718010323553163</v>
      </c>
      <c r="E21" s="2">
        <f t="shared" ca="1" si="3"/>
        <v>28.01967849603993</v>
      </c>
      <c r="F21" s="2">
        <f t="shared" ca="1" si="3"/>
        <v>25.162568024578913</v>
      </c>
      <c r="G21" s="2">
        <f t="shared" ca="1" si="3"/>
        <v>24.800493756982707</v>
      </c>
      <c r="H21" s="2">
        <f t="shared" ca="1" si="3"/>
        <v>27.465016626154842</v>
      </c>
      <c r="I21" s="2">
        <f t="shared" ca="1" si="3"/>
        <v>24.601172567344232</v>
      </c>
      <c r="J21" s="2">
        <f t="shared" ca="1" si="3"/>
        <v>23.77451874203345</v>
      </c>
      <c r="K21" s="2">
        <f t="shared" ca="1" si="3"/>
        <v>20.087127537066678</v>
      </c>
      <c r="L21" s="2">
        <f t="shared" ca="1" si="3"/>
        <v>23.214201863467736</v>
      </c>
      <c r="M21" s="2">
        <f t="shared" ca="1" si="3"/>
        <v>28.803225644343883</v>
      </c>
      <c r="N21" s="2">
        <f t="shared" ca="1" si="3"/>
        <v>22.596518515364977</v>
      </c>
      <c r="O21" s="2">
        <f t="shared" ca="1" si="3"/>
        <v>28.795279852871818</v>
      </c>
      <c r="P21" s="2">
        <f t="shared" ca="1" si="3"/>
        <v>23.431766400396764</v>
      </c>
      <c r="Q21" s="2">
        <f t="shared" ca="1" si="3"/>
        <v>23.935753024783889</v>
      </c>
      <c r="R21" s="2">
        <f t="shared" ca="1" si="3"/>
        <v>20.856803098188671</v>
      </c>
      <c r="S21" s="2">
        <f t="shared" ca="1" si="4"/>
        <v>29.831236101333452</v>
      </c>
      <c r="T21" s="2">
        <f t="shared" ca="1" si="4"/>
        <v>29.944299938132225</v>
      </c>
      <c r="U21" s="2">
        <f t="shared" ca="1" si="4"/>
        <v>21.843998076718258</v>
      </c>
      <c r="V21" s="2">
        <f t="shared" ca="1" si="4"/>
        <v>20.132535262743765</v>
      </c>
      <c r="W21" s="2">
        <f t="shared" ca="1" si="4"/>
        <v>29.510969202903926</v>
      </c>
      <c r="X21" s="2">
        <f t="shared" ca="1" si="4"/>
        <v>20.5631886219157</v>
      </c>
      <c r="Y21" s="2">
        <f t="shared" ca="1" si="4"/>
        <v>28.998003612690859</v>
      </c>
      <c r="Z21" s="2">
        <f t="shared" ca="1" si="4"/>
        <v>24.986635744781179</v>
      </c>
      <c r="AA21" s="2">
        <f t="shared" ca="1" si="5"/>
        <v>26.636438186963641</v>
      </c>
      <c r="AB21" s="2">
        <f t="shared" ca="1" si="5"/>
        <v>24.973847429027778</v>
      </c>
      <c r="AC21" s="2">
        <f t="shared" ca="1" si="5"/>
        <v>24.443786419994762</v>
      </c>
      <c r="AD21" s="2">
        <f t="shared" ca="1" si="5"/>
        <v>26.880742951131381</v>
      </c>
      <c r="AE21" s="2">
        <f t="shared" ca="1" si="5"/>
        <v>29.324785103685215</v>
      </c>
      <c r="AF21" s="2">
        <f t="shared" ca="1" si="5"/>
        <v>25.30433114078976</v>
      </c>
      <c r="AG21" s="2">
        <f t="shared" ca="1" si="5"/>
        <v>25.29490042606508</v>
      </c>
      <c r="AH21" s="2">
        <f t="shared" ca="1" si="5"/>
        <v>24.751915675146051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25.402960428392486</v>
      </c>
      <c r="D22" s="2">
        <f t="shared" ca="1" si="3"/>
        <v>25.314994792813906</v>
      </c>
      <c r="E22" s="2">
        <f t="shared" ca="1" si="3"/>
        <v>20.198170080758164</v>
      </c>
      <c r="F22" s="2">
        <f t="shared" ca="1" si="3"/>
        <v>24.732610460532758</v>
      </c>
      <c r="G22" s="2">
        <f t="shared" ca="1" si="3"/>
        <v>25.763230970227681</v>
      </c>
      <c r="H22" s="2">
        <f t="shared" ca="1" si="3"/>
        <v>21.716007190316343</v>
      </c>
      <c r="I22" s="2">
        <f t="shared" ca="1" si="3"/>
        <v>24.288335776757542</v>
      </c>
      <c r="J22" s="2">
        <f t="shared" ca="1" si="3"/>
        <v>28.300230705091593</v>
      </c>
      <c r="K22" s="2">
        <f t="shared" ca="1" si="3"/>
        <v>25.627839234074901</v>
      </c>
      <c r="L22" s="2">
        <f t="shared" ca="1" si="3"/>
        <v>21.689175250637007</v>
      </c>
      <c r="M22" s="2">
        <f t="shared" ca="1" si="3"/>
        <v>25.461047770253398</v>
      </c>
      <c r="N22" s="2">
        <f t="shared" ca="1" si="3"/>
        <v>25.040469140788712</v>
      </c>
      <c r="O22" s="2">
        <f t="shared" ca="1" si="3"/>
        <v>23.790477504549735</v>
      </c>
      <c r="P22" s="2">
        <f t="shared" ca="1" si="3"/>
        <v>28.450182810111642</v>
      </c>
      <c r="Q22" s="2">
        <f t="shared" ca="1" si="3"/>
        <v>21.407672764592075</v>
      </c>
      <c r="R22" s="2">
        <f t="shared" ca="1" si="3"/>
        <v>25.069914436874761</v>
      </c>
      <c r="S22" s="2">
        <f t="shared" ca="1" si="4"/>
        <v>24.321327386937398</v>
      </c>
      <c r="T22" s="2">
        <f t="shared" ca="1" si="4"/>
        <v>24.6220568678802</v>
      </c>
      <c r="U22" s="2">
        <f t="shared" ca="1" si="4"/>
        <v>20.503362123667792</v>
      </c>
      <c r="V22" s="2">
        <f t="shared" ca="1" si="4"/>
        <v>20.328020633939577</v>
      </c>
      <c r="W22" s="2">
        <f t="shared" ca="1" si="4"/>
        <v>23.603749732517777</v>
      </c>
      <c r="X22" s="2">
        <f t="shared" ca="1" si="4"/>
        <v>22.415724731437052</v>
      </c>
      <c r="Y22" s="2">
        <f t="shared" ca="1" si="4"/>
        <v>25.505281652411902</v>
      </c>
      <c r="Z22" s="2">
        <f t="shared" ca="1" si="4"/>
        <v>27.520435805534387</v>
      </c>
      <c r="AA22" s="2">
        <f t="shared" ca="1" si="5"/>
        <v>28.654165673110992</v>
      </c>
      <c r="AB22" s="2">
        <f t="shared" ca="1" si="5"/>
        <v>24.279386891752452</v>
      </c>
      <c r="AC22" s="2">
        <f t="shared" ca="1" si="5"/>
        <v>20.836737396536982</v>
      </c>
      <c r="AD22" s="2">
        <f t="shared" ca="1" si="5"/>
        <v>27.294637175387273</v>
      </c>
      <c r="AE22" s="2">
        <f t="shared" ca="1" si="5"/>
        <v>20.584233398266562</v>
      </c>
      <c r="AF22" s="2">
        <f t="shared" ca="1" si="5"/>
        <v>20.134525964055978</v>
      </c>
      <c r="AG22" s="2">
        <f t="shared" ca="1" si="5"/>
        <v>21.021859847823102</v>
      </c>
      <c r="AH22" s="2">
        <f t="shared" ca="1" si="5"/>
        <v>27.493488270327521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29.500636352554356</v>
      </c>
      <c r="D23" s="2">
        <f t="shared" ca="1" si="3"/>
        <v>22.840271886000842</v>
      </c>
      <c r="E23" s="2">
        <f t="shared" ca="1" si="3"/>
        <v>26.458058882851127</v>
      </c>
      <c r="F23" s="2">
        <f t="shared" ca="1" si="3"/>
        <v>28.225056335101005</v>
      </c>
      <c r="G23" s="2">
        <f t="shared" ca="1" si="3"/>
        <v>26.474980315916184</v>
      </c>
      <c r="H23" s="2">
        <f t="shared" ca="1" si="3"/>
        <v>28.978886538485494</v>
      </c>
      <c r="I23" s="2">
        <f t="shared" ca="1" si="3"/>
        <v>28.325742977910402</v>
      </c>
      <c r="J23" s="2">
        <f t="shared" ca="1" si="3"/>
        <v>21.305270139942518</v>
      </c>
      <c r="K23" s="2">
        <f t="shared" ca="1" si="3"/>
        <v>22.600510041215767</v>
      </c>
      <c r="L23" s="2">
        <f t="shared" ca="1" si="3"/>
        <v>22.837895999587918</v>
      </c>
      <c r="M23" s="2">
        <f t="shared" ca="1" si="3"/>
        <v>27.165792090732737</v>
      </c>
      <c r="N23" s="2">
        <f t="shared" ca="1" si="3"/>
        <v>23.420995577179067</v>
      </c>
      <c r="O23" s="2">
        <f t="shared" ca="1" si="3"/>
        <v>24.211374423058125</v>
      </c>
      <c r="P23" s="2">
        <f t="shared" ca="1" si="3"/>
        <v>26.487408424810425</v>
      </c>
      <c r="Q23" s="2">
        <f t="shared" ca="1" si="3"/>
        <v>28.885610578598286</v>
      </c>
      <c r="R23" s="2">
        <f t="shared" ca="1" si="3"/>
        <v>22.311264708189356</v>
      </c>
      <c r="S23" s="2">
        <f t="shared" ca="1" si="4"/>
        <v>21.062431842230726</v>
      </c>
      <c r="T23" s="2">
        <f t="shared" ca="1" si="4"/>
        <v>29.094556348250443</v>
      </c>
      <c r="U23" s="2">
        <f t="shared" ca="1" si="4"/>
        <v>22.42412135333084</v>
      </c>
      <c r="V23" s="2">
        <f t="shared" ca="1" si="4"/>
        <v>25.243059328315752</v>
      </c>
      <c r="W23" s="2">
        <f t="shared" ca="1" si="4"/>
        <v>21.329189549893346</v>
      </c>
      <c r="X23" s="2">
        <f t="shared" ca="1" si="4"/>
        <v>29.952034766408737</v>
      </c>
      <c r="Y23" s="2">
        <f t="shared" ca="1" si="4"/>
        <v>27.193722460413859</v>
      </c>
      <c r="Z23" s="2">
        <f t="shared" ca="1" si="4"/>
        <v>24.617652691718046</v>
      </c>
      <c r="AA23" s="2">
        <f t="shared" ca="1" si="5"/>
        <v>28.963427482222954</v>
      </c>
      <c r="AB23" s="2">
        <f t="shared" ca="1" si="5"/>
        <v>29.929801883631836</v>
      </c>
      <c r="AC23" s="2">
        <f t="shared" ca="1" si="5"/>
        <v>28.730480733625651</v>
      </c>
      <c r="AD23" s="2">
        <f t="shared" ca="1" si="5"/>
        <v>23.634550633483705</v>
      </c>
      <c r="AE23" s="2">
        <f t="shared" ca="1" si="5"/>
        <v>27.692656021381524</v>
      </c>
      <c r="AF23" s="2">
        <f t="shared" ca="1" si="5"/>
        <v>29.395829970926098</v>
      </c>
      <c r="AG23" s="2">
        <f t="shared" ca="1" si="5"/>
        <v>25.908805123752675</v>
      </c>
      <c r="AH23" s="2">
        <f t="shared" ca="1" si="5"/>
        <v>25.193145682799244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25.437803984256202</v>
      </c>
      <c r="D24" s="2">
        <f t="shared" ca="1" si="3"/>
        <v>26.683206943720638</v>
      </c>
      <c r="E24" s="2">
        <f t="shared" ca="1" si="3"/>
        <v>20.228427039734267</v>
      </c>
      <c r="F24" s="2">
        <f t="shared" ca="1" si="3"/>
        <v>22.640818963509567</v>
      </c>
      <c r="G24" s="2">
        <f t="shared" ca="1" si="3"/>
        <v>25.522023659984406</v>
      </c>
      <c r="H24" s="2">
        <f t="shared" ca="1" si="3"/>
        <v>24.41454185233669</v>
      </c>
      <c r="I24" s="2">
        <f t="shared" ca="1" si="3"/>
        <v>27.919512321040742</v>
      </c>
      <c r="J24" s="2">
        <f t="shared" ca="1" si="3"/>
        <v>20.955218172757846</v>
      </c>
      <c r="K24" s="2">
        <f t="shared" ca="1" si="3"/>
        <v>22.086781736805307</v>
      </c>
      <c r="L24" s="2">
        <f t="shared" ca="1" si="3"/>
        <v>21.577816047421923</v>
      </c>
      <c r="M24" s="2">
        <f t="shared" ca="1" si="3"/>
        <v>23.523750226529849</v>
      </c>
      <c r="N24" s="2">
        <f t="shared" ca="1" si="3"/>
        <v>23.444573898972045</v>
      </c>
      <c r="O24" s="2">
        <f t="shared" ca="1" si="3"/>
        <v>26.864003355996761</v>
      </c>
      <c r="P24" s="2">
        <f t="shared" ca="1" si="3"/>
        <v>24.840106410054304</v>
      </c>
      <c r="Q24" s="2">
        <f t="shared" ca="1" si="3"/>
        <v>20.667899763422039</v>
      </c>
      <c r="R24" s="2">
        <f t="shared" ca="1" si="3"/>
        <v>27.68049634293051</v>
      </c>
      <c r="S24" s="2">
        <f t="shared" ca="1" si="4"/>
        <v>22.039306963057516</v>
      </c>
      <c r="T24" s="2">
        <f t="shared" ca="1" si="4"/>
        <v>24.362109982273473</v>
      </c>
      <c r="U24" s="2">
        <f t="shared" ca="1" si="4"/>
        <v>27.933860324411832</v>
      </c>
      <c r="V24" s="2">
        <f t="shared" ca="1" si="4"/>
        <v>27.895116739531133</v>
      </c>
      <c r="W24" s="2">
        <f t="shared" ca="1" si="4"/>
        <v>29.995294660044724</v>
      </c>
      <c r="X24" s="2">
        <f t="shared" ca="1" si="4"/>
        <v>20.365993013107431</v>
      </c>
      <c r="Y24" s="2">
        <f t="shared" ca="1" si="4"/>
        <v>27.06088933912455</v>
      </c>
      <c r="Z24" s="2">
        <f t="shared" ca="1" si="4"/>
        <v>26.061345052393893</v>
      </c>
      <c r="AA24" s="2">
        <f t="shared" ca="1" si="5"/>
        <v>23.756524027480076</v>
      </c>
      <c r="AB24" s="2">
        <f t="shared" ca="1" si="5"/>
        <v>29.818883172254502</v>
      </c>
      <c r="AC24" s="2">
        <f t="shared" ca="1" si="5"/>
        <v>20.729578165510269</v>
      </c>
      <c r="AD24" s="2">
        <f t="shared" ca="1" si="5"/>
        <v>23.901861660372113</v>
      </c>
      <c r="AE24" s="2">
        <f t="shared" ca="1" si="5"/>
        <v>25.598468283292856</v>
      </c>
      <c r="AF24" s="2">
        <f t="shared" ca="1" si="5"/>
        <v>25.515888393220866</v>
      </c>
      <c r="AG24" s="2">
        <f t="shared" ca="1" si="5"/>
        <v>20.66305045995842</v>
      </c>
      <c r="AH24" s="2">
        <f t="shared" ca="1" si="5"/>
        <v>25.743452977436586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21.813442874702456</v>
      </c>
      <c r="D25" s="2">
        <f t="shared" ca="1" si="3"/>
        <v>22.540307432667941</v>
      </c>
      <c r="E25" s="2">
        <f t="shared" ca="1" si="3"/>
        <v>23.604607140874474</v>
      </c>
      <c r="F25" s="2">
        <f t="shared" ca="1" si="3"/>
        <v>25.423304215735389</v>
      </c>
      <c r="G25" s="2">
        <f t="shared" ca="1" si="3"/>
        <v>20.410520201810005</v>
      </c>
      <c r="H25" s="2">
        <f t="shared" ca="1" si="3"/>
        <v>23.837796208078323</v>
      </c>
      <c r="I25" s="2">
        <f t="shared" ca="1" si="3"/>
        <v>26.588138188499926</v>
      </c>
      <c r="J25" s="2">
        <f t="shared" ca="1" si="3"/>
        <v>22.174553351214907</v>
      </c>
      <c r="K25" s="2">
        <f t="shared" ca="1" si="3"/>
        <v>26.417351752936209</v>
      </c>
      <c r="L25" s="2">
        <f t="shared" ca="1" si="3"/>
        <v>28.331518335530646</v>
      </c>
      <c r="M25" s="2">
        <f t="shared" ca="1" si="3"/>
        <v>26.980132371431608</v>
      </c>
      <c r="N25" s="2">
        <f t="shared" ca="1" si="3"/>
        <v>29.750733974474318</v>
      </c>
      <c r="O25" s="2">
        <f t="shared" ca="1" si="3"/>
        <v>27.035152471640362</v>
      </c>
      <c r="P25" s="2">
        <f t="shared" ca="1" si="3"/>
        <v>27.93909149282317</v>
      </c>
      <c r="Q25" s="2">
        <f t="shared" ca="1" si="3"/>
        <v>21.69934261313972</v>
      </c>
      <c r="R25" s="2">
        <f t="shared" ca="1" si="3"/>
        <v>26.000672873053343</v>
      </c>
      <c r="S25" s="2">
        <f t="shared" ca="1" si="4"/>
        <v>29.397875226911012</v>
      </c>
      <c r="T25" s="2">
        <f t="shared" ca="1" si="4"/>
        <v>20.496735591987694</v>
      </c>
      <c r="U25" s="2">
        <f t="shared" ca="1" si="4"/>
        <v>28.795341496838368</v>
      </c>
      <c r="V25" s="2">
        <f t="shared" ca="1" si="4"/>
        <v>28.655639743214824</v>
      </c>
      <c r="W25" s="2">
        <f t="shared" ca="1" si="4"/>
        <v>28.609043056398299</v>
      </c>
      <c r="X25" s="2">
        <f t="shared" ca="1" si="4"/>
        <v>23.018636230753522</v>
      </c>
      <c r="Y25" s="2">
        <f t="shared" ca="1" si="4"/>
        <v>25.961341596643717</v>
      </c>
      <c r="Z25" s="2">
        <f t="shared" ca="1" si="4"/>
        <v>23.953674055722974</v>
      </c>
      <c r="AA25" s="2">
        <f t="shared" ca="1" si="5"/>
        <v>20.744837577973247</v>
      </c>
      <c r="AB25" s="2">
        <f t="shared" ca="1" si="5"/>
        <v>24.858940606385506</v>
      </c>
      <c r="AC25" s="2">
        <f t="shared" ca="1" si="5"/>
        <v>20.74523444628251</v>
      </c>
      <c r="AD25" s="2">
        <f t="shared" ca="1" si="5"/>
        <v>29.326545627590484</v>
      </c>
      <c r="AE25" s="2">
        <f t="shared" ca="1" si="5"/>
        <v>26.488333594428266</v>
      </c>
      <c r="AF25" s="2">
        <f t="shared" ca="1" si="5"/>
        <v>25.020452217197796</v>
      </c>
      <c r="AG25" s="2">
        <f t="shared" ca="1" si="5"/>
        <v>20.704518968860654</v>
      </c>
      <c r="AH25" s="2">
        <f t="shared" ca="1" si="5"/>
        <v>22.850802598309112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22.780157357667964</v>
      </c>
      <c r="D26" s="2">
        <f t="shared" ca="1" si="3"/>
        <v>25.173180266825558</v>
      </c>
      <c r="E26" s="2">
        <f t="shared" ca="1" si="3"/>
        <v>22.472123833196658</v>
      </c>
      <c r="F26" s="2">
        <f t="shared" ca="1" si="3"/>
        <v>29.670139977736191</v>
      </c>
      <c r="G26" s="2">
        <f t="shared" ca="1" si="3"/>
        <v>26.506819404584476</v>
      </c>
      <c r="H26" s="2">
        <f t="shared" ca="1" si="3"/>
        <v>20.789061109263525</v>
      </c>
      <c r="I26" s="2">
        <f t="shared" ca="1" si="3"/>
        <v>25.958332167834879</v>
      </c>
      <c r="J26" s="2">
        <f t="shared" ca="1" si="3"/>
        <v>25.096181834624463</v>
      </c>
      <c r="K26" s="2">
        <f t="shared" ca="1" si="3"/>
        <v>21.942601854597108</v>
      </c>
      <c r="L26" s="2">
        <f t="shared" ca="1" si="3"/>
        <v>22.825091306350867</v>
      </c>
      <c r="M26" s="2">
        <f t="shared" ca="1" si="3"/>
        <v>29.424179977266679</v>
      </c>
      <c r="N26" s="2">
        <f t="shared" ca="1" si="3"/>
        <v>21.20706781119069</v>
      </c>
      <c r="O26" s="2">
        <f t="shared" ca="1" si="3"/>
        <v>20.259510087273636</v>
      </c>
      <c r="P26" s="2">
        <f t="shared" ca="1" si="3"/>
        <v>29.744700023017128</v>
      </c>
      <c r="Q26" s="2">
        <f t="shared" ca="1" si="3"/>
        <v>23.799022000079038</v>
      </c>
      <c r="R26" s="2">
        <f t="shared" ca="1" si="3"/>
        <v>27.273368191685154</v>
      </c>
      <c r="S26" s="2">
        <f t="shared" ca="1" si="4"/>
        <v>26.644794902736237</v>
      </c>
      <c r="T26" s="2">
        <f t="shared" ca="1" si="4"/>
        <v>21.595263547765303</v>
      </c>
      <c r="U26" s="2">
        <f t="shared" ca="1" si="4"/>
        <v>29.607573284602285</v>
      </c>
      <c r="V26" s="2">
        <f t="shared" ca="1" si="4"/>
        <v>24.589663008491446</v>
      </c>
      <c r="W26" s="2">
        <f t="shared" ca="1" si="4"/>
        <v>25.193504603402594</v>
      </c>
      <c r="X26" s="2">
        <f t="shared" ca="1" si="4"/>
        <v>28.590743568186781</v>
      </c>
      <c r="Y26" s="2">
        <f t="shared" ca="1" si="4"/>
        <v>23.351867621103686</v>
      </c>
      <c r="Z26" s="2">
        <f t="shared" ca="1" si="4"/>
        <v>21.839932835877036</v>
      </c>
      <c r="AA26" s="2">
        <f t="shared" ca="1" si="5"/>
        <v>26.10339572270431</v>
      </c>
      <c r="AB26" s="2">
        <f t="shared" ca="1" si="5"/>
        <v>27.953162733131709</v>
      </c>
      <c r="AC26" s="2">
        <f t="shared" ca="1" si="5"/>
        <v>26.852765941508984</v>
      </c>
      <c r="AD26" s="2">
        <f t="shared" ca="1" si="5"/>
        <v>24.163327266477978</v>
      </c>
      <c r="AE26" s="2">
        <f t="shared" ca="1" si="5"/>
        <v>23.958999600793373</v>
      </c>
      <c r="AF26" s="2">
        <f t="shared" ca="1" si="5"/>
        <v>24.183899074444753</v>
      </c>
      <c r="AG26" s="2">
        <f t="shared" ca="1" si="5"/>
        <v>29.317724276663316</v>
      </c>
      <c r="AH26" s="2">
        <f t="shared" ca="1" si="5"/>
        <v>29.392512820155105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28.729915273723961</v>
      </c>
      <c r="D27" s="2">
        <f t="shared" ca="1" si="3"/>
        <v>29.960985906068878</v>
      </c>
      <c r="E27" s="2">
        <f t="shared" ca="1" si="3"/>
        <v>29.614135267012081</v>
      </c>
      <c r="F27" s="2">
        <f t="shared" ca="1" si="3"/>
        <v>28.349158460338646</v>
      </c>
      <c r="G27" s="2">
        <f t="shared" ca="1" si="3"/>
        <v>25.339445784226388</v>
      </c>
      <c r="H27" s="2">
        <f t="shared" ca="1" si="3"/>
        <v>21.202572275499449</v>
      </c>
      <c r="I27" s="2">
        <f t="shared" ca="1" si="3"/>
        <v>25.121327954744693</v>
      </c>
      <c r="J27" s="2">
        <f t="shared" ref="J27:Y42" ca="1" si="8">(RAND()*0.1+0.2)*100</f>
        <v>20.686851939087138</v>
      </c>
      <c r="K27" s="2">
        <f t="shared" ca="1" si="8"/>
        <v>28.08560430562007</v>
      </c>
      <c r="L27" s="2">
        <f t="shared" ca="1" si="8"/>
        <v>23.014721660764373</v>
      </c>
      <c r="M27" s="2">
        <f t="shared" ca="1" si="8"/>
        <v>21.058373467793249</v>
      </c>
      <c r="N27" s="2">
        <f t="shared" ca="1" si="8"/>
        <v>22.854310457203624</v>
      </c>
      <c r="O27" s="2">
        <f t="shared" ca="1" si="8"/>
        <v>28.53723749469701</v>
      </c>
      <c r="P27" s="2">
        <f t="shared" ca="1" si="8"/>
        <v>29.693438774671478</v>
      </c>
      <c r="Q27" s="2">
        <f t="shared" ca="1" si="8"/>
        <v>20.201782620017191</v>
      </c>
      <c r="R27" s="2">
        <f t="shared" ca="1" si="8"/>
        <v>28.55297292873567</v>
      </c>
      <c r="S27" s="2">
        <f t="shared" ca="1" si="8"/>
        <v>24.514567038152073</v>
      </c>
      <c r="T27" s="2">
        <f t="shared" ca="1" si="8"/>
        <v>26.542872628777552</v>
      </c>
      <c r="U27" s="2">
        <f t="shared" ca="1" si="8"/>
        <v>25.466973305966995</v>
      </c>
      <c r="V27" s="2">
        <f t="shared" ca="1" si="8"/>
        <v>26.769605346346225</v>
      </c>
      <c r="W27" s="2">
        <f t="shared" ca="1" si="8"/>
        <v>28.486826963630058</v>
      </c>
      <c r="X27" s="2">
        <f t="shared" ca="1" si="8"/>
        <v>20.555163327117004</v>
      </c>
      <c r="Y27" s="2">
        <f t="shared" ca="1" si="8"/>
        <v>21.817494959250556</v>
      </c>
      <c r="Z27" s="2">
        <f t="shared" ca="1" si="4"/>
        <v>22.793251868057425</v>
      </c>
      <c r="AA27" s="2">
        <f t="shared" ca="1" si="5"/>
        <v>29.025598609404106</v>
      </c>
      <c r="AB27" s="2">
        <f t="shared" ca="1" si="5"/>
        <v>27.532405734640175</v>
      </c>
      <c r="AC27" s="2">
        <f t="shared" ca="1" si="5"/>
        <v>29.210175367088333</v>
      </c>
      <c r="AD27" s="2">
        <f t="shared" ca="1" si="5"/>
        <v>23.240100233352546</v>
      </c>
      <c r="AE27" s="2">
        <f t="shared" ca="1" si="5"/>
        <v>22.19978220721595</v>
      </c>
      <c r="AF27" s="2">
        <f t="shared" ca="1" si="5"/>
        <v>28.891447066135033</v>
      </c>
      <c r="AG27" s="2">
        <f t="shared" ca="1" si="5"/>
        <v>28.949546878341103</v>
      </c>
      <c r="AH27" s="2">
        <f t="shared" ca="1" si="5"/>
        <v>22.006986363307533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(RAND()*0.1+0.2)*100</f>
        <v>26.470453523839087</v>
      </c>
      <c r="D28" s="2">
        <f t="shared" ca="1" si="9"/>
        <v>23.583359325325457</v>
      </c>
      <c r="E28" s="2">
        <f t="shared" ca="1" si="9"/>
        <v>27.863541731928347</v>
      </c>
      <c r="F28" s="2">
        <f t="shared" ca="1" si="9"/>
        <v>22.025773204049045</v>
      </c>
      <c r="G28" s="2">
        <f t="shared" ca="1" si="9"/>
        <v>21.645801634106302</v>
      </c>
      <c r="H28" s="2">
        <f t="shared" ca="1" si="9"/>
        <v>24.741881710497243</v>
      </c>
      <c r="I28" s="2">
        <f t="shared" ca="1" si="9"/>
        <v>22.708450322144934</v>
      </c>
      <c r="J28" s="2">
        <f t="shared" ca="1" si="9"/>
        <v>20.425007009121444</v>
      </c>
      <c r="K28" s="2">
        <f t="shared" ca="1" si="9"/>
        <v>21.01983352425075</v>
      </c>
      <c r="L28" s="2">
        <f t="shared" ca="1" si="9"/>
        <v>23.901974554681964</v>
      </c>
      <c r="M28" s="2">
        <f t="shared" ca="1" si="9"/>
        <v>28.501200623991561</v>
      </c>
      <c r="N28" s="2">
        <f t="shared" ca="1" si="9"/>
        <v>27.793237251058766</v>
      </c>
      <c r="O28" s="2">
        <f t="shared" ca="1" si="9"/>
        <v>21.215592259594221</v>
      </c>
      <c r="P28" s="2">
        <f t="shared" ca="1" si="9"/>
        <v>24.136201469738435</v>
      </c>
      <c r="Q28" s="2">
        <f t="shared" ca="1" si="9"/>
        <v>24.219616179521957</v>
      </c>
      <c r="R28" s="2">
        <f t="shared" ca="1" si="9"/>
        <v>20.399310965991649</v>
      </c>
      <c r="S28" s="2">
        <f t="shared" ca="1" si="8"/>
        <v>27.162763665827644</v>
      </c>
      <c r="T28" s="2">
        <f t="shared" ca="1" si="8"/>
        <v>24.846983887117755</v>
      </c>
      <c r="U28" s="2">
        <f t="shared" ca="1" si="8"/>
        <v>29.435125800549873</v>
      </c>
      <c r="V28" s="2">
        <f t="shared" ca="1" si="8"/>
        <v>23.195254555976291</v>
      </c>
      <c r="W28" s="2">
        <f t="shared" ca="1" si="8"/>
        <v>22.565923818439281</v>
      </c>
      <c r="X28" s="2">
        <f t="shared" ca="1" si="8"/>
        <v>24.165627535576146</v>
      </c>
      <c r="Y28" s="2">
        <f t="shared" ca="1" si="8"/>
        <v>20.815826704807165</v>
      </c>
      <c r="Z28" s="2">
        <f t="shared" ca="1" si="4"/>
        <v>23.356979642502328</v>
      </c>
      <c r="AA28" s="2">
        <f t="shared" ca="1" si="5"/>
        <v>29.596135984700091</v>
      </c>
      <c r="AB28" s="2">
        <f t="shared" ca="1" si="5"/>
        <v>24.341075678397704</v>
      </c>
      <c r="AC28" s="2">
        <f t="shared" ca="1" si="5"/>
        <v>29.718191157350432</v>
      </c>
      <c r="AD28" s="2">
        <f t="shared" ca="1" si="5"/>
        <v>24.622942212814809</v>
      </c>
      <c r="AE28" s="2">
        <f t="shared" ca="1" si="5"/>
        <v>29.24631565587746</v>
      </c>
      <c r="AF28" s="2">
        <f t="shared" ca="1" si="5"/>
        <v>20.710476695674508</v>
      </c>
      <c r="AG28" s="2">
        <f t="shared" ca="1" si="5"/>
        <v>24.95281706013812</v>
      </c>
      <c r="AH28" s="2">
        <f t="shared" ca="1" si="5"/>
        <v>25.462868905850033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25.122749160975044</v>
      </c>
      <c r="D29" s="2">
        <f t="shared" ca="1" si="9"/>
        <v>24.646697061311905</v>
      </c>
      <c r="E29" s="2">
        <f t="shared" ca="1" si="9"/>
        <v>22.652652689092754</v>
      </c>
      <c r="F29" s="2">
        <f t="shared" ca="1" si="9"/>
        <v>20.241421956503341</v>
      </c>
      <c r="G29" s="2">
        <f t="shared" ca="1" si="9"/>
        <v>25.595791328811689</v>
      </c>
      <c r="H29" s="2">
        <f t="shared" ca="1" si="9"/>
        <v>28.343946257561687</v>
      </c>
      <c r="I29" s="2">
        <f t="shared" ca="1" si="9"/>
        <v>26.140020855107327</v>
      </c>
      <c r="J29" s="2">
        <f t="shared" ca="1" si="9"/>
        <v>24.293436692887681</v>
      </c>
      <c r="K29" s="2">
        <f t="shared" ca="1" si="9"/>
        <v>25.763525915955153</v>
      </c>
      <c r="L29" s="2">
        <f t="shared" ca="1" si="9"/>
        <v>23.176496221488765</v>
      </c>
      <c r="M29" s="2">
        <f t="shared" ca="1" si="9"/>
        <v>27.401429141326318</v>
      </c>
      <c r="N29" s="2">
        <f t="shared" ca="1" si="9"/>
        <v>23.559397315020963</v>
      </c>
      <c r="O29" s="2">
        <f t="shared" ca="1" si="9"/>
        <v>26.242148449609481</v>
      </c>
      <c r="P29" s="2">
        <f t="shared" ca="1" si="9"/>
        <v>29.621566997262377</v>
      </c>
      <c r="Q29" s="2">
        <f t="shared" ca="1" si="9"/>
        <v>24.089790431907364</v>
      </c>
      <c r="R29" s="2">
        <f t="shared" ca="1" si="9"/>
        <v>28.975451070971353</v>
      </c>
      <c r="S29" s="2">
        <f t="shared" ca="1" si="8"/>
        <v>29.411651788766996</v>
      </c>
      <c r="T29" s="2">
        <f t="shared" ca="1" si="8"/>
        <v>24.03902246016726</v>
      </c>
      <c r="U29" s="2">
        <f t="shared" ca="1" si="8"/>
        <v>29.430504884907638</v>
      </c>
      <c r="V29" s="2">
        <f t="shared" ca="1" si="8"/>
        <v>21.22934681636016</v>
      </c>
      <c r="W29" s="2">
        <f t="shared" ca="1" si="8"/>
        <v>22.042339715543896</v>
      </c>
      <c r="X29" s="2">
        <f t="shared" ca="1" si="8"/>
        <v>29.341237563942922</v>
      </c>
      <c r="Y29" s="2">
        <f t="shared" ca="1" si="8"/>
        <v>20.17575060377478</v>
      </c>
      <c r="Z29" s="2">
        <f t="shared" ca="1" si="4"/>
        <v>25.409553507402084</v>
      </c>
      <c r="AA29" s="2">
        <f t="shared" ca="1" si="5"/>
        <v>27.502139523683265</v>
      </c>
      <c r="AB29" s="2">
        <f t="shared" ca="1" si="5"/>
        <v>20.460477009191532</v>
      </c>
      <c r="AC29" s="2">
        <f t="shared" ca="1" si="5"/>
        <v>27.045546389698018</v>
      </c>
      <c r="AD29" s="2">
        <f t="shared" ca="1" si="5"/>
        <v>26.038965003224913</v>
      </c>
      <c r="AE29" s="2">
        <f t="shared" ca="1" si="5"/>
        <v>22.545120520535892</v>
      </c>
      <c r="AF29" s="2">
        <f t="shared" ca="1" si="5"/>
        <v>20.500085661629129</v>
      </c>
      <c r="AG29" s="2">
        <f t="shared" ca="1" si="5"/>
        <v>26.79793027671883</v>
      </c>
      <c r="AH29" s="2">
        <f t="shared" ca="1" si="5"/>
        <v>21.098299386477642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28.03100388765159</v>
      </c>
      <c r="D30" s="2">
        <f t="shared" ca="1" si="9"/>
        <v>22.106153154714193</v>
      </c>
      <c r="E30" s="2">
        <f t="shared" ca="1" si="9"/>
        <v>21.567657297223622</v>
      </c>
      <c r="F30" s="2">
        <f t="shared" ca="1" si="9"/>
        <v>25.8009731984233</v>
      </c>
      <c r="G30" s="2">
        <f t="shared" ca="1" si="9"/>
        <v>24.267996600917868</v>
      </c>
      <c r="H30" s="2">
        <f t="shared" ca="1" si="9"/>
        <v>21.9150200914256</v>
      </c>
      <c r="I30" s="2">
        <f t="shared" ca="1" si="9"/>
        <v>22.495336156902212</v>
      </c>
      <c r="J30" s="2">
        <f t="shared" ca="1" si="9"/>
        <v>26.596038064839885</v>
      </c>
      <c r="K30" s="2">
        <f t="shared" ca="1" si="9"/>
        <v>27.537264172297775</v>
      </c>
      <c r="L30" s="2">
        <f t="shared" ca="1" si="9"/>
        <v>25.357991343583436</v>
      </c>
      <c r="M30" s="2">
        <f t="shared" ca="1" si="9"/>
        <v>29.911794766192905</v>
      </c>
      <c r="N30" s="2">
        <f t="shared" ca="1" si="9"/>
        <v>21.967058190356109</v>
      </c>
      <c r="O30" s="2">
        <f t="shared" ca="1" si="9"/>
        <v>23.072300663703356</v>
      </c>
      <c r="P30" s="2">
        <f t="shared" ca="1" si="9"/>
        <v>22.122171473289708</v>
      </c>
      <c r="Q30" s="2">
        <f t="shared" ca="1" si="9"/>
        <v>26.349146163492275</v>
      </c>
      <c r="R30" s="2">
        <f t="shared" ca="1" si="9"/>
        <v>25.568875565147785</v>
      </c>
      <c r="S30" s="2">
        <f t="shared" ca="1" si="8"/>
        <v>23.166959312137369</v>
      </c>
      <c r="T30" s="2">
        <f t="shared" ca="1" si="8"/>
        <v>22.195946667675443</v>
      </c>
      <c r="U30" s="2">
        <f t="shared" ca="1" si="8"/>
        <v>21.625297169752987</v>
      </c>
      <c r="V30" s="2">
        <f t="shared" ca="1" si="8"/>
        <v>22.345385232566318</v>
      </c>
      <c r="W30" s="2">
        <f t="shared" ca="1" si="8"/>
        <v>22.786101671391027</v>
      </c>
      <c r="X30" s="2">
        <f t="shared" ca="1" si="8"/>
        <v>26.319755025092274</v>
      </c>
      <c r="Y30" s="2">
        <f t="shared" ca="1" si="8"/>
        <v>21.513986602705415</v>
      </c>
      <c r="Z30" s="2">
        <f t="shared" ca="1" si="4"/>
        <v>23.403559795571208</v>
      </c>
      <c r="AA30" s="2">
        <f t="shared" ca="1" si="5"/>
        <v>20.193499742183128</v>
      </c>
      <c r="AB30" s="2">
        <f t="shared" ca="1" si="5"/>
        <v>23.660440864029386</v>
      </c>
      <c r="AC30" s="2">
        <f t="shared" ca="1" si="5"/>
        <v>23.898164158661636</v>
      </c>
      <c r="AD30" s="2">
        <f t="shared" ca="1" si="5"/>
        <v>22.475440235569636</v>
      </c>
      <c r="AE30" s="2">
        <f t="shared" ca="1" si="5"/>
        <v>28.577727320269531</v>
      </c>
      <c r="AF30" s="2">
        <f t="shared" ca="1" si="5"/>
        <v>21.521378711245909</v>
      </c>
      <c r="AG30" s="2">
        <f t="shared" ca="1" si="5"/>
        <v>26.884613580090299</v>
      </c>
      <c r="AH30" s="2">
        <f t="shared" ca="1" si="5"/>
        <v>28.082595699652067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26.065646397443082</v>
      </c>
      <c r="D31" s="2">
        <f t="shared" ca="1" si="9"/>
        <v>27.548018344613297</v>
      </c>
      <c r="E31" s="2">
        <f t="shared" ca="1" si="9"/>
        <v>28.855024126675964</v>
      </c>
      <c r="F31" s="2">
        <f t="shared" ca="1" si="9"/>
        <v>28.741020474138413</v>
      </c>
      <c r="G31" s="2">
        <f t="shared" ca="1" si="9"/>
        <v>29.854667842744469</v>
      </c>
      <c r="H31" s="2">
        <f t="shared" ca="1" si="9"/>
        <v>27.516902353882816</v>
      </c>
      <c r="I31" s="2">
        <f t="shared" ca="1" si="9"/>
        <v>25.674689885162898</v>
      </c>
      <c r="J31" s="2">
        <f t="shared" ca="1" si="9"/>
        <v>21.209016555959842</v>
      </c>
      <c r="K31" s="2">
        <f t="shared" ca="1" si="9"/>
        <v>22.766439884739221</v>
      </c>
      <c r="L31" s="2">
        <f t="shared" ca="1" si="9"/>
        <v>21.85509775955914</v>
      </c>
      <c r="M31" s="2">
        <f t="shared" ca="1" si="9"/>
        <v>22.031584944546033</v>
      </c>
      <c r="N31" s="2">
        <f t="shared" ca="1" si="9"/>
        <v>24.972994042030479</v>
      </c>
      <c r="O31" s="2">
        <f t="shared" ca="1" si="9"/>
        <v>27.03232809724312</v>
      </c>
      <c r="P31" s="2">
        <f t="shared" ca="1" si="9"/>
        <v>21.672931283911197</v>
      </c>
      <c r="Q31" s="2">
        <f t="shared" ca="1" si="9"/>
        <v>25.986145846437736</v>
      </c>
      <c r="R31" s="2">
        <f t="shared" ca="1" si="9"/>
        <v>26.318683961018717</v>
      </c>
      <c r="S31" s="2">
        <f t="shared" ca="1" si="8"/>
        <v>27.192781376231174</v>
      </c>
      <c r="T31" s="2">
        <f t="shared" ca="1" si="8"/>
        <v>26.47429196736072</v>
      </c>
      <c r="U31" s="2">
        <f t="shared" ca="1" si="8"/>
        <v>24.467987726316363</v>
      </c>
      <c r="V31" s="2">
        <f t="shared" ca="1" si="8"/>
        <v>28.295859085548187</v>
      </c>
      <c r="W31" s="2">
        <f t="shared" ca="1" si="8"/>
        <v>25.952177688469803</v>
      </c>
      <c r="X31" s="2">
        <f t="shared" ca="1" si="8"/>
        <v>21.746320090277148</v>
      </c>
      <c r="Y31" s="2">
        <f t="shared" ca="1" si="8"/>
        <v>28.332518258503946</v>
      </c>
      <c r="Z31" s="2">
        <f t="shared" ca="1" si="4"/>
        <v>26.516673938485134</v>
      </c>
      <c r="AA31" s="2">
        <f t="shared" ca="1" si="5"/>
        <v>27.003857557810456</v>
      </c>
      <c r="AB31" s="2">
        <f t="shared" ca="1" si="5"/>
        <v>28.518511451579087</v>
      </c>
      <c r="AC31" s="2">
        <f t="shared" ca="1" si="5"/>
        <v>24.771790178972903</v>
      </c>
      <c r="AD31" s="2">
        <f t="shared" ca="1" si="5"/>
        <v>27.410417830992866</v>
      </c>
      <c r="AE31" s="2">
        <f t="shared" ca="1" si="5"/>
        <v>24.960201006671532</v>
      </c>
      <c r="AF31" s="2">
        <f t="shared" ca="1" si="5"/>
        <v>22.987371548315394</v>
      </c>
      <c r="AG31" s="2">
        <f t="shared" ca="1" si="5"/>
        <v>29.291776432675178</v>
      </c>
      <c r="AH31" s="2">
        <f t="shared" ca="1" si="5"/>
        <v>20.770891824451276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22.721105385086172</v>
      </c>
      <c r="D32" s="2">
        <f t="shared" ca="1" si="9"/>
        <v>22.168149342397008</v>
      </c>
      <c r="E32" s="2">
        <f t="shared" ca="1" si="9"/>
        <v>24.736296556890856</v>
      </c>
      <c r="F32" s="2">
        <f t="shared" ca="1" si="9"/>
        <v>25.280717919096098</v>
      </c>
      <c r="G32" s="2">
        <f t="shared" ca="1" si="9"/>
        <v>27.00311561012408</v>
      </c>
      <c r="H32" s="2">
        <f t="shared" ca="1" si="9"/>
        <v>23.506002520136189</v>
      </c>
      <c r="I32" s="2">
        <f t="shared" ca="1" si="9"/>
        <v>26.285524297586875</v>
      </c>
      <c r="J32" s="2">
        <f t="shared" ca="1" si="9"/>
        <v>25.470457559961705</v>
      </c>
      <c r="K32" s="2">
        <f t="shared" ca="1" si="9"/>
        <v>24.836258117190695</v>
      </c>
      <c r="L32" s="2">
        <f t="shared" ca="1" si="9"/>
        <v>27.181922348973835</v>
      </c>
      <c r="M32" s="2">
        <f t="shared" ca="1" si="9"/>
        <v>21.111941746190265</v>
      </c>
      <c r="N32" s="2">
        <f t="shared" ca="1" si="9"/>
        <v>21.065492245401092</v>
      </c>
      <c r="O32" s="2">
        <f t="shared" ca="1" si="9"/>
        <v>22.697863653712368</v>
      </c>
      <c r="P32" s="2">
        <f t="shared" ca="1" si="9"/>
        <v>21.721972992334234</v>
      </c>
      <c r="Q32" s="2">
        <f t="shared" ca="1" si="9"/>
        <v>22.867902648662401</v>
      </c>
      <c r="R32" s="2">
        <f t="shared" ca="1" si="9"/>
        <v>21.736943209547054</v>
      </c>
      <c r="S32" s="2">
        <f t="shared" ca="1" si="8"/>
        <v>21.064651054044475</v>
      </c>
      <c r="T32" s="2">
        <f t="shared" ca="1" si="8"/>
        <v>28.832156495196742</v>
      </c>
      <c r="U32" s="2">
        <f t="shared" ca="1" si="8"/>
        <v>29.779796546174314</v>
      </c>
      <c r="V32" s="2">
        <f t="shared" ca="1" si="8"/>
        <v>27.612153816257788</v>
      </c>
      <c r="W32" s="2">
        <f t="shared" ca="1" si="8"/>
        <v>24.201761570649815</v>
      </c>
      <c r="X32" s="2">
        <f t="shared" ca="1" si="8"/>
        <v>24.497366871275428</v>
      </c>
      <c r="Y32" s="2">
        <f t="shared" ca="1" si="8"/>
        <v>26.078096452569504</v>
      </c>
      <c r="Z32" s="2">
        <f t="shared" ca="1" si="4"/>
        <v>29.719936673342072</v>
      </c>
      <c r="AA32" s="2">
        <f t="shared" ca="1" si="5"/>
        <v>20.976876861065989</v>
      </c>
      <c r="AB32" s="2">
        <f t="shared" ca="1" si="5"/>
        <v>25.224242461082287</v>
      </c>
      <c r="AC32" s="2">
        <f t="shared" ca="1" si="5"/>
        <v>28.408593686191928</v>
      </c>
      <c r="AD32" s="2">
        <f t="shared" ca="1" si="5"/>
        <v>29.48757614454134</v>
      </c>
      <c r="AE32" s="2">
        <f t="shared" ca="1" si="5"/>
        <v>23.360595268966019</v>
      </c>
      <c r="AF32" s="2">
        <f t="shared" ca="1" si="5"/>
        <v>25.962829607595527</v>
      </c>
      <c r="AG32" s="2">
        <f t="shared" ca="1" si="5"/>
        <v>23.583642379919588</v>
      </c>
      <c r="AH32" s="2">
        <f t="shared" ca="1" si="5"/>
        <v>24.695493633792768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27.626167283393912</v>
      </c>
      <c r="D33" s="2">
        <f t="shared" ca="1" si="9"/>
        <v>25.658390443192015</v>
      </c>
      <c r="E33" s="2">
        <f t="shared" ca="1" si="9"/>
        <v>20.691901652880439</v>
      </c>
      <c r="F33" s="2">
        <f t="shared" ca="1" si="9"/>
        <v>20.206916173993942</v>
      </c>
      <c r="G33" s="2">
        <f t="shared" ca="1" si="9"/>
        <v>24.137381565340231</v>
      </c>
      <c r="H33" s="2">
        <f t="shared" ca="1" si="9"/>
        <v>21.147546727245832</v>
      </c>
      <c r="I33" s="2">
        <f t="shared" ca="1" si="9"/>
        <v>28.612874826614792</v>
      </c>
      <c r="J33" s="2">
        <f t="shared" ca="1" si="9"/>
        <v>22.266200672949761</v>
      </c>
      <c r="K33" s="2">
        <f t="shared" ca="1" si="9"/>
        <v>25.984920260318145</v>
      </c>
      <c r="L33" s="2">
        <f t="shared" ca="1" si="9"/>
        <v>21.238880728238406</v>
      </c>
      <c r="M33" s="2">
        <f t="shared" ca="1" si="9"/>
        <v>28.539902506377739</v>
      </c>
      <c r="N33" s="2">
        <f t="shared" ca="1" si="9"/>
        <v>21.463787382400586</v>
      </c>
      <c r="O33" s="2">
        <f t="shared" ca="1" si="9"/>
        <v>21.41334494589622</v>
      </c>
      <c r="P33" s="2">
        <f t="shared" ca="1" si="9"/>
        <v>27.722854388933687</v>
      </c>
      <c r="Q33" s="2">
        <f t="shared" ca="1" si="9"/>
        <v>29.343881734384329</v>
      </c>
      <c r="R33" s="2">
        <f t="shared" ca="1" si="9"/>
        <v>22.089576083440647</v>
      </c>
      <c r="S33" s="2">
        <f t="shared" ca="1" si="8"/>
        <v>22.352158585775566</v>
      </c>
      <c r="T33" s="2">
        <f t="shared" ca="1" si="8"/>
        <v>21.920460586717315</v>
      </c>
      <c r="U33" s="2">
        <f t="shared" ca="1" si="8"/>
        <v>24.564692180847832</v>
      </c>
      <c r="V33" s="2">
        <f t="shared" ca="1" si="8"/>
        <v>28.665910871318783</v>
      </c>
      <c r="W33" s="2">
        <f t="shared" ca="1" si="8"/>
        <v>24.157053916096729</v>
      </c>
      <c r="X33" s="2">
        <f t="shared" ca="1" si="8"/>
        <v>28.140047512513195</v>
      </c>
      <c r="Y33" s="2">
        <f t="shared" ca="1" si="8"/>
        <v>22.212726645763858</v>
      </c>
      <c r="Z33" s="2">
        <f t="shared" ca="1" si="4"/>
        <v>22.493996900642223</v>
      </c>
      <c r="AA33" s="2">
        <f t="shared" ca="1" si="5"/>
        <v>27.116524520263567</v>
      </c>
      <c r="AB33" s="2">
        <f t="shared" ca="1" si="5"/>
        <v>28.257358910924392</v>
      </c>
      <c r="AC33" s="2">
        <f t="shared" ca="1" si="5"/>
        <v>21.302199878320874</v>
      </c>
      <c r="AD33" s="2">
        <f t="shared" ca="1" si="5"/>
        <v>28.595050187193326</v>
      </c>
      <c r="AE33" s="2">
        <f t="shared" ca="1" si="5"/>
        <v>28.521851556152061</v>
      </c>
      <c r="AF33" s="2">
        <f t="shared" ca="1" si="5"/>
        <v>21.087431992799154</v>
      </c>
      <c r="AG33" s="2">
        <f t="shared" ca="1" si="5"/>
        <v>29.388595628899907</v>
      </c>
      <c r="AH33" s="2">
        <f t="shared" ca="1" si="5"/>
        <v>29.018401186233778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22.496607728828145</v>
      </c>
      <c r="D34" s="2">
        <f t="shared" ca="1" si="9"/>
        <v>20.374003828869981</v>
      </c>
      <c r="E34" s="2">
        <f t="shared" ca="1" si="9"/>
        <v>24.644792080029205</v>
      </c>
      <c r="F34" s="2">
        <f t="shared" ca="1" si="9"/>
        <v>24.052753923365813</v>
      </c>
      <c r="G34" s="2">
        <f t="shared" ca="1" si="9"/>
        <v>29.665205721341682</v>
      </c>
      <c r="H34" s="2">
        <f t="shared" ca="1" si="9"/>
        <v>28.37999935076294</v>
      </c>
      <c r="I34" s="2">
        <f t="shared" ca="1" si="9"/>
        <v>24.691870118553005</v>
      </c>
      <c r="J34" s="2">
        <f t="shared" ca="1" si="9"/>
        <v>20.999605953151331</v>
      </c>
      <c r="K34" s="2">
        <f t="shared" ca="1" si="9"/>
        <v>21.250145720473011</v>
      </c>
      <c r="L34" s="2">
        <f t="shared" ca="1" si="9"/>
        <v>21.160055655843426</v>
      </c>
      <c r="M34" s="2">
        <f t="shared" ca="1" si="9"/>
        <v>21.872769842534794</v>
      </c>
      <c r="N34" s="2">
        <f t="shared" ca="1" si="9"/>
        <v>26.187283227731616</v>
      </c>
      <c r="O34" s="2">
        <f t="shared" ca="1" si="9"/>
        <v>27.928003560948117</v>
      </c>
      <c r="P34" s="2">
        <f t="shared" ca="1" si="9"/>
        <v>25.500484788827372</v>
      </c>
      <c r="Q34" s="2">
        <f t="shared" ca="1" si="9"/>
        <v>23.566709465908929</v>
      </c>
      <c r="R34" s="2">
        <f t="shared" ca="1" si="9"/>
        <v>22.733383870774635</v>
      </c>
      <c r="S34" s="2">
        <f t="shared" ca="1" si="8"/>
        <v>20.784694330943651</v>
      </c>
      <c r="T34" s="2">
        <f t="shared" ca="1" si="8"/>
        <v>24.857766537942528</v>
      </c>
      <c r="U34" s="2">
        <f t="shared" ca="1" si="8"/>
        <v>22.955007813817652</v>
      </c>
      <c r="V34" s="2">
        <f t="shared" ca="1" si="8"/>
        <v>20.878223272993772</v>
      </c>
      <c r="W34" s="2">
        <f t="shared" ca="1" si="8"/>
        <v>28.351328372201955</v>
      </c>
      <c r="X34" s="2">
        <f t="shared" ca="1" si="8"/>
        <v>28.287750183050676</v>
      </c>
      <c r="Y34" s="2">
        <f t="shared" ca="1" si="8"/>
        <v>20.963165149599178</v>
      </c>
      <c r="Z34" s="2">
        <f t="shared" ca="1" si="4"/>
        <v>29.025301943833171</v>
      </c>
      <c r="AA34" s="2">
        <f t="shared" ca="1" si="5"/>
        <v>22.381040832592621</v>
      </c>
      <c r="AB34" s="2">
        <f t="shared" ca="1" si="5"/>
        <v>29.596549029550349</v>
      </c>
      <c r="AC34" s="2">
        <f t="shared" ca="1" si="5"/>
        <v>21.051309155021794</v>
      </c>
      <c r="AD34" s="2">
        <f t="shared" ca="1" si="5"/>
        <v>24.17958997148693</v>
      </c>
      <c r="AE34" s="2">
        <f t="shared" ca="1" si="5"/>
        <v>24.820106320363628</v>
      </c>
      <c r="AF34" s="2">
        <f t="shared" ca="1" si="5"/>
        <v>29.223351447948883</v>
      </c>
      <c r="AG34" s="2">
        <f t="shared" ca="1" si="5"/>
        <v>26.6409070654197</v>
      </c>
      <c r="AH34" s="2">
        <f t="shared" ca="1" si="5"/>
        <v>28.619531094520568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27.151284816063949</v>
      </c>
      <c r="D35" s="2">
        <f t="shared" ca="1" si="9"/>
        <v>28.037703261436171</v>
      </c>
      <c r="E35" s="2">
        <f t="shared" ca="1" si="9"/>
        <v>27.017375837529666</v>
      </c>
      <c r="F35" s="2">
        <f t="shared" ca="1" si="9"/>
        <v>26.139439376049054</v>
      </c>
      <c r="G35" s="2">
        <f t="shared" ca="1" si="9"/>
        <v>27.396736045066916</v>
      </c>
      <c r="H35" s="2">
        <f t="shared" ca="1" si="9"/>
        <v>25.483243012396706</v>
      </c>
      <c r="I35" s="2">
        <f t="shared" ca="1" si="9"/>
        <v>25.006925237903555</v>
      </c>
      <c r="J35" s="2">
        <f t="shared" ca="1" si="9"/>
        <v>25.544479989947106</v>
      </c>
      <c r="K35" s="2">
        <f t="shared" ca="1" si="9"/>
        <v>27.562472780279407</v>
      </c>
      <c r="L35" s="2">
        <f t="shared" ca="1" si="9"/>
        <v>28.523157807404921</v>
      </c>
      <c r="M35" s="2">
        <f t="shared" ca="1" si="9"/>
        <v>28.046782566577001</v>
      </c>
      <c r="N35" s="2">
        <f t="shared" ca="1" si="9"/>
        <v>20.387676882537548</v>
      </c>
      <c r="O35" s="2">
        <f t="shared" ca="1" si="9"/>
        <v>29.417156982306491</v>
      </c>
      <c r="P35" s="2">
        <f t="shared" ca="1" si="9"/>
        <v>25.832553116560625</v>
      </c>
      <c r="Q35" s="2">
        <f t="shared" ca="1" si="9"/>
        <v>20.763251620979695</v>
      </c>
      <c r="R35" s="2">
        <f t="shared" ca="1" si="9"/>
        <v>21.4556789755651</v>
      </c>
      <c r="S35" s="2">
        <f t="shared" ca="1" si="8"/>
        <v>26.562949687740588</v>
      </c>
      <c r="T35" s="2">
        <f t="shared" ca="1" si="8"/>
        <v>25.796156305147182</v>
      </c>
      <c r="U35" s="2">
        <f t="shared" ca="1" si="8"/>
        <v>20.388338682819633</v>
      </c>
      <c r="V35" s="2">
        <f t="shared" ca="1" si="8"/>
        <v>23.919486397417884</v>
      </c>
      <c r="W35" s="2">
        <f t="shared" ca="1" si="8"/>
        <v>26.620356904925874</v>
      </c>
      <c r="X35" s="2">
        <f t="shared" ca="1" si="8"/>
        <v>29.016942801766849</v>
      </c>
      <c r="Y35" s="2">
        <f t="shared" ca="1" si="8"/>
        <v>21.6179819429113</v>
      </c>
      <c r="Z35" s="2">
        <f t="shared" ca="1" si="4"/>
        <v>28.33169149307902</v>
      </c>
      <c r="AA35" s="2">
        <f t="shared" ca="1" si="5"/>
        <v>29.190805864169878</v>
      </c>
      <c r="AB35" s="2">
        <f t="shared" ca="1" si="5"/>
        <v>29.184615298835549</v>
      </c>
      <c r="AC35" s="2">
        <f t="shared" ca="1" si="5"/>
        <v>26.691690380135164</v>
      </c>
      <c r="AD35" s="2">
        <f t="shared" ca="1" si="5"/>
        <v>28.737034791701632</v>
      </c>
      <c r="AE35" s="2">
        <f t="shared" ca="1" si="5"/>
        <v>24.967338878822769</v>
      </c>
      <c r="AF35" s="2">
        <f t="shared" ca="1" si="5"/>
        <v>29.183364137758449</v>
      </c>
      <c r="AG35" s="2">
        <f t="shared" ca="1" si="5"/>
        <v>24.712630415598177</v>
      </c>
      <c r="AH35" s="2">
        <f t="shared" ca="1" si="5"/>
        <v>24.399529163742475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20.632895039081241</v>
      </c>
      <c r="D36" s="2">
        <f t="shared" ca="1" si="9"/>
        <v>26.258053788226899</v>
      </c>
      <c r="E36" s="2">
        <f t="shared" ca="1" si="9"/>
        <v>20.280936083535543</v>
      </c>
      <c r="F36" s="2">
        <f t="shared" ca="1" si="9"/>
        <v>22.732751173862077</v>
      </c>
      <c r="G36" s="2">
        <f t="shared" ca="1" si="9"/>
        <v>29.618599509699795</v>
      </c>
      <c r="H36" s="2">
        <f t="shared" ca="1" si="9"/>
        <v>26.831421132461525</v>
      </c>
      <c r="I36" s="2">
        <f t="shared" ca="1" si="9"/>
        <v>21.698368966442981</v>
      </c>
      <c r="J36" s="2">
        <f t="shared" ca="1" si="9"/>
        <v>26.117001479591089</v>
      </c>
      <c r="K36" s="2">
        <f t="shared" ca="1" si="9"/>
        <v>24.874293242125965</v>
      </c>
      <c r="L36" s="2">
        <f t="shared" ca="1" si="9"/>
        <v>29.325660116356971</v>
      </c>
      <c r="M36" s="2">
        <f t="shared" ca="1" si="9"/>
        <v>26.919266054281131</v>
      </c>
      <c r="N36" s="2">
        <f t="shared" ca="1" si="9"/>
        <v>21.34357196768104</v>
      </c>
      <c r="O36" s="2">
        <f t="shared" ca="1" si="9"/>
        <v>24.219881493442994</v>
      </c>
      <c r="P36" s="2">
        <f t="shared" ca="1" si="9"/>
        <v>26.705534236183411</v>
      </c>
      <c r="Q36" s="2">
        <f t="shared" ca="1" si="9"/>
        <v>28.843897790116678</v>
      </c>
      <c r="R36" s="2">
        <f t="shared" ca="1" si="9"/>
        <v>24.594028165492027</v>
      </c>
      <c r="S36" s="2">
        <f t="shared" ca="1" si="8"/>
        <v>21.790909475709064</v>
      </c>
      <c r="T36" s="2">
        <f t="shared" ca="1" si="8"/>
        <v>24.896943877179922</v>
      </c>
      <c r="U36" s="2">
        <f t="shared" ca="1" si="8"/>
        <v>21.737268956908594</v>
      </c>
      <c r="V36" s="2">
        <f t="shared" ca="1" si="8"/>
        <v>22.807506605894691</v>
      </c>
      <c r="W36" s="2">
        <f t="shared" ca="1" si="8"/>
        <v>22.310734347710174</v>
      </c>
      <c r="X36" s="2">
        <f t="shared" ca="1" si="8"/>
        <v>23.505617710988727</v>
      </c>
      <c r="Y36" s="2">
        <f t="shared" ca="1" si="8"/>
        <v>27.014296058431963</v>
      </c>
      <c r="Z36" s="2">
        <f t="shared" ca="1" si="4"/>
        <v>27.370043437668421</v>
      </c>
      <c r="AA36" s="2">
        <f t="shared" ca="1" si="5"/>
        <v>27.849675063055955</v>
      </c>
      <c r="AB36" s="2">
        <f t="shared" ca="1" si="5"/>
        <v>28.570120360934816</v>
      </c>
      <c r="AC36" s="2">
        <f t="shared" ca="1" si="5"/>
        <v>29.281173571617568</v>
      </c>
      <c r="AD36" s="2">
        <f t="shared" ca="1" si="5"/>
        <v>22.730983520650053</v>
      </c>
      <c r="AE36" s="2">
        <f t="shared" ca="1" si="5"/>
        <v>20.158793565159407</v>
      </c>
      <c r="AF36" s="2">
        <f t="shared" ca="1" si="5"/>
        <v>23.774310723545934</v>
      </c>
      <c r="AG36" s="2">
        <f t="shared" ca="1" si="5"/>
        <v>21.050283136085259</v>
      </c>
      <c r="AH36" s="2">
        <f t="shared" ca="1" si="5"/>
        <v>24.58211084607828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25.095918840335841</v>
      </c>
      <c r="D37" s="2">
        <f t="shared" ca="1" si="9"/>
        <v>22.319249101972982</v>
      </c>
      <c r="E37" s="2">
        <f t="shared" ca="1" si="9"/>
        <v>23.032182751140645</v>
      </c>
      <c r="F37" s="2">
        <f t="shared" ca="1" si="9"/>
        <v>26.075144152212566</v>
      </c>
      <c r="G37" s="2">
        <f t="shared" ca="1" si="9"/>
        <v>27.847097333711123</v>
      </c>
      <c r="H37" s="2">
        <f t="shared" ca="1" si="9"/>
        <v>24.989174231807123</v>
      </c>
      <c r="I37" s="2">
        <f t="shared" ca="1" si="9"/>
        <v>21.030612152428294</v>
      </c>
      <c r="J37" s="2">
        <f t="shared" ca="1" si="9"/>
        <v>29.100499982411872</v>
      </c>
      <c r="K37" s="2">
        <f t="shared" ca="1" si="9"/>
        <v>22.36897222744955</v>
      </c>
      <c r="L37" s="2">
        <f t="shared" ca="1" si="9"/>
        <v>21.162775771526686</v>
      </c>
      <c r="M37" s="2">
        <f t="shared" ca="1" si="9"/>
        <v>23.661777383589701</v>
      </c>
      <c r="N37" s="2">
        <f t="shared" ca="1" si="9"/>
        <v>26.081216815862124</v>
      </c>
      <c r="O37" s="2">
        <f t="shared" ca="1" si="9"/>
        <v>28.545240350650818</v>
      </c>
      <c r="P37" s="2">
        <f t="shared" ca="1" si="9"/>
        <v>28.971274394267404</v>
      </c>
      <c r="Q37" s="2">
        <f t="shared" ca="1" si="9"/>
        <v>20.3490842270811</v>
      </c>
      <c r="R37" s="2">
        <f t="shared" ca="1" si="9"/>
        <v>20.477966870244018</v>
      </c>
      <c r="S37" s="2">
        <f t="shared" ca="1" si="8"/>
        <v>27.505704327972747</v>
      </c>
      <c r="T37" s="2">
        <f t="shared" ca="1" si="8"/>
        <v>28.969342548134254</v>
      </c>
      <c r="U37" s="2">
        <f t="shared" ca="1" si="8"/>
        <v>21.756730854014531</v>
      </c>
      <c r="V37" s="2">
        <f t="shared" ca="1" si="8"/>
        <v>26.066344451769584</v>
      </c>
      <c r="W37" s="2">
        <f t="shared" ca="1" si="8"/>
        <v>23.597633489238298</v>
      </c>
      <c r="X37" s="2">
        <f t="shared" ca="1" si="8"/>
        <v>20.012227506042372</v>
      </c>
      <c r="Y37" s="2">
        <f t="shared" ca="1" si="8"/>
        <v>27.023959147894693</v>
      </c>
      <c r="Z37" s="2">
        <f t="shared" ca="1" si="4"/>
        <v>29.08740315326726</v>
      </c>
      <c r="AA37" s="2">
        <f t="shared" ca="1" si="5"/>
        <v>20.376447873718785</v>
      </c>
      <c r="AB37" s="2">
        <f t="shared" ca="1" si="5"/>
        <v>22.343999028569257</v>
      </c>
      <c r="AC37" s="2">
        <f t="shared" ca="1" si="5"/>
        <v>28.763944183123495</v>
      </c>
      <c r="AD37" s="2">
        <f t="shared" ca="1" si="5"/>
        <v>22.913357174809068</v>
      </c>
      <c r="AE37" s="2">
        <f t="shared" ca="1" si="5"/>
        <v>22.451728391413202</v>
      </c>
      <c r="AF37" s="2">
        <f t="shared" ca="1" si="5"/>
        <v>23.257700235443192</v>
      </c>
      <c r="AG37" s="2">
        <f t="shared" ca="1" si="5"/>
        <v>24.745188974701851</v>
      </c>
      <c r="AH37" s="2">
        <f t="shared" ca="1" si="5"/>
        <v>27.139174773387818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21.367149257163717</v>
      </c>
      <c r="D38" s="2">
        <f t="shared" ca="1" si="9"/>
        <v>24.062916332564164</v>
      </c>
      <c r="E38" s="2">
        <f t="shared" ca="1" si="9"/>
        <v>20.493281297889354</v>
      </c>
      <c r="F38" s="2">
        <f t="shared" ca="1" si="9"/>
        <v>23.388118460096095</v>
      </c>
      <c r="G38" s="2">
        <f t="shared" ca="1" si="9"/>
        <v>24.95867596748645</v>
      </c>
      <c r="H38" s="2">
        <f t="shared" ca="1" si="9"/>
        <v>29.494578631710848</v>
      </c>
      <c r="I38" s="2">
        <f t="shared" ca="1" si="9"/>
        <v>27.115949319634648</v>
      </c>
      <c r="J38" s="2">
        <f t="shared" ca="1" si="9"/>
        <v>25.000630822673813</v>
      </c>
      <c r="K38" s="2">
        <f t="shared" ca="1" si="9"/>
        <v>25.574489201642713</v>
      </c>
      <c r="L38" s="2">
        <f t="shared" ca="1" si="9"/>
        <v>24.719029907018314</v>
      </c>
      <c r="M38" s="2">
        <f t="shared" ca="1" si="9"/>
        <v>20.447810509684718</v>
      </c>
      <c r="N38" s="2">
        <f t="shared" ca="1" si="9"/>
        <v>23.306379838066036</v>
      </c>
      <c r="O38" s="2">
        <f t="shared" ca="1" si="9"/>
        <v>20.919545590325615</v>
      </c>
      <c r="P38" s="2">
        <f t="shared" ca="1" si="9"/>
        <v>25.128838763715866</v>
      </c>
      <c r="Q38" s="2">
        <f t="shared" ca="1" si="9"/>
        <v>26.561443476023662</v>
      </c>
      <c r="R38" s="2">
        <f t="shared" ca="1" si="9"/>
        <v>25.878843856904275</v>
      </c>
      <c r="S38" s="2">
        <f t="shared" ca="1" si="8"/>
        <v>21.948098006014707</v>
      </c>
      <c r="T38" s="2">
        <f t="shared" ca="1" si="8"/>
        <v>23.062708678497255</v>
      </c>
      <c r="U38" s="2">
        <f t="shared" ca="1" si="8"/>
        <v>22.262850552833559</v>
      </c>
      <c r="V38" s="2">
        <f t="shared" ca="1" si="8"/>
        <v>27.470382249138815</v>
      </c>
      <c r="W38" s="2">
        <f t="shared" ca="1" si="8"/>
        <v>23.558621737831825</v>
      </c>
      <c r="X38" s="2">
        <f t="shared" ca="1" si="8"/>
        <v>29.441187388572981</v>
      </c>
      <c r="Y38" s="2">
        <f t="shared" ca="1" si="8"/>
        <v>22.768533568534856</v>
      </c>
      <c r="Z38" s="2">
        <f t="shared" ca="1" si="4"/>
        <v>22.727178477869014</v>
      </c>
      <c r="AA38" s="2">
        <f t="shared" ca="1" si="5"/>
        <v>27.445750979148471</v>
      </c>
      <c r="AB38" s="2">
        <f t="shared" ca="1" si="5"/>
        <v>26.086283344296383</v>
      </c>
      <c r="AC38" s="2">
        <f t="shared" ca="1" si="5"/>
        <v>22.638260244876722</v>
      </c>
      <c r="AD38" s="2">
        <f t="shared" ca="1" si="5"/>
        <v>23.629900893111966</v>
      </c>
      <c r="AE38" s="2">
        <f t="shared" ca="1" si="5"/>
        <v>24.603028546794675</v>
      </c>
      <c r="AF38" s="2">
        <f t="shared" ca="1" si="5"/>
        <v>26.272096979180244</v>
      </c>
      <c r="AG38" s="2">
        <f t="shared" ca="1" si="5"/>
        <v>22.862254054899882</v>
      </c>
      <c r="AH38" s="2">
        <f t="shared" ca="1" si="5"/>
        <v>20.356030647058599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26.621398927563373</v>
      </c>
      <c r="D39" s="2">
        <f t="shared" ca="1" si="9"/>
        <v>28.996157598471584</v>
      </c>
      <c r="E39" s="2">
        <f t="shared" ca="1" si="9"/>
        <v>26.486275779470169</v>
      </c>
      <c r="F39" s="2">
        <f t="shared" ca="1" si="9"/>
        <v>21.711827729469334</v>
      </c>
      <c r="G39" s="2">
        <f t="shared" ca="1" si="9"/>
        <v>27.142814072615586</v>
      </c>
      <c r="H39" s="2">
        <f t="shared" ca="1" si="9"/>
        <v>29.438416370390218</v>
      </c>
      <c r="I39" s="2">
        <f t="shared" ca="1" si="9"/>
        <v>29.897523058522303</v>
      </c>
      <c r="J39" s="2">
        <f t="shared" ca="1" si="9"/>
        <v>25.655490132580784</v>
      </c>
      <c r="K39" s="2">
        <f t="shared" ca="1" si="9"/>
        <v>27.548193902030011</v>
      </c>
      <c r="L39" s="2">
        <f t="shared" ca="1" si="9"/>
        <v>22.309233817835054</v>
      </c>
      <c r="M39" s="2">
        <f t="shared" ca="1" si="9"/>
        <v>26.144465811633431</v>
      </c>
      <c r="N39" s="2">
        <f t="shared" ca="1" si="9"/>
        <v>28.67974602206181</v>
      </c>
      <c r="O39" s="2">
        <f t="shared" ca="1" si="9"/>
        <v>21.361467244614683</v>
      </c>
      <c r="P39" s="2">
        <f t="shared" ca="1" si="9"/>
        <v>26.101665833152442</v>
      </c>
      <c r="Q39" s="2">
        <f t="shared" ca="1" si="9"/>
        <v>21.076071238954338</v>
      </c>
      <c r="R39" s="2">
        <f t="shared" ca="1" si="9"/>
        <v>20.987711393942881</v>
      </c>
      <c r="S39" s="2">
        <f t="shared" ca="1" si="8"/>
        <v>25.775528303732298</v>
      </c>
      <c r="T39" s="2">
        <f t="shared" ca="1" si="8"/>
        <v>20.850403755871639</v>
      </c>
      <c r="U39" s="2">
        <f t="shared" ca="1" si="8"/>
        <v>27.093830990452041</v>
      </c>
      <c r="V39" s="2">
        <f t="shared" ca="1" si="8"/>
        <v>25.100229764405974</v>
      </c>
      <c r="W39" s="2">
        <f t="shared" ca="1" si="8"/>
        <v>28.927986990527245</v>
      </c>
      <c r="X39" s="2">
        <f t="shared" ca="1" si="8"/>
        <v>27.669637510842282</v>
      </c>
      <c r="Y39" s="2">
        <f t="shared" ca="1" si="8"/>
        <v>23.166350451752663</v>
      </c>
      <c r="Z39" s="2">
        <f t="shared" ca="1" si="4"/>
        <v>21.132519388409548</v>
      </c>
      <c r="AA39" s="2">
        <f t="shared" ca="1" si="5"/>
        <v>27.409083438999772</v>
      </c>
      <c r="AB39" s="2">
        <f t="shared" ca="1" si="5"/>
        <v>22.02627391868079</v>
      </c>
      <c r="AC39" s="2">
        <f t="shared" ca="1" si="5"/>
        <v>22.910138240109575</v>
      </c>
      <c r="AD39" s="2">
        <f t="shared" ca="1" si="5"/>
        <v>28.863619793873667</v>
      </c>
      <c r="AE39" s="2">
        <f t="shared" ca="1" si="5"/>
        <v>28.148682236948673</v>
      </c>
      <c r="AF39" s="2">
        <f t="shared" ca="1" si="5"/>
        <v>28.438775523871335</v>
      </c>
      <c r="AG39" s="2">
        <f t="shared" ca="1" si="5"/>
        <v>25.136479150139877</v>
      </c>
      <c r="AH39" s="2">
        <f t="shared" ca="1" si="5"/>
        <v>20.421855145779563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27.246943081887963</v>
      </c>
      <c r="D40" s="2">
        <f t="shared" ca="1" si="9"/>
        <v>27.151316022979678</v>
      </c>
      <c r="E40" s="2">
        <f t="shared" ca="1" si="9"/>
        <v>27.187421610122204</v>
      </c>
      <c r="F40" s="2">
        <f t="shared" ca="1" si="9"/>
        <v>24.114022174948282</v>
      </c>
      <c r="G40" s="2">
        <f t="shared" ca="1" si="9"/>
        <v>26.971014941925826</v>
      </c>
      <c r="H40" s="2">
        <f t="shared" ca="1" si="9"/>
        <v>22.272588682973559</v>
      </c>
      <c r="I40" s="2">
        <f t="shared" ca="1" si="9"/>
        <v>26.416712719580126</v>
      </c>
      <c r="J40" s="2">
        <f t="shared" ca="1" si="9"/>
        <v>24.559201837289951</v>
      </c>
      <c r="K40" s="2">
        <f t="shared" ca="1" si="9"/>
        <v>21.799033522599455</v>
      </c>
      <c r="L40" s="2">
        <f t="shared" ca="1" si="9"/>
        <v>25.087334482286888</v>
      </c>
      <c r="M40" s="2">
        <f t="shared" ca="1" si="9"/>
        <v>20.995180923827775</v>
      </c>
      <c r="N40" s="2">
        <f t="shared" ca="1" si="9"/>
        <v>28.073053156616005</v>
      </c>
      <c r="O40" s="2">
        <f t="shared" ca="1" si="9"/>
        <v>23.67778062242391</v>
      </c>
      <c r="P40" s="2">
        <f t="shared" ca="1" si="9"/>
        <v>20.446031818364645</v>
      </c>
      <c r="Q40" s="2">
        <f t="shared" ca="1" si="9"/>
        <v>22.384689613097606</v>
      </c>
      <c r="R40" s="2">
        <f t="shared" ca="1" si="9"/>
        <v>28.713858317159108</v>
      </c>
      <c r="S40" s="2">
        <f t="shared" ca="1" si="8"/>
        <v>24.464952185639731</v>
      </c>
      <c r="T40" s="2">
        <f t="shared" ca="1" si="8"/>
        <v>28.961358327896509</v>
      </c>
      <c r="U40" s="2">
        <f t="shared" ca="1" si="8"/>
        <v>20.296257037252317</v>
      </c>
      <c r="V40" s="2">
        <f t="shared" ca="1" si="8"/>
        <v>23.161133338231103</v>
      </c>
      <c r="W40" s="2">
        <f t="shared" ca="1" si="8"/>
        <v>24.751786969602634</v>
      </c>
      <c r="X40" s="2">
        <f t="shared" ca="1" si="8"/>
        <v>28.601556194017512</v>
      </c>
      <c r="Y40" s="2">
        <f t="shared" ca="1" si="8"/>
        <v>28.872947003154021</v>
      </c>
      <c r="Z40" s="2">
        <f t="shared" ca="1" si="4"/>
        <v>27.605800468529473</v>
      </c>
      <c r="AA40" s="2">
        <f t="shared" ca="1" si="5"/>
        <v>22.342078149280574</v>
      </c>
      <c r="AB40" s="2">
        <f t="shared" ca="1" si="5"/>
        <v>20.362647357086175</v>
      </c>
      <c r="AC40" s="2">
        <f t="shared" ca="1" si="5"/>
        <v>26.404022185957221</v>
      </c>
      <c r="AD40" s="2">
        <f t="shared" ca="1" si="5"/>
        <v>29.985052807162386</v>
      </c>
      <c r="AE40" s="2">
        <f t="shared" ca="1" si="5"/>
        <v>21.320437669119897</v>
      </c>
      <c r="AF40" s="2">
        <f t="shared" ca="1" si="5"/>
        <v>23.368510080785157</v>
      </c>
      <c r="AG40" s="2">
        <f t="shared" ca="1" si="5"/>
        <v>23.282580699305537</v>
      </c>
      <c r="AH40" s="2">
        <f t="shared" ca="1" si="5"/>
        <v>25.456174212587324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28.316118921989681</v>
      </c>
      <c r="D41" s="2">
        <f t="shared" ca="1" si="9"/>
        <v>22.974448538735391</v>
      </c>
      <c r="E41" s="2">
        <f t="shared" ca="1" si="9"/>
        <v>27.794047472463536</v>
      </c>
      <c r="F41" s="2">
        <f t="shared" ca="1" si="9"/>
        <v>20.973742621410203</v>
      </c>
      <c r="G41" s="2">
        <f t="shared" ca="1" si="9"/>
        <v>26.854523234770035</v>
      </c>
      <c r="H41" s="2">
        <f t="shared" ca="1" si="9"/>
        <v>20.742761160345221</v>
      </c>
      <c r="I41" s="2">
        <f t="shared" ca="1" si="9"/>
        <v>20.988421643805673</v>
      </c>
      <c r="J41" s="2">
        <f t="shared" ca="1" si="9"/>
        <v>24.365988349967932</v>
      </c>
      <c r="K41" s="2">
        <f t="shared" ca="1" si="9"/>
        <v>28.803198439081147</v>
      </c>
      <c r="L41" s="2">
        <f t="shared" ca="1" si="9"/>
        <v>27.367484290430593</v>
      </c>
      <c r="M41" s="2">
        <f t="shared" ca="1" si="9"/>
        <v>22.064234555164436</v>
      </c>
      <c r="N41" s="2">
        <f t="shared" ca="1" si="9"/>
        <v>28.753666373602709</v>
      </c>
      <c r="O41" s="2">
        <f t="shared" ca="1" si="9"/>
        <v>25.885972575611909</v>
      </c>
      <c r="P41" s="2">
        <f t="shared" ca="1" si="9"/>
        <v>24.14949367730533</v>
      </c>
      <c r="Q41" s="2">
        <f t="shared" ca="1" si="9"/>
        <v>29.911573583737262</v>
      </c>
      <c r="R41" s="2">
        <f t="shared" ca="1" si="9"/>
        <v>21.344533561058771</v>
      </c>
      <c r="S41" s="2">
        <f t="shared" ca="1" si="8"/>
        <v>23.813394839715166</v>
      </c>
      <c r="T41" s="2">
        <f t="shared" ca="1" si="8"/>
        <v>21.147247451762073</v>
      </c>
      <c r="U41" s="2">
        <f t="shared" ca="1" si="8"/>
        <v>21.894577534274571</v>
      </c>
      <c r="V41" s="2">
        <f t="shared" ca="1" si="8"/>
        <v>20.438279401508744</v>
      </c>
      <c r="W41" s="2">
        <f t="shared" ca="1" si="8"/>
        <v>23.223877949860526</v>
      </c>
      <c r="X41" s="2">
        <f t="shared" ca="1" si="8"/>
        <v>29.763665367667048</v>
      </c>
      <c r="Y41" s="2">
        <f t="shared" ca="1" si="8"/>
        <v>23.559918484702472</v>
      </c>
      <c r="Z41" s="2">
        <f t="shared" ca="1" si="4"/>
        <v>24.477660070663973</v>
      </c>
      <c r="AA41" s="2">
        <f t="shared" ca="1" si="5"/>
        <v>22.001396664816898</v>
      </c>
      <c r="AB41" s="2">
        <f t="shared" ca="1" si="5"/>
        <v>24.051389207653429</v>
      </c>
      <c r="AC41" s="2">
        <f t="shared" ca="1" si="5"/>
        <v>26.196034189583234</v>
      </c>
      <c r="AD41" s="2">
        <f t="shared" ca="1" si="5"/>
        <v>28.50354023999644</v>
      </c>
      <c r="AE41" s="2">
        <f t="shared" ca="1" si="5"/>
        <v>26.741181298044285</v>
      </c>
      <c r="AF41" s="2">
        <f t="shared" ca="1" si="5"/>
        <v>20.115749706765097</v>
      </c>
      <c r="AG41" s="2">
        <f t="shared" ca="1" si="5"/>
        <v>29.015148080858854</v>
      </c>
      <c r="AH41" s="2">
        <f t="shared" ca="1" si="5"/>
        <v>21.157341176480301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23.798836084357085</v>
      </c>
      <c r="D42" s="2">
        <f t="shared" ca="1" si="9"/>
        <v>21.654824290121987</v>
      </c>
      <c r="E42" s="2">
        <f t="shared" ca="1" si="9"/>
        <v>25.591789262245275</v>
      </c>
      <c r="F42" s="2">
        <f t="shared" ca="1" si="9"/>
        <v>23.644349720180703</v>
      </c>
      <c r="G42" s="2">
        <f t="shared" ca="1" si="9"/>
        <v>23.651104284205758</v>
      </c>
      <c r="H42" s="2">
        <f t="shared" ca="1" si="9"/>
        <v>28.366454108580065</v>
      </c>
      <c r="I42" s="2">
        <f t="shared" ca="1" si="9"/>
        <v>23.067069249663692</v>
      </c>
      <c r="J42" s="2">
        <f t="shared" ca="1" si="9"/>
        <v>20.229909796037752</v>
      </c>
      <c r="K42" s="2">
        <f t="shared" ca="1" si="9"/>
        <v>24.005189368360391</v>
      </c>
      <c r="L42" s="2">
        <f t="shared" ca="1" si="9"/>
        <v>28.989045867096468</v>
      </c>
      <c r="M42" s="2">
        <f t="shared" ca="1" si="9"/>
        <v>25.24591508063974</v>
      </c>
      <c r="N42" s="2">
        <f t="shared" ca="1" si="9"/>
        <v>24.860870931500024</v>
      </c>
      <c r="O42" s="2">
        <f t="shared" ca="1" si="9"/>
        <v>21.78968574843072</v>
      </c>
      <c r="P42" s="2">
        <f t="shared" ca="1" si="9"/>
        <v>21.680979802552365</v>
      </c>
      <c r="Q42" s="2">
        <f t="shared" ca="1" si="9"/>
        <v>28.637382977368585</v>
      </c>
      <c r="R42" s="2">
        <f t="shared" ca="1" si="9"/>
        <v>27.932641672075164</v>
      </c>
      <c r="S42" s="2">
        <f t="shared" ca="1" si="8"/>
        <v>26.318454553886273</v>
      </c>
      <c r="T42" s="2">
        <f t="shared" ca="1" si="8"/>
        <v>23.900202281367623</v>
      </c>
      <c r="U42" s="2">
        <f t="shared" ca="1" si="8"/>
        <v>27.007869784200274</v>
      </c>
      <c r="V42" s="2">
        <f t="shared" ca="1" si="8"/>
        <v>24.09721327917514</v>
      </c>
      <c r="W42" s="2">
        <f t="shared" ca="1" si="8"/>
        <v>29.447747275925934</v>
      </c>
      <c r="X42" s="2">
        <f t="shared" ca="1" si="8"/>
        <v>27.760206674225419</v>
      </c>
      <c r="Y42" s="2">
        <f t="shared" ca="1" si="8"/>
        <v>29.090046568195348</v>
      </c>
      <c r="Z42" s="2">
        <f t="shared" ca="1" si="4"/>
        <v>29.849506741008327</v>
      </c>
      <c r="AA42" s="2">
        <f t="shared" ca="1" si="5"/>
        <v>24.748446776514836</v>
      </c>
      <c r="AB42" s="2">
        <f t="shared" ca="1" si="5"/>
        <v>23.412802484396384</v>
      </c>
      <c r="AC42" s="2">
        <f t="shared" ca="1" si="5"/>
        <v>23.212962356188701</v>
      </c>
      <c r="AD42" s="2">
        <f t="shared" ca="1" si="5"/>
        <v>28.945929219838419</v>
      </c>
      <c r="AE42" s="2">
        <f t="shared" ca="1" si="5"/>
        <v>29.074596885563402</v>
      </c>
      <c r="AF42" s="2">
        <f t="shared" ca="1" si="5"/>
        <v>20.889109698902626</v>
      </c>
      <c r="AG42" s="2">
        <f t="shared" ca="1" si="5"/>
        <v>25.582949849969488</v>
      </c>
      <c r="AH42" s="2">
        <f t="shared" ref="D42:AH51" ca="1" si="10">(RAND()*0.1+0.2)*100</f>
        <v>24.590500617837332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23.41460641678399</v>
      </c>
      <c r="D43" s="2">
        <f t="shared" ca="1" si="10"/>
        <v>21.389314184390919</v>
      </c>
      <c r="E43" s="2">
        <f t="shared" ca="1" si="10"/>
        <v>27.521882861597625</v>
      </c>
      <c r="F43" s="2">
        <f t="shared" ca="1" si="10"/>
        <v>27.959031312116995</v>
      </c>
      <c r="G43" s="2">
        <f t="shared" ca="1" si="10"/>
        <v>25.757059941981169</v>
      </c>
      <c r="H43" s="2">
        <f t="shared" ca="1" si="10"/>
        <v>20.23259979566577</v>
      </c>
      <c r="I43" s="2">
        <f t="shared" ca="1" si="10"/>
        <v>23.526641715267431</v>
      </c>
      <c r="J43" s="2">
        <f t="shared" ca="1" si="10"/>
        <v>22.354441118122555</v>
      </c>
      <c r="K43" s="2">
        <f t="shared" ca="1" si="10"/>
        <v>26.371935868324559</v>
      </c>
      <c r="L43" s="2">
        <f t="shared" ca="1" si="10"/>
        <v>29.395943436324874</v>
      </c>
      <c r="M43" s="2">
        <f t="shared" ca="1" si="10"/>
        <v>27.085371971071993</v>
      </c>
      <c r="N43" s="2">
        <f t="shared" ca="1" si="10"/>
        <v>28.462251133735577</v>
      </c>
      <c r="O43" s="2">
        <f t="shared" ca="1" si="10"/>
        <v>26.01638223402572</v>
      </c>
      <c r="P43" s="2">
        <f t="shared" ca="1" si="10"/>
        <v>23.435692555403282</v>
      </c>
      <c r="Q43" s="2">
        <f t="shared" ca="1" si="10"/>
        <v>29.658065425985985</v>
      </c>
      <c r="R43" s="2">
        <f t="shared" ca="1" si="10"/>
        <v>28.209385479352093</v>
      </c>
      <c r="S43" s="2">
        <f t="shared" ca="1" si="10"/>
        <v>27.327476275822626</v>
      </c>
      <c r="T43" s="2">
        <f t="shared" ca="1" si="10"/>
        <v>27.499137962912783</v>
      </c>
      <c r="U43" s="2">
        <f t="shared" ca="1" si="10"/>
        <v>29.8410849001733</v>
      </c>
      <c r="V43" s="2">
        <f t="shared" ca="1" si="10"/>
        <v>25.896394294817782</v>
      </c>
      <c r="W43" s="2">
        <f t="shared" ca="1" si="10"/>
        <v>21.756682239524658</v>
      </c>
      <c r="X43" s="2">
        <f t="shared" ca="1" si="10"/>
        <v>24.704055642139426</v>
      </c>
      <c r="Y43" s="2">
        <f t="shared" ca="1" si="10"/>
        <v>28.263593329067039</v>
      </c>
      <c r="Z43" s="2">
        <f t="shared" ca="1" si="10"/>
        <v>29.817612671671846</v>
      </c>
      <c r="AA43" s="2">
        <f t="shared" ca="1" si="10"/>
        <v>20.762505093659591</v>
      </c>
      <c r="AB43" s="2">
        <f t="shared" ca="1" si="10"/>
        <v>21.390450610543382</v>
      </c>
      <c r="AC43" s="2">
        <f t="shared" ca="1" si="10"/>
        <v>26.967002269338685</v>
      </c>
      <c r="AD43" s="2">
        <f t="shared" ca="1" si="10"/>
        <v>21.836071375194539</v>
      </c>
      <c r="AE43" s="2">
        <f t="shared" ca="1" si="10"/>
        <v>23.140030774060175</v>
      </c>
      <c r="AF43" s="2">
        <f t="shared" ca="1" si="10"/>
        <v>24.413769747085155</v>
      </c>
      <c r="AG43" s="2">
        <f t="shared" ca="1" si="10"/>
        <v>28.403443572649213</v>
      </c>
      <c r="AH43" s="2">
        <f t="shared" ca="1" si="10"/>
        <v>22.52182249902453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23.378649778085219</v>
      </c>
      <c r="D44" s="2">
        <f t="shared" ca="1" si="10"/>
        <v>25.016509073504672</v>
      </c>
      <c r="E44" s="2">
        <f t="shared" ca="1" si="10"/>
        <v>26.587453863594501</v>
      </c>
      <c r="F44" s="2">
        <f t="shared" ca="1" si="10"/>
        <v>27.768288451224315</v>
      </c>
      <c r="G44" s="2">
        <f t="shared" ca="1" si="10"/>
        <v>24.331026490476422</v>
      </c>
      <c r="H44" s="2">
        <f t="shared" ca="1" si="10"/>
        <v>26.219053623996292</v>
      </c>
      <c r="I44" s="2">
        <f t="shared" ca="1" si="10"/>
        <v>27.878764040395698</v>
      </c>
      <c r="J44" s="2">
        <f t="shared" ca="1" si="10"/>
        <v>27.754257014164601</v>
      </c>
      <c r="K44" s="2">
        <f t="shared" ca="1" si="10"/>
        <v>22.906777736627706</v>
      </c>
      <c r="L44" s="2">
        <f t="shared" ca="1" si="10"/>
        <v>20.692282995670961</v>
      </c>
      <c r="M44" s="2">
        <f t="shared" ca="1" si="10"/>
        <v>22.526388027408867</v>
      </c>
      <c r="N44" s="2">
        <f t="shared" ca="1" si="10"/>
        <v>24.150663461817125</v>
      </c>
      <c r="O44" s="2">
        <f t="shared" ca="1" si="10"/>
        <v>23.535088869003307</v>
      </c>
      <c r="P44" s="2">
        <f t="shared" ca="1" si="10"/>
        <v>21.924049208743984</v>
      </c>
      <c r="Q44" s="2">
        <f t="shared" ca="1" si="10"/>
        <v>29.167047687388759</v>
      </c>
      <c r="R44" s="2">
        <f t="shared" ca="1" si="10"/>
        <v>20.296573948197491</v>
      </c>
      <c r="S44" s="2">
        <f t="shared" ca="1" si="10"/>
        <v>27.879870940572982</v>
      </c>
      <c r="T44" s="2">
        <f t="shared" ca="1" si="10"/>
        <v>29.834481082699206</v>
      </c>
      <c r="U44" s="2">
        <f t="shared" ca="1" si="10"/>
        <v>21.999136146613299</v>
      </c>
      <c r="V44" s="2">
        <f t="shared" ca="1" si="10"/>
        <v>25.26759101491735</v>
      </c>
      <c r="W44" s="2">
        <f t="shared" ca="1" si="10"/>
        <v>27.244756545639813</v>
      </c>
      <c r="X44" s="2">
        <f t="shared" ca="1" si="10"/>
        <v>24.31713586704846</v>
      </c>
      <c r="Y44" s="2">
        <f t="shared" ca="1" si="10"/>
        <v>22.842277767496032</v>
      </c>
      <c r="Z44" s="2">
        <f t="shared" ca="1" si="10"/>
        <v>29.649591154692288</v>
      </c>
      <c r="AA44" s="2">
        <f t="shared" ca="1" si="10"/>
        <v>23.473780662885968</v>
      </c>
      <c r="AB44" s="2">
        <f t="shared" ca="1" si="10"/>
        <v>27.662769603799038</v>
      </c>
      <c r="AC44" s="2">
        <f t="shared" ca="1" si="10"/>
        <v>23.245762339739059</v>
      </c>
      <c r="AD44" s="2">
        <f t="shared" ca="1" si="10"/>
        <v>23.282436060436019</v>
      </c>
      <c r="AE44" s="2">
        <f t="shared" ca="1" si="10"/>
        <v>26.881910604093601</v>
      </c>
      <c r="AF44" s="2">
        <f t="shared" ca="1" si="10"/>
        <v>27.286154856152013</v>
      </c>
      <c r="AG44" s="2">
        <f t="shared" ca="1" si="10"/>
        <v>29.524876733441818</v>
      </c>
      <c r="AH44" s="2">
        <f t="shared" ca="1" si="10"/>
        <v>21.385006976442369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20.014722437680767</v>
      </c>
      <c r="D45" s="2">
        <f t="shared" ca="1" si="10"/>
        <v>20.653136489243021</v>
      </c>
      <c r="E45" s="2">
        <f t="shared" ca="1" si="10"/>
        <v>25.4257527494137</v>
      </c>
      <c r="F45" s="2">
        <f t="shared" ca="1" si="10"/>
        <v>26.644722998199157</v>
      </c>
      <c r="G45" s="2">
        <f t="shared" ca="1" si="10"/>
        <v>22.075429521352092</v>
      </c>
      <c r="H45" s="2">
        <f t="shared" ca="1" si="10"/>
        <v>27.614637300443707</v>
      </c>
      <c r="I45" s="2">
        <f t="shared" ca="1" si="10"/>
        <v>23.664334713404255</v>
      </c>
      <c r="J45" s="2">
        <f t="shared" ca="1" si="10"/>
        <v>29.376239573734242</v>
      </c>
      <c r="K45" s="2">
        <f t="shared" ca="1" si="10"/>
        <v>28.163019131142665</v>
      </c>
      <c r="L45" s="2">
        <f t="shared" ca="1" si="10"/>
        <v>25.427740135707783</v>
      </c>
      <c r="M45" s="2">
        <f t="shared" ca="1" si="10"/>
        <v>22.3848653254067</v>
      </c>
      <c r="N45" s="2">
        <f t="shared" ca="1" si="10"/>
        <v>20.166032060421429</v>
      </c>
      <c r="O45" s="2">
        <f t="shared" ca="1" si="10"/>
        <v>20.608041526569512</v>
      </c>
      <c r="P45" s="2">
        <f t="shared" ca="1" si="10"/>
        <v>28.230300715443736</v>
      </c>
      <c r="Q45" s="2">
        <f t="shared" ca="1" si="10"/>
        <v>21.058468454869068</v>
      </c>
      <c r="R45" s="2">
        <f t="shared" ca="1" si="10"/>
        <v>23.849541229386961</v>
      </c>
      <c r="S45" s="2">
        <f t="shared" ca="1" si="10"/>
        <v>28.225761895201273</v>
      </c>
      <c r="T45" s="2">
        <f t="shared" ca="1" si="10"/>
        <v>23.128857521041873</v>
      </c>
      <c r="U45" s="2">
        <f t="shared" ca="1" si="10"/>
        <v>28.117916210932382</v>
      </c>
      <c r="V45" s="2">
        <f t="shared" ca="1" si="10"/>
        <v>28.539152353722397</v>
      </c>
      <c r="W45" s="2">
        <f t="shared" ca="1" si="10"/>
        <v>25.283280841694566</v>
      </c>
      <c r="X45" s="2">
        <f t="shared" ca="1" si="10"/>
        <v>20.410335592171069</v>
      </c>
      <c r="Y45" s="2">
        <f t="shared" ca="1" si="10"/>
        <v>22.757690015496909</v>
      </c>
      <c r="Z45" s="2">
        <f t="shared" ca="1" si="10"/>
        <v>29.585183416092338</v>
      </c>
      <c r="AA45" s="2">
        <f t="shared" ca="1" si="10"/>
        <v>20.609903837376756</v>
      </c>
      <c r="AB45" s="2">
        <f t="shared" ca="1" si="10"/>
        <v>27.264686004148697</v>
      </c>
      <c r="AC45" s="2">
        <f t="shared" ca="1" si="10"/>
        <v>24.097455814964597</v>
      </c>
      <c r="AD45" s="2">
        <f t="shared" ca="1" si="10"/>
        <v>29.374620282086884</v>
      </c>
      <c r="AE45" s="2">
        <f t="shared" ca="1" si="10"/>
        <v>29.939819933996759</v>
      </c>
      <c r="AF45" s="2">
        <f t="shared" ca="1" si="10"/>
        <v>20.669799556070529</v>
      </c>
      <c r="AG45" s="2">
        <f t="shared" ca="1" si="10"/>
        <v>29.715150549350533</v>
      </c>
      <c r="AH45" s="2">
        <f t="shared" ca="1" si="10"/>
        <v>27.321744361412815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22.889777290447288</v>
      </c>
      <c r="D46" s="2">
        <f t="shared" ca="1" si="10"/>
        <v>22.829127851963058</v>
      </c>
      <c r="E46" s="2">
        <f t="shared" ca="1" si="10"/>
        <v>22.928607810062616</v>
      </c>
      <c r="F46" s="2">
        <f t="shared" ca="1" si="10"/>
        <v>22.876504038338894</v>
      </c>
      <c r="G46" s="2">
        <f t="shared" ca="1" si="10"/>
        <v>28.102078804782437</v>
      </c>
      <c r="H46" s="2">
        <f t="shared" ca="1" si="10"/>
        <v>27.052546324270825</v>
      </c>
      <c r="I46" s="2">
        <f t="shared" ca="1" si="10"/>
        <v>29.699775389018964</v>
      </c>
      <c r="J46" s="2">
        <f t="shared" ca="1" si="10"/>
        <v>29.529282097014541</v>
      </c>
      <c r="K46" s="2">
        <f t="shared" ca="1" si="10"/>
        <v>24.178734985703194</v>
      </c>
      <c r="L46" s="2">
        <f t="shared" ca="1" si="10"/>
        <v>23.959008606214034</v>
      </c>
      <c r="M46" s="2">
        <f t="shared" ca="1" si="10"/>
        <v>27.684603080049584</v>
      </c>
      <c r="N46" s="2">
        <f t="shared" ca="1" si="10"/>
        <v>22.39411261689828</v>
      </c>
      <c r="O46" s="2">
        <f t="shared" ca="1" si="10"/>
        <v>21.45192074303252</v>
      </c>
      <c r="P46" s="2">
        <f t="shared" ca="1" si="10"/>
        <v>25.644556325583451</v>
      </c>
      <c r="Q46" s="2">
        <f t="shared" ca="1" si="10"/>
        <v>21.787185742778775</v>
      </c>
      <c r="R46" s="2">
        <f t="shared" ca="1" si="10"/>
        <v>22.297224623249644</v>
      </c>
      <c r="S46" s="2">
        <f t="shared" ca="1" si="10"/>
        <v>29.389088693097516</v>
      </c>
      <c r="T46" s="2">
        <f t="shared" ca="1" si="10"/>
        <v>28.869554101507429</v>
      </c>
      <c r="U46" s="2">
        <f t="shared" ca="1" si="10"/>
        <v>22.138542385028938</v>
      </c>
      <c r="V46" s="2">
        <f t="shared" ca="1" si="10"/>
        <v>29.727583761219638</v>
      </c>
      <c r="W46" s="2">
        <f t="shared" ca="1" si="10"/>
        <v>25.897490583674131</v>
      </c>
      <c r="X46" s="2">
        <f t="shared" ca="1" si="10"/>
        <v>23.673111315403176</v>
      </c>
      <c r="Y46" s="2">
        <f t="shared" ca="1" si="10"/>
        <v>20.447934266934375</v>
      </c>
      <c r="Z46" s="2">
        <f t="shared" ca="1" si="10"/>
        <v>29.586671003325073</v>
      </c>
      <c r="AA46" s="2">
        <f t="shared" ca="1" si="10"/>
        <v>29.534841575816966</v>
      </c>
      <c r="AB46" s="2">
        <f t="shared" ca="1" si="10"/>
        <v>26.288633923674553</v>
      </c>
      <c r="AC46" s="2">
        <f t="shared" ca="1" si="10"/>
        <v>28.043706642859512</v>
      </c>
      <c r="AD46" s="2">
        <f t="shared" ca="1" si="10"/>
        <v>26.61214410158853</v>
      </c>
      <c r="AE46" s="2">
        <f t="shared" ca="1" si="10"/>
        <v>26.875532280859112</v>
      </c>
      <c r="AF46" s="2">
        <f t="shared" ca="1" si="10"/>
        <v>28.812225545940294</v>
      </c>
      <c r="AG46" s="2">
        <f t="shared" ca="1" si="10"/>
        <v>26.075847763717135</v>
      </c>
      <c r="AH46" s="2">
        <f t="shared" ca="1" si="10"/>
        <v>28.549283464952119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24.264081252711627</v>
      </c>
      <c r="D47" s="2">
        <f t="shared" ca="1" si="10"/>
        <v>29.832339441465205</v>
      </c>
      <c r="E47" s="2">
        <f t="shared" ca="1" si="10"/>
        <v>21.101543178428759</v>
      </c>
      <c r="F47" s="2">
        <f t="shared" ca="1" si="10"/>
        <v>24.776121330722482</v>
      </c>
      <c r="G47" s="2">
        <f t="shared" ca="1" si="10"/>
        <v>25.956109070278714</v>
      </c>
      <c r="H47" s="2">
        <f t="shared" ca="1" si="10"/>
        <v>27.600651415432033</v>
      </c>
      <c r="I47" s="2">
        <f t="shared" ca="1" si="10"/>
        <v>29.205479702347851</v>
      </c>
      <c r="J47" s="2">
        <f t="shared" ca="1" si="10"/>
        <v>24.311062580181723</v>
      </c>
      <c r="K47" s="2">
        <f t="shared" ca="1" si="10"/>
        <v>21.277490524889298</v>
      </c>
      <c r="L47" s="2">
        <f t="shared" ca="1" si="10"/>
        <v>24.396245365347092</v>
      </c>
      <c r="M47" s="2">
        <f t="shared" ca="1" si="10"/>
        <v>23.44274436559083</v>
      </c>
      <c r="N47" s="2">
        <f t="shared" ca="1" si="10"/>
        <v>20.35133226352087</v>
      </c>
      <c r="O47" s="2">
        <f t="shared" ca="1" si="10"/>
        <v>27.905212600180505</v>
      </c>
      <c r="P47" s="2">
        <f t="shared" ca="1" si="10"/>
        <v>22.795808734688745</v>
      </c>
      <c r="Q47" s="2">
        <f t="shared" ca="1" si="10"/>
        <v>22.521778618850131</v>
      </c>
      <c r="R47" s="2">
        <f t="shared" ca="1" si="10"/>
        <v>26.39755216599805</v>
      </c>
      <c r="S47" s="2">
        <f t="shared" ca="1" si="10"/>
        <v>27.515956185330538</v>
      </c>
      <c r="T47" s="2">
        <f t="shared" ca="1" si="10"/>
        <v>22.900940413775174</v>
      </c>
      <c r="U47" s="2">
        <f t="shared" ca="1" si="10"/>
        <v>27.469373234442742</v>
      </c>
      <c r="V47" s="2">
        <f t="shared" ca="1" si="10"/>
        <v>24.266068878221073</v>
      </c>
      <c r="W47" s="2">
        <f t="shared" ca="1" si="10"/>
        <v>20.069408060351641</v>
      </c>
      <c r="X47" s="2">
        <f t="shared" ca="1" si="10"/>
        <v>21.819277836064803</v>
      </c>
      <c r="Y47" s="2">
        <f t="shared" ca="1" si="10"/>
        <v>25.167114712100378</v>
      </c>
      <c r="Z47" s="2">
        <f t="shared" ca="1" si="10"/>
        <v>28.761719364749933</v>
      </c>
      <c r="AA47" s="2">
        <f t="shared" ca="1" si="10"/>
        <v>21.388204018879708</v>
      </c>
      <c r="AB47" s="2">
        <f t="shared" ca="1" si="10"/>
        <v>23.548296190844269</v>
      </c>
      <c r="AC47" s="2">
        <f t="shared" ca="1" si="10"/>
        <v>23.061556829507861</v>
      </c>
      <c r="AD47" s="2">
        <f t="shared" ca="1" si="10"/>
        <v>20.199562255347317</v>
      </c>
      <c r="AE47" s="2">
        <f t="shared" ca="1" si="10"/>
        <v>28.359896965555929</v>
      </c>
      <c r="AF47" s="2">
        <f t="shared" ca="1" si="10"/>
        <v>26.954521826723294</v>
      </c>
      <c r="AG47" s="2">
        <f t="shared" ca="1" si="10"/>
        <v>21.161603452838097</v>
      </c>
      <c r="AH47" s="2">
        <f t="shared" ca="1" si="10"/>
        <v>20.705068283494306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24.067648407885951</v>
      </c>
      <c r="D48" s="2">
        <f t="shared" ca="1" si="10"/>
        <v>26.131719588339696</v>
      </c>
      <c r="E48" s="2">
        <f t="shared" ca="1" si="10"/>
        <v>26.183177490437835</v>
      </c>
      <c r="F48" s="2">
        <f t="shared" ca="1" si="10"/>
        <v>29.158284841938276</v>
      </c>
      <c r="G48" s="2">
        <f t="shared" ca="1" si="10"/>
        <v>28.296533935267991</v>
      </c>
      <c r="H48" s="2">
        <f t="shared" ca="1" si="10"/>
        <v>26.785663780014918</v>
      </c>
      <c r="I48" s="2">
        <f t="shared" ca="1" si="10"/>
        <v>28.018045834031575</v>
      </c>
      <c r="J48" s="2">
        <f t="shared" ca="1" si="10"/>
        <v>25.490158511635801</v>
      </c>
      <c r="K48" s="2">
        <f t="shared" ca="1" si="10"/>
        <v>20.075484553916432</v>
      </c>
      <c r="L48" s="2">
        <f t="shared" ca="1" si="10"/>
        <v>24.634661486148556</v>
      </c>
      <c r="M48" s="2">
        <f t="shared" ca="1" si="10"/>
        <v>26.708211281774918</v>
      </c>
      <c r="N48" s="2">
        <f t="shared" ca="1" si="10"/>
        <v>24.064298750667895</v>
      </c>
      <c r="O48" s="2">
        <f t="shared" ca="1" si="10"/>
        <v>29.589253878809984</v>
      </c>
      <c r="P48" s="2">
        <f t="shared" ca="1" si="10"/>
        <v>24.429728368904303</v>
      </c>
      <c r="Q48" s="2">
        <f t="shared" ca="1" si="10"/>
        <v>21.885483103808291</v>
      </c>
      <c r="R48" s="2">
        <f t="shared" ca="1" si="10"/>
        <v>23.833507497105362</v>
      </c>
      <c r="S48" s="2">
        <f t="shared" ca="1" si="10"/>
        <v>24.119508810270503</v>
      </c>
      <c r="T48" s="2">
        <f t="shared" ca="1" si="10"/>
        <v>21.365256742716728</v>
      </c>
      <c r="U48" s="2">
        <f t="shared" ca="1" si="10"/>
        <v>28.580505844671421</v>
      </c>
      <c r="V48" s="2">
        <f t="shared" ca="1" si="10"/>
        <v>20.648461664627636</v>
      </c>
      <c r="W48" s="2">
        <f t="shared" ca="1" si="10"/>
        <v>22.385258292389373</v>
      </c>
      <c r="X48" s="2">
        <f t="shared" ca="1" si="10"/>
        <v>28.413083013850137</v>
      </c>
      <c r="Y48" s="2">
        <f t="shared" ca="1" si="10"/>
        <v>23.327564273846164</v>
      </c>
      <c r="Z48" s="2">
        <f t="shared" ca="1" si="10"/>
        <v>22.752316100274644</v>
      </c>
      <c r="AA48" s="2">
        <f t="shared" ca="1" si="10"/>
        <v>29.032955300587737</v>
      </c>
      <c r="AB48" s="2">
        <f t="shared" ca="1" si="10"/>
        <v>25.381725302060442</v>
      </c>
      <c r="AC48" s="2">
        <f t="shared" ca="1" si="10"/>
        <v>21.967387559448852</v>
      </c>
      <c r="AD48" s="2">
        <f t="shared" ca="1" si="10"/>
        <v>29.058779680159542</v>
      </c>
      <c r="AE48" s="2">
        <f t="shared" ca="1" si="10"/>
        <v>25.057710162066982</v>
      </c>
      <c r="AF48" s="2">
        <f t="shared" ca="1" si="10"/>
        <v>24.292324520578578</v>
      </c>
      <c r="AG48" s="2">
        <f t="shared" ca="1" si="10"/>
        <v>25.987679802653208</v>
      </c>
      <c r="AH48" s="2">
        <f t="shared" ca="1" si="10"/>
        <v>24.938589800002038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23.774043075996058</v>
      </c>
      <c r="D49" s="2">
        <f t="shared" ca="1" si="10"/>
        <v>21.937001343952979</v>
      </c>
      <c r="E49" s="2">
        <f t="shared" ca="1" si="10"/>
        <v>27.596336723637915</v>
      </c>
      <c r="F49" s="2">
        <f t="shared" ca="1" si="10"/>
        <v>23.238391526769608</v>
      </c>
      <c r="G49" s="2">
        <f t="shared" ca="1" si="10"/>
        <v>25.880925472327114</v>
      </c>
      <c r="H49" s="2">
        <f t="shared" ca="1" si="10"/>
        <v>29.017053174113961</v>
      </c>
      <c r="I49" s="2">
        <f t="shared" ca="1" si="10"/>
        <v>22.714521574089428</v>
      </c>
      <c r="J49" s="2">
        <f t="shared" ca="1" si="10"/>
        <v>21.599020311314241</v>
      </c>
      <c r="K49" s="2">
        <f t="shared" ca="1" si="10"/>
        <v>21.035515946385953</v>
      </c>
      <c r="L49" s="2">
        <f t="shared" ca="1" si="10"/>
        <v>25.253193597218406</v>
      </c>
      <c r="M49" s="2">
        <f t="shared" ca="1" si="10"/>
        <v>22.290023930845663</v>
      </c>
      <c r="N49" s="2">
        <f t="shared" ca="1" si="10"/>
        <v>24.660560763694477</v>
      </c>
      <c r="O49" s="2">
        <f t="shared" ca="1" si="10"/>
        <v>29.62144962621089</v>
      </c>
      <c r="P49" s="2">
        <f t="shared" ca="1" si="10"/>
        <v>22.831733139449454</v>
      </c>
      <c r="Q49" s="2">
        <f t="shared" ca="1" si="10"/>
        <v>23.991689962208124</v>
      </c>
      <c r="R49" s="2">
        <f t="shared" ca="1" si="10"/>
        <v>26.705827749324396</v>
      </c>
      <c r="S49" s="2">
        <f t="shared" ca="1" si="10"/>
        <v>27.542365018568749</v>
      </c>
      <c r="T49" s="2">
        <f t="shared" ca="1" si="10"/>
        <v>24.393082314594096</v>
      </c>
      <c r="U49" s="2">
        <f t="shared" ca="1" si="10"/>
        <v>20.842132658457722</v>
      </c>
      <c r="V49" s="2">
        <f t="shared" ca="1" si="10"/>
        <v>27.731582925865293</v>
      </c>
      <c r="W49" s="2">
        <f t="shared" ca="1" si="10"/>
        <v>22.623403278688698</v>
      </c>
      <c r="X49" s="2">
        <f t="shared" ca="1" si="10"/>
        <v>22.643372600444362</v>
      </c>
      <c r="Y49" s="2">
        <f t="shared" ca="1" si="10"/>
        <v>27.738318271357421</v>
      </c>
      <c r="Z49" s="2">
        <f t="shared" ca="1" si="10"/>
        <v>24.253263106135041</v>
      </c>
      <c r="AA49" s="2">
        <f t="shared" ca="1" si="10"/>
        <v>22.231243640369133</v>
      </c>
      <c r="AB49" s="2">
        <f t="shared" ca="1" si="10"/>
        <v>22.291500765229703</v>
      </c>
      <c r="AC49" s="2">
        <f t="shared" ca="1" si="10"/>
        <v>25.62951908225919</v>
      </c>
      <c r="AD49" s="2">
        <f t="shared" ca="1" si="10"/>
        <v>24.786162573488397</v>
      </c>
      <c r="AE49" s="2">
        <f t="shared" ca="1" si="10"/>
        <v>27.095498244870409</v>
      </c>
      <c r="AF49" s="2">
        <f t="shared" ca="1" si="10"/>
        <v>24.266531957363348</v>
      </c>
      <c r="AG49" s="2">
        <f t="shared" ca="1" si="10"/>
        <v>22.782437268790552</v>
      </c>
      <c r="AH49" s="2">
        <f t="shared" ca="1" si="10"/>
        <v>29.884166707844905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26.801521309110637</v>
      </c>
      <c r="D50" s="2">
        <f t="shared" ca="1" si="10"/>
        <v>28.098000497778376</v>
      </c>
      <c r="E50" s="2">
        <f t="shared" ca="1" si="10"/>
        <v>29.339963396669599</v>
      </c>
      <c r="F50" s="2">
        <f t="shared" ca="1" si="10"/>
        <v>27.095714308325725</v>
      </c>
      <c r="G50" s="2">
        <f t="shared" ca="1" si="10"/>
        <v>26.763797554959119</v>
      </c>
      <c r="H50" s="2">
        <f t="shared" ca="1" si="10"/>
        <v>29.632424704873078</v>
      </c>
      <c r="I50" s="2">
        <f t="shared" ca="1" si="10"/>
        <v>24.22202600057652</v>
      </c>
      <c r="J50" s="2">
        <f t="shared" ca="1" si="10"/>
        <v>27.65303745966035</v>
      </c>
      <c r="K50" s="2">
        <f t="shared" ca="1" si="10"/>
        <v>22.647320167443642</v>
      </c>
      <c r="L50" s="2">
        <f t="shared" ca="1" si="10"/>
        <v>29.142419873646919</v>
      </c>
      <c r="M50" s="2">
        <f t="shared" ca="1" si="10"/>
        <v>20.646600187420351</v>
      </c>
      <c r="N50" s="2">
        <f t="shared" ca="1" si="10"/>
        <v>29.720798058023696</v>
      </c>
      <c r="O50" s="2">
        <f t="shared" ca="1" si="10"/>
        <v>25.367006475530385</v>
      </c>
      <c r="P50" s="2">
        <f t="shared" ca="1" si="10"/>
        <v>23.813637955715787</v>
      </c>
      <c r="Q50" s="2">
        <f t="shared" ca="1" si="10"/>
        <v>28.749265449988354</v>
      </c>
      <c r="R50" s="2">
        <f t="shared" ca="1" si="10"/>
        <v>23.498844721756935</v>
      </c>
      <c r="S50" s="2">
        <f t="shared" ca="1" si="10"/>
        <v>23.389580995249297</v>
      </c>
      <c r="T50" s="2">
        <f t="shared" ca="1" si="10"/>
        <v>23.866440252043279</v>
      </c>
      <c r="U50" s="2">
        <f t="shared" ca="1" si="10"/>
        <v>27.800090655081188</v>
      </c>
      <c r="V50" s="2">
        <f t="shared" ca="1" si="10"/>
        <v>29.758638420018784</v>
      </c>
      <c r="W50" s="2">
        <f t="shared" ca="1" si="10"/>
        <v>24.430888532361301</v>
      </c>
      <c r="X50" s="2">
        <f t="shared" ca="1" si="10"/>
        <v>21.632918218377277</v>
      </c>
      <c r="Y50" s="2">
        <f t="shared" ca="1" si="10"/>
        <v>27.48514976862738</v>
      </c>
      <c r="Z50" s="2">
        <f t="shared" ca="1" si="10"/>
        <v>26.778741531733587</v>
      </c>
      <c r="AA50" s="2">
        <f t="shared" ca="1" si="10"/>
        <v>20.36645847065801</v>
      </c>
      <c r="AB50" s="2">
        <f t="shared" ca="1" si="10"/>
        <v>24.946511673300691</v>
      </c>
      <c r="AC50" s="2">
        <f t="shared" ca="1" si="10"/>
        <v>24.528521583826656</v>
      </c>
      <c r="AD50" s="2">
        <f t="shared" ca="1" si="10"/>
        <v>28.24034787184473</v>
      </c>
      <c r="AE50" s="2">
        <f t="shared" ca="1" si="10"/>
        <v>22.457382262817973</v>
      </c>
      <c r="AF50" s="2">
        <f t="shared" ca="1" si="10"/>
        <v>25.629421257925728</v>
      </c>
      <c r="AG50" s="2">
        <f t="shared" ca="1" si="10"/>
        <v>21.358439196405747</v>
      </c>
      <c r="AH50" s="2">
        <f t="shared" ca="1" si="10"/>
        <v>24.479337638087532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27.713130112069617</v>
      </c>
      <c r="D51" s="2">
        <f t="shared" ca="1" si="10"/>
        <v>28.073110598045524</v>
      </c>
      <c r="E51" s="2">
        <f t="shared" ca="1" si="10"/>
        <v>20.047479335368568</v>
      </c>
      <c r="F51" s="2">
        <f t="shared" ca="1" si="10"/>
        <v>20.561111932334637</v>
      </c>
      <c r="G51" s="2">
        <f t="shared" ca="1" si="10"/>
        <v>29.913676206234708</v>
      </c>
      <c r="H51" s="2">
        <f t="shared" ca="1" si="10"/>
        <v>21.914461404340869</v>
      </c>
      <c r="I51" s="2">
        <f t="shared" ca="1" si="10"/>
        <v>28.123154558207563</v>
      </c>
      <c r="J51" s="2">
        <f t="shared" ref="J51:Y67" ca="1" si="11">(RAND()*0.1+0.2)*100</f>
        <v>29.856463489773887</v>
      </c>
      <c r="K51" s="2">
        <f t="shared" ca="1" si="11"/>
        <v>28.108233280187118</v>
      </c>
      <c r="L51" s="2">
        <f t="shared" ca="1" si="11"/>
        <v>27.562787306631019</v>
      </c>
      <c r="M51" s="2">
        <f t="shared" ca="1" si="11"/>
        <v>20.79387533510565</v>
      </c>
      <c r="N51" s="2">
        <f t="shared" ca="1" si="11"/>
        <v>27.622331993019465</v>
      </c>
      <c r="O51" s="2">
        <f t="shared" ca="1" si="11"/>
        <v>22.884935564817081</v>
      </c>
      <c r="P51" s="2">
        <f t="shared" ca="1" si="11"/>
        <v>20.409210405748844</v>
      </c>
      <c r="Q51" s="2">
        <f t="shared" ca="1" si="11"/>
        <v>25.957271090103806</v>
      </c>
      <c r="R51" s="2">
        <f t="shared" ca="1" si="11"/>
        <v>28.135141441318208</v>
      </c>
      <c r="S51" s="2">
        <f t="shared" ca="1" si="11"/>
        <v>26.470677908406397</v>
      </c>
      <c r="T51" s="2">
        <f t="shared" ca="1" si="11"/>
        <v>22.778099129398495</v>
      </c>
      <c r="U51" s="2">
        <f t="shared" ca="1" si="11"/>
        <v>27.898812839329235</v>
      </c>
      <c r="V51" s="2">
        <f t="shared" ca="1" si="11"/>
        <v>25.889355671915386</v>
      </c>
      <c r="W51" s="2">
        <f t="shared" ca="1" si="11"/>
        <v>24.734147702437912</v>
      </c>
      <c r="X51" s="2">
        <f t="shared" ca="1" si="11"/>
        <v>23.696659857980411</v>
      </c>
      <c r="Y51" s="2">
        <f t="shared" ca="1" si="11"/>
        <v>28.418004109898131</v>
      </c>
      <c r="Z51" s="2">
        <f t="shared" ref="Z51:AH67" ca="1" si="12">(RAND()*0.1+0.2)*100</f>
        <v>27.675601641183988</v>
      </c>
      <c r="AA51" s="2">
        <f t="shared" ca="1" si="12"/>
        <v>28.460274439542161</v>
      </c>
      <c r="AB51" s="2">
        <f t="shared" ca="1" si="12"/>
        <v>27.244629099941221</v>
      </c>
      <c r="AC51" s="2">
        <f t="shared" ca="1" si="12"/>
        <v>22.674448660947931</v>
      </c>
      <c r="AD51" s="2">
        <f t="shared" ca="1" si="12"/>
        <v>29.781547007337156</v>
      </c>
      <c r="AE51" s="2">
        <f t="shared" ca="1" si="12"/>
        <v>24.403207428546871</v>
      </c>
      <c r="AF51" s="2">
        <f t="shared" ca="1" si="12"/>
        <v>27.769818775851938</v>
      </c>
      <c r="AG51" s="2">
        <f t="shared" ca="1" si="12"/>
        <v>25.721238922915298</v>
      </c>
      <c r="AH51" s="2">
        <f t="shared" ca="1" si="12"/>
        <v>27.558472278867828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23.625529360416152</v>
      </c>
      <c r="D52" s="2">
        <f t="shared" ca="1" si="9"/>
        <v>29.083952957449966</v>
      </c>
      <c r="E52" s="2">
        <f t="shared" ca="1" si="9"/>
        <v>24.638703852583831</v>
      </c>
      <c r="F52" s="2">
        <f t="shared" ca="1" si="9"/>
        <v>27.178635230705652</v>
      </c>
      <c r="G52" s="2">
        <f t="shared" ca="1" si="9"/>
        <v>26.211469586662773</v>
      </c>
      <c r="H52" s="2">
        <f t="shared" ca="1" si="9"/>
        <v>25.98532209927701</v>
      </c>
      <c r="I52" s="2">
        <f t="shared" ref="I52:X67" ca="1" si="13">(RAND()*0.1+0.2)*100</f>
        <v>21.939450270732223</v>
      </c>
      <c r="J52" s="2">
        <f t="shared" ca="1" si="13"/>
        <v>29.542358613289561</v>
      </c>
      <c r="K52" s="2">
        <f t="shared" ca="1" si="13"/>
        <v>23.211451573524648</v>
      </c>
      <c r="L52" s="2">
        <f t="shared" ca="1" si="13"/>
        <v>23.048167869783853</v>
      </c>
      <c r="M52" s="2">
        <f t="shared" ca="1" si="13"/>
        <v>24.771817736702868</v>
      </c>
      <c r="N52" s="2">
        <f t="shared" ca="1" si="13"/>
        <v>26.779009591879333</v>
      </c>
      <c r="O52" s="2">
        <f t="shared" ca="1" si="13"/>
        <v>22.537145975703453</v>
      </c>
      <c r="P52" s="2">
        <f t="shared" ca="1" si="13"/>
        <v>26.021609457507562</v>
      </c>
      <c r="Q52" s="2">
        <f t="shared" ca="1" si="13"/>
        <v>21.479250977550599</v>
      </c>
      <c r="R52" s="2">
        <f t="shared" ca="1" si="13"/>
        <v>21.860916431124242</v>
      </c>
      <c r="S52" s="2">
        <f t="shared" ca="1" si="13"/>
        <v>22.055033458863594</v>
      </c>
      <c r="T52" s="2">
        <f t="shared" ca="1" si="13"/>
        <v>24.087812484775217</v>
      </c>
      <c r="U52" s="2">
        <f t="shared" ca="1" si="13"/>
        <v>25.647163868861416</v>
      </c>
      <c r="V52" s="2">
        <f t="shared" ca="1" si="13"/>
        <v>23.066588471985593</v>
      </c>
      <c r="W52" s="2">
        <f t="shared" ca="1" si="13"/>
        <v>27.570744402963165</v>
      </c>
      <c r="X52" s="2">
        <f t="shared" ca="1" si="13"/>
        <v>22.691102374983167</v>
      </c>
      <c r="Y52" s="2">
        <f t="shared" ca="1" si="11"/>
        <v>28.737247662212358</v>
      </c>
      <c r="Z52" s="2">
        <f t="shared" ca="1" si="12"/>
        <v>20.337970380837561</v>
      </c>
      <c r="AA52" s="2">
        <f t="shared" ca="1" si="12"/>
        <v>22.834684090086931</v>
      </c>
      <c r="AB52" s="2">
        <f t="shared" ca="1" si="12"/>
        <v>29.79538580981691</v>
      </c>
      <c r="AC52" s="2">
        <f t="shared" ca="1" si="12"/>
        <v>22.861950523072089</v>
      </c>
      <c r="AD52" s="2">
        <f t="shared" ca="1" si="12"/>
        <v>25.206567488609323</v>
      </c>
      <c r="AE52" s="2">
        <f t="shared" ca="1" si="12"/>
        <v>22.430618948447098</v>
      </c>
      <c r="AF52" s="2">
        <f t="shared" ca="1" si="12"/>
        <v>24.804302254542922</v>
      </c>
      <c r="AG52" s="2">
        <f t="shared" ca="1" si="12"/>
        <v>26.999424911532781</v>
      </c>
      <c r="AH52" s="2">
        <f t="shared" ca="1" si="12"/>
        <v>27.687816462052428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(RAND()*0.1+0.2)*100</f>
        <v>27.275384343341535</v>
      </c>
      <c r="D53" s="2">
        <f t="shared" ca="1" si="14"/>
        <v>27.477242383000831</v>
      </c>
      <c r="E53" s="2">
        <f t="shared" ca="1" si="14"/>
        <v>27.980765258604201</v>
      </c>
      <c r="F53" s="2">
        <f t="shared" ca="1" si="14"/>
        <v>21.63848420953056</v>
      </c>
      <c r="G53" s="2">
        <f t="shared" ca="1" si="14"/>
        <v>22.305615571454052</v>
      </c>
      <c r="H53" s="2">
        <f t="shared" ca="1" si="14"/>
        <v>25.652509358101337</v>
      </c>
      <c r="I53" s="2">
        <f t="shared" ca="1" si="14"/>
        <v>26.200097813973077</v>
      </c>
      <c r="J53" s="2">
        <f t="shared" ca="1" si="14"/>
        <v>29.184197758779789</v>
      </c>
      <c r="K53" s="2">
        <f t="shared" ca="1" si="14"/>
        <v>28.986405449928576</v>
      </c>
      <c r="L53" s="2">
        <f t="shared" ca="1" si="14"/>
        <v>22.249022234784434</v>
      </c>
      <c r="M53" s="2">
        <f t="shared" ca="1" si="14"/>
        <v>21.847151590020985</v>
      </c>
      <c r="N53" s="2">
        <f t="shared" ca="1" si="14"/>
        <v>27.611388410334612</v>
      </c>
      <c r="O53" s="2">
        <f t="shared" ca="1" si="14"/>
        <v>22.130296633977981</v>
      </c>
      <c r="P53" s="2">
        <f t="shared" ca="1" si="14"/>
        <v>27.020218417136597</v>
      </c>
      <c r="Q53" s="2">
        <f t="shared" ca="1" si="14"/>
        <v>27.849467804515903</v>
      </c>
      <c r="R53" s="2">
        <f t="shared" ca="1" si="14"/>
        <v>24.79432746418852</v>
      </c>
      <c r="S53" s="2">
        <f t="shared" ca="1" si="13"/>
        <v>29.827851376169679</v>
      </c>
      <c r="T53" s="2">
        <f t="shared" ca="1" si="13"/>
        <v>21.817017100514665</v>
      </c>
      <c r="U53" s="2">
        <f t="shared" ca="1" si="13"/>
        <v>20.746339808390658</v>
      </c>
      <c r="V53" s="2">
        <f t="shared" ca="1" si="13"/>
        <v>25.500848701283108</v>
      </c>
      <c r="W53" s="2">
        <f t="shared" ca="1" si="13"/>
        <v>23.947817359369342</v>
      </c>
      <c r="X53" s="2">
        <f t="shared" ca="1" si="13"/>
        <v>26.282381477029869</v>
      </c>
      <c r="Y53" s="2">
        <f t="shared" ca="1" si="11"/>
        <v>24.928858602221123</v>
      </c>
      <c r="Z53" s="2">
        <f t="shared" ca="1" si="12"/>
        <v>29.76329779528848</v>
      </c>
      <c r="AA53" s="2">
        <f t="shared" ca="1" si="12"/>
        <v>28.986869144195154</v>
      </c>
      <c r="AB53" s="2">
        <f t="shared" ca="1" si="12"/>
        <v>24.744491886688504</v>
      </c>
      <c r="AC53" s="2">
        <f t="shared" ca="1" si="12"/>
        <v>25.733508328085541</v>
      </c>
      <c r="AD53" s="2">
        <f t="shared" ca="1" si="12"/>
        <v>22.132059974008389</v>
      </c>
      <c r="AE53" s="2">
        <f t="shared" ca="1" si="12"/>
        <v>26.834489618860012</v>
      </c>
      <c r="AF53" s="2">
        <f t="shared" ca="1" si="12"/>
        <v>22.543771025956357</v>
      </c>
      <c r="AG53" s="2">
        <f t="shared" ca="1" si="12"/>
        <v>29.480644450456932</v>
      </c>
      <c r="AH53" s="2">
        <f t="shared" ca="1" si="12"/>
        <v>26.298814134463665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27.112771488581917</v>
      </c>
      <c r="D54" s="2">
        <f t="shared" ca="1" si="14"/>
        <v>22.82720055162919</v>
      </c>
      <c r="E54" s="2">
        <f t="shared" ca="1" si="14"/>
        <v>23.458675447274789</v>
      </c>
      <c r="F54" s="2">
        <f t="shared" ca="1" si="14"/>
        <v>28.707845260644927</v>
      </c>
      <c r="G54" s="2">
        <f t="shared" ca="1" si="14"/>
        <v>25.216749886737137</v>
      </c>
      <c r="H54" s="2">
        <f t="shared" ca="1" si="14"/>
        <v>27.462747072622072</v>
      </c>
      <c r="I54" s="2">
        <f t="shared" ca="1" si="14"/>
        <v>24.334768272920421</v>
      </c>
      <c r="J54" s="2">
        <f t="shared" ca="1" si="14"/>
        <v>29.282077515618205</v>
      </c>
      <c r="K54" s="2">
        <f t="shared" ca="1" si="14"/>
        <v>24.094285030916808</v>
      </c>
      <c r="L54" s="2">
        <f t="shared" ca="1" si="14"/>
        <v>22.104602800585422</v>
      </c>
      <c r="M54" s="2">
        <f t="shared" ca="1" si="14"/>
        <v>23.532202930483422</v>
      </c>
      <c r="N54" s="2">
        <f t="shared" ca="1" si="14"/>
        <v>29.342197714533611</v>
      </c>
      <c r="O54" s="2">
        <f t="shared" ca="1" si="14"/>
        <v>28.60794159996507</v>
      </c>
      <c r="P54" s="2">
        <f t="shared" ca="1" si="14"/>
        <v>24.87054709761599</v>
      </c>
      <c r="Q54" s="2">
        <f t="shared" ca="1" si="14"/>
        <v>25.205014040126439</v>
      </c>
      <c r="R54" s="2">
        <f t="shared" ca="1" si="14"/>
        <v>23.321720638034968</v>
      </c>
      <c r="S54" s="2">
        <f t="shared" ca="1" si="13"/>
        <v>21.681374762206481</v>
      </c>
      <c r="T54" s="2">
        <f t="shared" ca="1" si="13"/>
        <v>26.727426950956112</v>
      </c>
      <c r="U54" s="2">
        <f t="shared" ca="1" si="13"/>
        <v>29.955315211757004</v>
      </c>
      <c r="V54" s="2">
        <f t="shared" ca="1" si="13"/>
        <v>26.650937136048565</v>
      </c>
      <c r="W54" s="2">
        <f t="shared" ca="1" si="13"/>
        <v>22.9078161442064</v>
      </c>
      <c r="X54" s="2">
        <f t="shared" ca="1" si="13"/>
        <v>27.007613739716525</v>
      </c>
      <c r="Y54" s="2">
        <f t="shared" ca="1" si="11"/>
        <v>21.079467925526707</v>
      </c>
      <c r="Z54" s="2">
        <f t="shared" ca="1" si="12"/>
        <v>24.66298722843414</v>
      </c>
      <c r="AA54" s="2">
        <f t="shared" ca="1" si="12"/>
        <v>24.909611760510405</v>
      </c>
      <c r="AB54" s="2">
        <f t="shared" ca="1" si="12"/>
        <v>25.483332813729824</v>
      </c>
      <c r="AC54" s="2">
        <f t="shared" ca="1" si="12"/>
        <v>23.056914686641697</v>
      </c>
      <c r="AD54" s="2">
        <f t="shared" ca="1" si="12"/>
        <v>20.035590939123384</v>
      </c>
      <c r="AE54" s="2">
        <f t="shared" ca="1" si="12"/>
        <v>21.935817926988328</v>
      </c>
      <c r="AF54" s="2">
        <f t="shared" ca="1" si="12"/>
        <v>20.882042833184677</v>
      </c>
      <c r="AG54" s="2">
        <f t="shared" ca="1" si="12"/>
        <v>29.638924993005045</v>
      </c>
      <c r="AH54" s="2">
        <f t="shared" ca="1" si="12"/>
        <v>26.100678095832521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21.930453733525393</v>
      </c>
      <c r="D55" s="2">
        <f t="shared" ca="1" si="14"/>
        <v>20.859394050527605</v>
      </c>
      <c r="E55" s="2">
        <f t="shared" ca="1" si="14"/>
        <v>26.504354140893906</v>
      </c>
      <c r="F55" s="2">
        <f t="shared" ca="1" si="14"/>
        <v>25.385892485278706</v>
      </c>
      <c r="G55" s="2">
        <f t="shared" ca="1" si="14"/>
        <v>29.798943418621874</v>
      </c>
      <c r="H55" s="2">
        <f t="shared" ca="1" si="14"/>
        <v>22.941250024706612</v>
      </c>
      <c r="I55" s="2">
        <f t="shared" ca="1" si="14"/>
        <v>23.427904971682231</v>
      </c>
      <c r="J55" s="2">
        <f t="shared" ca="1" si="14"/>
        <v>20.471895727724018</v>
      </c>
      <c r="K55" s="2">
        <f t="shared" ca="1" si="14"/>
        <v>26.504992582251912</v>
      </c>
      <c r="L55" s="2">
        <f t="shared" ca="1" si="14"/>
        <v>28.513277844812389</v>
      </c>
      <c r="M55" s="2">
        <f t="shared" ca="1" si="14"/>
        <v>23.133241211397078</v>
      </c>
      <c r="N55" s="2">
        <f t="shared" ca="1" si="14"/>
        <v>28.336595278683951</v>
      </c>
      <c r="O55" s="2">
        <f t="shared" ca="1" si="14"/>
        <v>23.415966925840905</v>
      </c>
      <c r="P55" s="2">
        <f t="shared" ca="1" si="14"/>
        <v>28.187590765226254</v>
      </c>
      <c r="Q55" s="2">
        <f t="shared" ca="1" si="14"/>
        <v>23.41134841454922</v>
      </c>
      <c r="R55" s="2">
        <f t="shared" ca="1" si="14"/>
        <v>22.943081471462815</v>
      </c>
      <c r="S55" s="2">
        <f t="shared" ca="1" si="13"/>
        <v>20.363387127720205</v>
      </c>
      <c r="T55" s="2">
        <f t="shared" ca="1" si="13"/>
        <v>25.081718877512976</v>
      </c>
      <c r="U55" s="2">
        <f t="shared" ca="1" si="13"/>
        <v>25.647627318326805</v>
      </c>
      <c r="V55" s="2">
        <f t="shared" ca="1" si="13"/>
        <v>21.237669195030978</v>
      </c>
      <c r="W55" s="2">
        <f t="shared" ca="1" si="13"/>
        <v>23.531220855200857</v>
      </c>
      <c r="X55" s="2">
        <f t="shared" ca="1" si="13"/>
        <v>22.193072106471668</v>
      </c>
      <c r="Y55" s="2">
        <f t="shared" ca="1" si="11"/>
        <v>26.047753717492554</v>
      </c>
      <c r="Z55" s="2">
        <f t="shared" ca="1" si="12"/>
        <v>29.271798873470861</v>
      </c>
      <c r="AA55" s="2">
        <f t="shared" ca="1" si="12"/>
        <v>27.03812697546693</v>
      </c>
      <c r="AB55" s="2">
        <f t="shared" ca="1" si="12"/>
        <v>20.279227026944515</v>
      </c>
      <c r="AC55" s="2">
        <f t="shared" ca="1" si="12"/>
        <v>26.527712931637115</v>
      </c>
      <c r="AD55" s="2">
        <f t="shared" ca="1" si="12"/>
        <v>22.42720514369093</v>
      </c>
      <c r="AE55" s="2">
        <f t="shared" ca="1" si="12"/>
        <v>26.695665366168953</v>
      </c>
      <c r="AF55" s="2">
        <f t="shared" ca="1" si="12"/>
        <v>29.434515436716751</v>
      </c>
      <c r="AG55" s="2">
        <f t="shared" ca="1" si="12"/>
        <v>27.026422023799622</v>
      </c>
      <c r="AH55" s="2">
        <f t="shared" ca="1" si="12"/>
        <v>26.177089377108476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26.541927629540275</v>
      </c>
      <c r="D56" s="2">
        <f t="shared" ca="1" si="14"/>
        <v>22.27787674418747</v>
      </c>
      <c r="E56" s="2">
        <f t="shared" ca="1" si="14"/>
        <v>25.360513020201047</v>
      </c>
      <c r="F56" s="2">
        <f t="shared" ca="1" si="14"/>
        <v>29.567121894509928</v>
      </c>
      <c r="G56" s="2">
        <f t="shared" ca="1" si="14"/>
        <v>26.234345043706863</v>
      </c>
      <c r="H56" s="2">
        <f t="shared" ca="1" si="14"/>
        <v>25.459163480935715</v>
      </c>
      <c r="I56" s="2">
        <f t="shared" ca="1" si="14"/>
        <v>25.672436077200128</v>
      </c>
      <c r="J56" s="2">
        <f t="shared" ca="1" si="14"/>
        <v>24.474099625222095</v>
      </c>
      <c r="K56" s="2">
        <f t="shared" ca="1" si="14"/>
        <v>28.108299583130314</v>
      </c>
      <c r="L56" s="2">
        <f t="shared" ca="1" si="14"/>
        <v>24.487100207052837</v>
      </c>
      <c r="M56" s="2">
        <f t="shared" ca="1" si="14"/>
        <v>25.70216699445837</v>
      </c>
      <c r="N56" s="2">
        <f t="shared" ca="1" si="14"/>
        <v>25.368299148407903</v>
      </c>
      <c r="O56" s="2">
        <f t="shared" ca="1" si="14"/>
        <v>24.038089598312773</v>
      </c>
      <c r="P56" s="2">
        <f t="shared" ca="1" si="14"/>
        <v>28.635499071617687</v>
      </c>
      <c r="Q56" s="2">
        <f t="shared" ca="1" si="14"/>
        <v>23.022121175576281</v>
      </c>
      <c r="R56" s="2">
        <f t="shared" ca="1" si="14"/>
        <v>24.689951376263252</v>
      </c>
      <c r="S56" s="2">
        <f t="shared" ca="1" si="13"/>
        <v>28.894100382596875</v>
      </c>
      <c r="T56" s="2">
        <f t="shared" ca="1" si="13"/>
        <v>21.708271302402192</v>
      </c>
      <c r="U56" s="2">
        <f t="shared" ca="1" si="13"/>
        <v>28.586522752228667</v>
      </c>
      <c r="V56" s="2">
        <f t="shared" ca="1" si="13"/>
        <v>28.417496256532921</v>
      </c>
      <c r="W56" s="2">
        <f t="shared" ca="1" si="13"/>
        <v>27.086845437424728</v>
      </c>
      <c r="X56" s="2">
        <f t="shared" ca="1" si="13"/>
        <v>24.103302096102077</v>
      </c>
      <c r="Y56" s="2">
        <f t="shared" ca="1" si="11"/>
        <v>27.19688036021569</v>
      </c>
      <c r="Z56" s="2">
        <f t="shared" ca="1" si="12"/>
        <v>26.500969445863316</v>
      </c>
      <c r="AA56" s="2">
        <f t="shared" ca="1" si="12"/>
        <v>26.01600861451152</v>
      </c>
      <c r="AB56" s="2">
        <f t="shared" ca="1" si="12"/>
        <v>27.347165339737867</v>
      </c>
      <c r="AC56" s="2">
        <f t="shared" ca="1" si="12"/>
        <v>25.175232074438568</v>
      </c>
      <c r="AD56" s="2">
        <f t="shared" ca="1" si="12"/>
        <v>26.368942859167095</v>
      </c>
      <c r="AE56" s="2">
        <f t="shared" ca="1" si="12"/>
        <v>25.976547297091347</v>
      </c>
      <c r="AF56" s="2">
        <f t="shared" ca="1" si="12"/>
        <v>26.981489162209975</v>
      </c>
      <c r="AG56" s="2">
        <f t="shared" ca="1" si="12"/>
        <v>21.502308425290881</v>
      </c>
      <c r="AH56" s="2">
        <f t="shared" ca="1" si="12"/>
        <v>24.146896796199385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21.595819337967765</v>
      </c>
      <c r="D57" s="2">
        <f t="shared" ca="1" si="14"/>
        <v>20.511201687508052</v>
      </c>
      <c r="E57" s="2">
        <f t="shared" ca="1" si="14"/>
        <v>22.867978597119691</v>
      </c>
      <c r="F57" s="2">
        <f t="shared" ca="1" si="14"/>
        <v>29.738945596387655</v>
      </c>
      <c r="G57" s="2">
        <f t="shared" ca="1" si="14"/>
        <v>26.689951211346962</v>
      </c>
      <c r="H57" s="2">
        <f t="shared" ca="1" si="14"/>
        <v>29.9039153988385</v>
      </c>
      <c r="I57" s="2">
        <f t="shared" ca="1" si="14"/>
        <v>26.082662478670933</v>
      </c>
      <c r="J57" s="2">
        <f t="shared" ca="1" si="14"/>
        <v>28.188876970070588</v>
      </c>
      <c r="K57" s="2">
        <f t="shared" ca="1" si="14"/>
        <v>20.35017867372342</v>
      </c>
      <c r="L57" s="2">
        <f t="shared" ca="1" si="14"/>
        <v>27.846168187282537</v>
      </c>
      <c r="M57" s="2">
        <f t="shared" ca="1" si="14"/>
        <v>24.09011629755982</v>
      </c>
      <c r="N57" s="2">
        <f t="shared" ca="1" si="14"/>
        <v>28.681346925497365</v>
      </c>
      <c r="O57" s="2">
        <f t="shared" ca="1" si="14"/>
        <v>27.398708009107349</v>
      </c>
      <c r="P57" s="2">
        <f t="shared" ca="1" si="14"/>
        <v>24.678225397010657</v>
      </c>
      <c r="Q57" s="2">
        <f t="shared" ca="1" si="14"/>
        <v>26.665347503939401</v>
      </c>
      <c r="R57" s="2">
        <f t="shared" ca="1" si="14"/>
        <v>28.645229527923583</v>
      </c>
      <c r="S57" s="2">
        <f t="shared" ca="1" si="13"/>
        <v>28.476651104702235</v>
      </c>
      <c r="T57" s="2">
        <f t="shared" ca="1" si="13"/>
        <v>27.11081654434923</v>
      </c>
      <c r="U57" s="2">
        <f t="shared" ca="1" si="13"/>
        <v>21.023876457965581</v>
      </c>
      <c r="V57" s="2">
        <f t="shared" ca="1" si="13"/>
        <v>27.614881022791504</v>
      </c>
      <c r="W57" s="2">
        <f t="shared" ca="1" si="13"/>
        <v>26.243390283842917</v>
      </c>
      <c r="X57" s="2">
        <f t="shared" ca="1" si="13"/>
        <v>25.770426771693323</v>
      </c>
      <c r="Y57" s="2">
        <f t="shared" ca="1" si="11"/>
        <v>23.308537238173553</v>
      </c>
      <c r="Z57" s="2">
        <f t="shared" ca="1" si="12"/>
        <v>23.509689215578938</v>
      </c>
      <c r="AA57" s="2">
        <f t="shared" ca="1" si="12"/>
        <v>21.681943809228894</v>
      </c>
      <c r="AB57" s="2">
        <f t="shared" ca="1" si="12"/>
        <v>27.152611512024016</v>
      </c>
      <c r="AC57" s="2">
        <f t="shared" ca="1" si="12"/>
        <v>22.688206881700125</v>
      </c>
      <c r="AD57" s="2">
        <f t="shared" ca="1" si="12"/>
        <v>24.5983536371096</v>
      </c>
      <c r="AE57" s="2">
        <f t="shared" ca="1" si="12"/>
        <v>20.979062189892492</v>
      </c>
      <c r="AF57" s="2">
        <f t="shared" ca="1" si="12"/>
        <v>26.659569848958505</v>
      </c>
      <c r="AG57" s="2">
        <f t="shared" ca="1" si="12"/>
        <v>23.278576645721216</v>
      </c>
      <c r="AH57" s="2">
        <f t="shared" ca="1" si="12"/>
        <v>22.056397583736786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22.775325783831793</v>
      </c>
      <c r="D58" s="2">
        <f t="shared" ca="1" si="14"/>
        <v>28.853429877105352</v>
      </c>
      <c r="E58" s="2">
        <f t="shared" ca="1" si="14"/>
        <v>23.382666865744199</v>
      </c>
      <c r="F58" s="2">
        <f t="shared" ca="1" si="14"/>
        <v>27.589250244748147</v>
      </c>
      <c r="G58" s="2">
        <f t="shared" ca="1" si="14"/>
        <v>27.856146043881015</v>
      </c>
      <c r="H58" s="2">
        <f t="shared" ca="1" si="14"/>
        <v>23.389141164854053</v>
      </c>
      <c r="I58" s="2">
        <f t="shared" ca="1" si="14"/>
        <v>24.593688817021224</v>
      </c>
      <c r="J58" s="2">
        <f t="shared" ca="1" si="14"/>
        <v>26.279188890154291</v>
      </c>
      <c r="K58" s="2">
        <f t="shared" ca="1" si="14"/>
        <v>26.547143657860733</v>
      </c>
      <c r="L58" s="2">
        <f t="shared" ca="1" si="14"/>
        <v>28.171317048632122</v>
      </c>
      <c r="M58" s="2">
        <f t="shared" ca="1" si="14"/>
        <v>28.198026161104384</v>
      </c>
      <c r="N58" s="2">
        <f t="shared" ca="1" si="14"/>
        <v>26.904470391679506</v>
      </c>
      <c r="O58" s="2">
        <f t="shared" ca="1" si="14"/>
        <v>20.836655714189906</v>
      </c>
      <c r="P58" s="2">
        <f t="shared" ca="1" si="14"/>
        <v>20.698249186927605</v>
      </c>
      <c r="Q58" s="2">
        <f t="shared" ca="1" si="14"/>
        <v>24.744926700072945</v>
      </c>
      <c r="R58" s="2">
        <f t="shared" ca="1" si="14"/>
        <v>24.142236519630128</v>
      </c>
      <c r="S58" s="2">
        <f t="shared" ca="1" si="13"/>
        <v>24.657782530583376</v>
      </c>
      <c r="T58" s="2">
        <f t="shared" ca="1" si="13"/>
        <v>29.020139967686358</v>
      </c>
      <c r="U58" s="2">
        <f t="shared" ca="1" si="13"/>
        <v>21.1580359225356</v>
      </c>
      <c r="V58" s="2">
        <f t="shared" ca="1" si="13"/>
        <v>20.397643487119545</v>
      </c>
      <c r="W58" s="2">
        <f t="shared" ca="1" si="13"/>
        <v>25.824870876892607</v>
      </c>
      <c r="X58" s="2">
        <f t="shared" ca="1" si="13"/>
        <v>29.478752694959944</v>
      </c>
      <c r="Y58" s="2">
        <f t="shared" ca="1" si="11"/>
        <v>20.286451673417101</v>
      </c>
      <c r="Z58" s="2">
        <f t="shared" ca="1" si="12"/>
        <v>25.426822460156018</v>
      </c>
      <c r="AA58" s="2">
        <f t="shared" ca="1" si="12"/>
        <v>20.333678724145273</v>
      </c>
      <c r="AB58" s="2">
        <f t="shared" ca="1" si="12"/>
        <v>27.335118380575519</v>
      </c>
      <c r="AC58" s="2">
        <f t="shared" ca="1" si="12"/>
        <v>23.950149862462609</v>
      </c>
      <c r="AD58" s="2">
        <f t="shared" ca="1" si="12"/>
        <v>25.485254127956185</v>
      </c>
      <c r="AE58" s="2">
        <f t="shared" ca="1" si="12"/>
        <v>29.602038037006995</v>
      </c>
      <c r="AF58" s="2">
        <f t="shared" ca="1" si="12"/>
        <v>26.13820450652209</v>
      </c>
      <c r="AG58" s="2">
        <f t="shared" ca="1" si="12"/>
        <v>24.4541027007343</v>
      </c>
      <c r="AH58" s="2">
        <f t="shared" ca="1" si="12"/>
        <v>25.933626955733459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23.21162712314668</v>
      </c>
      <c r="D59" s="2">
        <f t="shared" ca="1" si="14"/>
        <v>28.266870286395683</v>
      </c>
      <c r="E59" s="2">
        <f t="shared" ca="1" si="14"/>
        <v>28.750512293121496</v>
      </c>
      <c r="F59" s="2">
        <f t="shared" ca="1" si="14"/>
        <v>22.798245211315248</v>
      </c>
      <c r="G59" s="2">
        <f t="shared" ca="1" si="14"/>
        <v>24.992288809396758</v>
      </c>
      <c r="H59" s="2">
        <f t="shared" ca="1" si="14"/>
        <v>21.051296293059934</v>
      </c>
      <c r="I59" s="2">
        <f t="shared" ca="1" si="14"/>
        <v>21.584492966752649</v>
      </c>
      <c r="J59" s="2">
        <f t="shared" ca="1" si="14"/>
        <v>26.651373847748189</v>
      </c>
      <c r="K59" s="2">
        <f t="shared" ca="1" si="14"/>
        <v>29.17933844838652</v>
      </c>
      <c r="L59" s="2">
        <f t="shared" ca="1" si="14"/>
        <v>27.032984439025697</v>
      </c>
      <c r="M59" s="2">
        <f t="shared" ca="1" si="14"/>
        <v>27.05177334681045</v>
      </c>
      <c r="N59" s="2">
        <f t="shared" ca="1" si="14"/>
        <v>21.856202038743795</v>
      </c>
      <c r="O59" s="2">
        <f t="shared" ca="1" si="14"/>
        <v>26.926686491683672</v>
      </c>
      <c r="P59" s="2">
        <f t="shared" ca="1" si="14"/>
        <v>20.223203690089147</v>
      </c>
      <c r="Q59" s="2">
        <f t="shared" ca="1" si="14"/>
        <v>24.975460484118294</v>
      </c>
      <c r="R59" s="2">
        <f t="shared" ca="1" si="14"/>
        <v>22.704413635777136</v>
      </c>
      <c r="S59" s="2">
        <f t="shared" ca="1" si="13"/>
        <v>22.720484376934625</v>
      </c>
      <c r="T59" s="2">
        <f t="shared" ca="1" si="13"/>
        <v>24.572341308822597</v>
      </c>
      <c r="U59" s="2">
        <f t="shared" ca="1" si="13"/>
        <v>26.125329404348761</v>
      </c>
      <c r="V59" s="2">
        <f t="shared" ca="1" si="13"/>
        <v>23.06209181464132</v>
      </c>
      <c r="W59" s="2">
        <f t="shared" ca="1" si="13"/>
        <v>23.524728999572442</v>
      </c>
      <c r="X59" s="2">
        <f t="shared" ca="1" si="13"/>
        <v>28.667880080561009</v>
      </c>
      <c r="Y59" s="2">
        <f t="shared" ca="1" si="11"/>
        <v>24.190483109992233</v>
      </c>
      <c r="Z59" s="2">
        <f t="shared" ca="1" si="12"/>
        <v>26.739657345045025</v>
      </c>
      <c r="AA59" s="2">
        <f t="shared" ca="1" si="12"/>
        <v>28.841966121208827</v>
      </c>
      <c r="AB59" s="2">
        <f t="shared" ca="1" si="12"/>
        <v>29.059929894649965</v>
      </c>
      <c r="AC59" s="2">
        <f t="shared" ca="1" si="12"/>
        <v>24.491827544548883</v>
      </c>
      <c r="AD59" s="2">
        <f t="shared" ca="1" si="12"/>
        <v>23.100890903229477</v>
      </c>
      <c r="AE59" s="2">
        <f t="shared" ca="1" si="12"/>
        <v>21.338647828411659</v>
      </c>
      <c r="AF59" s="2">
        <f t="shared" ca="1" si="12"/>
        <v>29.491054941887885</v>
      </c>
      <c r="AG59" s="2">
        <f t="shared" ca="1" si="12"/>
        <v>25.910460053507773</v>
      </c>
      <c r="AH59" s="2">
        <f t="shared" ca="1" si="12"/>
        <v>26.777767124275393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20.527985086479074</v>
      </c>
      <c r="D60" s="2">
        <f t="shared" ca="1" si="14"/>
        <v>20.198327287478921</v>
      </c>
      <c r="E60" s="2">
        <f t="shared" ca="1" si="14"/>
        <v>20.207683677939727</v>
      </c>
      <c r="F60" s="2">
        <f t="shared" ca="1" si="14"/>
        <v>25.608694621366624</v>
      </c>
      <c r="G60" s="2">
        <f t="shared" ca="1" si="14"/>
        <v>24.196385148047781</v>
      </c>
      <c r="H60" s="2">
        <f t="shared" ca="1" si="14"/>
        <v>25.011982486940187</v>
      </c>
      <c r="I60" s="2">
        <f t="shared" ca="1" si="14"/>
        <v>26.452321851834178</v>
      </c>
      <c r="J60" s="2">
        <f t="shared" ca="1" si="14"/>
        <v>25.396373976712528</v>
      </c>
      <c r="K60" s="2">
        <f t="shared" ca="1" si="14"/>
        <v>24.414787437726272</v>
      </c>
      <c r="L60" s="2">
        <f t="shared" ca="1" si="14"/>
        <v>26.541700208513902</v>
      </c>
      <c r="M60" s="2">
        <f t="shared" ca="1" si="14"/>
        <v>20.458742311870594</v>
      </c>
      <c r="N60" s="2">
        <f t="shared" ca="1" si="14"/>
        <v>22.819678167095468</v>
      </c>
      <c r="O60" s="2">
        <f t="shared" ca="1" si="14"/>
        <v>28.410856426612728</v>
      </c>
      <c r="P60" s="2">
        <f t="shared" ca="1" si="14"/>
        <v>24.216529279067938</v>
      </c>
      <c r="Q60" s="2">
        <f t="shared" ca="1" si="14"/>
        <v>24.933148900047321</v>
      </c>
      <c r="R60" s="2">
        <f t="shared" ca="1" si="14"/>
        <v>24.981866795123032</v>
      </c>
      <c r="S60" s="2">
        <f t="shared" ca="1" si="13"/>
        <v>26.480961801165726</v>
      </c>
      <c r="T60" s="2">
        <f t="shared" ca="1" si="13"/>
        <v>24.904162793908558</v>
      </c>
      <c r="U60" s="2">
        <f t="shared" ca="1" si="13"/>
        <v>25.822095365655429</v>
      </c>
      <c r="V60" s="2">
        <f t="shared" ca="1" si="13"/>
        <v>26.569847959651092</v>
      </c>
      <c r="W60" s="2">
        <f t="shared" ca="1" si="13"/>
        <v>26.960526065105263</v>
      </c>
      <c r="X60" s="2">
        <f t="shared" ca="1" si="13"/>
        <v>29.496373166473074</v>
      </c>
      <c r="Y60" s="2">
        <f t="shared" ca="1" si="11"/>
        <v>24.473190007556695</v>
      </c>
      <c r="Z60" s="2">
        <f t="shared" ca="1" si="12"/>
        <v>26.842443923934521</v>
      </c>
      <c r="AA60" s="2">
        <f t="shared" ca="1" si="12"/>
        <v>28.036795571360525</v>
      </c>
      <c r="AB60" s="2">
        <f t="shared" ca="1" si="12"/>
        <v>23.427015466660258</v>
      </c>
      <c r="AC60" s="2">
        <f t="shared" ca="1" si="12"/>
        <v>22.548078228369331</v>
      </c>
      <c r="AD60" s="2">
        <f t="shared" ca="1" si="12"/>
        <v>26.482759014392833</v>
      </c>
      <c r="AE60" s="2">
        <f t="shared" ca="1" si="12"/>
        <v>23.678721976252064</v>
      </c>
      <c r="AF60" s="2">
        <f t="shared" ca="1" si="12"/>
        <v>26.060211092005154</v>
      </c>
      <c r="AG60" s="2">
        <f t="shared" ca="1" si="12"/>
        <v>29.605692318384158</v>
      </c>
      <c r="AH60" s="2">
        <f t="shared" ca="1" si="12"/>
        <v>25.853387069194394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22.704219049686586</v>
      </c>
      <c r="D61" s="2">
        <f t="shared" ca="1" si="14"/>
        <v>20.676736145430212</v>
      </c>
      <c r="E61" s="2">
        <f t="shared" ca="1" si="14"/>
        <v>28.010131453191146</v>
      </c>
      <c r="F61" s="2">
        <f t="shared" ca="1" si="14"/>
        <v>21.219700495605629</v>
      </c>
      <c r="G61" s="2">
        <f t="shared" ca="1" si="14"/>
        <v>21.728432907774849</v>
      </c>
      <c r="H61" s="2">
        <f t="shared" ca="1" si="14"/>
        <v>26.304247711309497</v>
      </c>
      <c r="I61" s="2">
        <f t="shared" ca="1" si="14"/>
        <v>29.196757036951354</v>
      </c>
      <c r="J61" s="2">
        <f t="shared" ca="1" si="14"/>
        <v>23.633922334109052</v>
      </c>
      <c r="K61" s="2">
        <f t="shared" ca="1" si="14"/>
        <v>29.79516030160768</v>
      </c>
      <c r="L61" s="2">
        <f t="shared" ca="1" si="14"/>
        <v>25.696580384346348</v>
      </c>
      <c r="M61" s="2">
        <f t="shared" ca="1" si="14"/>
        <v>25.453771260816044</v>
      </c>
      <c r="N61" s="2">
        <f t="shared" ca="1" si="14"/>
        <v>23.341938138176872</v>
      </c>
      <c r="O61" s="2">
        <f t="shared" ca="1" si="14"/>
        <v>26.878842640741119</v>
      </c>
      <c r="P61" s="2">
        <f t="shared" ca="1" si="14"/>
        <v>28.605807954231349</v>
      </c>
      <c r="Q61" s="2">
        <f t="shared" ca="1" si="14"/>
        <v>23.374063602774001</v>
      </c>
      <c r="R61" s="2">
        <f t="shared" ca="1" si="14"/>
        <v>29.071695375938145</v>
      </c>
      <c r="S61" s="2">
        <f t="shared" ca="1" si="13"/>
        <v>29.607824466081638</v>
      </c>
      <c r="T61" s="2">
        <f t="shared" ca="1" si="13"/>
        <v>29.277394169005177</v>
      </c>
      <c r="U61" s="2">
        <f t="shared" ca="1" si="13"/>
        <v>22.79628907924489</v>
      </c>
      <c r="V61" s="2">
        <f t="shared" ca="1" si="13"/>
        <v>20.264608547696405</v>
      </c>
      <c r="W61" s="2">
        <f t="shared" ca="1" si="13"/>
        <v>29.167430088489159</v>
      </c>
      <c r="X61" s="2">
        <f t="shared" ca="1" si="13"/>
        <v>21.483988488390807</v>
      </c>
      <c r="Y61" s="2">
        <f t="shared" ca="1" si="11"/>
        <v>22.419772486710016</v>
      </c>
      <c r="Z61" s="2">
        <f t="shared" ca="1" si="12"/>
        <v>24.352094307878993</v>
      </c>
      <c r="AA61" s="2">
        <f t="shared" ca="1" si="12"/>
        <v>21.413305269225852</v>
      </c>
      <c r="AB61" s="2">
        <f t="shared" ca="1" si="12"/>
        <v>29.192104321731961</v>
      </c>
      <c r="AC61" s="2">
        <f t="shared" ca="1" si="12"/>
        <v>23.196316234813587</v>
      </c>
      <c r="AD61" s="2">
        <f t="shared" ca="1" si="12"/>
        <v>23.852960744078501</v>
      </c>
      <c r="AE61" s="2">
        <f t="shared" ca="1" si="12"/>
        <v>20.611084711473527</v>
      </c>
      <c r="AF61" s="2">
        <f t="shared" ca="1" si="12"/>
        <v>22.893125845202</v>
      </c>
      <c r="AG61" s="2">
        <f t="shared" ca="1" si="12"/>
        <v>29.286312287748522</v>
      </c>
      <c r="AH61" s="2">
        <f t="shared" ca="1" si="12"/>
        <v>29.142166125298409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21.774605119707079</v>
      </c>
      <c r="D62" s="2">
        <f t="shared" ca="1" si="14"/>
        <v>21.475726328943097</v>
      </c>
      <c r="E62" s="2">
        <f t="shared" ca="1" si="14"/>
        <v>22.971434441576079</v>
      </c>
      <c r="F62" s="2">
        <f t="shared" ca="1" si="14"/>
        <v>27.200776711471462</v>
      </c>
      <c r="G62" s="2">
        <f t="shared" ca="1" si="14"/>
        <v>29.436353646096475</v>
      </c>
      <c r="H62" s="2">
        <f t="shared" ca="1" si="14"/>
        <v>20.646293415443754</v>
      </c>
      <c r="I62" s="2">
        <f t="shared" ca="1" si="14"/>
        <v>29.626492207158577</v>
      </c>
      <c r="J62" s="2">
        <f t="shared" ca="1" si="14"/>
        <v>22.657547585966572</v>
      </c>
      <c r="K62" s="2">
        <f t="shared" ca="1" si="14"/>
        <v>20.779471917976412</v>
      </c>
      <c r="L62" s="2">
        <f t="shared" ca="1" si="14"/>
        <v>22.567139801851418</v>
      </c>
      <c r="M62" s="2">
        <f t="shared" ca="1" si="14"/>
        <v>24.382695087667592</v>
      </c>
      <c r="N62" s="2">
        <f t="shared" ca="1" si="14"/>
        <v>23.059553079105154</v>
      </c>
      <c r="O62" s="2">
        <f t="shared" ca="1" si="14"/>
        <v>21.148787423774483</v>
      </c>
      <c r="P62" s="2">
        <f t="shared" ca="1" si="14"/>
        <v>25.684904943239928</v>
      </c>
      <c r="Q62" s="2">
        <f t="shared" ca="1" si="14"/>
        <v>28.264127773049967</v>
      </c>
      <c r="R62" s="2">
        <f t="shared" ca="1" si="14"/>
        <v>22.014523474395535</v>
      </c>
      <c r="S62" s="2">
        <f t="shared" ca="1" si="13"/>
        <v>21.837257686779672</v>
      </c>
      <c r="T62" s="2">
        <f t="shared" ca="1" si="13"/>
        <v>25.877000243735814</v>
      </c>
      <c r="U62" s="2">
        <f t="shared" ca="1" si="13"/>
        <v>28.862570302381656</v>
      </c>
      <c r="V62" s="2">
        <f t="shared" ca="1" si="13"/>
        <v>23.389225940823824</v>
      </c>
      <c r="W62" s="2">
        <f t="shared" ca="1" si="13"/>
        <v>21.975251429998536</v>
      </c>
      <c r="X62" s="2">
        <f t="shared" ca="1" si="13"/>
        <v>24.869981145878594</v>
      </c>
      <c r="Y62" s="2">
        <f t="shared" ca="1" si="11"/>
        <v>23.251850968865629</v>
      </c>
      <c r="Z62" s="2">
        <f t="shared" ca="1" si="12"/>
        <v>23.981580672469573</v>
      </c>
      <c r="AA62" s="2">
        <f t="shared" ca="1" si="12"/>
        <v>20.18194430323258</v>
      </c>
      <c r="AB62" s="2">
        <f t="shared" ca="1" si="12"/>
        <v>20.568628152172849</v>
      </c>
      <c r="AC62" s="2">
        <f t="shared" ca="1" si="12"/>
        <v>24.262075491615644</v>
      </c>
      <c r="AD62" s="2">
        <f t="shared" ca="1" si="12"/>
        <v>25.300032297874786</v>
      </c>
      <c r="AE62" s="2">
        <f t="shared" ca="1" si="12"/>
        <v>24.905216842954633</v>
      </c>
      <c r="AF62" s="2">
        <f t="shared" ca="1" si="12"/>
        <v>22.03636947708349</v>
      </c>
      <c r="AG62" s="2">
        <f t="shared" ca="1" si="12"/>
        <v>28.154074125005607</v>
      </c>
      <c r="AH62" s="2">
        <f t="shared" ca="1" si="12"/>
        <v>27.366275481720503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24.725526809022366</v>
      </c>
      <c r="D63" s="2">
        <f t="shared" ca="1" si="14"/>
        <v>20.051143964020724</v>
      </c>
      <c r="E63" s="2">
        <f t="shared" ca="1" si="14"/>
        <v>21.06735870828464</v>
      </c>
      <c r="F63" s="2">
        <f t="shared" ca="1" si="14"/>
        <v>29.912067136606296</v>
      </c>
      <c r="G63" s="2">
        <f t="shared" ca="1" si="14"/>
        <v>20.765760924063393</v>
      </c>
      <c r="H63" s="2">
        <f t="shared" ca="1" si="14"/>
        <v>27.553214726616591</v>
      </c>
      <c r="I63" s="2">
        <f t="shared" ca="1" si="14"/>
        <v>22.339692890672076</v>
      </c>
      <c r="J63" s="2">
        <f t="shared" ca="1" si="14"/>
        <v>23.047783065102077</v>
      </c>
      <c r="K63" s="2">
        <f t="shared" ca="1" si="14"/>
        <v>24.999836256709759</v>
      </c>
      <c r="L63" s="2">
        <f t="shared" ca="1" si="14"/>
        <v>24.998770721142467</v>
      </c>
      <c r="M63" s="2">
        <f t="shared" ca="1" si="14"/>
        <v>20.75131013862206</v>
      </c>
      <c r="N63" s="2">
        <f t="shared" ca="1" si="14"/>
        <v>27.524230444230248</v>
      </c>
      <c r="O63" s="2">
        <f t="shared" ca="1" si="14"/>
        <v>26.486966077278794</v>
      </c>
      <c r="P63" s="2">
        <f t="shared" ca="1" si="14"/>
        <v>21.382386009593962</v>
      </c>
      <c r="Q63" s="2">
        <f t="shared" ca="1" si="14"/>
        <v>21.280120033356905</v>
      </c>
      <c r="R63" s="2">
        <f t="shared" ca="1" si="14"/>
        <v>22.993691343288582</v>
      </c>
      <c r="S63" s="2">
        <f t="shared" ca="1" si="13"/>
        <v>21.321637611902851</v>
      </c>
      <c r="T63" s="2">
        <f t="shared" ca="1" si="13"/>
        <v>25.518356168464695</v>
      </c>
      <c r="U63" s="2">
        <f t="shared" ca="1" si="13"/>
        <v>23.708044202047247</v>
      </c>
      <c r="V63" s="2">
        <f t="shared" ca="1" si="13"/>
        <v>27.11992870294268</v>
      </c>
      <c r="W63" s="2">
        <f t="shared" ca="1" si="13"/>
        <v>20.060542731019737</v>
      </c>
      <c r="X63" s="2">
        <f t="shared" ca="1" si="13"/>
        <v>22.200673835850598</v>
      </c>
      <c r="Y63" s="2">
        <f t="shared" ca="1" si="11"/>
        <v>24.800846100817424</v>
      </c>
      <c r="Z63" s="2">
        <f t="shared" ca="1" si="12"/>
        <v>22.685252955109103</v>
      </c>
      <c r="AA63" s="2">
        <f t="shared" ca="1" si="12"/>
        <v>23.00304280856831</v>
      </c>
      <c r="AB63" s="2">
        <f t="shared" ca="1" si="12"/>
        <v>28.470777380060959</v>
      </c>
      <c r="AC63" s="2">
        <f t="shared" ca="1" si="12"/>
        <v>25.738485008562606</v>
      </c>
      <c r="AD63" s="2">
        <f t="shared" ca="1" si="12"/>
        <v>28.102492312783699</v>
      </c>
      <c r="AE63" s="2">
        <f t="shared" ca="1" si="12"/>
        <v>29.658906385470594</v>
      </c>
      <c r="AF63" s="2">
        <f t="shared" ca="1" si="12"/>
        <v>22.71881106797969</v>
      </c>
      <c r="AG63" s="2">
        <f t="shared" ca="1" si="12"/>
        <v>25.304923328993205</v>
      </c>
      <c r="AH63" s="2">
        <f t="shared" ca="1" si="12"/>
        <v>26.829200388555829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27.996455395839849</v>
      </c>
      <c r="D64" s="2">
        <f t="shared" ca="1" si="14"/>
        <v>23.803506281160043</v>
      </c>
      <c r="E64" s="2">
        <f t="shared" ca="1" si="14"/>
        <v>26.204088571168114</v>
      </c>
      <c r="F64" s="2">
        <f t="shared" ca="1" si="14"/>
        <v>20.534506737966364</v>
      </c>
      <c r="G64" s="2">
        <f t="shared" ca="1" si="14"/>
        <v>23.844443787472265</v>
      </c>
      <c r="H64" s="2">
        <f t="shared" ca="1" si="14"/>
        <v>29.807727237142224</v>
      </c>
      <c r="I64" s="2">
        <f t="shared" ca="1" si="14"/>
        <v>27.600906602476428</v>
      </c>
      <c r="J64" s="2">
        <f t="shared" ca="1" si="14"/>
        <v>23.740042168580455</v>
      </c>
      <c r="K64" s="2">
        <f t="shared" ca="1" si="14"/>
        <v>22.42558941372776</v>
      </c>
      <c r="L64" s="2">
        <f t="shared" ca="1" si="14"/>
        <v>24.799557866078427</v>
      </c>
      <c r="M64" s="2">
        <f t="shared" ca="1" si="14"/>
        <v>29.916928127310555</v>
      </c>
      <c r="N64" s="2">
        <f t="shared" ca="1" si="14"/>
        <v>27.023831894477858</v>
      </c>
      <c r="O64" s="2">
        <f t="shared" ca="1" si="14"/>
        <v>21.156928462534662</v>
      </c>
      <c r="P64" s="2">
        <f t="shared" ca="1" si="14"/>
        <v>21.907479675947449</v>
      </c>
      <c r="Q64" s="2">
        <f t="shared" ca="1" si="14"/>
        <v>29.01344660856028</v>
      </c>
      <c r="R64" s="2">
        <f t="shared" ca="1" si="14"/>
        <v>21.867524298286902</v>
      </c>
      <c r="S64" s="2">
        <f t="shared" ca="1" si="13"/>
        <v>20.58365673438259</v>
      </c>
      <c r="T64" s="2">
        <f t="shared" ca="1" si="13"/>
        <v>25.757291231067352</v>
      </c>
      <c r="U64" s="2">
        <f t="shared" ca="1" si="13"/>
        <v>23.58332821085769</v>
      </c>
      <c r="V64" s="2">
        <f t="shared" ca="1" si="13"/>
        <v>22.990848650038288</v>
      </c>
      <c r="W64" s="2">
        <f t="shared" ca="1" si="13"/>
        <v>23.197927004576886</v>
      </c>
      <c r="X64" s="2">
        <f t="shared" ca="1" si="13"/>
        <v>25.633136708676098</v>
      </c>
      <c r="Y64" s="2">
        <f t="shared" ca="1" si="11"/>
        <v>25.748199374107383</v>
      </c>
      <c r="Z64" s="2">
        <f t="shared" ca="1" si="12"/>
        <v>25.923951838839589</v>
      </c>
      <c r="AA64" s="2">
        <f t="shared" ca="1" si="12"/>
        <v>21.945868845772125</v>
      </c>
      <c r="AB64" s="2">
        <f t="shared" ca="1" si="12"/>
        <v>26.477079759402049</v>
      </c>
      <c r="AC64" s="2">
        <f t="shared" ca="1" si="12"/>
        <v>20.216745022996722</v>
      </c>
      <c r="AD64" s="2">
        <f t="shared" ca="1" si="12"/>
        <v>27.05032481069647</v>
      </c>
      <c r="AE64" s="2">
        <f t="shared" ca="1" si="12"/>
        <v>29.606045051699564</v>
      </c>
      <c r="AF64" s="2">
        <f t="shared" ca="1" si="12"/>
        <v>29.329433096564845</v>
      </c>
      <c r="AG64" s="2">
        <f t="shared" ca="1" si="12"/>
        <v>27.500642609757641</v>
      </c>
      <c r="AH64" s="2">
        <f t="shared" ca="1" si="12"/>
        <v>29.649120190863599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21.549482504625932</v>
      </c>
      <c r="D65" s="2">
        <f t="shared" ca="1" si="14"/>
        <v>23.217298364673887</v>
      </c>
      <c r="E65" s="2">
        <f t="shared" ca="1" si="14"/>
        <v>21.755106981817185</v>
      </c>
      <c r="F65" s="2">
        <f t="shared" ca="1" si="14"/>
        <v>23.532540134635845</v>
      </c>
      <c r="G65" s="2">
        <f t="shared" ca="1" si="14"/>
        <v>27.988746789027552</v>
      </c>
      <c r="H65" s="2">
        <f t="shared" ca="1" si="14"/>
        <v>24.226568439060188</v>
      </c>
      <c r="I65" s="2">
        <f t="shared" ca="1" si="14"/>
        <v>20.875879076852687</v>
      </c>
      <c r="J65" s="2">
        <f t="shared" ca="1" si="14"/>
        <v>20.115959033443872</v>
      </c>
      <c r="K65" s="2">
        <f t="shared" ca="1" si="14"/>
        <v>26.684597855955307</v>
      </c>
      <c r="L65" s="2">
        <f t="shared" ca="1" si="14"/>
        <v>27.24911232767175</v>
      </c>
      <c r="M65" s="2">
        <f t="shared" ca="1" si="14"/>
        <v>23.670686805418349</v>
      </c>
      <c r="N65" s="2">
        <f t="shared" ca="1" si="14"/>
        <v>24.736714632388026</v>
      </c>
      <c r="O65" s="2">
        <f t="shared" ca="1" si="14"/>
        <v>27.327419181839673</v>
      </c>
      <c r="P65" s="2">
        <f t="shared" ca="1" si="14"/>
        <v>22.288188327038146</v>
      </c>
      <c r="Q65" s="2">
        <f t="shared" ca="1" si="14"/>
        <v>21.311157692185134</v>
      </c>
      <c r="R65" s="2">
        <f t="shared" ca="1" si="14"/>
        <v>20.38525234060759</v>
      </c>
      <c r="S65" s="2">
        <f t="shared" ca="1" si="13"/>
        <v>26.318669706433774</v>
      </c>
      <c r="T65" s="2">
        <f t="shared" ca="1" si="13"/>
        <v>23.787075186772803</v>
      </c>
      <c r="U65" s="2">
        <f t="shared" ca="1" si="13"/>
        <v>29.133116487226225</v>
      </c>
      <c r="V65" s="2">
        <f t="shared" ca="1" si="13"/>
        <v>27.077309631572778</v>
      </c>
      <c r="W65" s="2">
        <f t="shared" ca="1" si="13"/>
        <v>22.935399655436491</v>
      </c>
      <c r="X65" s="2">
        <f t="shared" ca="1" si="13"/>
        <v>29.806247041633032</v>
      </c>
      <c r="Y65" s="2">
        <f t="shared" ca="1" si="11"/>
        <v>24.555303107094716</v>
      </c>
      <c r="Z65" s="2">
        <f t="shared" ca="1" si="12"/>
        <v>28.019468543785603</v>
      </c>
      <c r="AA65" s="2">
        <f t="shared" ca="1" si="12"/>
        <v>27.118868524828926</v>
      </c>
      <c r="AB65" s="2">
        <f t="shared" ca="1" si="12"/>
        <v>22.105106564705039</v>
      </c>
      <c r="AC65" s="2">
        <f t="shared" ca="1" si="12"/>
        <v>24.597097400356617</v>
      </c>
      <c r="AD65" s="2">
        <f t="shared" ca="1" si="12"/>
        <v>23.167015670648794</v>
      </c>
      <c r="AE65" s="2">
        <f t="shared" ca="1" si="12"/>
        <v>23.144773111416445</v>
      </c>
      <c r="AF65" s="2">
        <f t="shared" ca="1" si="12"/>
        <v>24.550552976100676</v>
      </c>
      <c r="AG65" s="2">
        <f t="shared" ca="1" si="12"/>
        <v>24.527360009619777</v>
      </c>
      <c r="AH65" s="2">
        <f t="shared" ca="1" si="12"/>
        <v>25.548326660959919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20.618669232036972</v>
      </c>
      <c r="D66" s="2">
        <f t="shared" ca="1" si="14"/>
        <v>23.211183223816096</v>
      </c>
      <c r="E66" s="2">
        <f t="shared" ca="1" si="14"/>
        <v>28.220460207921828</v>
      </c>
      <c r="F66" s="2">
        <f t="shared" ca="1" si="14"/>
        <v>24.85534939364884</v>
      </c>
      <c r="G66" s="2">
        <f t="shared" ca="1" si="14"/>
        <v>21.00077272907911</v>
      </c>
      <c r="H66" s="2">
        <f t="shared" ca="1" si="14"/>
        <v>24.373006772552412</v>
      </c>
      <c r="I66" s="2">
        <f t="shared" ca="1" si="14"/>
        <v>24.253301633587753</v>
      </c>
      <c r="J66" s="2">
        <f t="shared" ca="1" si="14"/>
        <v>27.323575305150051</v>
      </c>
      <c r="K66" s="2">
        <f t="shared" ca="1" si="14"/>
        <v>26.470215351680427</v>
      </c>
      <c r="L66" s="2">
        <f t="shared" ca="1" si="14"/>
        <v>23.800189224191261</v>
      </c>
      <c r="M66" s="2">
        <f t="shared" ca="1" si="14"/>
        <v>27.116001854982859</v>
      </c>
      <c r="N66" s="2">
        <f t="shared" ca="1" si="14"/>
        <v>27.83414961619734</v>
      </c>
      <c r="O66" s="2">
        <f t="shared" ca="1" si="14"/>
        <v>23.6679670438823</v>
      </c>
      <c r="P66" s="2">
        <f t="shared" ca="1" si="14"/>
        <v>27.413316868691052</v>
      </c>
      <c r="Q66" s="2">
        <f t="shared" ca="1" si="14"/>
        <v>25.241782331392848</v>
      </c>
      <c r="R66" s="2">
        <f t="shared" ca="1" si="14"/>
        <v>21.44698717468783</v>
      </c>
      <c r="S66" s="2">
        <f t="shared" ca="1" si="13"/>
        <v>20.673385586991294</v>
      </c>
      <c r="T66" s="2">
        <f t="shared" ca="1" si="13"/>
        <v>29.026998152118651</v>
      </c>
      <c r="U66" s="2">
        <f t="shared" ca="1" si="13"/>
        <v>20.418820650233339</v>
      </c>
      <c r="V66" s="2">
        <f t="shared" ca="1" si="13"/>
        <v>28.710523234017177</v>
      </c>
      <c r="W66" s="2">
        <f t="shared" ca="1" si="13"/>
        <v>25.406518252133669</v>
      </c>
      <c r="X66" s="2">
        <f t="shared" ca="1" si="13"/>
        <v>28.863871332625692</v>
      </c>
      <c r="Y66" s="2">
        <f t="shared" ca="1" si="11"/>
        <v>27.14509562162543</v>
      </c>
      <c r="Z66" s="2">
        <f t="shared" ca="1" si="12"/>
        <v>21.696402662063985</v>
      </c>
      <c r="AA66" s="2">
        <f t="shared" ca="1" si="12"/>
        <v>26.705711135871983</v>
      </c>
      <c r="AB66" s="2">
        <f t="shared" ca="1" si="12"/>
        <v>21.677117004087386</v>
      </c>
      <c r="AC66" s="2">
        <f t="shared" ca="1" si="12"/>
        <v>27.908013408456899</v>
      </c>
      <c r="AD66" s="2">
        <f t="shared" ca="1" si="12"/>
        <v>20.632712224872225</v>
      </c>
      <c r="AE66" s="2">
        <f t="shared" ca="1" si="12"/>
        <v>29.039437238126698</v>
      </c>
      <c r="AF66" s="2">
        <f t="shared" ca="1" si="12"/>
        <v>27.008734046723205</v>
      </c>
      <c r="AG66" s="2">
        <f t="shared" ca="1" si="12"/>
        <v>20.948647076202981</v>
      </c>
      <c r="AH66" s="2">
        <f t="shared" ca="1" si="12"/>
        <v>24.266670135753404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23.473047256001848</v>
      </c>
      <c r="D67" s="2">
        <f t="shared" ca="1" si="14"/>
        <v>20.334470084805762</v>
      </c>
      <c r="E67" s="2">
        <f t="shared" ca="1" si="14"/>
        <v>28.40087203903186</v>
      </c>
      <c r="F67" s="2">
        <f t="shared" ca="1" si="14"/>
        <v>27.743156357149275</v>
      </c>
      <c r="G67" s="2">
        <f t="shared" ca="1" si="14"/>
        <v>29.922024070673125</v>
      </c>
      <c r="H67" s="2">
        <f t="shared" ca="1" si="14"/>
        <v>24.246486137020323</v>
      </c>
      <c r="I67" s="2">
        <f t="shared" ca="1" si="14"/>
        <v>24.120675032055363</v>
      </c>
      <c r="J67" s="2">
        <f t="shared" ca="1" si="14"/>
        <v>27.320621068962748</v>
      </c>
      <c r="K67" s="2">
        <f t="shared" ca="1" si="14"/>
        <v>21.757135545754739</v>
      </c>
      <c r="L67" s="2">
        <f t="shared" ca="1" si="14"/>
        <v>21.578247869255542</v>
      </c>
      <c r="M67" s="2">
        <f t="shared" ca="1" si="14"/>
        <v>20.692047350919029</v>
      </c>
      <c r="N67" s="2">
        <f t="shared" ca="1" si="14"/>
        <v>20.80254616778063</v>
      </c>
      <c r="O67" s="2">
        <f t="shared" ca="1" si="14"/>
        <v>22.334174451713086</v>
      </c>
      <c r="P67" s="2">
        <f t="shared" ca="1" si="14"/>
        <v>25.338997321552469</v>
      </c>
      <c r="Q67" s="2">
        <f t="shared" ca="1" si="14"/>
        <v>24.133457910882626</v>
      </c>
      <c r="R67" s="2">
        <f t="shared" ca="1" si="14"/>
        <v>28.356722291409238</v>
      </c>
      <c r="S67" s="2">
        <f t="shared" ca="1" si="13"/>
        <v>21.34332292354555</v>
      </c>
      <c r="T67" s="2">
        <f t="shared" ca="1" si="13"/>
        <v>27.701382816283409</v>
      </c>
      <c r="U67" s="2">
        <f t="shared" ca="1" si="13"/>
        <v>24.292018380744722</v>
      </c>
      <c r="V67" s="2">
        <f t="shared" ca="1" si="13"/>
        <v>22.096903231517633</v>
      </c>
      <c r="W67" s="2">
        <f t="shared" ca="1" si="13"/>
        <v>26.848849486868996</v>
      </c>
      <c r="X67" s="2">
        <f t="shared" ca="1" si="13"/>
        <v>21.220955945536836</v>
      </c>
      <c r="Y67" s="2">
        <f t="shared" ca="1" si="11"/>
        <v>25.035640881481903</v>
      </c>
      <c r="Z67" s="2">
        <f t="shared" ca="1" si="12"/>
        <v>26.068232160146003</v>
      </c>
      <c r="AA67" s="2">
        <f t="shared" ca="1" si="12"/>
        <v>24.125657362409537</v>
      </c>
      <c r="AB67" s="2">
        <f t="shared" ca="1" si="12"/>
        <v>23.597746079056581</v>
      </c>
      <c r="AC67" s="2">
        <f t="shared" ca="1" si="12"/>
        <v>25.629403074571687</v>
      </c>
      <c r="AD67" s="2">
        <f t="shared" ca="1" si="12"/>
        <v>24.048489987436756</v>
      </c>
      <c r="AE67" s="2">
        <f t="shared" ca="1" si="12"/>
        <v>20.473839979136542</v>
      </c>
      <c r="AF67" s="2">
        <f t="shared" ca="1" si="12"/>
        <v>24.724958650907482</v>
      </c>
      <c r="AG67" s="2">
        <f t="shared" ca="1" si="12"/>
        <v>25.175757294352387</v>
      </c>
      <c r="AH67" s="2">
        <f t="shared" ca="1" si="12"/>
        <v>29.17930647090245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26.782766243557198</v>
      </c>
      <c r="D68" s="2">
        <f t="shared" ca="1" si="14"/>
        <v>28.607670025367138</v>
      </c>
      <c r="E68" s="2">
        <f t="shared" ca="1" si="14"/>
        <v>26.726660186222457</v>
      </c>
      <c r="F68" s="2">
        <f t="shared" ca="1" si="14"/>
        <v>28.852564403975911</v>
      </c>
      <c r="G68" s="2">
        <f t="shared" ca="1" si="14"/>
        <v>25.255441583055916</v>
      </c>
      <c r="H68" s="2">
        <f t="shared" ca="1" si="14"/>
        <v>23.598314228549555</v>
      </c>
      <c r="I68" s="2">
        <f t="shared" ca="1" si="14"/>
        <v>28.298790827756985</v>
      </c>
      <c r="J68" s="2">
        <f t="shared" ca="1" si="14"/>
        <v>29.729630450442723</v>
      </c>
      <c r="K68" s="2">
        <f t="shared" ca="1" si="14"/>
        <v>22.745922191065471</v>
      </c>
      <c r="L68" s="2">
        <f t="shared" ca="1" si="14"/>
        <v>24.7488598243729</v>
      </c>
      <c r="M68" s="2">
        <f t="shared" ca="1" si="14"/>
        <v>20.999510487496497</v>
      </c>
      <c r="N68" s="2">
        <f t="shared" ca="1" si="14"/>
        <v>25.971961737292759</v>
      </c>
      <c r="O68" s="2">
        <f t="shared" ca="1" si="14"/>
        <v>20.298756576477217</v>
      </c>
      <c r="P68" s="2">
        <f t="shared" ca="1" si="14"/>
        <v>27.654373553428741</v>
      </c>
      <c r="Q68" s="2">
        <f t="shared" ca="1" si="14"/>
        <v>24.962322034279875</v>
      </c>
      <c r="R68" s="2">
        <f t="shared" ref="R68:AH68" ca="1" si="15">(RAND()*0.1+0.2)*100</f>
        <v>21.200150426129508</v>
      </c>
      <c r="S68" s="2">
        <f t="shared" ca="1" si="15"/>
        <v>22.918495781520736</v>
      </c>
      <c r="T68" s="2">
        <f t="shared" ca="1" si="15"/>
        <v>28.615789885838751</v>
      </c>
      <c r="U68" s="2">
        <f t="shared" ca="1" si="15"/>
        <v>22.107266699198856</v>
      </c>
      <c r="V68" s="2">
        <f t="shared" ca="1" si="15"/>
        <v>26.021167961331621</v>
      </c>
      <c r="W68" s="2">
        <f t="shared" ca="1" si="15"/>
        <v>21.681417265622084</v>
      </c>
      <c r="X68" s="2">
        <f t="shared" ca="1" si="15"/>
        <v>28.223047626275655</v>
      </c>
      <c r="Y68" s="2">
        <f t="shared" ca="1" si="15"/>
        <v>22.848030446127122</v>
      </c>
      <c r="Z68" s="2">
        <f t="shared" ca="1" si="15"/>
        <v>21.196976517142136</v>
      </c>
      <c r="AA68" s="2">
        <f t="shared" ca="1" si="15"/>
        <v>28.474447311405072</v>
      </c>
      <c r="AB68" s="2">
        <f t="shared" ca="1" si="15"/>
        <v>22.199436626230643</v>
      </c>
      <c r="AC68" s="2">
        <f t="shared" ca="1" si="15"/>
        <v>23.228457657234305</v>
      </c>
      <c r="AD68" s="2">
        <f t="shared" ca="1" si="15"/>
        <v>22.695629757040951</v>
      </c>
      <c r="AE68" s="2">
        <f t="shared" ca="1" si="15"/>
        <v>26.86814020419105</v>
      </c>
      <c r="AF68" s="2">
        <f t="shared" ca="1" si="15"/>
        <v>21.452594511373903</v>
      </c>
      <c r="AG68" s="2">
        <f t="shared" ca="1" si="15"/>
        <v>24.779339298619782</v>
      </c>
      <c r="AH68" s="2">
        <f t="shared" ca="1" si="15"/>
        <v>28.4706576927924</v>
      </c>
    </row>
  </sheetData>
  <pageMargins left="0.75" right="0.75" top="1" bottom="1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90"/>
  <sheetViews>
    <sheetView zoomScale="85" zoomScaleNormal="85" workbookViewId="0"/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" si="0">D1</f>
        <v>Kremt</v>
      </c>
      <c r="G1" t="str">
        <f t="shared" ref="G1" si="1">E1</f>
        <v>Belg</v>
      </c>
      <c r="H1" t="str">
        <f t="shared" ref="H1" si="2">F1</f>
        <v>Kremt</v>
      </c>
      <c r="I1" t="str">
        <f t="shared" ref="I1" si="3">G1</f>
        <v>Belg</v>
      </c>
      <c r="J1" t="str">
        <f t="shared" ref="J1" si="4">H1</f>
        <v>Kremt</v>
      </c>
      <c r="K1" t="str">
        <f t="shared" ref="K1" si="5">I1</f>
        <v>Belg</v>
      </c>
      <c r="L1" t="str">
        <f t="shared" ref="L1" si="6">J1</f>
        <v>Kremt</v>
      </c>
      <c r="M1" t="str">
        <f t="shared" ref="M1" si="7">K1</f>
        <v>Belg</v>
      </c>
      <c r="N1" t="str">
        <f t="shared" ref="N1" si="8">L1</f>
        <v>Kremt</v>
      </c>
      <c r="O1" t="str">
        <f t="shared" ref="O1" si="9">M1</f>
        <v>Belg</v>
      </c>
      <c r="P1" t="str">
        <f t="shared" ref="P1" si="10">N1</f>
        <v>Kremt</v>
      </c>
      <c r="Q1" t="str">
        <f t="shared" ref="Q1" si="11">O1</f>
        <v>Belg</v>
      </c>
      <c r="R1" t="str">
        <f t="shared" ref="R1" si="12">P1</f>
        <v>Kremt</v>
      </c>
      <c r="S1" t="str">
        <f t="shared" ref="S1" si="13">Q1</f>
        <v>Belg</v>
      </c>
      <c r="T1" t="str">
        <f t="shared" ref="T1" si="14">R1</f>
        <v>Kremt</v>
      </c>
      <c r="U1" t="str">
        <f t="shared" ref="U1" si="15">S1</f>
        <v>Belg</v>
      </c>
      <c r="V1" t="str">
        <f t="shared" ref="V1" si="16">T1</f>
        <v>Kremt</v>
      </c>
      <c r="W1" t="str">
        <f t="shared" ref="W1" si="17">U1</f>
        <v>Belg</v>
      </c>
      <c r="X1" t="str">
        <f t="shared" ref="X1" si="18">V1</f>
        <v>Kremt</v>
      </c>
      <c r="Y1" t="str">
        <f t="shared" ref="Y1" si="19">W1</f>
        <v>Belg</v>
      </c>
      <c r="Z1" t="str">
        <f t="shared" ref="Z1" si="20">X1</f>
        <v>Kremt</v>
      </c>
      <c r="AA1" t="str">
        <f t="shared" ref="AA1" si="21">Y1</f>
        <v>Belg</v>
      </c>
      <c r="AB1" t="str">
        <f t="shared" ref="AB1" si="22">Z1</f>
        <v>Kremt</v>
      </c>
      <c r="AC1" t="str">
        <f t="shared" ref="AC1" si="23">AA1</f>
        <v>Belg</v>
      </c>
      <c r="AD1" t="str">
        <f t="shared" ref="AD1" si="24">AB1</f>
        <v>Kremt</v>
      </c>
      <c r="AE1" t="str">
        <f t="shared" ref="AE1" si="25">AC1</f>
        <v>Belg</v>
      </c>
      <c r="AF1" t="str">
        <f t="shared" ref="AF1" si="26">AD1</f>
        <v>Kremt</v>
      </c>
      <c r="AG1" t="str">
        <f t="shared" ref="AG1" si="27">AE1</f>
        <v>Belg</v>
      </c>
      <c r="AH1" t="str">
        <f t="shared" ref="AH1" si="28">AF1</f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29">D2+1</f>
        <v>2016</v>
      </c>
      <c r="G2">
        <f t="shared" si="29"/>
        <v>2017</v>
      </c>
      <c r="H2">
        <f t="shared" si="29"/>
        <v>2017</v>
      </c>
      <c r="I2">
        <f t="shared" si="29"/>
        <v>2018</v>
      </c>
      <c r="J2">
        <f t="shared" si="29"/>
        <v>2018</v>
      </c>
      <c r="K2">
        <f t="shared" si="29"/>
        <v>2019</v>
      </c>
      <c r="L2">
        <f t="shared" si="29"/>
        <v>2019</v>
      </c>
      <c r="M2">
        <f t="shared" si="29"/>
        <v>2020</v>
      </c>
      <c r="N2">
        <f t="shared" si="29"/>
        <v>2020</v>
      </c>
      <c r="O2">
        <f t="shared" si="29"/>
        <v>2021</v>
      </c>
      <c r="P2">
        <f t="shared" si="29"/>
        <v>2021</v>
      </c>
      <c r="Q2">
        <f t="shared" si="29"/>
        <v>2022</v>
      </c>
      <c r="R2">
        <f t="shared" si="29"/>
        <v>2022</v>
      </c>
      <c r="S2">
        <f t="shared" si="29"/>
        <v>2023</v>
      </c>
      <c r="T2">
        <f t="shared" si="29"/>
        <v>2023</v>
      </c>
      <c r="U2">
        <f t="shared" si="29"/>
        <v>2024</v>
      </c>
      <c r="V2">
        <f t="shared" si="29"/>
        <v>2024</v>
      </c>
      <c r="W2">
        <f t="shared" si="29"/>
        <v>2025</v>
      </c>
      <c r="X2">
        <f t="shared" si="29"/>
        <v>2025</v>
      </c>
      <c r="Y2">
        <f t="shared" si="29"/>
        <v>2026</v>
      </c>
      <c r="Z2">
        <f t="shared" si="29"/>
        <v>2026</v>
      </c>
      <c r="AA2">
        <f t="shared" si="29"/>
        <v>2027</v>
      </c>
      <c r="AB2">
        <f t="shared" si="29"/>
        <v>2027</v>
      </c>
      <c r="AC2">
        <f t="shared" si="29"/>
        <v>2028</v>
      </c>
      <c r="AD2">
        <f t="shared" si="29"/>
        <v>2028</v>
      </c>
      <c r="AE2">
        <f t="shared" si="29"/>
        <v>2029</v>
      </c>
      <c r="AF2">
        <f t="shared" si="29"/>
        <v>2029</v>
      </c>
      <c r="AG2">
        <f t="shared" si="29"/>
        <v>2030</v>
      </c>
      <c r="AH2">
        <f t="shared" si="29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((RAND()*1+2)*110)*10</f>
        <v>3033.0596833275795</v>
      </c>
      <c r="D3" s="2">
        <f ca="1">((RAND()*1+2)*110)*10</f>
        <v>2419.2243241210817</v>
      </c>
      <c r="E3" s="2">
        <f ca="1">((RAND()*1+2)*110)*10</f>
        <v>2372.2694156241359</v>
      </c>
      <c r="F3" s="2">
        <f ca="1">((RAND()*1+2)*110)*10</f>
        <v>2767.6310704892549</v>
      </c>
      <c r="G3" s="2">
        <f ca="1">((RAND()*1+2)*110)*10</f>
        <v>3091.9254055774313</v>
      </c>
      <c r="H3" s="2">
        <f ca="1">((RAND()*1+2)*110)*10</f>
        <v>3280.943153444684</v>
      </c>
      <c r="I3" s="2">
        <f ca="1">((RAND()*1+2)*110)*10</f>
        <v>3163.3876913481454</v>
      </c>
      <c r="J3" s="2">
        <f ca="1">((RAND()*1+2)*110)*10</f>
        <v>2298.4337909708729</v>
      </c>
      <c r="K3" s="2">
        <f ca="1">((RAND()*1+2)*110)*10</f>
        <v>2233.5904208918696</v>
      </c>
      <c r="L3" s="2">
        <f ca="1">((RAND()*1+2)*110)*10</f>
        <v>2985.7641545666233</v>
      </c>
      <c r="M3" s="2">
        <f ca="1">((RAND()*1+2)*110)*10</f>
        <v>2206.9647316618884</v>
      </c>
      <c r="N3" s="2">
        <f ca="1">((RAND()*1+2)*110)*10</f>
        <v>2502.8573080596311</v>
      </c>
      <c r="O3" s="2">
        <f ca="1">((RAND()*1+2)*110)*10</f>
        <v>2249.9319912830701</v>
      </c>
      <c r="P3" s="2">
        <f ca="1">((RAND()*1+2)*110)*10</f>
        <v>2645.9778273354937</v>
      </c>
      <c r="Q3" s="2">
        <f ca="1">((RAND()*1+2)*110)*10</f>
        <v>2305.2499202722593</v>
      </c>
      <c r="R3" s="2">
        <f ca="1">((RAND()*1+2)*110)*10</f>
        <v>2985.4838940088566</v>
      </c>
      <c r="S3" s="2">
        <f ca="1">((RAND()*1+2)*110)*10</f>
        <v>2251.5915473007817</v>
      </c>
      <c r="T3" s="2">
        <f ca="1">((RAND()*1+2)*110)*10</f>
        <v>2965.7215764049934</v>
      </c>
      <c r="U3" s="2">
        <f ca="1">((RAND()*1+2)*110)*10</f>
        <v>2221.5073581249812</v>
      </c>
      <c r="V3" s="2">
        <f ca="1">((RAND()*1+2)*110)*10</f>
        <v>2644.2505220250264</v>
      </c>
      <c r="W3" s="2">
        <f ca="1">((RAND()*1+2)*110)*10</f>
        <v>3137.9513534687089</v>
      </c>
      <c r="X3" s="2">
        <f ca="1">((RAND()*1+2)*110)*10</f>
        <v>2785.2962530219693</v>
      </c>
      <c r="Y3" s="2">
        <f ca="1">((RAND()*1+2)*110)*10</f>
        <v>3036.4839223816348</v>
      </c>
      <c r="Z3" s="2">
        <f ca="1">((RAND()*1+2)*110)*10</f>
        <v>3180.8768847116612</v>
      </c>
      <c r="AA3" s="2">
        <f ca="1">((RAND()*1+2)*110)*10</f>
        <v>2282.1854105392313</v>
      </c>
      <c r="AB3" s="2">
        <f ca="1">((RAND()*1+2)*110)*10</f>
        <v>2505.301959733401</v>
      </c>
      <c r="AC3" s="2">
        <f ca="1">((RAND()*1+2)*110)*10</f>
        <v>3184.9010208769569</v>
      </c>
      <c r="AD3" s="2">
        <f ca="1">((RAND()*1+2)*110)*10</f>
        <v>2448.0530749997065</v>
      </c>
      <c r="AE3" s="2">
        <f ca="1">((RAND()*1+2)*110)*10</f>
        <v>2272.6978976526912</v>
      </c>
      <c r="AF3" s="2">
        <f ca="1">((RAND()*1+2)*110)*10</f>
        <v>3263.8897382296586</v>
      </c>
      <c r="AG3" s="2">
        <f ca="1">((RAND()*1+2)*110)*10</f>
        <v>3021.8386306768566</v>
      </c>
      <c r="AH3" s="2">
        <f ca="1">((RAND()*1+2)*110)*10</f>
        <v>2774.5493894887836</v>
      </c>
    </row>
    <row r="4" spans="1:34">
      <c r="A4" t="str">
        <f>sets!$H$3</f>
        <v>Teff</v>
      </c>
      <c r="B4" t="str">
        <v>Afar</v>
      </c>
      <c r="C4" s="2">
        <f ca="1">((RAND()*1+2)*110)*10</f>
        <v>2586.5453204243977</v>
      </c>
      <c r="D4" s="2">
        <f ca="1">((RAND()*1+2)*110)*10</f>
        <v>3032.1119987053726</v>
      </c>
      <c r="E4" s="2">
        <f ca="1">((RAND()*1+2)*110)*10</f>
        <v>2331.3194506638006</v>
      </c>
      <c r="F4" s="2">
        <f ca="1">((RAND()*1+2)*110)*10</f>
        <v>2924.027681476894</v>
      </c>
      <c r="G4" s="2">
        <f ca="1">((RAND()*1+2)*110)*10</f>
        <v>2489.6895587696945</v>
      </c>
      <c r="H4" s="2">
        <f ca="1">((RAND()*1+2)*110)*10</f>
        <v>3007.6505473404291</v>
      </c>
      <c r="I4" s="2">
        <f ca="1">((RAND()*1+2)*110)*10</f>
        <v>2359.4885770802448</v>
      </c>
      <c r="J4" s="2">
        <f ca="1">((RAND()*1+2)*110)*10</f>
        <v>2568.9143042244013</v>
      </c>
      <c r="K4" s="2">
        <f ca="1">((RAND()*1+2)*110)*10</f>
        <v>2729.1336548996751</v>
      </c>
      <c r="L4" s="2">
        <f ca="1">((RAND()*1+2)*110)*10</f>
        <v>2749.9787039536004</v>
      </c>
      <c r="M4" s="2">
        <f ca="1">((RAND()*1+2)*110)*10</f>
        <v>2635.814274002304</v>
      </c>
      <c r="N4" s="2">
        <f ca="1">((RAND()*1+2)*110)*10</f>
        <v>3139.8318205418855</v>
      </c>
      <c r="O4" s="2">
        <f ca="1">((RAND()*1+2)*110)*10</f>
        <v>2949.6596932231414</v>
      </c>
      <c r="P4" s="2">
        <f ca="1">((RAND()*1+2)*110)*10</f>
        <v>3262.2955431375981</v>
      </c>
      <c r="Q4" s="2">
        <f ca="1">((RAND()*1+2)*110)*10</f>
        <v>2735.0775470683093</v>
      </c>
      <c r="R4" s="2">
        <f ca="1">((RAND()*1+2)*110)*10</f>
        <v>3098.9156275628493</v>
      </c>
      <c r="S4" s="2">
        <f ca="1">((RAND()*1+2)*110)*10</f>
        <v>2959.3046492458875</v>
      </c>
      <c r="T4" s="2">
        <f ca="1">((RAND()*1+2)*110)*10</f>
        <v>2675.780754129546</v>
      </c>
      <c r="U4" s="2">
        <f ca="1">((RAND()*1+2)*110)*10</f>
        <v>2603.7116635551602</v>
      </c>
      <c r="V4" s="2">
        <f ca="1">((RAND()*1+2)*110)*10</f>
        <v>2857.9053126381182</v>
      </c>
      <c r="W4" s="2">
        <f ca="1">((RAND()*1+2)*110)*10</f>
        <v>2567.1449562193625</v>
      </c>
      <c r="X4" s="2">
        <f ca="1">((RAND()*1+2)*110)*10</f>
        <v>2475.3022184395641</v>
      </c>
      <c r="Y4" s="2">
        <f ca="1">((RAND()*1+2)*110)*10</f>
        <v>2559.6492913122383</v>
      </c>
      <c r="Z4" s="2">
        <f ca="1">((RAND()*1+2)*110)*10</f>
        <v>2241.358382505643</v>
      </c>
      <c r="AA4" s="2">
        <f ca="1">((RAND()*1+2)*110)*10</f>
        <v>2413.5750821228648</v>
      </c>
      <c r="AB4" s="2">
        <f ca="1">((RAND()*1+2)*110)*10</f>
        <v>2780.1535656151868</v>
      </c>
      <c r="AC4" s="2">
        <f ca="1">((RAND()*1+2)*110)*10</f>
        <v>2869.1165382473891</v>
      </c>
      <c r="AD4" s="2">
        <f ca="1">((RAND()*1+2)*110)*10</f>
        <v>3085.5100030641252</v>
      </c>
      <c r="AE4" s="2">
        <f ca="1">((RAND()*1+2)*110)*10</f>
        <v>3097.9451343840274</v>
      </c>
      <c r="AF4" s="2">
        <f ca="1">((RAND()*1+2)*110)*10</f>
        <v>3145.3066801588166</v>
      </c>
      <c r="AG4" s="2">
        <f ca="1">((RAND()*1+2)*110)*10</f>
        <v>2979.9693364938166</v>
      </c>
      <c r="AH4" s="2">
        <f ca="1">((RAND()*1+2)*110)*10</f>
        <v>2659.509998549227</v>
      </c>
    </row>
    <row r="5" spans="1:34">
      <c r="A5" t="str">
        <f>sets!$H$3</f>
        <v>Teff</v>
      </c>
      <c r="B5" t="str">
        <v>Amhara</v>
      </c>
      <c r="C5" s="2">
        <f ca="1">((RAND()*1+2)*110)*10</f>
        <v>2233.7954610316738</v>
      </c>
      <c r="D5" s="2">
        <f ca="1">((RAND()*1+2)*110)*10</f>
        <v>3120.7456386091944</v>
      </c>
      <c r="E5" s="2">
        <f ca="1">((RAND()*1+2)*110)*10</f>
        <v>3123.5357271371226</v>
      </c>
      <c r="F5" s="2">
        <f ca="1">((RAND()*1+2)*110)*10</f>
        <v>3273.4593859659972</v>
      </c>
      <c r="G5" s="2">
        <f ca="1">((RAND()*1+2)*110)*10</f>
        <v>2758.6768219993073</v>
      </c>
      <c r="H5" s="2">
        <f ca="1">((RAND()*1+2)*110)*10</f>
        <v>2421.9956516103989</v>
      </c>
      <c r="I5" s="2">
        <f ca="1">((RAND()*1+2)*110)*10</f>
        <v>2851.5338561468889</v>
      </c>
      <c r="J5" s="2">
        <f ca="1">((RAND()*1+2)*110)*10</f>
        <v>2589.0891085966359</v>
      </c>
      <c r="K5" s="2">
        <f ca="1">((RAND()*1+2)*110)*10</f>
        <v>2578.6451277479177</v>
      </c>
      <c r="L5" s="2">
        <f ca="1">((RAND()*1+2)*110)*10</f>
        <v>2496.762994921572</v>
      </c>
      <c r="M5" s="2">
        <f ca="1">((RAND()*1+2)*110)*10</f>
        <v>3200.4774443267756</v>
      </c>
      <c r="N5" s="2">
        <f ca="1">((RAND()*1+2)*110)*10</f>
        <v>2706.9169953579294</v>
      </c>
      <c r="O5" s="2">
        <f ca="1">((RAND()*1+2)*110)*10</f>
        <v>2525.7556181733667</v>
      </c>
      <c r="P5" s="2">
        <f ca="1">((RAND()*1+2)*110)*10</f>
        <v>3052.5123281169645</v>
      </c>
      <c r="Q5" s="2">
        <f ca="1">((RAND()*1+2)*110)*10</f>
        <v>3238.9489169102308</v>
      </c>
      <c r="R5" s="2">
        <f ca="1">((RAND()*1+2)*110)*10</f>
        <v>2764.7542003064159</v>
      </c>
      <c r="S5" s="2">
        <f ca="1">((RAND()*1+2)*110)*10</f>
        <v>3083.4673793289958</v>
      </c>
      <c r="T5" s="2">
        <f ca="1">((RAND()*1+2)*110)*10</f>
        <v>2658.8088312989184</v>
      </c>
      <c r="U5" s="2">
        <f ca="1">((RAND()*1+2)*110)*10</f>
        <v>2600.1827561016207</v>
      </c>
      <c r="V5" s="2">
        <f ca="1">((RAND()*1+2)*110)*10</f>
        <v>3067.8499172780703</v>
      </c>
      <c r="W5" s="2">
        <f ca="1">((RAND()*1+2)*110)*10</f>
        <v>2606.4634319068991</v>
      </c>
      <c r="X5" s="2">
        <f ca="1">((RAND()*1+2)*110)*10</f>
        <v>2287.9080120851977</v>
      </c>
      <c r="Y5" s="2">
        <f ca="1">((RAND()*1+2)*110)*10</f>
        <v>2878.9202140857278</v>
      </c>
      <c r="Z5" s="2">
        <f ca="1">((RAND()*1+2)*110)*10</f>
        <v>3197.6348127031042</v>
      </c>
      <c r="AA5" s="2">
        <f ca="1">((RAND()*1+2)*110)*10</f>
        <v>3069.7592360986037</v>
      </c>
      <c r="AB5" s="2">
        <f ca="1">((RAND()*1+2)*110)*10</f>
        <v>2641.1927389615125</v>
      </c>
      <c r="AC5" s="2">
        <f ca="1">((RAND()*1+2)*110)*10</f>
        <v>2236.8226458478966</v>
      </c>
      <c r="AD5" s="2">
        <f ca="1">((RAND()*1+2)*110)*10</f>
        <v>2535.7513444064662</v>
      </c>
      <c r="AE5" s="2">
        <f ca="1">((RAND()*1+2)*110)*10</f>
        <v>2635.912613287368</v>
      </c>
      <c r="AF5" s="2">
        <f ca="1">((RAND()*1+2)*110)*10</f>
        <v>2399.5465599453182</v>
      </c>
      <c r="AG5" s="2">
        <f ca="1">((RAND()*1+2)*110)*10</f>
        <v>3234.7125668523017</v>
      </c>
      <c r="AH5" s="2">
        <f ca="1">((RAND()*1+2)*110)*10</f>
        <v>2503.9853027779945</v>
      </c>
    </row>
    <row r="6" spans="1:34">
      <c r="A6" t="str">
        <f>sets!$H$3</f>
        <v>Teff</v>
      </c>
      <c r="B6" t="str">
        <v>Gumuz</v>
      </c>
      <c r="C6" s="2">
        <f ca="1">((RAND()*1+2)*110)*10</f>
        <v>2689.7714963913922</v>
      </c>
      <c r="D6" s="2">
        <f ca="1">((RAND()*1+2)*110)*10</f>
        <v>2850.9887225377456</v>
      </c>
      <c r="E6" s="2">
        <f ca="1">((RAND()*1+2)*110)*10</f>
        <v>2547.1713566026265</v>
      </c>
      <c r="F6" s="2">
        <f ca="1">((RAND()*1+2)*110)*10</f>
        <v>2235.8989262199257</v>
      </c>
      <c r="G6" s="2">
        <f ca="1">((RAND()*1+2)*110)*10</f>
        <v>2391.125566201581</v>
      </c>
      <c r="H6" s="2">
        <f ca="1">((RAND()*1+2)*110)*10</f>
        <v>3016.1965116501069</v>
      </c>
      <c r="I6" s="2">
        <f ca="1">((RAND()*1+2)*110)*10</f>
        <v>2785.6910591015076</v>
      </c>
      <c r="J6" s="2">
        <f ca="1">((RAND()*1+2)*110)*10</f>
        <v>3001.1185997860421</v>
      </c>
      <c r="K6" s="2">
        <f ca="1">((RAND()*1+2)*110)*10</f>
        <v>2682.0649296284773</v>
      </c>
      <c r="L6" s="2">
        <f ca="1">((RAND()*1+2)*110)*10</f>
        <v>3129.8238639703372</v>
      </c>
      <c r="M6" s="2">
        <f ca="1">((RAND()*1+2)*110)*10</f>
        <v>2820.8103216805944</v>
      </c>
      <c r="N6" s="2">
        <f ca="1">((RAND()*1+2)*110)*10</f>
        <v>2692.4724546337347</v>
      </c>
      <c r="O6" s="2">
        <f ca="1">((RAND()*1+2)*110)*10</f>
        <v>2470.8959694014256</v>
      </c>
      <c r="P6" s="2">
        <f ca="1">((RAND()*1+2)*110)*10</f>
        <v>3131.1971869187455</v>
      </c>
      <c r="Q6" s="2">
        <f ca="1">((RAND()*1+2)*110)*10</f>
        <v>2560.5464868954314</v>
      </c>
      <c r="R6" s="2">
        <f ca="1">((RAND()*1+2)*110)*10</f>
        <v>2431.3230615656134</v>
      </c>
      <c r="S6" s="2">
        <f ca="1">((RAND()*1+2)*110)*10</f>
        <v>3007.2879535784132</v>
      </c>
      <c r="T6" s="2">
        <f ca="1">((RAND()*1+2)*110)*10</f>
        <v>2719.4704708219715</v>
      </c>
      <c r="U6" s="2">
        <f ca="1">((RAND()*1+2)*110)*10</f>
        <v>3055.4496744316511</v>
      </c>
      <c r="V6" s="2">
        <f ca="1">((RAND()*1+2)*110)*10</f>
        <v>2475.4574208864979</v>
      </c>
      <c r="W6" s="2">
        <f ca="1">((RAND()*1+2)*110)*10</f>
        <v>3105.6835921906168</v>
      </c>
      <c r="X6" s="2">
        <f ca="1">((RAND()*1+2)*110)*10</f>
        <v>3036.4138333665146</v>
      </c>
      <c r="Y6" s="2">
        <f ca="1">((RAND()*1+2)*110)*10</f>
        <v>2698.3823658219858</v>
      </c>
      <c r="Z6" s="2">
        <f ca="1">((RAND()*1+2)*110)*10</f>
        <v>3246.9791834535499</v>
      </c>
      <c r="AA6" s="2">
        <f ca="1">((RAND()*1+2)*110)*10</f>
        <v>2655.1027260802584</v>
      </c>
      <c r="AB6" s="2">
        <f ca="1">((RAND()*1+2)*110)*10</f>
        <v>2345.5677558066832</v>
      </c>
      <c r="AC6" s="2">
        <f ca="1">((RAND()*1+2)*110)*10</f>
        <v>2473.3018731835791</v>
      </c>
      <c r="AD6" s="2">
        <f ca="1">((RAND()*1+2)*110)*10</f>
        <v>2969.6471993399591</v>
      </c>
      <c r="AE6" s="2">
        <f ca="1">((RAND()*1+2)*110)*10</f>
        <v>3028.896616302487</v>
      </c>
      <c r="AF6" s="2">
        <f ca="1">((RAND()*1+2)*110)*10</f>
        <v>3112.3278208874149</v>
      </c>
      <c r="AG6" s="2">
        <f ca="1">((RAND()*1+2)*110)*10</f>
        <v>2446.9067782501547</v>
      </c>
      <c r="AH6" s="2">
        <f ca="1">((RAND()*1+2)*110)*10</f>
        <v>3294.5553076294027</v>
      </c>
    </row>
    <row r="7" spans="1:34">
      <c r="A7" t="str">
        <f>sets!$H$3</f>
        <v>Teff</v>
      </c>
      <c r="B7" t="str">
        <v>DireDawa</v>
      </c>
      <c r="C7" s="2">
        <f ca="1">((RAND()*1+2)*110)*10</f>
        <v>2572.387962988123</v>
      </c>
      <c r="D7" s="2">
        <f ca="1">((RAND()*1+2)*110)*10</f>
        <v>3051.8534655801659</v>
      </c>
      <c r="E7" s="2">
        <f ca="1">((RAND()*1+2)*110)*10</f>
        <v>2776.634280280919</v>
      </c>
      <c r="F7" s="2">
        <f ca="1">((RAND()*1+2)*110)*10</f>
        <v>2882.1579132439228</v>
      </c>
      <c r="G7" s="2">
        <f ca="1">((RAND()*1+2)*110)*10</f>
        <v>2305.6418928337225</v>
      </c>
      <c r="H7" s="2">
        <f ca="1">((RAND()*1+2)*110)*10</f>
        <v>2929.3164524871486</v>
      </c>
      <c r="I7" s="2">
        <f ca="1">((RAND()*1+2)*110)*10</f>
        <v>3116.555003481426</v>
      </c>
      <c r="J7" s="2">
        <f ca="1">((RAND()*1+2)*110)*10</f>
        <v>3146.0281382059061</v>
      </c>
      <c r="K7" s="2">
        <f ca="1">((RAND()*1+2)*110)*10</f>
        <v>2714.053562528853</v>
      </c>
      <c r="L7" s="2">
        <f ca="1">((RAND()*1+2)*110)*10</f>
        <v>3152.464208971287</v>
      </c>
      <c r="M7" s="2">
        <f ca="1">((RAND()*1+2)*110)*10</f>
        <v>2405.6038912755785</v>
      </c>
      <c r="N7" s="2">
        <f ca="1">((RAND()*1+2)*110)*10</f>
        <v>2397.1904829926711</v>
      </c>
      <c r="O7" s="2">
        <f ca="1">((RAND()*1+2)*110)*10</f>
        <v>2693.8489468979378</v>
      </c>
      <c r="P7" s="2">
        <f ca="1">((RAND()*1+2)*110)*10</f>
        <v>3204.1131717137637</v>
      </c>
      <c r="Q7" s="2">
        <f ca="1">((RAND()*1+2)*110)*10</f>
        <v>3217.1660603098594</v>
      </c>
      <c r="R7" s="2">
        <f ca="1">((RAND()*1+2)*110)*10</f>
        <v>2277.1395864170063</v>
      </c>
      <c r="S7" s="2">
        <f ca="1">((RAND()*1+2)*110)*10</f>
        <v>3157.9721862263405</v>
      </c>
      <c r="T7" s="2">
        <f ca="1">((RAND()*1+2)*110)*10</f>
        <v>2317.7994452620155</v>
      </c>
      <c r="U7" s="2">
        <f ca="1">((RAND()*1+2)*110)*10</f>
        <v>2398.5849574706726</v>
      </c>
      <c r="V7" s="2">
        <f ca="1">((RAND()*1+2)*110)*10</f>
        <v>2403.5686512214697</v>
      </c>
      <c r="W7" s="2">
        <f ca="1">((RAND()*1+2)*110)*10</f>
        <v>2406.446089414681</v>
      </c>
      <c r="X7" s="2">
        <f ca="1">((RAND()*1+2)*110)*10</f>
        <v>3088.2312547621568</v>
      </c>
      <c r="Y7" s="2">
        <f ca="1">((RAND()*1+2)*110)*10</f>
        <v>3215.5026695811048</v>
      </c>
      <c r="Z7" s="2">
        <f ca="1">((RAND()*1+2)*110)*10</f>
        <v>2800.2120393352434</v>
      </c>
      <c r="AA7" s="2">
        <f ca="1">((RAND()*1+2)*110)*10</f>
        <v>2953.15547828751</v>
      </c>
      <c r="AB7" s="2">
        <f ca="1">((RAND()*1+2)*110)*10</f>
        <v>3174.5572520573814</v>
      </c>
      <c r="AC7" s="2">
        <f ca="1">((RAND()*1+2)*110)*10</f>
        <v>2745.0231523870157</v>
      </c>
      <c r="AD7" s="2">
        <f ca="1">((RAND()*1+2)*110)*10</f>
        <v>2617.1022673980219</v>
      </c>
      <c r="AE7" s="2">
        <f ca="1">((RAND()*1+2)*110)*10</f>
        <v>2729.0765681615148</v>
      </c>
      <c r="AF7" s="2">
        <f ca="1">((RAND()*1+2)*110)*10</f>
        <v>2931.9067065864233</v>
      </c>
      <c r="AG7" s="2">
        <f ca="1">((RAND()*1+2)*110)*10</f>
        <v>2329.5572740901857</v>
      </c>
      <c r="AH7" s="2">
        <f ca="1">((RAND()*1+2)*110)*10</f>
        <v>2963.3038890710604</v>
      </c>
    </row>
    <row r="8" spans="1:34">
      <c r="A8" t="str">
        <f>sets!$H$3</f>
        <v>Teff</v>
      </c>
      <c r="B8" t="str">
        <v>Gambela</v>
      </c>
      <c r="C8" s="2">
        <f ca="1">((RAND()*1+2)*110)*10</f>
        <v>2249.121885662551</v>
      </c>
      <c r="D8" s="2">
        <f ca="1">((RAND()*1+2)*110)*10</f>
        <v>2900.5264451348917</v>
      </c>
      <c r="E8" s="2">
        <f ca="1">((RAND()*1+2)*110)*10</f>
        <v>2560.028385380605</v>
      </c>
      <c r="F8" s="2">
        <f ca="1">((RAND()*1+2)*110)*10</f>
        <v>3182.8373262947543</v>
      </c>
      <c r="G8" s="2">
        <f ca="1">((RAND()*1+2)*110)*10</f>
        <v>2338.8582311375335</v>
      </c>
      <c r="H8" s="2">
        <f ca="1">((RAND()*1+2)*110)*10</f>
        <v>2793.4936511000669</v>
      </c>
      <c r="I8" s="2">
        <f ca="1">((RAND()*1+2)*110)*10</f>
        <v>2882.899502261032</v>
      </c>
      <c r="J8" s="2">
        <f ca="1">((RAND()*1+2)*110)*10</f>
        <v>3286.665276495492</v>
      </c>
      <c r="K8" s="2">
        <f ca="1">((RAND()*1+2)*110)*10</f>
        <v>2529.1045452992244</v>
      </c>
      <c r="L8" s="2">
        <f ca="1">((RAND()*1+2)*110)*10</f>
        <v>2268.6418323344578</v>
      </c>
      <c r="M8" s="2">
        <f ca="1">((RAND()*1+2)*110)*10</f>
        <v>2823.6426765291117</v>
      </c>
      <c r="N8" s="2">
        <f ca="1">((RAND()*1+2)*110)*10</f>
        <v>3232.0207671956732</v>
      </c>
      <c r="O8" s="2">
        <f ca="1">((RAND()*1+2)*110)*10</f>
        <v>3025.0446852707764</v>
      </c>
      <c r="P8" s="2">
        <f ca="1">((RAND()*1+2)*110)*10</f>
        <v>2623.5202698505918</v>
      </c>
      <c r="Q8" s="2">
        <f ca="1">((RAND()*1+2)*110)*10</f>
        <v>2218.320762804743</v>
      </c>
      <c r="R8" s="2">
        <f ca="1">((RAND()*1+2)*110)*10</f>
        <v>2400.9173241936119</v>
      </c>
      <c r="S8" s="2">
        <f ca="1">((RAND()*1+2)*110)*10</f>
        <v>3297.5228178031716</v>
      </c>
      <c r="T8" s="2">
        <f ca="1">((RAND()*1+2)*110)*10</f>
        <v>2974.8960253330451</v>
      </c>
      <c r="U8" s="2">
        <f ca="1">((RAND()*1+2)*110)*10</f>
        <v>3124.4856596058753</v>
      </c>
      <c r="V8" s="2">
        <f ca="1">((RAND()*1+2)*110)*10</f>
        <v>2516.7433058409047</v>
      </c>
      <c r="W8" s="2">
        <f ca="1">((RAND()*1+2)*110)*10</f>
        <v>2625.9019657488302</v>
      </c>
      <c r="X8" s="2">
        <f ca="1">((RAND()*1+2)*110)*10</f>
        <v>2395.2342182301136</v>
      </c>
      <c r="Y8" s="2">
        <f ca="1">((RAND()*1+2)*110)*10</f>
        <v>2719.8549937884882</v>
      </c>
      <c r="Z8" s="2">
        <f ca="1">((RAND()*1+2)*110)*10</f>
        <v>2880.5514169839325</v>
      </c>
      <c r="AA8" s="2">
        <f ca="1">((RAND()*1+2)*110)*10</f>
        <v>2522.3173559688662</v>
      </c>
      <c r="AB8" s="2">
        <f ca="1">((RAND()*1+2)*110)*10</f>
        <v>2649.3733306350978</v>
      </c>
      <c r="AC8" s="2">
        <f ca="1">((RAND()*1+2)*110)*10</f>
        <v>2346.6150251405943</v>
      </c>
      <c r="AD8" s="2">
        <f ca="1">((RAND()*1+2)*110)*10</f>
        <v>2872.250645771107</v>
      </c>
      <c r="AE8" s="2">
        <f ca="1">((RAND()*1+2)*110)*10</f>
        <v>2835.9240167010535</v>
      </c>
      <c r="AF8" s="2">
        <f ca="1">((RAND()*1+2)*110)*10</f>
        <v>2254.6975059156257</v>
      </c>
      <c r="AG8" s="2">
        <f ca="1">((RAND()*1+2)*110)*10</f>
        <v>2748.4394226834193</v>
      </c>
      <c r="AH8" s="2">
        <f ca="1">((RAND()*1+2)*110)*10</f>
        <v>2756.984988094282</v>
      </c>
    </row>
    <row r="9" spans="1:34">
      <c r="A9" t="str">
        <f>sets!$H$3</f>
        <v>Teff</v>
      </c>
      <c r="B9" t="str">
        <v>Harari</v>
      </c>
      <c r="C9" s="2">
        <f ca="1">((RAND()*1+2)*110)*10</f>
        <v>2706.276204761476</v>
      </c>
      <c r="D9" s="2">
        <f ca="1">((RAND()*1+2)*110)*10</f>
        <v>2291.0815824794959</v>
      </c>
      <c r="E9" s="2">
        <f ca="1">((RAND()*1+2)*110)*10</f>
        <v>2549.4867410966413</v>
      </c>
      <c r="F9" s="2">
        <f ca="1">((RAND()*1+2)*110)*10</f>
        <v>2221.1532948102567</v>
      </c>
      <c r="G9" s="2">
        <f ca="1">((RAND()*1+2)*110)*10</f>
        <v>2567.1331426455654</v>
      </c>
      <c r="H9" s="2">
        <f ca="1">((RAND()*1+2)*110)*10</f>
        <v>2628.2457744557428</v>
      </c>
      <c r="I9" s="2">
        <f ca="1">((RAND()*1+2)*110)*10</f>
        <v>3002.5339791564866</v>
      </c>
      <c r="J9" s="2">
        <f ca="1">((RAND()*1+2)*110)*10</f>
        <v>2759.905262894104</v>
      </c>
      <c r="K9" s="2">
        <f ca="1">((RAND()*1+2)*110)*10</f>
        <v>2382.1474360871298</v>
      </c>
      <c r="L9" s="2">
        <f ca="1">((RAND()*1+2)*110)*10</f>
        <v>2928.6288067690357</v>
      </c>
      <c r="M9" s="2">
        <f ca="1">((RAND()*1+2)*110)*10</f>
        <v>2911.7806073396332</v>
      </c>
      <c r="N9" s="2">
        <f ca="1">((RAND()*1+2)*110)*10</f>
        <v>2450.0929571697934</v>
      </c>
      <c r="O9" s="2">
        <f ca="1">((RAND()*1+2)*110)*10</f>
        <v>3010.4255248676463</v>
      </c>
      <c r="P9" s="2">
        <f ca="1">((RAND()*1+2)*110)*10</f>
        <v>2880.6473425992845</v>
      </c>
      <c r="Q9" s="2">
        <f ca="1">((RAND()*1+2)*110)*10</f>
        <v>2344.3127356571385</v>
      </c>
      <c r="R9" s="2">
        <f ca="1">((RAND()*1+2)*110)*10</f>
        <v>2877.3080958972105</v>
      </c>
      <c r="S9" s="2">
        <f ca="1">((RAND()*1+2)*110)*10</f>
        <v>2780.3042253519966</v>
      </c>
      <c r="T9" s="2">
        <f ca="1">((RAND()*1+2)*110)*10</f>
        <v>2432.1202904333109</v>
      </c>
      <c r="U9" s="2">
        <f ca="1">((RAND()*1+2)*110)*10</f>
        <v>3224.557981239539</v>
      </c>
      <c r="V9" s="2">
        <f ca="1">((RAND()*1+2)*110)*10</f>
        <v>3111.5619699270246</v>
      </c>
      <c r="W9" s="2">
        <f ca="1">((RAND()*1+2)*110)*10</f>
        <v>3157.3558975023061</v>
      </c>
      <c r="X9" s="2">
        <f ca="1">((RAND()*1+2)*110)*10</f>
        <v>2335.6921145185656</v>
      </c>
      <c r="Y9" s="2">
        <f ca="1">((RAND()*1+2)*110)*10</f>
        <v>2555.527687066131</v>
      </c>
      <c r="Z9" s="2">
        <f ca="1">((RAND()*1+2)*110)*10</f>
        <v>2855.0992658676269</v>
      </c>
      <c r="AA9" s="2">
        <f ca="1">((RAND()*1+2)*110)*10</f>
        <v>3073.1852114688891</v>
      </c>
      <c r="AB9" s="2">
        <f ca="1">((RAND()*1+2)*110)*10</f>
        <v>2719.0779158777677</v>
      </c>
      <c r="AC9" s="2">
        <f ca="1">((RAND()*1+2)*110)*10</f>
        <v>2321.6850427273571</v>
      </c>
      <c r="AD9" s="2">
        <f ca="1">((RAND()*1+2)*110)*10</f>
        <v>2312.6158711137568</v>
      </c>
      <c r="AE9" s="2">
        <f ca="1">((RAND()*1+2)*110)*10</f>
        <v>3226.9177601266401</v>
      </c>
      <c r="AF9" s="2">
        <f ca="1">((RAND()*1+2)*110)*10</f>
        <v>2897.4794731832199</v>
      </c>
      <c r="AG9" s="2">
        <f ca="1">((RAND()*1+2)*110)*10</f>
        <v>3224.2810793352783</v>
      </c>
      <c r="AH9" s="2">
        <f ca="1">((RAND()*1+2)*110)*10</f>
        <v>3125.9106935872533</v>
      </c>
    </row>
    <row r="10" spans="1:34">
      <c r="A10" t="str">
        <f>sets!$H$3</f>
        <v>Teff</v>
      </c>
      <c r="B10" t="str">
        <v>Oromia</v>
      </c>
      <c r="C10" s="2">
        <f ca="1">((RAND()*1+2)*110)*10</f>
        <v>2700.4841545735821</v>
      </c>
      <c r="D10" s="2">
        <f ca="1">((RAND()*1+2)*110)*10</f>
        <v>2523.1961666806546</v>
      </c>
      <c r="E10" s="2">
        <f ca="1">((RAND()*1+2)*110)*10</f>
        <v>3269.0380647238112</v>
      </c>
      <c r="F10" s="2">
        <f ca="1">((RAND()*1+2)*110)*10</f>
        <v>3096.7671494949882</v>
      </c>
      <c r="G10" s="2">
        <f ca="1">((RAND()*1+2)*110)*10</f>
        <v>3016.2993016563855</v>
      </c>
      <c r="H10" s="2">
        <f ca="1">((RAND()*1+2)*110)*10</f>
        <v>2797.6803414692895</v>
      </c>
      <c r="I10" s="2">
        <f ca="1">((RAND()*1+2)*110)*10</f>
        <v>2517.388409602192</v>
      </c>
      <c r="J10" s="2">
        <f ca="1">((RAND()*1+2)*110)*10</f>
        <v>2502.3729415455723</v>
      </c>
      <c r="K10" s="2">
        <f ca="1">((RAND()*1+2)*110)*10</f>
        <v>2958.1091157849501</v>
      </c>
      <c r="L10" s="2">
        <f ca="1">((RAND()*1+2)*110)*10</f>
        <v>2405.1584989666271</v>
      </c>
      <c r="M10" s="2">
        <f ca="1">((RAND()*1+2)*110)*10</f>
        <v>2964.1683935097785</v>
      </c>
      <c r="N10" s="2">
        <f ca="1">((RAND()*1+2)*110)*10</f>
        <v>2203.9574684853264</v>
      </c>
      <c r="O10" s="2">
        <f ca="1">((RAND()*1+2)*110)*10</f>
        <v>3186.2268982407886</v>
      </c>
      <c r="P10" s="2">
        <f ca="1">((RAND()*1+2)*110)*10</f>
        <v>2442.5333280270606</v>
      </c>
      <c r="Q10" s="2">
        <f ca="1">((RAND()*1+2)*110)*10</f>
        <v>3203.9441558743788</v>
      </c>
      <c r="R10" s="2">
        <f ca="1">((RAND()*1+2)*110)*10</f>
        <v>2731.9349207722626</v>
      </c>
      <c r="S10" s="2">
        <f ca="1">((RAND()*1+2)*110)*10</f>
        <v>2724.5009409218192</v>
      </c>
      <c r="T10" s="2">
        <f ca="1">((RAND()*1+2)*110)*10</f>
        <v>2482.9718548349847</v>
      </c>
      <c r="U10" s="2">
        <f ca="1">((RAND()*1+2)*110)*10</f>
        <v>2431.9628297619233</v>
      </c>
      <c r="V10" s="2">
        <f ca="1">((RAND()*1+2)*110)*10</f>
        <v>3088.5209741634153</v>
      </c>
      <c r="W10" s="2">
        <f ca="1">((RAND()*1+2)*110)*10</f>
        <v>2259.7301583410563</v>
      </c>
      <c r="X10" s="2">
        <f ca="1">((RAND()*1+2)*110)*10</f>
        <v>2236.8661393130701</v>
      </c>
      <c r="Y10" s="2">
        <f ca="1">((RAND()*1+2)*110)*10</f>
        <v>2292.1628790138693</v>
      </c>
      <c r="Z10" s="2">
        <f ca="1">((RAND()*1+2)*110)*10</f>
        <v>3266.0426988472177</v>
      </c>
      <c r="AA10" s="2">
        <f ca="1">((RAND()*1+2)*110)*10</f>
        <v>2463.4478387826107</v>
      </c>
      <c r="AB10" s="2">
        <f ca="1">((RAND()*1+2)*110)*10</f>
        <v>2474.2294563152022</v>
      </c>
      <c r="AC10" s="2">
        <f ca="1">((RAND()*1+2)*110)*10</f>
        <v>3025.5617125841213</v>
      </c>
      <c r="AD10" s="2">
        <f ca="1">((RAND()*1+2)*110)*10</f>
        <v>3280.7697573017604</v>
      </c>
      <c r="AE10" s="2">
        <f ca="1">((RAND()*1+2)*110)*10</f>
        <v>3088.6628754783387</v>
      </c>
      <c r="AF10" s="2">
        <f ca="1">((RAND()*1+2)*110)*10</f>
        <v>2636.9758921098673</v>
      </c>
      <c r="AG10" s="2">
        <f ca="1">((RAND()*1+2)*110)*10</f>
        <v>2211.376703349636</v>
      </c>
      <c r="AH10" s="2">
        <f ca="1">((RAND()*1+2)*110)*10</f>
        <v>3159.90601258476</v>
      </c>
    </row>
    <row r="11" spans="1:34">
      <c r="A11" t="str">
        <f>sets!$H$3</f>
        <v>Teff</v>
      </c>
      <c r="B11" t="str">
        <v>Somali</v>
      </c>
      <c r="C11" s="2">
        <f ca="1">((RAND()*1+2)*110)*10</f>
        <v>2832.8800459902823</v>
      </c>
      <c r="D11" s="2">
        <f ca="1">((RAND()*1+2)*110)*10</f>
        <v>3037.4014897440588</v>
      </c>
      <c r="E11" s="2">
        <f ca="1">((RAND()*1+2)*110)*10</f>
        <v>2336.1483808325625</v>
      </c>
      <c r="F11" s="2">
        <f ca="1">((RAND()*1+2)*110)*10</f>
        <v>2534.3297932490204</v>
      </c>
      <c r="G11" s="2">
        <f ca="1">((RAND()*1+2)*110)*10</f>
        <v>2427.2636337107001</v>
      </c>
      <c r="H11" s="2">
        <f ca="1">((RAND()*1+2)*110)*10</f>
        <v>2810.6904724156811</v>
      </c>
      <c r="I11" s="2">
        <f ca="1">((RAND()*1+2)*110)*10</f>
        <v>2571.5506906510645</v>
      </c>
      <c r="J11" s="2">
        <f ca="1">((RAND()*1+2)*110)*10</f>
        <v>2591.5323824107645</v>
      </c>
      <c r="K11" s="2">
        <f ca="1">((RAND()*1+2)*110)*10</f>
        <v>2806.0136591835062</v>
      </c>
      <c r="L11" s="2">
        <f ca="1">((RAND()*1+2)*110)*10</f>
        <v>2201.4887582564688</v>
      </c>
      <c r="M11" s="2">
        <f ca="1">((RAND()*1+2)*110)*10</f>
        <v>2804.1336475238104</v>
      </c>
      <c r="N11" s="2">
        <f ca="1">((RAND()*1+2)*110)*10</f>
        <v>3155.3761218913564</v>
      </c>
      <c r="O11" s="2">
        <f ca="1">((RAND()*1+2)*110)*10</f>
        <v>2831.9950126551112</v>
      </c>
      <c r="P11" s="2">
        <f ca="1">((RAND()*1+2)*110)*10</f>
        <v>2663.8328643822488</v>
      </c>
      <c r="Q11" s="2">
        <f ca="1">((RAND()*1+2)*110)*10</f>
        <v>2994.0898031312208</v>
      </c>
      <c r="R11" s="2">
        <f ca="1">((RAND()*1+2)*110)*10</f>
        <v>2622.2622267885408</v>
      </c>
      <c r="S11" s="2">
        <f ca="1">((RAND()*1+2)*110)*10</f>
        <v>2328.5340126996639</v>
      </c>
      <c r="T11" s="2">
        <f ca="1">((RAND()*1+2)*110)*10</f>
        <v>2410.5149234950059</v>
      </c>
      <c r="U11" s="2">
        <f ca="1">((RAND()*1+2)*110)*10</f>
        <v>2862.2122820266868</v>
      </c>
      <c r="V11" s="2">
        <f ca="1">((RAND()*1+2)*110)*10</f>
        <v>2367.3462734149321</v>
      </c>
      <c r="W11" s="2">
        <f ca="1">((RAND()*1+2)*110)*10</f>
        <v>3249.7882309892861</v>
      </c>
      <c r="X11" s="2">
        <f ca="1">((RAND()*1+2)*110)*10</f>
        <v>3290.0813961856129</v>
      </c>
      <c r="Y11" s="2">
        <f ca="1">((RAND()*1+2)*110)*10</f>
        <v>2938.6615263217482</v>
      </c>
      <c r="Z11" s="2">
        <f ca="1">((RAND()*1+2)*110)*10</f>
        <v>2625.035232880562</v>
      </c>
      <c r="AA11" s="2">
        <f ca="1">((RAND()*1+2)*110)*10</f>
        <v>2363.8863226322574</v>
      </c>
      <c r="AB11" s="2">
        <f ca="1">((RAND()*1+2)*110)*10</f>
        <v>2689.4554273746708</v>
      </c>
      <c r="AC11" s="2">
        <f ca="1">((RAND()*1+2)*110)*10</f>
        <v>2548.0351361822682</v>
      </c>
      <c r="AD11" s="2">
        <f ca="1">((RAND()*1+2)*110)*10</f>
        <v>2506.1091935188047</v>
      </c>
      <c r="AE11" s="2">
        <f ca="1">((RAND()*1+2)*110)*10</f>
        <v>3022.6442393400184</v>
      </c>
      <c r="AF11" s="2">
        <f ca="1">((RAND()*1+2)*110)*10</f>
        <v>3214.4737539703228</v>
      </c>
      <c r="AG11" s="2">
        <f ca="1">((RAND()*1+2)*110)*10</f>
        <v>2947.3857373383007</v>
      </c>
      <c r="AH11" s="2">
        <f ca="1">((RAND()*1+2)*110)*10</f>
        <v>3122.5972923690183</v>
      </c>
    </row>
    <row r="12" spans="1:34">
      <c r="A12" t="str">
        <f>sets!$H$3</f>
        <v>Teff</v>
      </c>
      <c r="B12" t="str">
        <v>SNNPR</v>
      </c>
      <c r="C12" s="2">
        <f ca="1">((RAND()*1+2)*110)*10</f>
        <v>2858.9393292653363</v>
      </c>
      <c r="D12" s="2">
        <f ca="1">((RAND()*1+2)*110)*10</f>
        <v>3027.9341009813879</v>
      </c>
      <c r="E12" s="2">
        <f ca="1">((RAND()*1+2)*110)*10</f>
        <v>3072.4335910507707</v>
      </c>
      <c r="F12" s="2">
        <f ca="1">((RAND()*1+2)*110)*10</f>
        <v>2204.3800399933216</v>
      </c>
      <c r="G12" s="2">
        <f ca="1">((RAND()*1+2)*110)*10</f>
        <v>2360.1626741902164</v>
      </c>
      <c r="H12" s="2">
        <f ca="1">((RAND()*1+2)*110)*10</f>
        <v>2302.9144493994309</v>
      </c>
      <c r="I12" s="2">
        <f ca="1">((RAND()*1+2)*110)*10</f>
        <v>2811.7891414146361</v>
      </c>
      <c r="J12" s="2">
        <f ca="1">((RAND()*1+2)*110)*10</f>
        <v>2297.2567432012052</v>
      </c>
      <c r="K12" s="2">
        <f ca="1">((RAND()*1+2)*110)*10</f>
        <v>2244.9571800135955</v>
      </c>
      <c r="L12" s="2">
        <f ca="1">((RAND()*1+2)*110)*10</f>
        <v>2816.9162162165603</v>
      </c>
      <c r="M12" s="2">
        <f ca="1">((RAND()*1+2)*110)*10</f>
        <v>3026.9746872977744</v>
      </c>
      <c r="N12" s="2">
        <f ca="1">((RAND()*1+2)*110)*10</f>
        <v>2859.629003754857</v>
      </c>
      <c r="O12" s="2">
        <f ca="1">((RAND()*1+2)*110)*10</f>
        <v>2748.0996430862515</v>
      </c>
      <c r="P12" s="2">
        <f ca="1">((RAND()*1+2)*110)*10</f>
        <v>2843.7034581749622</v>
      </c>
      <c r="Q12" s="2">
        <f ca="1">((RAND()*1+2)*110)*10</f>
        <v>3269.1541650802792</v>
      </c>
      <c r="R12" s="2">
        <f ca="1">((RAND()*1+2)*110)*10</f>
        <v>2607.1139247317778</v>
      </c>
      <c r="S12" s="2">
        <f ca="1">((RAND()*1+2)*110)*10</f>
        <v>2830.9256195629514</v>
      </c>
      <c r="T12" s="2">
        <f ca="1">((RAND()*1+2)*110)*10</f>
        <v>2451.9604173494808</v>
      </c>
      <c r="U12" s="2">
        <f ca="1">((RAND()*1+2)*110)*10</f>
        <v>2230.1152271527817</v>
      </c>
      <c r="V12" s="2">
        <f ca="1">((RAND()*1+2)*110)*10</f>
        <v>2343.3672593849715</v>
      </c>
      <c r="W12" s="2">
        <f ca="1">((RAND()*1+2)*110)*10</f>
        <v>2317.4593348650455</v>
      </c>
      <c r="X12" s="2">
        <f ca="1">((RAND()*1+2)*110)*10</f>
        <v>2567.0410154961423</v>
      </c>
      <c r="Y12" s="2">
        <f ca="1">((RAND()*1+2)*110)*10</f>
        <v>3231.4007334073535</v>
      </c>
      <c r="Z12" s="2">
        <f ca="1">((RAND()*1+2)*110)*10</f>
        <v>2279.0765737958795</v>
      </c>
      <c r="AA12" s="2">
        <f ca="1">((RAND()*1+2)*110)*10</f>
        <v>2887.4434025944502</v>
      </c>
      <c r="AB12" s="2">
        <f ca="1">((RAND()*1+2)*110)*10</f>
        <v>3020.8596891135671</v>
      </c>
      <c r="AC12" s="2">
        <f ca="1">((RAND()*1+2)*110)*10</f>
        <v>3177.3410770783321</v>
      </c>
      <c r="AD12" s="2">
        <f ca="1">((RAND()*1+2)*110)*10</f>
        <v>2869.4730989535283</v>
      </c>
      <c r="AE12" s="2">
        <f ca="1">((RAND()*1+2)*110)*10</f>
        <v>2254.4994809624563</v>
      </c>
      <c r="AF12" s="2">
        <f ca="1">((RAND()*1+2)*110)*10</f>
        <v>2626.0523788666846</v>
      </c>
      <c r="AG12" s="2">
        <f ca="1">((RAND()*1+2)*110)*10</f>
        <v>2923.0444014033424</v>
      </c>
      <c r="AH12" s="2">
        <f ca="1">((RAND()*1+2)*110)*10</f>
        <v>3089.5811614931058</v>
      </c>
    </row>
    <row r="13" spans="1:34">
      <c r="A13" t="str">
        <f>sets!$H$3</f>
        <v>Teff</v>
      </c>
      <c r="B13" t="str">
        <v>Tigray</v>
      </c>
      <c r="C13" s="2">
        <f ca="1">((RAND()*1+2)*110)*10</f>
        <v>2276.5023171574044</v>
      </c>
      <c r="D13" s="2">
        <f ca="1">((RAND()*1+2)*110)*10</f>
        <v>2528.1970625141021</v>
      </c>
      <c r="E13" s="2">
        <f ca="1">((RAND()*1+2)*110)*10</f>
        <v>3021.426250344437</v>
      </c>
      <c r="F13" s="2">
        <f ca="1">((RAND()*1+2)*110)*10</f>
        <v>2251.6911154802306</v>
      </c>
      <c r="G13" s="2">
        <f ca="1">((RAND()*1+2)*110)*10</f>
        <v>2209.8099191348083</v>
      </c>
      <c r="H13" s="2">
        <f ca="1">((RAND()*1+2)*110)*10</f>
        <v>2686.5933323272347</v>
      </c>
      <c r="I13" s="2">
        <f ca="1">((RAND()*1+2)*110)*10</f>
        <v>2474.6666778154345</v>
      </c>
      <c r="J13" s="2">
        <f ca="1">((RAND()*1+2)*110)*10</f>
        <v>2715.9559964361943</v>
      </c>
      <c r="K13" s="2">
        <f ca="1">((RAND()*1+2)*110)*10</f>
        <v>2793.7873046988962</v>
      </c>
      <c r="L13" s="2">
        <f ca="1">((RAND()*1+2)*110)*10</f>
        <v>2952.9957087959074</v>
      </c>
      <c r="M13" s="2">
        <f ca="1">((RAND()*1+2)*110)*10</f>
        <v>3029.9329818437773</v>
      </c>
      <c r="N13" s="2">
        <f ca="1">((RAND()*1+2)*110)*10</f>
        <v>3217.35788040847</v>
      </c>
      <c r="O13" s="2">
        <f ca="1">((RAND()*1+2)*110)*10</f>
        <v>2336.0477401607923</v>
      </c>
      <c r="P13" s="2">
        <f ca="1">((RAND()*1+2)*110)*10</f>
        <v>2741.5522239777197</v>
      </c>
      <c r="Q13" s="2">
        <f ca="1">((RAND()*1+2)*110)*10</f>
        <v>2498.8590535176918</v>
      </c>
      <c r="R13" s="2">
        <f ca="1">((RAND()*1+2)*110)*10</f>
        <v>3090.2769422093502</v>
      </c>
      <c r="S13" s="2">
        <f ca="1">((RAND()*1+2)*110)*10</f>
        <v>3241.3570654988062</v>
      </c>
      <c r="T13" s="2">
        <f ca="1">((RAND()*1+2)*110)*10</f>
        <v>2654.8468002598934</v>
      </c>
      <c r="U13" s="2">
        <f ca="1">((RAND()*1+2)*110)*10</f>
        <v>2824.2906061586864</v>
      </c>
      <c r="V13" s="2">
        <f ca="1">((RAND()*1+2)*110)*10</f>
        <v>2765.975482568856</v>
      </c>
      <c r="W13" s="2">
        <f ca="1">((RAND()*1+2)*110)*10</f>
        <v>3055.7087790057121</v>
      </c>
      <c r="X13" s="2">
        <f ca="1">((RAND()*1+2)*110)*10</f>
        <v>2475.0978367786238</v>
      </c>
      <c r="Y13" s="2">
        <f ca="1">((RAND()*1+2)*110)*10</f>
        <v>2250.7505022982273</v>
      </c>
      <c r="Z13" s="2">
        <f ca="1">((RAND()*1+2)*110)*10</f>
        <v>2913.8438739353987</v>
      </c>
      <c r="AA13" s="2">
        <f ca="1">((RAND()*1+2)*110)*10</f>
        <v>2207.4455120169528</v>
      </c>
      <c r="AB13" s="2">
        <f ca="1">((RAND()*1+2)*110)*10</f>
        <v>2612.10083157186</v>
      </c>
      <c r="AC13" s="2">
        <f ca="1">((RAND()*1+2)*110)*10</f>
        <v>2542.1744085969194</v>
      </c>
      <c r="AD13" s="2">
        <f ca="1">((RAND()*1+2)*110)*10</f>
        <v>2844.7256180022569</v>
      </c>
      <c r="AE13" s="2">
        <f ca="1">((RAND()*1+2)*110)*10</f>
        <v>2329.3344090772762</v>
      </c>
      <c r="AF13" s="2">
        <f ca="1">((RAND()*1+2)*110)*10</f>
        <v>3136.252379866487</v>
      </c>
      <c r="AG13" s="2">
        <f ca="1">((RAND()*1+2)*110)*10</f>
        <v>2962.3570778298936</v>
      </c>
      <c r="AH13" s="2">
        <f ca="1">((RAND()*1+2)*110)*10</f>
        <v>2853.3572128376709</v>
      </c>
    </row>
    <row r="14" spans="1:34">
      <c r="A14" t="str">
        <f t="shared" ref="A14:A77" si="30">INDEX(Food,MATCH(A3,Food,0)+1)</f>
        <v>Sorghum</v>
      </c>
      <c r="B14" t="str">
        <f>B3</f>
        <v>AddisAbaba</v>
      </c>
      <c r="C14" s="2">
        <f ca="1">((RAND()*1+2)*100)*10</f>
        <v>2446.648544983696</v>
      </c>
      <c r="D14" s="2">
        <f ca="1">((RAND()*1+2)*100)*10</f>
        <v>2268.2431398235212</v>
      </c>
      <c r="E14" s="2">
        <f ca="1">((RAND()*1+2)*100)*10</f>
        <v>2024.8058214897214</v>
      </c>
      <c r="F14" s="2">
        <f ca="1">((RAND()*1+2)*100)*10</f>
        <v>2952.1506084838124</v>
      </c>
      <c r="G14" s="2">
        <f ca="1">((RAND()*1+2)*100)*10</f>
        <v>2839.3673406767939</v>
      </c>
      <c r="H14" s="2">
        <f ca="1">((RAND()*1+2)*100)*10</f>
        <v>2492.9993792478772</v>
      </c>
      <c r="I14" s="2">
        <f ca="1">((RAND()*1+2)*100)*10</f>
        <v>2849.5502594706131</v>
      </c>
      <c r="J14" s="2">
        <f ca="1">((RAND()*1+2)*100)*10</f>
        <v>2325.5127537612484</v>
      </c>
      <c r="K14" s="2">
        <f ca="1">((RAND()*1+2)*100)*10</f>
        <v>2099.4391837935473</v>
      </c>
      <c r="L14" s="2">
        <f ca="1">((RAND()*1+2)*100)*10</f>
        <v>2647.9113044492551</v>
      </c>
      <c r="M14" s="2">
        <f ca="1">((RAND()*1+2)*100)*10</f>
        <v>2701.7654335336197</v>
      </c>
      <c r="N14" s="2">
        <f ca="1">((RAND()*1+2)*100)*10</f>
        <v>2264.7424884825659</v>
      </c>
      <c r="O14" s="2">
        <f ca="1">((RAND()*1+2)*100)*10</f>
        <v>2935.312481994687</v>
      </c>
      <c r="P14" s="2">
        <f ca="1">((RAND()*1+2)*100)*10</f>
        <v>2096.0152689797492</v>
      </c>
      <c r="Q14" s="2">
        <f ca="1">((RAND()*1+2)*100)*10</f>
        <v>2902.4845751542666</v>
      </c>
      <c r="R14" s="2">
        <f ca="1">((RAND()*1+2)*100)*10</f>
        <v>2995.5475889711079</v>
      </c>
      <c r="S14" s="2">
        <f ca="1">((RAND()*1+2)*100)*10</f>
        <v>2304.9757256173889</v>
      </c>
      <c r="T14" s="2">
        <f ca="1">((RAND()*1+2)*100)*10</f>
        <v>2211.5889757531409</v>
      </c>
      <c r="U14" s="2">
        <f ca="1">((RAND()*1+2)*100)*10</f>
        <v>2089.6089231906653</v>
      </c>
      <c r="V14" s="2">
        <f ca="1">((RAND()*1+2)*100)*10</f>
        <v>2414.6209402766726</v>
      </c>
      <c r="W14" s="2">
        <f ca="1">((RAND()*1+2)*100)*10</f>
        <v>2947.7895291232749</v>
      </c>
      <c r="X14" s="2">
        <f ca="1">((RAND()*1+2)*100)*10</f>
        <v>2920.3063236358403</v>
      </c>
      <c r="Y14" s="2">
        <f ca="1">((RAND()*1+2)*100)*10</f>
        <v>2744.6491166339024</v>
      </c>
      <c r="Z14" s="2">
        <f ca="1">((RAND()*1+2)*100)*10</f>
        <v>2638.9672869479618</v>
      </c>
      <c r="AA14" s="2">
        <f ca="1">((RAND()*1+2)*100)*10</f>
        <v>2859.7682917297784</v>
      </c>
      <c r="AB14" s="2">
        <f ca="1">((RAND()*1+2)*100)*10</f>
        <v>2237.6872271540451</v>
      </c>
      <c r="AC14" s="2">
        <f ca="1">((RAND()*1+2)*100)*10</f>
        <v>2642.7413347944403</v>
      </c>
      <c r="AD14" s="2">
        <f ca="1">((RAND()*1+2)*100)*10</f>
        <v>2343.5503488035101</v>
      </c>
      <c r="AE14" s="2">
        <f ca="1">((RAND()*1+2)*100)*10</f>
        <v>2855.6685630738521</v>
      </c>
      <c r="AF14" s="2">
        <f ca="1">((RAND()*1+2)*100)*10</f>
        <v>2714.2862575584868</v>
      </c>
      <c r="AG14" s="2">
        <f ca="1">((RAND()*1+2)*100)*10</f>
        <v>2295.7662172094742</v>
      </c>
      <c r="AH14" s="2">
        <f ca="1">((RAND()*1+2)*100)*10</f>
        <v>2245.5307528391049</v>
      </c>
    </row>
    <row r="15" spans="1:34">
      <c r="A15" t="str">
        <f t="shared" si="30"/>
        <v>Sorghum</v>
      </c>
      <c r="B15" t="str">
        <f t="shared" ref="B15:B78" si="31">B4</f>
        <v>Afar</v>
      </c>
      <c r="C15" s="2">
        <f ca="1">((RAND()*1+2)*100)*10</f>
        <v>2746.3164533733016</v>
      </c>
      <c r="D15" s="2">
        <f ca="1">((RAND()*1+2)*100)*10</f>
        <v>2174.3232097063851</v>
      </c>
      <c r="E15" s="2">
        <f ca="1">((RAND()*1+2)*100)*10</f>
        <v>2930.121270690925</v>
      </c>
      <c r="F15" s="2">
        <f ca="1">((RAND()*1+2)*100)*10</f>
        <v>2287.3969422428199</v>
      </c>
      <c r="G15" s="2">
        <f ca="1">((RAND()*1+2)*100)*10</f>
        <v>2461.0483427733202</v>
      </c>
      <c r="H15" s="2">
        <f ca="1">((RAND()*1+2)*100)*10</f>
        <v>2493.1601228515206</v>
      </c>
      <c r="I15" s="2">
        <f ca="1">((RAND()*1+2)*100)*10</f>
        <v>2069.6044333256696</v>
      </c>
      <c r="J15" s="2">
        <f ca="1">((RAND()*1+2)*100)*10</f>
        <v>2036.951542953542</v>
      </c>
      <c r="K15" s="2">
        <f ca="1">((RAND()*1+2)*100)*10</f>
        <v>2767.2964005419972</v>
      </c>
      <c r="L15" s="2">
        <f ca="1">((RAND()*1+2)*100)*10</f>
        <v>2931.699862768719</v>
      </c>
      <c r="M15" s="2">
        <f ca="1">((RAND()*1+2)*100)*10</f>
        <v>2013.1969172840054</v>
      </c>
      <c r="N15" s="2">
        <f ca="1">((RAND()*1+2)*100)*10</f>
        <v>2761.9951103343938</v>
      </c>
      <c r="O15" s="2">
        <f ca="1">((RAND()*1+2)*100)*10</f>
        <v>2186.6908374209738</v>
      </c>
      <c r="P15" s="2">
        <f ca="1">((RAND()*1+2)*100)*10</f>
        <v>2719.2004719883689</v>
      </c>
      <c r="Q15" s="2">
        <f ca="1">((RAND()*1+2)*100)*10</f>
        <v>2788.5269190836239</v>
      </c>
      <c r="R15" s="2">
        <f ca="1">((RAND()*1+2)*100)*10</f>
        <v>2842.2740779612404</v>
      </c>
      <c r="S15" s="2">
        <f ca="1">((RAND()*1+2)*100)*10</f>
        <v>2816.138268727846</v>
      </c>
      <c r="T15" s="2">
        <f ca="1">((RAND()*1+2)*100)*10</f>
        <v>2198.5143075355445</v>
      </c>
      <c r="U15" s="2">
        <f ca="1">((RAND()*1+2)*100)*10</f>
        <v>2283.4076548144817</v>
      </c>
      <c r="V15" s="2">
        <f ca="1">((RAND()*1+2)*100)*10</f>
        <v>2974.2068826914137</v>
      </c>
      <c r="W15" s="2">
        <f ca="1">((RAND()*1+2)*100)*10</f>
        <v>2058.4505546944329</v>
      </c>
      <c r="X15" s="2">
        <f ca="1">((RAND()*1+2)*100)*10</f>
        <v>2993.6295288506744</v>
      </c>
      <c r="Y15" s="2">
        <f ca="1">((RAND()*1+2)*100)*10</f>
        <v>2809.1556649590775</v>
      </c>
      <c r="Z15" s="2">
        <f ca="1">((RAND()*1+2)*100)*10</f>
        <v>2153.2388040907817</v>
      </c>
      <c r="AA15" s="2">
        <f ca="1">((RAND()*1+2)*100)*10</f>
        <v>2368.0559872699869</v>
      </c>
      <c r="AB15" s="2">
        <f ca="1">((RAND()*1+2)*100)*10</f>
        <v>2632.0154604860663</v>
      </c>
      <c r="AC15" s="2">
        <f ca="1">((RAND()*1+2)*100)*10</f>
        <v>2923.3581393661916</v>
      </c>
      <c r="AD15" s="2">
        <f ca="1">((RAND()*1+2)*100)*10</f>
        <v>2621.9437826889412</v>
      </c>
      <c r="AE15" s="2">
        <f ca="1">((RAND()*1+2)*100)*10</f>
        <v>2995.3185614436088</v>
      </c>
      <c r="AF15" s="2">
        <f ca="1">((RAND()*1+2)*100)*10</f>
        <v>2751.4891096753136</v>
      </c>
      <c r="AG15" s="2">
        <f ca="1">((RAND()*1+2)*100)*10</f>
        <v>2214.7164527903992</v>
      </c>
      <c r="AH15" s="2">
        <f ca="1">((RAND()*1+2)*100)*10</f>
        <v>2473.4837113236663</v>
      </c>
    </row>
    <row r="16" spans="1:34">
      <c r="A16" t="str">
        <f t="shared" si="30"/>
        <v>Sorghum</v>
      </c>
      <c r="B16" t="str">
        <f t="shared" si="31"/>
        <v>Amhara</v>
      </c>
      <c r="C16" s="2">
        <f ca="1">((RAND()*1+2)*100)*10</f>
        <v>2033.1646450464573</v>
      </c>
      <c r="D16" s="2">
        <f ca="1">((RAND()*1+2)*100)*10</f>
        <v>2608.6151898253411</v>
      </c>
      <c r="E16" s="2">
        <f ca="1">((RAND()*1+2)*100)*10</f>
        <v>2729.9776320084225</v>
      </c>
      <c r="F16" s="2">
        <f ca="1">((RAND()*1+2)*100)*10</f>
        <v>2085.0257409334895</v>
      </c>
      <c r="G16" s="2">
        <f ca="1">((RAND()*1+2)*100)*10</f>
        <v>2285.659482096773</v>
      </c>
      <c r="H16" s="2">
        <f ca="1">((RAND()*1+2)*100)*10</f>
        <v>2287.362325532421</v>
      </c>
      <c r="I16" s="2">
        <f ca="1">((RAND()*1+2)*100)*10</f>
        <v>2546.0960843668595</v>
      </c>
      <c r="J16" s="2">
        <f ca="1">((RAND()*1+2)*100)*10</f>
        <v>2910.2281834334353</v>
      </c>
      <c r="K16" s="2">
        <f ca="1">((RAND()*1+2)*100)*10</f>
        <v>2185.9214928042929</v>
      </c>
      <c r="L16" s="2">
        <f ca="1">((RAND()*1+2)*100)*10</f>
        <v>2855.8517053403775</v>
      </c>
      <c r="M16" s="2">
        <f ca="1">((RAND()*1+2)*100)*10</f>
        <v>2897.5149451127822</v>
      </c>
      <c r="N16" s="2">
        <f ca="1">((RAND()*1+2)*100)*10</f>
        <v>2561.4404569615754</v>
      </c>
      <c r="O16" s="2">
        <f ca="1">((RAND()*1+2)*100)*10</f>
        <v>2741.4425112739964</v>
      </c>
      <c r="P16" s="2">
        <f ca="1">((RAND()*1+2)*100)*10</f>
        <v>2548.093630511049</v>
      </c>
      <c r="Q16" s="2">
        <f ca="1">((RAND()*1+2)*100)*10</f>
        <v>2643.3177114018245</v>
      </c>
      <c r="R16" s="2">
        <f ca="1">((RAND()*1+2)*100)*10</f>
        <v>2994.6737497371491</v>
      </c>
      <c r="S16" s="2">
        <f ca="1">((RAND()*1+2)*100)*10</f>
        <v>2525.0016671889825</v>
      </c>
      <c r="T16" s="2">
        <f ca="1">((RAND()*1+2)*100)*10</f>
        <v>2960.0026059518218</v>
      </c>
      <c r="U16" s="2">
        <f ca="1">((RAND()*1+2)*100)*10</f>
        <v>2502.2192420845586</v>
      </c>
      <c r="V16" s="2">
        <f ca="1">((RAND()*1+2)*100)*10</f>
        <v>2759.8706632240646</v>
      </c>
      <c r="W16" s="2">
        <f ca="1">((RAND()*1+2)*100)*10</f>
        <v>2064.2024622849026</v>
      </c>
      <c r="X16" s="2">
        <f ca="1">((RAND()*1+2)*100)*10</f>
        <v>2477.8485551966291</v>
      </c>
      <c r="Y16" s="2">
        <f ca="1">((RAND()*1+2)*100)*10</f>
        <v>2898.9759054526921</v>
      </c>
      <c r="Z16" s="2">
        <f ca="1">((RAND()*1+2)*100)*10</f>
        <v>2285.0762045279512</v>
      </c>
      <c r="AA16" s="2">
        <f ca="1">((RAND()*1+2)*100)*10</f>
        <v>2145.6889807939096</v>
      </c>
      <c r="AB16" s="2">
        <f ca="1">((RAND()*1+2)*100)*10</f>
        <v>2653.5536599686179</v>
      </c>
      <c r="AC16" s="2">
        <f ca="1">((RAND()*1+2)*100)*10</f>
        <v>2617.0629576459082</v>
      </c>
      <c r="AD16" s="2">
        <f ca="1">((RAND()*1+2)*100)*10</f>
        <v>2386.1834687350056</v>
      </c>
      <c r="AE16" s="2">
        <f ca="1">((RAND()*1+2)*100)*10</f>
        <v>2850.8819706892205</v>
      </c>
      <c r="AF16" s="2">
        <f ca="1">((RAND()*1+2)*100)*10</f>
        <v>2385.9506810581188</v>
      </c>
      <c r="AG16" s="2">
        <f ca="1">((RAND()*1+2)*100)*10</f>
        <v>2977.6082455358342</v>
      </c>
      <c r="AH16" s="2">
        <f ca="1">((RAND()*1+2)*100)*10</f>
        <v>2655.4215524763804</v>
      </c>
    </row>
    <row r="17" spans="1:34">
      <c r="A17" t="str">
        <f t="shared" si="30"/>
        <v>Sorghum</v>
      </c>
      <c r="B17" t="str">
        <f t="shared" si="31"/>
        <v>Gumuz</v>
      </c>
      <c r="C17" s="2">
        <f ca="1">((RAND()*1+2)*100)*10</f>
        <v>2182.227461455202</v>
      </c>
      <c r="D17" s="2">
        <f ca="1">((RAND()*1+2)*100)*10</f>
        <v>2781.637929093411</v>
      </c>
      <c r="E17" s="2">
        <f ca="1">((RAND()*1+2)*100)*10</f>
        <v>2833.9731837033555</v>
      </c>
      <c r="F17" s="2">
        <f ca="1">((RAND()*1+2)*100)*10</f>
        <v>2698.8339252627015</v>
      </c>
      <c r="G17" s="2">
        <f ca="1">((RAND()*1+2)*100)*10</f>
        <v>2920.6664496655294</v>
      </c>
      <c r="H17" s="2">
        <f ca="1">((RAND()*1+2)*100)*10</f>
        <v>2540.3011821138434</v>
      </c>
      <c r="I17" s="2">
        <f ca="1">((RAND()*1+2)*100)*10</f>
        <v>2510.2894850410207</v>
      </c>
      <c r="J17" s="2">
        <f ca="1">((RAND()*1+2)*100)*10</f>
        <v>2508.1308636956142</v>
      </c>
      <c r="K17" s="2">
        <f ca="1">((RAND()*1+2)*100)*10</f>
        <v>2643.5845648851737</v>
      </c>
      <c r="L17" s="2">
        <f ca="1">((RAND()*1+2)*100)*10</f>
        <v>2465.9637573177092</v>
      </c>
      <c r="M17" s="2">
        <f ca="1">((RAND()*1+2)*100)*10</f>
        <v>2525.4761271528614</v>
      </c>
      <c r="N17" s="2">
        <f ca="1">((RAND()*1+2)*100)*10</f>
        <v>2917.7089406516652</v>
      </c>
      <c r="O17" s="2">
        <f ca="1">((RAND()*1+2)*100)*10</f>
        <v>2659.9801848869738</v>
      </c>
      <c r="P17" s="2">
        <f ca="1">((RAND()*1+2)*100)*10</f>
        <v>2515.652172217428</v>
      </c>
      <c r="Q17" s="2">
        <f ca="1">((RAND()*1+2)*100)*10</f>
        <v>2808.6386064150342</v>
      </c>
      <c r="R17" s="2">
        <f ca="1">((RAND()*1+2)*100)*10</f>
        <v>2139.2781986316791</v>
      </c>
      <c r="S17" s="2">
        <f ca="1">((RAND()*1+2)*100)*10</f>
        <v>2730.3112589703551</v>
      </c>
      <c r="T17" s="2">
        <f ca="1">((RAND()*1+2)*100)*10</f>
        <v>2514.094979913556</v>
      </c>
      <c r="U17" s="2">
        <f ca="1">((RAND()*1+2)*100)*10</f>
        <v>2801.5868026952762</v>
      </c>
      <c r="V17" s="2">
        <f ca="1">((RAND()*1+2)*100)*10</f>
        <v>2607.6960942110009</v>
      </c>
      <c r="W17" s="2">
        <f ca="1">((RAND()*1+2)*100)*10</f>
        <v>2534.737477866845</v>
      </c>
      <c r="X17" s="2">
        <f ca="1">((RAND()*1+2)*100)*10</f>
        <v>2098.7351112879296</v>
      </c>
      <c r="Y17" s="2">
        <f ca="1">((RAND()*1+2)*100)*10</f>
        <v>2851.7280855859826</v>
      </c>
      <c r="Z17" s="2">
        <f ca="1">((RAND()*1+2)*100)*10</f>
        <v>2894.2414935518036</v>
      </c>
      <c r="AA17" s="2">
        <f ca="1">((RAND()*1+2)*100)*10</f>
        <v>2762.4865240828713</v>
      </c>
      <c r="AB17" s="2">
        <f ca="1">((RAND()*1+2)*100)*10</f>
        <v>2842.7142360703301</v>
      </c>
      <c r="AC17" s="2">
        <f ca="1">((RAND()*1+2)*100)*10</f>
        <v>2709.3953992325132</v>
      </c>
      <c r="AD17" s="2">
        <f ca="1">((RAND()*1+2)*100)*10</f>
        <v>2520.5154947078058</v>
      </c>
      <c r="AE17" s="2">
        <f ca="1">((RAND()*1+2)*100)*10</f>
        <v>2817.3874049297915</v>
      </c>
      <c r="AF17" s="2">
        <f ca="1">((RAND()*1+2)*100)*10</f>
        <v>2216.4546754175972</v>
      </c>
      <c r="AG17" s="2">
        <f ca="1">((RAND()*1+2)*100)*10</f>
        <v>2546.4207954500348</v>
      </c>
      <c r="AH17" s="2">
        <f ca="1">((RAND()*1+2)*100)*10</f>
        <v>2726.4912978876418</v>
      </c>
    </row>
    <row r="18" spans="1:34">
      <c r="A18" t="str">
        <f t="shared" si="30"/>
        <v>Sorghum</v>
      </c>
      <c r="B18" t="str">
        <f t="shared" si="31"/>
        <v>DireDawa</v>
      </c>
      <c r="C18" s="2">
        <f ca="1">((RAND()*1+2)*100)*10</f>
        <v>2581.7029570523555</v>
      </c>
      <c r="D18" s="2">
        <f ca="1">((RAND()*1+2)*100)*10</f>
        <v>2773.6421402629012</v>
      </c>
      <c r="E18" s="2">
        <f ca="1">((RAND()*1+2)*100)*10</f>
        <v>2358.730565009153</v>
      </c>
      <c r="F18" s="2">
        <f ca="1">((RAND()*1+2)*100)*10</f>
        <v>2619.5666698603345</v>
      </c>
      <c r="G18" s="2">
        <f ca="1">((RAND()*1+2)*100)*10</f>
        <v>2701.3354687922138</v>
      </c>
      <c r="H18" s="2">
        <f ca="1">((RAND()*1+2)*100)*10</f>
        <v>2356.9079878297662</v>
      </c>
      <c r="I18" s="2">
        <f ca="1">((RAND()*1+2)*100)*10</f>
        <v>2877.1532829471598</v>
      </c>
      <c r="J18" s="2">
        <f ca="1">((RAND()*1+2)*100)*10</f>
        <v>2571.3987753421384</v>
      </c>
      <c r="K18" s="2">
        <f ca="1">((RAND()*1+2)*100)*10</f>
        <v>2795.0405309148273</v>
      </c>
      <c r="L18" s="2">
        <f ca="1">((RAND()*1+2)*100)*10</f>
        <v>2199.0284016555447</v>
      </c>
      <c r="M18" s="2">
        <f ca="1">((RAND()*1+2)*100)*10</f>
        <v>2543.3024183874072</v>
      </c>
      <c r="N18" s="2">
        <f ca="1">((RAND()*1+2)*100)*10</f>
        <v>2255.2179830207301</v>
      </c>
      <c r="O18" s="2">
        <f ca="1">((RAND()*1+2)*100)*10</f>
        <v>2519.655504720582</v>
      </c>
      <c r="P18" s="2">
        <f ca="1">((RAND()*1+2)*100)*10</f>
        <v>2513.6038341924209</v>
      </c>
      <c r="Q18" s="2">
        <f ca="1">((RAND()*1+2)*100)*10</f>
        <v>2689.5092925187519</v>
      </c>
      <c r="R18" s="2">
        <f ca="1">((RAND()*1+2)*100)*10</f>
        <v>2397.890329927262</v>
      </c>
      <c r="S18" s="2">
        <f ca="1">((RAND()*1+2)*100)*10</f>
        <v>2783.2502696421152</v>
      </c>
      <c r="T18" s="2">
        <f ca="1">((RAND()*1+2)*100)*10</f>
        <v>2706.8615917507977</v>
      </c>
      <c r="U18" s="2">
        <f ca="1">((RAND()*1+2)*100)*10</f>
        <v>2445.333408132577</v>
      </c>
      <c r="V18" s="2">
        <f ca="1">((RAND()*1+2)*100)*10</f>
        <v>2078.1715255645117</v>
      </c>
      <c r="W18" s="2">
        <f ca="1">((RAND()*1+2)*100)*10</f>
        <v>2972.9326215617402</v>
      </c>
      <c r="X18" s="2">
        <f ca="1">((RAND()*1+2)*100)*10</f>
        <v>2776.3833941955204</v>
      </c>
      <c r="Y18" s="2">
        <f ca="1">((RAND()*1+2)*100)*10</f>
        <v>2533.8154582388943</v>
      </c>
      <c r="Z18" s="2">
        <f ca="1">((RAND()*1+2)*100)*10</f>
        <v>2352.3186552970383</v>
      </c>
      <c r="AA18" s="2">
        <f ca="1">((RAND()*1+2)*100)*10</f>
        <v>2427.0640521232303</v>
      </c>
      <c r="AB18" s="2">
        <f ca="1">((RAND()*1+2)*100)*10</f>
        <v>2577.1260143172872</v>
      </c>
      <c r="AC18" s="2">
        <f ca="1">((RAND()*1+2)*100)*10</f>
        <v>2814.3949472543018</v>
      </c>
      <c r="AD18" s="2">
        <f ca="1">((RAND()*1+2)*100)*10</f>
        <v>2954.199706841775</v>
      </c>
      <c r="AE18" s="2">
        <f ca="1">((RAND()*1+2)*100)*10</f>
        <v>2859.6795849531186</v>
      </c>
      <c r="AF18" s="2">
        <f ca="1">((RAND()*1+2)*100)*10</f>
        <v>2446.9292726330314</v>
      </c>
      <c r="AG18" s="2">
        <f ca="1">((RAND()*1+2)*100)*10</f>
        <v>2899.1384687089517</v>
      </c>
      <c r="AH18" s="2">
        <f ca="1">((RAND()*1+2)*100)*10</f>
        <v>2794.3992083075891</v>
      </c>
    </row>
    <row r="19" spans="1:34">
      <c r="A19" t="str">
        <f t="shared" si="30"/>
        <v>Sorghum</v>
      </c>
      <c r="B19" t="str">
        <f t="shared" si="31"/>
        <v>Gambela</v>
      </c>
      <c r="C19" s="2">
        <f ca="1">((RAND()*1+2)*100)*10</f>
        <v>2379.6334090291111</v>
      </c>
      <c r="D19" s="2">
        <f ca="1">((RAND()*1+2)*100)*10</f>
        <v>2995.6577793528941</v>
      </c>
      <c r="E19" s="2">
        <f ca="1">((RAND()*1+2)*100)*10</f>
        <v>2794.4312643511084</v>
      </c>
      <c r="F19" s="2">
        <f ca="1">((RAND()*1+2)*100)*10</f>
        <v>2311.122882281883</v>
      </c>
      <c r="G19" s="2">
        <f ca="1">((RAND()*1+2)*100)*10</f>
        <v>2468.4184289807854</v>
      </c>
      <c r="H19" s="2">
        <f ca="1">((RAND()*1+2)*100)*10</f>
        <v>2530.936319826571</v>
      </c>
      <c r="I19" s="2">
        <f ca="1">((RAND()*1+2)*100)*10</f>
        <v>2153.5810121385985</v>
      </c>
      <c r="J19" s="2">
        <f ca="1">((RAND()*1+2)*100)*10</f>
        <v>2891.5774716018832</v>
      </c>
      <c r="K19" s="2">
        <f ca="1">((RAND()*1+2)*100)*10</f>
        <v>2959.2111993386416</v>
      </c>
      <c r="L19" s="2">
        <f ca="1">((RAND()*1+2)*100)*10</f>
        <v>2584.2841181063382</v>
      </c>
      <c r="M19" s="2">
        <f ca="1">((RAND()*1+2)*100)*10</f>
        <v>2736.2720479214436</v>
      </c>
      <c r="N19" s="2">
        <f ca="1">((RAND()*1+2)*100)*10</f>
        <v>2480.1312951968457</v>
      </c>
      <c r="O19" s="2">
        <f ca="1">((RAND()*1+2)*100)*10</f>
        <v>2509.5981437201694</v>
      </c>
      <c r="P19" s="2">
        <f ca="1">((RAND()*1+2)*100)*10</f>
        <v>2688.6151677072903</v>
      </c>
      <c r="Q19" s="2">
        <f ca="1">((RAND()*1+2)*100)*10</f>
        <v>2566.4263345602949</v>
      </c>
      <c r="R19" s="2">
        <f ca="1">((RAND()*1+2)*100)*10</f>
        <v>2623.3663883436498</v>
      </c>
      <c r="S19" s="2">
        <f ca="1">((RAND()*1+2)*100)*10</f>
        <v>2712.1396190116179</v>
      </c>
      <c r="T19" s="2">
        <f ca="1">((RAND()*1+2)*100)*10</f>
        <v>2521.9919008371003</v>
      </c>
      <c r="U19" s="2">
        <f ca="1">((RAND()*1+2)*100)*10</f>
        <v>2527.8183675316363</v>
      </c>
      <c r="V19" s="2">
        <f ca="1">((RAND()*1+2)*100)*10</f>
        <v>2366.4561356718473</v>
      </c>
      <c r="W19" s="2">
        <f ca="1">((RAND()*1+2)*100)*10</f>
        <v>2253.6639579970856</v>
      </c>
      <c r="X19" s="2">
        <f ca="1">((RAND()*1+2)*100)*10</f>
        <v>2960.2458458904503</v>
      </c>
      <c r="Y19" s="2">
        <f ca="1">((RAND()*1+2)*100)*10</f>
        <v>2441.3168187499837</v>
      </c>
      <c r="Z19" s="2">
        <f ca="1">((RAND()*1+2)*100)*10</f>
        <v>2167.3733396071038</v>
      </c>
      <c r="AA19" s="2">
        <f ca="1">((RAND()*1+2)*100)*10</f>
        <v>2340.8065505976647</v>
      </c>
      <c r="AB19" s="2">
        <f ca="1">((RAND()*1+2)*100)*10</f>
        <v>2007.6833161985337</v>
      </c>
      <c r="AC19" s="2">
        <f ca="1">((RAND()*1+2)*100)*10</f>
        <v>2664.5201988108643</v>
      </c>
      <c r="AD19" s="2">
        <f ca="1">((RAND()*1+2)*100)*10</f>
        <v>2556.8002228833557</v>
      </c>
      <c r="AE19" s="2">
        <f ca="1">((RAND()*1+2)*100)*10</f>
        <v>2615.7268941520306</v>
      </c>
      <c r="AF19" s="2">
        <f ca="1">((RAND()*1+2)*100)*10</f>
        <v>2021.7518376502931</v>
      </c>
      <c r="AG19" s="2">
        <f ca="1">((RAND()*1+2)*100)*10</f>
        <v>2659.0839266955841</v>
      </c>
      <c r="AH19" s="2">
        <f ca="1">((RAND()*1+2)*100)*10</f>
        <v>2050.8168940247588</v>
      </c>
    </row>
    <row r="20" spans="1:34">
      <c r="A20" t="str">
        <f t="shared" si="30"/>
        <v>Sorghum</v>
      </c>
      <c r="B20" t="str">
        <f t="shared" si="31"/>
        <v>Harari</v>
      </c>
      <c r="C20" s="2">
        <f ca="1">((RAND()*1+2)*100)*10</f>
        <v>2879.6297539121538</v>
      </c>
      <c r="D20" s="2">
        <f ca="1">((RAND()*1+2)*100)*10</f>
        <v>2380.3022864507425</v>
      </c>
      <c r="E20" s="2">
        <f ca="1">((RAND()*1+2)*100)*10</f>
        <v>2207.0086577403476</v>
      </c>
      <c r="F20" s="2">
        <f ca="1">((RAND()*1+2)*100)*10</f>
        <v>2643.4562384870187</v>
      </c>
      <c r="G20" s="2">
        <f ca="1">((RAND()*1+2)*100)*10</f>
        <v>2359.2467783780785</v>
      </c>
      <c r="H20" s="2">
        <f ca="1">((RAND()*1+2)*100)*10</f>
        <v>2545.6776935358284</v>
      </c>
      <c r="I20" s="2">
        <f ca="1">((RAND()*1+2)*100)*10</f>
        <v>2198.6233194597899</v>
      </c>
      <c r="J20" s="2">
        <f ca="1">((RAND()*1+2)*100)*10</f>
        <v>2603.1373629632212</v>
      </c>
      <c r="K20" s="2">
        <f ca="1">((RAND()*1+2)*100)*10</f>
        <v>2752.3142717104029</v>
      </c>
      <c r="L20" s="2">
        <f ca="1">((RAND()*1+2)*100)*10</f>
        <v>2035.0401449916048</v>
      </c>
      <c r="M20" s="2">
        <f ca="1">((RAND()*1+2)*100)*10</f>
        <v>2758.5164407775328</v>
      </c>
      <c r="N20" s="2">
        <f ca="1">((RAND()*1+2)*100)*10</f>
        <v>2013.4536498153711</v>
      </c>
      <c r="O20" s="2">
        <f ca="1">((RAND()*1+2)*100)*10</f>
        <v>2402.2919405523271</v>
      </c>
      <c r="P20" s="2">
        <f ca="1">((RAND()*1+2)*100)*10</f>
        <v>2815.4467707118833</v>
      </c>
      <c r="Q20" s="2">
        <f ca="1">((RAND()*1+2)*100)*10</f>
        <v>2522.2481430104217</v>
      </c>
      <c r="R20" s="2">
        <f ca="1">((RAND()*1+2)*100)*10</f>
        <v>2823.4719718569841</v>
      </c>
      <c r="S20" s="2">
        <f ca="1">((RAND()*1+2)*100)*10</f>
        <v>2673.3556971064286</v>
      </c>
      <c r="T20" s="2">
        <f ca="1">((RAND()*1+2)*100)*10</f>
        <v>2674.7785627670455</v>
      </c>
      <c r="U20" s="2">
        <f ca="1">((RAND()*1+2)*100)*10</f>
        <v>2087.7029460345352</v>
      </c>
      <c r="V20" s="2">
        <f ca="1">((RAND()*1+2)*100)*10</f>
        <v>2404.8531242527688</v>
      </c>
      <c r="W20" s="2">
        <f ca="1">((RAND()*1+2)*100)*10</f>
        <v>2816.127199752591</v>
      </c>
      <c r="X20" s="2">
        <f ca="1">((RAND()*1+2)*100)*10</f>
        <v>2592.6038578004477</v>
      </c>
      <c r="Y20" s="2">
        <f ca="1">((RAND()*1+2)*100)*10</f>
        <v>2812.8510865737753</v>
      </c>
      <c r="Z20" s="2">
        <f ca="1">((RAND()*1+2)*100)*10</f>
        <v>2004.29670842263</v>
      </c>
      <c r="AA20" s="2">
        <f ca="1">((RAND()*1+2)*100)*10</f>
        <v>2795.8355753435981</v>
      </c>
      <c r="AB20" s="2">
        <f ca="1">((RAND()*1+2)*100)*10</f>
        <v>2508.8618030421694</v>
      </c>
      <c r="AC20" s="2">
        <f ca="1">((RAND()*1+2)*100)*10</f>
        <v>2298.9314668833636</v>
      </c>
      <c r="AD20" s="2">
        <f ca="1">((RAND()*1+2)*100)*10</f>
        <v>2959.7613657174793</v>
      </c>
      <c r="AE20" s="2">
        <f ca="1">((RAND()*1+2)*100)*10</f>
        <v>2360.0004305523239</v>
      </c>
      <c r="AF20" s="2">
        <f ca="1">((RAND()*1+2)*100)*10</f>
        <v>2838.1783032603648</v>
      </c>
      <c r="AG20" s="2">
        <f ca="1">((RAND()*1+2)*100)*10</f>
        <v>2825.831215150145</v>
      </c>
      <c r="AH20" s="2">
        <f ca="1">((RAND()*1+2)*100)*10</f>
        <v>2316.5645679656332</v>
      </c>
    </row>
    <row r="21" spans="1:34">
      <c r="A21" t="str">
        <f t="shared" si="30"/>
        <v>Sorghum</v>
      </c>
      <c r="B21" t="str">
        <f t="shared" si="31"/>
        <v>Oromia</v>
      </c>
      <c r="C21" s="2">
        <f ca="1">((RAND()*1+2)*100)*10</f>
        <v>2870.9023887588296</v>
      </c>
      <c r="D21" s="2">
        <f ca="1">((RAND()*1+2)*100)*10</f>
        <v>2190.2682392860147</v>
      </c>
      <c r="E21" s="2">
        <f ca="1">((RAND()*1+2)*100)*10</f>
        <v>2397.1392744399936</v>
      </c>
      <c r="F21" s="2">
        <f ca="1">((RAND()*1+2)*100)*10</f>
        <v>2478.22975214804</v>
      </c>
      <c r="G21" s="2">
        <f ca="1">((RAND()*1+2)*100)*10</f>
        <v>2560.2544824963961</v>
      </c>
      <c r="H21" s="2">
        <f ca="1">((RAND()*1+2)*100)*10</f>
        <v>2768.3482805554568</v>
      </c>
      <c r="I21" s="2">
        <f ca="1">((RAND()*1+2)*100)*10</f>
        <v>2631.2390595465899</v>
      </c>
      <c r="J21" s="2">
        <f ca="1">((RAND()*1+2)*100)*10</f>
        <v>2349.1914260874714</v>
      </c>
      <c r="K21" s="2">
        <f ca="1">((RAND()*1+2)*100)*10</f>
        <v>2521.2341007688278</v>
      </c>
      <c r="L21" s="2">
        <f ca="1">((RAND()*1+2)*100)*10</f>
        <v>2428.752620728696</v>
      </c>
      <c r="M21" s="2">
        <f ca="1">((RAND()*1+2)*100)*10</f>
        <v>2485.8049730793177</v>
      </c>
      <c r="N21" s="2">
        <f ca="1">((RAND()*1+2)*100)*10</f>
        <v>2286.027656852064</v>
      </c>
      <c r="O21" s="2">
        <f ca="1">((RAND()*1+2)*100)*10</f>
        <v>2342.3800091331932</v>
      </c>
      <c r="P21" s="2">
        <f ca="1">((RAND()*1+2)*100)*10</f>
        <v>2598.7452681057557</v>
      </c>
      <c r="Q21" s="2">
        <f ca="1">((RAND()*1+2)*100)*10</f>
        <v>2153.8859855030319</v>
      </c>
      <c r="R21" s="2">
        <f ca="1">((RAND()*1+2)*100)*10</f>
        <v>2464.1711818701724</v>
      </c>
      <c r="S21" s="2">
        <f ca="1">((RAND()*1+2)*100)*10</f>
        <v>2706.1954461562977</v>
      </c>
      <c r="T21" s="2">
        <f ca="1">((RAND()*1+2)*100)*10</f>
        <v>2249.4385694709681</v>
      </c>
      <c r="U21" s="2">
        <f ca="1">((RAND()*1+2)*100)*10</f>
        <v>2662.1055304337601</v>
      </c>
      <c r="V21" s="2">
        <f ca="1">((RAND()*1+2)*100)*10</f>
        <v>2766.6397397006999</v>
      </c>
      <c r="W21" s="2">
        <f ca="1">((RAND()*1+2)*100)*10</f>
        <v>2141.57263098779</v>
      </c>
      <c r="X21" s="2">
        <f ca="1">((RAND()*1+2)*100)*10</f>
        <v>2792.4058284714865</v>
      </c>
      <c r="Y21" s="2">
        <f ca="1">((RAND()*1+2)*100)*10</f>
        <v>2241.901926336333</v>
      </c>
      <c r="Z21" s="2">
        <f ca="1">((RAND()*1+2)*100)*10</f>
        <v>2338.7663220174472</v>
      </c>
      <c r="AA21" s="2">
        <f ca="1">((RAND()*1+2)*100)*10</f>
        <v>2694.1314606561814</v>
      </c>
      <c r="AB21" s="2">
        <f ca="1">((RAND()*1+2)*100)*10</f>
        <v>2566.9752893477817</v>
      </c>
      <c r="AC21" s="2">
        <f ca="1">((RAND()*1+2)*100)*10</f>
        <v>2872.311094012452</v>
      </c>
      <c r="AD21" s="2">
        <f ca="1">((RAND()*1+2)*100)*10</f>
        <v>2104.7039847806186</v>
      </c>
      <c r="AE21" s="2">
        <f ca="1">((RAND()*1+2)*100)*10</f>
        <v>2095.8594657939366</v>
      </c>
      <c r="AF21" s="2">
        <f ca="1">((RAND()*1+2)*100)*10</f>
        <v>2594.9340523575329</v>
      </c>
      <c r="AG21" s="2">
        <f ca="1">((RAND()*1+2)*100)*10</f>
        <v>2035.2531575912121</v>
      </c>
      <c r="AH21" s="2">
        <f ca="1">((RAND()*1+2)*100)*10</f>
        <v>2437.5685657361587</v>
      </c>
    </row>
    <row r="22" spans="1:34">
      <c r="A22" t="str">
        <f t="shared" si="30"/>
        <v>Sorghum</v>
      </c>
      <c r="B22" t="str">
        <f t="shared" si="31"/>
        <v>Somali</v>
      </c>
      <c r="C22" s="2">
        <f ca="1">((RAND()*1+2)*100)*10</f>
        <v>2360.448574120529</v>
      </c>
      <c r="D22" s="2">
        <f ca="1">((RAND()*1+2)*100)*10</f>
        <v>2783.4103338407185</v>
      </c>
      <c r="E22" s="2">
        <f ca="1">((RAND()*1+2)*100)*10</f>
        <v>2224.7181620142696</v>
      </c>
      <c r="F22" s="2">
        <f ca="1">((RAND()*1+2)*100)*10</f>
        <v>2003.742975110074</v>
      </c>
      <c r="G22" s="2">
        <f ca="1">((RAND()*1+2)*100)*10</f>
        <v>2007.5595941041061</v>
      </c>
      <c r="H22" s="2">
        <f ca="1">((RAND()*1+2)*100)*10</f>
        <v>2526.2041738546513</v>
      </c>
      <c r="I22" s="2">
        <f ca="1">((RAND()*1+2)*100)*10</f>
        <v>2955.1000365294681</v>
      </c>
      <c r="J22" s="2">
        <f ca="1">((RAND()*1+2)*100)*10</f>
        <v>2535.0067827959406</v>
      </c>
      <c r="K22" s="2">
        <f ca="1">((RAND()*1+2)*100)*10</f>
        <v>2140.5503458164771</v>
      </c>
      <c r="L22" s="2">
        <f ca="1">((RAND()*1+2)*100)*10</f>
        <v>2506.4993020700576</v>
      </c>
      <c r="M22" s="2">
        <f ca="1">((RAND()*1+2)*100)*10</f>
        <v>2776.9929104114281</v>
      </c>
      <c r="N22" s="2">
        <f ca="1">((RAND()*1+2)*100)*10</f>
        <v>2554.5620120213807</v>
      </c>
      <c r="O22" s="2">
        <f ca="1">((RAND()*1+2)*100)*10</f>
        <v>2802.8050884717486</v>
      </c>
      <c r="P22" s="2">
        <f ca="1">((RAND()*1+2)*100)*10</f>
        <v>2537.1101798086393</v>
      </c>
      <c r="Q22" s="2">
        <f ca="1">((RAND()*1+2)*100)*10</f>
        <v>2467.8165246869644</v>
      </c>
      <c r="R22" s="2">
        <f ca="1">((RAND()*1+2)*100)*10</f>
        <v>2291.0196134342077</v>
      </c>
      <c r="S22" s="2">
        <f ca="1">((RAND()*1+2)*100)*10</f>
        <v>2206.1118507110932</v>
      </c>
      <c r="T22" s="2">
        <f ca="1">((RAND()*1+2)*100)*10</f>
        <v>2304.9820843756556</v>
      </c>
      <c r="U22" s="2">
        <f ca="1">((RAND()*1+2)*100)*10</f>
        <v>2537.1340183546422</v>
      </c>
      <c r="V22" s="2">
        <f ca="1">((RAND()*1+2)*100)*10</f>
        <v>2744.8023642750486</v>
      </c>
      <c r="W22" s="2">
        <f ca="1">((RAND()*1+2)*100)*10</f>
        <v>2687.5967787195491</v>
      </c>
      <c r="X22" s="2">
        <f ca="1">((RAND()*1+2)*100)*10</f>
        <v>2336.3487063553071</v>
      </c>
      <c r="Y22" s="2">
        <f ca="1">((RAND()*1+2)*100)*10</f>
        <v>2540.0780049850396</v>
      </c>
      <c r="Z22" s="2">
        <f ca="1">((RAND()*1+2)*100)*10</f>
        <v>2270.7281731265862</v>
      </c>
      <c r="AA22" s="2">
        <f ca="1">((RAND()*1+2)*100)*10</f>
        <v>2098.0455687515318</v>
      </c>
      <c r="AB22" s="2">
        <f ca="1">((RAND()*1+2)*100)*10</f>
        <v>2713.6597980983533</v>
      </c>
      <c r="AC22" s="2">
        <f ca="1">((RAND()*1+2)*100)*10</f>
        <v>2770.6200943702815</v>
      </c>
      <c r="AD22" s="2">
        <f ca="1">((RAND()*1+2)*100)*10</f>
        <v>2270.4561489730972</v>
      </c>
      <c r="AE22" s="2">
        <f ca="1">((RAND()*1+2)*100)*10</f>
        <v>2346.9532614903251</v>
      </c>
      <c r="AF22" s="2">
        <f ca="1">((RAND()*1+2)*100)*10</f>
        <v>2469.8193109797553</v>
      </c>
      <c r="AG22" s="2">
        <f ca="1">((RAND()*1+2)*100)*10</f>
        <v>2031.0452777668741</v>
      </c>
      <c r="AH22" s="2">
        <f ca="1">((RAND()*1+2)*100)*10</f>
        <v>2648.8220779263811</v>
      </c>
    </row>
    <row r="23" spans="1:34">
      <c r="A23" t="str">
        <f t="shared" si="30"/>
        <v>Sorghum</v>
      </c>
      <c r="B23" t="str">
        <f t="shared" si="31"/>
        <v>SNNPR</v>
      </c>
      <c r="C23" s="2">
        <f ca="1">((RAND()*1+2)*100)*10</f>
        <v>2038.5894010354377</v>
      </c>
      <c r="D23" s="2">
        <f ca="1">((RAND()*1+2)*100)*10</f>
        <v>2205.57713342341</v>
      </c>
      <c r="E23" s="2">
        <f ca="1">((RAND()*1+2)*100)*10</f>
        <v>2401.7438472993117</v>
      </c>
      <c r="F23" s="2">
        <f ca="1">((RAND()*1+2)*100)*10</f>
        <v>2909.3679553255488</v>
      </c>
      <c r="G23" s="2">
        <f ca="1">((RAND()*1+2)*100)*10</f>
        <v>2604.5763833012552</v>
      </c>
      <c r="H23" s="2">
        <f ca="1">((RAND()*1+2)*100)*10</f>
        <v>2045.0037800071548</v>
      </c>
      <c r="I23" s="2">
        <f ca="1">((RAND()*1+2)*100)*10</f>
        <v>2050.5746337650189</v>
      </c>
      <c r="J23" s="2">
        <f ca="1">((RAND()*1+2)*100)*10</f>
        <v>2467.8347007493667</v>
      </c>
      <c r="K23" s="2">
        <f ca="1">((RAND()*1+2)*100)*10</f>
        <v>2779.8001662682727</v>
      </c>
      <c r="L23" s="2">
        <f ca="1">((RAND()*1+2)*100)*10</f>
        <v>2682.6734531766074</v>
      </c>
      <c r="M23" s="2">
        <f ca="1">((RAND()*1+2)*100)*10</f>
        <v>2895.8414754795722</v>
      </c>
      <c r="N23" s="2">
        <f ca="1">((RAND()*1+2)*100)*10</f>
        <v>2660.6357258886869</v>
      </c>
      <c r="O23" s="2">
        <f ca="1">((RAND()*1+2)*100)*10</f>
        <v>2306.6261290896236</v>
      </c>
      <c r="P23" s="2">
        <f ca="1">((RAND()*1+2)*100)*10</f>
        <v>2241.9259666399366</v>
      </c>
      <c r="Q23" s="2">
        <f ca="1">((RAND()*1+2)*100)*10</f>
        <v>2107.8883127956824</v>
      </c>
      <c r="R23" s="2">
        <f ca="1">((RAND()*1+2)*100)*10</f>
        <v>2035.5238805602376</v>
      </c>
      <c r="S23" s="2">
        <f ca="1">((RAND()*1+2)*100)*10</f>
        <v>2580.8013776763082</v>
      </c>
      <c r="T23" s="2">
        <f ca="1">((RAND()*1+2)*100)*10</f>
        <v>2618.242734972715</v>
      </c>
      <c r="U23" s="2">
        <f ca="1">((RAND()*1+2)*100)*10</f>
        <v>2204.9364009171782</v>
      </c>
      <c r="V23" s="2">
        <f ca="1">((RAND()*1+2)*100)*10</f>
        <v>2678.495167785215</v>
      </c>
      <c r="W23" s="2">
        <f ca="1">((RAND()*1+2)*100)*10</f>
        <v>2393.38120043346</v>
      </c>
      <c r="X23" s="2">
        <f ca="1">((RAND()*1+2)*100)*10</f>
        <v>2286.7631909191637</v>
      </c>
      <c r="Y23" s="2">
        <f ca="1">((RAND()*1+2)*100)*10</f>
        <v>2489.2121453488244</v>
      </c>
      <c r="Z23" s="2">
        <f ca="1">((RAND()*1+2)*100)*10</f>
        <v>2682.9610648119346</v>
      </c>
      <c r="AA23" s="2">
        <f ca="1">((RAND()*1+2)*100)*10</f>
        <v>2068.1981055275396</v>
      </c>
      <c r="AB23" s="2">
        <f ca="1">((RAND()*1+2)*100)*10</f>
        <v>2312.4498314898351</v>
      </c>
      <c r="AC23" s="2">
        <f ca="1">((RAND()*1+2)*100)*10</f>
        <v>2747.688405034336</v>
      </c>
      <c r="AD23" s="2">
        <f ca="1">((RAND()*1+2)*100)*10</f>
        <v>2268.6686708931211</v>
      </c>
      <c r="AE23" s="2">
        <f ca="1">((RAND()*1+2)*100)*10</f>
        <v>2051.6419361570061</v>
      </c>
      <c r="AF23" s="2">
        <f ca="1">((RAND()*1+2)*100)*10</f>
        <v>2197.4869306530463</v>
      </c>
      <c r="AG23" s="2">
        <f ca="1">((RAND()*1+2)*100)*10</f>
        <v>2163.2989770551949</v>
      </c>
      <c r="AH23" s="2">
        <f ca="1">((RAND()*1+2)*100)*10</f>
        <v>2283.5411395332849</v>
      </c>
    </row>
    <row r="24" spans="1:34">
      <c r="A24" t="str">
        <f t="shared" si="30"/>
        <v>Sorghum</v>
      </c>
      <c r="B24" t="str">
        <f t="shared" si="31"/>
        <v>Tigray</v>
      </c>
      <c r="C24" s="2">
        <f ca="1">((RAND()*1+2)*100)*10</f>
        <v>2693.6806231576134</v>
      </c>
      <c r="D24" s="2">
        <f ca="1">((RAND()*1+2)*100)*10</f>
        <v>2567.7749793151197</v>
      </c>
      <c r="E24" s="2">
        <f ca="1">((RAND()*1+2)*100)*10</f>
        <v>2978.4112261747905</v>
      </c>
      <c r="F24" s="2">
        <f ca="1">((RAND()*1+2)*100)*10</f>
        <v>2130.681468564499</v>
      </c>
      <c r="G24" s="2">
        <f ca="1">((RAND()*1+2)*100)*10</f>
        <v>2770.7859011670666</v>
      </c>
      <c r="H24" s="2">
        <f ca="1">((RAND()*1+2)*100)*10</f>
        <v>2076.0474521488973</v>
      </c>
      <c r="I24" s="2">
        <f ca="1">((RAND()*1+2)*100)*10</f>
        <v>2776.7040188792953</v>
      </c>
      <c r="J24" s="2">
        <f ca="1">((RAND()*1+2)*100)*10</f>
        <v>2750.3451153607416</v>
      </c>
      <c r="K24" s="2">
        <f ca="1">((RAND()*1+2)*100)*10</f>
        <v>2518.7359659608383</v>
      </c>
      <c r="L24" s="2">
        <f ca="1">((RAND()*1+2)*100)*10</f>
        <v>2821.3626748192137</v>
      </c>
      <c r="M24" s="2">
        <f ca="1">((RAND()*1+2)*100)*10</f>
        <v>2078.5648528536785</v>
      </c>
      <c r="N24" s="2">
        <f ca="1">((RAND()*1+2)*100)*10</f>
        <v>2279.3050905578366</v>
      </c>
      <c r="O24" s="2">
        <f ca="1">((RAND()*1+2)*100)*10</f>
        <v>2426.4258182046483</v>
      </c>
      <c r="P24" s="2">
        <f ca="1">((RAND()*1+2)*100)*10</f>
        <v>2835.1229380035466</v>
      </c>
      <c r="Q24" s="2">
        <f ca="1">((RAND()*1+2)*100)*10</f>
        <v>2083.8637466927285</v>
      </c>
      <c r="R24" s="2">
        <f ca="1">((RAND()*1+2)*100)*10</f>
        <v>2083.0386848745784</v>
      </c>
      <c r="S24" s="2">
        <f ca="1">((RAND()*1+2)*100)*10</f>
        <v>2181.0341668267151</v>
      </c>
      <c r="T24" s="2">
        <f ca="1">((RAND()*1+2)*100)*10</f>
        <v>2168.1160896723472</v>
      </c>
      <c r="U24" s="2">
        <f ca="1">((RAND()*1+2)*100)*10</f>
        <v>2257.6567867458598</v>
      </c>
      <c r="V24" s="2">
        <f ca="1">((RAND()*1+2)*100)*10</f>
        <v>2090.0023307117372</v>
      </c>
      <c r="W24" s="2">
        <f ca="1">((RAND()*1+2)*100)*10</f>
        <v>2715.5539633445965</v>
      </c>
      <c r="X24" s="2">
        <f ca="1">((RAND()*1+2)*100)*10</f>
        <v>2014.9409168496106</v>
      </c>
      <c r="Y24" s="2">
        <f ca="1">((RAND()*1+2)*100)*10</f>
        <v>2136.577529281139</v>
      </c>
      <c r="Z24" s="2">
        <f ca="1">((RAND()*1+2)*100)*10</f>
        <v>2051.820955884466</v>
      </c>
      <c r="AA24" s="2">
        <f ca="1">((RAND()*1+2)*100)*10</f>
        <v>2553.8970395958522</v>
      </c>
      <c r="AB24" s="2">
        <f ca="1">((RAND()*1+2)*100)*10</f>
        <v>2671.5538521909157</v>
      </c>
      <c r="AC24" s="2">
        <f ca="1">((RAND()*1+2)*100)*10</f>
        <v>2524.7855560750618</v>
      </c>
      <c r="AD24" s="2">
        <f ca="1">((RAND()*1+2)*100)*10</f>
        <v>2674.7214383828923</v>
      </c>
      <c r="AE24" s="2">
        <f ca="1">((RAND()*1+2)*100)*10</f>
        <v>2111.001495057923</v>
      </c>
      <c r="AF24" s="2">
        <f ca="1">((RAND()*1+2)*100)*10</f>
        <v>2127.9955293695857</v>
      </c>
      <c r="AG24" s="2">
        <f ca="1">((RAND()*1+2)*100)*10</f>
        <v>2772.5373085797441</v>
      </c>
      <c r="AH24" s="2">
        <f ca="1">((RAND()*1+2)*100)*10</f>
        <v>2122.1885094085615</v>
      </c>
    </row>
    <row r="25" spans="1:34">
      <c r="A25" t="str">
        <f t="shared" si="30"/>
        <v>Maize</v>
      </c>
      <c r="B25" t="str">
        <f t="shared" si="31"/>
        <v>AddisAbaba</v>
      </c>
      <c r="C25" s="2">
        <f ca="1">((RAND()*1+2)*100)*10</f>
        <v>2523.9956828959439</v>
      </c>
      <c r="D25" s="2">
        <f ca="1">((RAND()*1+2)*100)*10</f>
        <v>2807.3060924188944</v>
      </c>
      <c r="E25" s="2">
        <f ca="1">((RAND()*1+2)*100)*10</f>
        <v>2333.8980162728753</v>
      </c>
      <c r="F25" s="2">
        <f ca="1">((RAND()*1+2)*100)*10</f>
        <v>2693.9422246960498</v>
      </c>
      <c r="G25" s="2">
        <f ca="1">((RAND()*1+2)*100)*10</f>
        <v>2254.1536890423567</v>
      </c>
      <c r="H25" s="2">
        <f ca="1">((RAND()*1+2)*100)*10</f>
        <v>2762.4581668946685</v>
      </c>
      <c r="I25" s="2">
        <f ca="1">((RAND()*1+2)*100)*10</f>
        <v>2777.4471732456145</v>
      </c>
      <c r="J25" s="2">
        <f ca="1">((RAND()*1+2)*100)*10</f>
        <v>2266.0761783248731</v>
      </c>
      <c r="K25" s="2">
        <f ca="1">((RAND()*1+2)*100)*10</f>
        <v>2352.2483872556181</v>
      </c>
      <c r="L25" s="2">
        <f ca="1">((RAND()*1+2)*100)*10</f>
        <v>2617.6954402665006</v>
      </c>
      <c r="M25" s="2">
        <f ca="1">((RAND()*1+2)*100)*10</f>
        <v>2166.1537387203139</v>
      </c>
      <c r="N25" s="2">
        <f ca="1">((RAND()*1+2)*100)*10</f>
        <v>2599.3045091266508</v>
      </c>
      <c r="O25" s="2">
        <f ca="1">((RAND()*1+2)*100)*10</f>
        <v>2837.334413864307</v>
      </c>
      <c r="P25" s="2">
        <f ca="1">((RAND()*1+2)*100)*10</f>
        <v>2493.7317544505104</v>
      </c>
      <c r="Q25" s="2">
        <f ca="1">((RAND()*1+2)*100)*10</f>
        <v>2834.8458966811113</v>
      </c>
      <c r="R25" s="2">
        <f ca="1">((RAND()*1+2)*100)*10</f>
        <v>2657.6498848540386</v>
      </c>
      <c r="S25" s="2">
        <f ca="1">((RAND()*1+2)*100)*10</f>
        <v>2943.8349225734164</v>
      </c>
      <c r="T25" s="2">
        <f ca="1">((RAND()*1+2)*100)*10</f>
        <v>2366.4250237919737</v>
      </c>
      <c r="U25" s="2">
        <f ca="1">((RAND()*1+2)*100)*10</f>
        <v>2429.9691291113104</v>
      </c>
      <c r="V25" s="2">
        <f ca="1">((RAND()*1+2)*100)*10</f>
        <v>2285.6268342164826</v>
      </c>
      <c r="W25" s="2">
        <f ca="1">((RAND()*1+2)*100)*10</f>
        <v>2736.7573626199987</v>
      </c>
      <c r="X25" s="2">
        <f ca="1">((RAND()*1+2)*100)*10</f>
        <v>2426.5267763988668</v>
      </c>
      <c r="Y25" s="2">
        <f ca="1">((RAND()*1+2)*100)*10</f>
        <v>2537.1026828707463</v>
      </c>
      <c r="Z25" s="2">
        <f ca="1">((RAND()*1+2)*100)*10</f>
        <v>2786.4721417865389</v>
      </c>
      <c r="AA25" s="2">
        <f ca="1">((RAND()*1+2)*100)*10</f>
        <v>2291.4868017320523</v>
      </c>
      <c r="AB25" s="2">
        <f ca="1">((RAND()*1+2)*100)*10</f>
        <v>2758.7102036118818</v>
      </c>
      <c r="AC25" s="2">
        <f ca="1">((RAND()*1+2)*100)*10</f>
        <v>2775.8182693943199</v>
      </c>
      <c r="AD25" s="2">
        <f ca="1">((RAND()*1+2)*100)*10</f>
        <v>2659.068569774453</v>
      </c>
      <c r="AE25" s="2">
        <f ca="1">((RAND()*1+2)*100)*10</f>
        <v>2872.2018344539561</v>
      </c>
      <c r="AF25" s="2">
        <f ca="1">((RAND()*1+2)*100)*10</f>
        <v>2450.5319033632554</v>
      </c>
      <c r="AG25" s="2">
        <f ca="1">((RAND()*1+2)*100)*10</f>
        <v>2492.0006120784087</v>
      </c>
      <c r="AH25" s="2">
        <f ca="1">((RAND()*1+2)*100)*10</f>
        <v>2014.0308362725641</v>
      </c>
    </row>
    <row r="26" spans="1:34">
      <c r="A26" t="str">
        <f t="shared" si="30"/>
        <v>Maize</v>
      </c>
      <c r="B26" t="str">
        <f t="shared" si="31"/>
        <v>Afar</v>
      </c>
      <c r="C26" s="2">
        <f ca="1">((RAND()*1+2)*100)*10</f>
        <v>2886.7905419592644</v>
      </c>
      <c r="D26" s="2">
        <f ca="1">((RAND()*1+2)*100)*10</f>
        <v>2494.9284904484975</v>
      </c>
      <c r="E26" s="2">
        <f ca="1">((RAND()*1+2)*100)*10</f>
        <v>2843.3805401888617</v>
      </c>
      <c r="F26" s="2">
        <f ca="1">((RAND()*1+2)*100)*10</f>
        <v>2335.7899060378818</v>
      </c>
      <c r="G26" s="2">
        <f ca="1">((RAND()*1+2)*100)*10</f>
        <v>2739.9633639439985</v>
      </c>
      <c r="H26" s="2">
        <f ca="1">((RAND()*1+2)*100)*10</f>
        <v>2956.9262912517593</v>
      </c>
      <c r="I26" s="2">
        <f ca="1">((RAND()*1+2)*100)*10</f>
        <v>2534.3017284795583</v>
      </c>
      <c r="J26" s="2">
        <f ca="1">((RAND()*1+2)*100)*10</f>
        <v>2784.982677670786</v>
      </c>
      <c r="K26" s="2">
        <f ca="1">((RAND()*1+2)*100)*10</f>
        <v>2815.3485596820105</v>
      </c>
      <c r="L26" s="2">
        <f ca="1">((RAND()*1+2)*100)*10</f>
        <v>2043.5000241445637</v>
      </c>
      <c r="M26" s="2">
        <f ca="1">((RAND()*1+2)*100)*10</f>
        <v>2035.6337795448653</v>
      </c>
      <c r="N26" s="2">
        <f ca="1">((RAND()*1+2)*100)*10</f>
        <v>2698.5813390944431</v>
      </c>
      <c r="O26" s="2">
        <f ca="1">((RAND()*1+2)*100)*10</f>
        <v>2125.3681312669964</v>
      </c>
      <c r="P26" s="2">
        <f ca="1">((RAND()*1+2)*100)*10</f>
        <v>2027.1106647685119</v>
      </c>
      <c r="Q26" s="2">
        <f ca="1">((RAND()*1+2)*100)*10</f>
        <v>2610.9460333358606</v>
      </c>
      <c r="R26" s="2">
        <f ca="1">((RAND()*1+2)*100)*10</f>
        <v>2377.4750306540177</v>
      </c>
      <c r="S26" s="2">
        <f ca="1">((RAND()*1+2)*100)*10</f>
        <v>2569.2997618375352</v>
      </c>
      <c r="T26" s="2">
        <f ca="1">((RAND()*1+2)*100)*10</f>
        <v>2851.3402056910945</v>
      </c>
      <c r="U26" s="2">
        <f ca="1">((RAND()*1+2)*100)*10</f>
        <v>2551.8381868726342</v>
      </c>
      <c r="V26" s="2">
        <f ca="1">((RAND()*1+2)*100)*10</f>
        <v>2589.4580629277452</v>
      </c>
      <c r="W26" s="2">
        <f ca="1">((RAND()*1+2)*100)*10</f>
        <v>2810.6341910527085</v>
      </c>
      <c r="X26" s="2">
        <f ca="1">((RAND()*1+2)*100)*10</f>
        <v>2879.1568627390598</v>
      </c>
      <c r="Y26" s="2">
        <f ca="1">((RAND()*1+2)*100)*10</f>
        <v>2039.8999212435642</v>
      </c>
      <c r="Z26" s="2">
        <f ca="1">((RAND()*1+2)*100)*10</f>
        <v>2523.9870769693371</v>
      </c>
      <c r="AA26" s="2">
        <f ca="1">((RAND()*1+2)*100)*10</f>
        <v>2738.6185229843027</v>
      </c>
      <c r="AB26" s="2">
        <f ca="1">((RAND()*1+2)*100)*10</f>
        <v>2155.8614680589044</v>
      </c>
      <c r="AC26" s="2">
        <f ca="1">((RAND()*1+2)*100)*10</f>
        <v>2880.4874679609766</v>
      </c>
      <c r="AD26" s="2">
        <f ca="1">((RAND()*1+2)*100)*10</f>
        <v>2744.5621972727872</v>
      </c>
      <c r="AE26" s="2">
        <f ca="1">((RAND()*1+2)*100)*10</f>
        <v>2374.1361614108819</v>
      </c>
      <c r="AF26" s="2">
        <f ca="1">((RAND()*1+2)*100)*10</f>
        <v>2017.5547040391814</v>
      </c>
      <c r="AG26" s="2">
        <f ca="1">((RAND()*1+2)*100)*10</f>
        <v>2328.2663940152524</v>
      </c>
      <c r="AH26" s="2">
        <f ca="1">((RAND()*1+2)*100)*10</f>
        <v>2877.5872468595526</v>
      </c>
    </row>
    <row r="27" spans="1:34">
      <c r="A27" t="str">
        <f t="shared" si="30"/>
        <v>Maize</v>
      </c>
      <c r="B27" t="str">
        <f t="shared" si="31"/>
        <v>Amhara</v>
      </c>
      <c r="C27" s="2">
        <f ca="1">((RAND()*1+2)*100)*10</f>
        <v>2170.0794632755078</v>
      </c>
      <c r="D27" s="2">
        <f ca="1">((RAND()*1+2)*100)*10</f>
        <v>2286.7244537649344</v>
      </c>
      <c r="E27" s="2">
        <f ca="1">((RAND()*1+2)*100)*10</f>
        <v>2590.3283908804356</v>
      </c>
      <c r="F27" s="2">
        <f ca="1">((RAND()*1+2)*100)*10</f>
        <v>2570.5757272378287</v>
      </c>
      <c r="G27" s="2">
        <f ca="1">((RAND()*1+2)*100)*10</f>
        <v>2400.0347842918704</v>
      </c>
      <c r="H27" s="2">
        <f ca="1">((RAND()*1+2)*100)*10</f>
        <v>2335.9542890481093</v>
      </c>
      <c r="I27" s="2">
        <f ca="1">((RAND()*1+2)*100)*10</f>
        <v>2439.4457556026255</v>
      </c>
      <c r="J27" s="2">
        <f ca="1">((RAND()*1+2)*100)*10</f>
        <v>2753.7161086814294</v>
      </c>
      <c r="K27" s="2">
        <f ca="1">((RAND()*1+2)*100)*10</f>
        <v>2590.4455059707598</v>
      </c>
      <c r="L27" s="2">
        <f ca="1">((RAND()*1+2)*100)*10</f>
        <v>2246.6132524982322</v>
      </c>
      <c r="M27" s="2">
        <f ca="1">((RAND()*1+2)*100)*10</f>
        <v>2114.6465439504864</v>
      </c>
      <c r="N27" s="2">
        <f ca="1">((RAND()*1+2)*100)*10</f>
        <v>2262.6164538787889</v>
      </c>
      <c r="O27" s="2">
        <f ca="1">((RAND()*1+2)*100)*10</f>
        <v>2922.181019196275</v>
      </c>
      <c r="P27" s="2">
        <f ca="1">((RAND()*1+2)*100)*10</f>
        <v>2632.2153680451511</v>
      </c>
      <c r="Q27" s="2">
        <f ca="1">((RAND()*1+2)*100)*10</f>
        <v>2152.5254027779156</v>
      </c>
      <c r="R27" s="2">
        <f ca="1">((RAND()*1+2)*100)*10</f>
        <v>2466.4731539215518</v>
      </c>
      <c r="S27" s="2">
        <f ca="1">((RAND()*1+2)*100)*10</f>
        <v>2613.803504718725</v>
      </c>
      <c r="T27" s="2">
        <f ca="1">((RAND()*1+2)*100)*10</f>
        <v>2430.0217875376661</v>
      </c>
      <c r="U27" s="2">
        <f ca="1">((RAND()*1+2)*100)*10</f>
        <v>2956.4932544155381</v>
      </c>
      <c r="V27" s="2">
        <f ca="1">((RAND()*1+2)*100)*10</f>
        <v>2121.804067887304</v>
      </c>
      <c r="W27" s="2">
        <f ca="1">((RAND()*1+2)*100)*10</f>
        <v>2997.5462194711577</v>
      </c>
      <c r="X27" s="2">
        <f ca="1">((RAND()*1+2)*100)*10</f>
        <v>2125.0370283173625</v>
      </c>
      <c r="Y27" s="2">
        <f ca="1">((RAND()*1+2)*100)*10</f>
        <v>2638.8332109024004</v>
      </c>
      <c r="Z27" s="2">
        <f ca="1">((RAND()*1+2)*100)*10</f>
        <v>2466.4864157743709</v>
      </c>
      <c r="AA27" s="2">
        <f ca="1">((RAND()*1+2)*100)*10</f>
        <v>2094.6359466566032</v>
      </c>
      <c r="AB27" s="2">
        <f ca="1">((RAND()*1+2)*100)*10</f>
        <v>2248.8435737082809</v>
      </c>
      <c r="AC27" s="2">
        <f ca="1">((RAND()*1+2)*100)*10</f>
        <v>2304.6673284240051</v>
      </c>
      <c r="AD27" s="2">
        <f ca="1">((RAND()*1+2)*100)*10</f>
        <v>2555.4762451537413</v>
      </c>
      <c r="AE27" s="2">
        <f ca="1">((RAND()*1+2)*100)*10</f>
        <v>2185.6037638462112</v>
      </c>
      <c r="AF27" s="2">
        <f ca="1">((RAND()*1+2)*100)*10</f>
        <v>2810.4638151321242</v>
      </c>
      <c r="AG27" s="2">
        <f ca="1">((RAND()*1+2)*100)*10</f>
        <v>2140.4455848381112</v>
      </c>
      <c r="AH27" s="2">
        <f ca="1">((RAND()*1+2)*100)*10</f>
        <v>2910.1428508828485</v>
      </c>
    </row>
    <row r="28" spans="1:34">
      <c r="A28" t="str">
        <f t="shared" si="30"/>
        <v>Maize</v>
      </c>
      <c r="B28" t="str">
        <f t="shared" si="31"/>
        <v>Gumuz</v>
      </c>
      <c r="C28" s="2">
        <f ca="1">((RAND()*1+2)*100)*10</f>
        <v>2615.0900213495242</v>
      </c>
      <c r="D28" s="2">
        <f ca="1">((RAND()*1+2)*100)*10</f>
        <v>2916.0402808440895</v>
      </c>
      <c r="E28" s="2">
        <f ca="1">((RAND()*1+2)*100)*10</f>
        <v>2070.9281660642055</v>
      </c>
      <c r="F28" s="2">
        <f ca="1">((RAND()*1+2)*100)*10</f>
        <v>2932.5287789224008</v>
      </c>
      <c r="G28" s="2">
        <f ca="1">((RAND()*1+2)*100)*10</f>
        <v>2839.515716580624</v>
      </c>
      <c r="H28" s="2">
        <f ca="1">((RAND()*1+2)*100)*10</f>
        <v>2466.4704037865922</v>
      </c>
      <c r="I28" s="2">
        <f ca="1">((RAND()*1+2)*100)*10</f>
        <v>2081.9630479322022</v>
      </c>
      <c r="J28" s="2">
        <f ca="1">((RAND()*1+2)*100)*10</f>
        <v>2896.5961577586868</v>
      </c>
      <c r="K28" s="2">
        <f ca="1">((RAND()*1+2)*100)*10</f>
        <v>2020.0410290183536</v>
      </c>
      <c r="L28" s="2">
        <f ca="1">((RAND()*1+2)*100)*10</f>
        <v>2415.2513761106825</v>
      </c>
      <c r="M28" s="2">
        <f ca="1">((RAND()*1+2)*100)*10</f>
        <v>2232.9108150913912</v>
      </c>
      <c r="N28" s="2">
        <f ca="1">((RAND()*1+2)*100)*10</f>
        <v>2855.5513821189179</v>
      </c>
      <c r="O28" s="2">
        <f ca="1">((RAND()*1+2)*100)*10</f>
        <v>2074.029554125862</v>
      </c>
      <c r="P28" s="2">
        <f ca="1">((RAND()*1+2)*100)*10</f>
        <v>2469.9942363805649</v>
      </c>
      <c r="Q28" s="2">
        <f ca="1">((RAND()*1+2)*100)*10</f>
        <v>2400.6427698900502</v>
      </c>
      <c r="R28" s="2">
        <f ca="1">((RAND()*1+2)*100)*10</f>
        <v>2916.5212063922318</v>
      </c>
      <c r="S28" s="2">
        <f ca="1">((RAND()*1+2)*100)*10</f>
        <v>2981.8296579824682</v>
      </c>
      <c r="T28" s="2">
        <f ca="1">((RAND()*1+2)*100)*10</f>
        <v>2901.3065047810469</v>
      </c>
      <c r="U28" s="2">
        <f ca="1">((RAND()*1+2)*100)*10</f>
        <v>2310.1803773047122</v>
      </c>
      <c r="V28" s="2">
        <f ca="1">((RAND()*1+2)*100)*10</f>
        <v>2565.6085243304969</v>
      </c>
      <c r="W28" s="2">
        <f ca="1">((RAND()*1+2)*100)*10</f>
        <v>2603.469545950772</v>
      </c>
      <c r="X28" s="2">
        <f ca="1">((RAND()*1+2)*100)*10</f>
        <v>2180.7891805267495</v>
      </c>
      <c r="Y28" s="2">
        <f ca="1">((RAND()*1+2)*100)*10</f>
        <v>2948.8816292500333</v>
      </c>
      <c r="Z28" s="2">
        <f ca="1">((RAND()*1+2)*100)*10</f>
        <v>2581.1344684489613</v>
      </c>
      <c r="AA28" s="2">
        <f ca="1">((RAND()*1+2)*100)*10</f>
        <v>2318.1423358454717</v>
      </c>
      <c r="AB28" s="2">
        <f ca="1">((RAND()*1+2)*100)*10</f>
        <v>2467.1989997673754</v>
      </c>
      <c r="AC28" s="2">
        <f ca="1">((RAND()*1+2)*100)*10</f>
        <v>2288.3780118880068</v>
      </c>
      <c r="AD28" s="2">
        <f ca="1">((RAND()*1+2)*100)*10</f>
        <v>2997.803057501294</v>
      </c>
      <c r="AE28" s="2">
        <f ca="1">((RAND()*1+2)*100)*10</f>
        <v>2319.6728728396447</v>
      </c>
      <c r="AF28" s="2">
        <f ca="1">((RAND()*1+2)*100)*10</f>
        <v>2550.3393707149862</v>
      </c>
      <c r="AG28" s="2">
        <f ca="1">((RAND()*1+2)*100)*10</f>
        <v>2115.9439955370121</v>
      </c>
      <c r="AH28" s="2">
        <f ca="1">((RAND()*1+2)*100)*10</f>
        <v>2539.602279987088</v>
      </c>
    </row>
    <row r="29" spans="1:34">
      <c r="A29" t="str">
        <f t="shared" si="30"/>
        <v>Maize</v>
      </c>
      <c r="B29" t="str">
        <f t="shared" si="31"/>
        <v>DireDawa</v>
      </c>
      <c r="C29" s="2">
        <f ca="1">((RAND()*1+2)*100)*10</f>
        <v>2584.8499887155567</v>
      </c>
      <c r="D29" s="2">
        <f ca="1">((RAND()*1+2)*100)*10</f>
        <v>2957.7795606936779</v>
      </c>
      <c r="E29" s="2">
        <f ca="1">((RAND()*1+2)*100)*10</f>
        <v>2870.5058571868653</v>
      </c>
      <c r="F29" s="2">
        <f ca="1">((RAND()*1+2)*100)*10</f>
        <v>2454.2417026616208</v>
      </c>
      <c r="G29" s="2">
        <f ca="1">((RAND()*1+2)*100)*10</f>
        <v>2882.1995969291152</v>
      </c>
      <c r="H29" s="2">
        <f ca="1">((RAND()*1+2)*100)*10</f>
        <v>2459.3229107614379</v>
      </c>
      <c r="I29" s="2">
        <f ca="1">((RAND()*1+2)*100)*10</f>
        <v>2063.2697105495454</v>
      </c>
      <c r="J29" s="2">
        <f ca="1">((RAND()*1+2)*100)*10</f>
        <v>2796.8550066676962</v>
      </c>
      <c r="K29" s="2">
        <f ca="1">((RAND()*1+2)*100)*10</f>
        <v>2061.7584186174772</v>
      </c>
      <c r="L29" s="2">
        <f ca="1">((RAND()*1+2)*100)*10</f>
        <v>2599.8584366296404</v>
      </c>
      <c r="M29" s="2">
        <f ca="1">((RAND()*1+2)*100)*10</f>
        <v>2590.1659799083222</v>
      </c>
      <c r="N29" s="2">
        <f ca="1">((RAND()*1+2)*100)*10</f>
        <v>2897.9280000330973</v>
      </c>
      <c r="O29" s="2">
        <f ca="1">((RAND()*1+2)*100)*10</f>
        <v>2153.1398703654327</v>
      </c>
      <c r="P29" s="2">
        <f ca="1">((RAND()*1+2)*100)*10</f>
        <v>2406.3856789167185</v>
      </c>
      <c r="Q29" s="2">
        <f ca="1">((RAND()*1+2)*100)*10</f>
        <v>2369.9396335630145</v>
      </c>
      <c r="R29" s="2">
        <f ca="1">((RAND()*1+2)*100)*10</f>
        <v>2877.1907981301893</v>
      </c>
      <c r="S29" s="2">
        <f ca="1">((RAND()*1+2)*100)*10</f>
        <v>2769.2207961578406</v>
      </c>
      <c r="T29" s="2">
        <f ca="1">((RAND()*1+2)*100)*10</f>
        <v>2155.2229648190669</v>
      </c>
      <c r="U29" s="2">
        <f ca="1">((RAND()*1+2)*100)*10</f>
        <v>2755.7366557290065</v>
      </c>
      <c r="V29" s="2">
        <f ca="1">((RAND()*1+2)*100)*10</f>
        <v>2481.9120579448513</v>
      </c>
      <c r="W29" s="2">
        <f ca="1">((RAND()*1+2)*100)*10</f>
        <v>2434.6923500772336</v>
      </c>
      <c r="X29" s="2">
        <f ca="1">((RAND()*1+2)*100)*10</f>
        <v>2525.3788354373023</v>
      </c>
      <c r="Y29" s="2">
        <f ca="1">((RAND()*1+2)*100)*10</f>
        <v>2609.1140380391007</v>
      </c>
      <c r="Z29" s="2">
        <f ca="1">((RAND()*1+2)*100)*10</f>
        <v>2505.4453731574072</v>
      </c>
      <c r="AA29" s="2">
        <f ca="1">((RAND()*1+2)*100)*10</f>
        <v>2866.0188612795332</v>
      </c>
      <c r="AB29" s="2">
        <f ca="1">((RAND()*1+2)*100)*10</f>
        <v>2026.7706078933725</v>
      </c>
      <c r="AC29" s="2">
        <f ca="1">((RAND()*1+2)*100)*10</f>
        <v>2148.3540407977707</v>
      </c>
      <c r="AD29" s="2">
        <f ca="1">((RAND()*1+2)*100)*10</f>
        <v>2400.1970668612234</v>
      </c>
      <c r="AE29" s="2">
        <f ca="1">((RAND()*1+2)*100)*10</f>
        <v>2509.9250322205071</v>
      </c>
      <c r="AF29" s="2">
        <f ca="1">((RAND()*1+2)*100)*10</f>
        <v>2534.3321910184313</v>
      </c>
      <c r="AG29" s="2">
        <f ca="1">((RAND()*1+2)*100)*10</f>
        <v>2510.5497760289327</v>
      </c>
      <c r="AH29" s="2">
        <f ca="1">((RAND()*1+2)*100)*10</f>
        <v>2815.6986091451809</v>
      </c>
    </row>
    <row r="30" spans="1:34">
      <c r="A30" t="str">
        <f t="shared" si="30"/>
        <v>Maize</v>
      </c>
      <c r="B30" t="str">
        <f t="shared" si="31"/>
        <v>Gambela</v>
      </c>
      <c r="C30" s="2">
        <f ca="1">((RAND()*1+2)*100)*10</f>
        <v>2826.3170785342236</v>
      </c>
      <c r="D30" s="2">
        <f ca="1">((RAND()*1+2)*100)*10</f>
        <v>2008.9611764141339</v>
      </c>
      <c r="E30" s="2">
        <f ca="1">((RAND()*1+2)*100)*10</f>
        <v>2762.9108790671271</v>
      </c>
      <c r="F30" s="2">
        <f ca="1">((RAND()*1+2)*100)*10</f>
        <v>2258.1858339636037</v>
      </c>
      <c r="G30" s="2">
        <f ca="1">((RAND()*1+2)*100)*10</f>
        <v>2367.0761506130716</v>
      </c>
      <c r="H30" s="2">
        <f ca="1">((RAND()*1+2)*100)*10</f>
        <v>2727.8466634433353</v>
      </c>
      <c r="I30" s="2">
        <f ca="1">((RAND()*1+2)*100)*10</f>
        <v>2503.9349552125382</v>
      </c>
      <c r="J30" s="2">
        <f ca="1">((RAND()*1+2)*100)*10</f>
        <v>2712.136753484855</v>
      </c>
      <c r="K30" s="2">
        <f ca="1">((RAND()*1+2)*100)*10</f>
        <v>2870.4027533050316</v>
      </c>
      <c r="L30" s="2">
        <f ca="1">((RAND()*1+2)*100)*10</f>
        <v>2001.8704829865037</v>
      </c>
      <c r="M30" s="2">
        <f ca="1">((RAND()*1+2)*100)*10</f>
        <v>2223.6719716355874</v>
      </c>
      <c r="N30" s="2">
        <f ca="1">((RAND()*1+2)*100)*10</f>
        <v>2824.064360886186</v>
      </c>
      <c r="O30" s="2">
        <f ca="1">((RAND()*1+2)*100)*10</f>
        <v>2389.8948546217853</v>
      </c>
      <c r="P30" s="2">
        <f ca="1">((RAND()*1+2)*100)*10</f>
        <v>2265.5726593410855</v>
      </c>
      <c r="Q30" s="2">
        <f ca="1">((RAND()*1+2)*100)*10</f>
        <v>2600.4085994616985</v>
      </c>
      <c r="R30" s="2">
        <f ca="1">((RAND()*1+2)*100)*10</f>
        <v>2531.8634026701552</v>
      </c>
      <c r="S30" s="2">
        <f ca="1">((RAND()*1+2)*100)*10</f>
        <v>2370.4622358476977</v>
      </c>
      <c r="T30" s="2">
        <f ca="1">((RAND()*1+2)*100)*10</f>
        <v>2143.2369121234747</v>
      </c>
      <c r="U30" s="2">
        <f ca="1">((RAND()*1+2)*100)*10</f>
        <v>2594.0742156001315</v>
      </c>
      <c r="V30" s="2">
        <f ca="1">((RAND()*1+2)*100)*10</f>
        <v>2047.8170510219318</v>
      </c>
      <c r="W30" s="2">
        <f ca="1">((RAND()*1+2)*100)*10</f>
        <v>2065.875187398909</v>
      </c>
      <c r="X30" s="2">
        <f ca="1">((RAND()*1+2)*100)*10</f>
        <v>2322.5995340836298</v>
      </c>
      <c r="Y30" s="2">
        <f ca="1">((RAND()*1+2)*100)*10</f>
        <v>2244.6628574829574</v>
      </c>
      <c r="Z30" s="2">
        <f ca="1">((RAND()*1+2)*100)*10</f>
        <v>2275.3638552046496</v>
      </c>
      <c r="AA30" s="2">
        <f ca="1">((RAND()*1+2)*100)*10</f>
        <v>2534.7436089069511</v>
      </c>
      <c r="AB30" s="2">
        <f ca="1">((RAND()*1+2)*100)*10</f>
        <v>2008.8500582952972</v>
      </c>
      <c r="AC30" s="2">
        <f ca="1">((RAND()*1+2)*100)*10</f>
        <v>2457.4325033597879</v>
      </c>
      <c r="AD30" s="2">
        <f ca="1">((RAND()*1+2)*100)*10</f>
        <v>2937.2794806230281</v>
      </c>
      <c r="AE30" s="2">
        <f ca="1">((RAND()*1+2)*100)*10</f>
        <v>2554.2277221004447</v>
      </c>
      <c r="AF30" s="2">
        <f ca="1">((RAND()*1+2)*100)*10</f>
        <v>2259.5801768390356</v>
      </c>
      <c r="AG30" s="2">
        <f ca="1">((RAND()*1+2)*100)*10</f>
        <v>2760.1929359530909</v>
      </c>
      <c r="AH30" s="2">
        <f ca="1">((RAND()*1+2)*100)*10</f>
        <v>2889.5943597284158</v>
      </c>
    </row>
    <row r="31" spans="1:34">
      <c r="A31" t="str">
        <f t="shared" si="30"/>
        <v>Maize</v>
      </c>
      <c r="B31" t="str">
        <f t="shared" si="31"/>
        <v>Harari</v>
      </c>
      <c r="C31" s="2">
        <f ca="1">((RAND()*1+2)*100)*10</f>
        <v>2254.4887416114134</v>
      </c>
      <c r="D31" s="2">
        <f ca="1">((RAND()*1+2)*100)*10</f>
        <v>2535.9020972980798</v>
      </c>
      <c r="E31" s="2">
        <f ca="1">((RAND()*1+2)*100)*10</f>
        <v>2913.8235097952411</v>
      </c>
      <c r="F31" s="2">
        <f ca="1">((RAND()*1+2)*100)*10</f>
        <v>2715.9594172659013</v>
      </c>
      <c r="G31" s="2">
        <f ca="1">((RAND()*1+2)*100)*10</f>
        <v>2262.1095543056022</v>
      </c>
      <c r="H31" s="2">
        <f ca="1">((RAND()*1+2)*100)*10</f>
        <v>2778.568373319632</v>
      </c>
      <c r="I31" s="2">
        <f ca="1">((RAND()*1+2)*100)*10</f>
        <v>2654.6030592299712</v>
      </c>
      <c r="J31" s="2">
        <f ca="1">((RAND()*1+2)*100)*10</f>
        <v>2841.2285293739851</v>
      </c>
      <c r="K31" s="2">
        <f ca="1">((RAND()*1+2)*100)*10</f>
        <v>2121.8283004032205</v>
      </c>
      <c r="L31" s="2">
        <f ca="1">((RAND()*1+2)*100)*10</f>
        <v>2410.2934775185345</v>
      </c>
      <c r="M31" s="2">
        <f ca="1">((RAND()*1+2)*100)*10</f>
        <v>2577.7503141563757</v>
      </c>
      <c r="N31" s="2">
        <f ca="1">((RAND()*1+2)*100)*10</f>
        <v>2613.5914750723141</v>
      </c>
      <c r="O31" s="2">
        <f ca="1">((RAND()*1+2)*100)*10</f>
        <v>2023.5339862918941</v>
      </c>
      <c r="P31" s="2">
        <f ca="1">((RAND()*1+2)*100)*10</f>
        <v>2764.5663545410107</v>
      </c>
      <c r="Q31" s="2">
        <f ca="1">((RAND()*1+2)*100)*10</f>
        <v>2139.9966156355931</v>
      </c>
      <c r="R31" s="2">
        <f ca="1">((RAND()*1+2)*100)*10</f>
        <v>2843.7324367479409</v>
      </c>
      <c r="S31" s="2">
        <f ca="1">((RAND()*1+2)*100)*10</f>
        <v>2275.4570071805933</v>
      </c>
      <c r="T31" s="2">
        <f ca="1">((RAND()*1+2)*100)*10</f>
        <v>2547.8925171111136</v>
      </c>
      <c r="U31" s="2">
        <f ca="1">((RAND()*1+2)*100)*10</f>
        <v>2570.6295065090312</v>
      </c>
      <c r="V31" s="2">
        <f ca="1">((RAND()*1+2)*100)*10</f>
        <v>2782.6381364094705</v>
      </c>
      <c r="W31" s="2">
        <f ca="1">((RAND()*1+2)*100)*10</f>
        <v>2705.5665826544823</v>
      </c>
      <c r="X31" s="2">
        <f ca="1">((RAND()*1+2)*100)*10</f>
        <v>2489.2205604327391</v>
      </c>
      <c r="Y31" s="2">
        <f ca="1">((RAND()*1+2)*100)*10</f>
        <v>2598.0212772244031</v>
      </c>
      <c r="Z31" s="2">
        <f ca="1">((RAND()*1+2)*100)*10</f>
        <v>2111.3071472328138</v>
      </c>
      <c r="AA31" s="2">
        <f ca="1">((RAND()*1+2)*100)*10</f>
        <v>2906.1872191302264</v>
      </c>
      <c r="AB31" s="2">
        <f ca="1">((RAND()*1+2)*100)*10</f>
        <v>2590.6430582449775</v>
      </c>
      <c r="AC31" s="2">
        <f ca="1">((RAND()*1+2)*100)*10</f>
        <v>2378.8105920015078</v>
      </c>
      <c r="AD31" s="2">
        <f ca="1">((RAND()*1+2)*100)*10</f>
        <v>2145.2377737795637</v>
      </c>
      <c r="AE31" s="2">
        <f ca="1">((RAND()*1+2)*100)*10</f>
        <v>2034.8866477277174</v>
      </c>
      <c r="AF31" s="2">
        <f ca="1">((RAND()*1+2)*100)*10</f>
        <v>2360.5614191384025</v>
      </c>
      <c r="AG31" s="2">
        <f ca="1">((RAND()*1+2)*100)*10</f>
        <v>2793.8346165151665</v>
      </c>
      <c r="AH31" s="2">
        <f ca="1">((RAND()*1+2)*100)*10</f>
        <v>2485.6501828536175</v>
      </c>
    </row>
    <row r="32" spans="1:34">
      <c r="A32" t="str">
        <f t="shared" si="30"/>
        <v>Maize</v>
      </c>
      <c r="B32" t="str">
        <f t="shared" si="31"/>
        <v>Oromia</v>
      </c>
      <c r="C32" s="2">
        <f ca="1">((RAND()*1+2)*100)*10</f>
        <v>2932.663966993151</v>
      </c>
      <c r="D32" s="2">
        <f ca="1">((RAND()*1+2)*100)*10</f>
        <v>2159.9959849100892</v>
      </c>
      <c r="E32" s="2">
        <f ca="1">((RAND()*1+2)*100)*10</f>
        <v>2633.860280360479</v>
      </c>
      <c r="F32" s="2">
        <f ca="1">((RAND()*1+2)*100)*10</f>
        <v>2790.9630440227897</v>
      </c>
      <c r="G32" s="2">
        <f ca="1">((RAND()*1+2)*100)*10</f>
        <v>2701.8823178580296</v>
      </c>
      <c r="H32" s="2">
        <f ca="1">((RAND()*1+2)*100)*10</f>
        <v>2319.2250621193934</v>
      </c>
      <c r="I32" s="2">
        <f ca="1">((RAND()*1+2)*100)*10</f>
        <v>2514.9605653188228</v>
      </c>
      <c r="J32" s="2">
        <f ca="1">((RAND()*1+2)*100)*10</f>
        <v>2544.262707822314</v>
      </c>
      <c r="K32" s="2">
        <f ca="1">((RAND()*1+2)*100)*10</f>
        <v>2069.271810756351</v>
      </c>
      <c r="L32" s="2">
        <f ca="1">((RAND()*1+2)*100)*10</f>
        <v>2708.5571096728104</v>
      </c>
      <c r="M32" s="2">
        <f ca="1">((RAND()*1+2)*100)*10</f>
        <v>2186.8258092912956</v>
      </c>
      <c r="N32" s="2">
        <f ca="1">((RAND()*1+2)*100)*10</f>
        <v>2747.8173208936819</v>
      </c>
      <c r="O32" s="2">
        <f ca="1">((RAND()*1+2)*100)*10</f>
        <v>2668.350127493969</v>
      </c>
      <c r="P32" s="2">
        <f ca="1">((RAND()*1+2)*100)*10</f>
        <v>2766.6454983530207</v>
      </c>
      <c r="Q32" s="2">
        <f ca="1">((RAND()*1+2)*100)*10</f>
        <v>2832.8300991948045</v>
      </c>
      <c r="R32" s="2">
        <f ca="1">((RAND()*1+2)*100)*10</f>
        <v>2053.715801190293</v>
      </c>
      <c r="S32" s="2">
        <f ca="1">((RAND()*1+2)*100)*10</f>
        <v>2939.9936307915345</v>
      </c>
      <c r="T32" s="2">
        <f ca="1">((RAND()*1+2)*100)*10</f>
        <v>2899.9707624569101</v>
      </c>
      <c r="U32" s="2">
        <f ca="1">((RAND()*1+2)*100)*10</f>
        <v>2544.7684306414212</v>
      </c>
      <c r="V32" s="2">
        <f ca="1">((RAND()*1+2)*100)*10</f>
        <v>2765.6956669337137</v>
      </c>
      <c r="W32" s="2">
        <f ca="1">((RAND()*1+2)*100)*10</f>
        <v>2536.4412307888997</v>
      </c>
      <c r="X32" s="2">
        <f ca="1">((RAND()*1+2)*100)*10</f>
        <v>2063.6388986641805</v>
      </c>
      <c r="Y32" s="2">
        <f ca="1">((RAND()*1+2)*100)*10</f>
        <v>2060.0366587407934</v>
      </c>
      <c r="Z32" s="2">
        <f ca="1">((RAND()*1+2)*100)*10</f>
        <v>2042.0549709702439</v>
      </c>
      <c r="AA32" s="2">
        <f ca="1">((RAND()*1+2)*100)*10</f>
        <v>2709.200504487842</v>
      </c>
      <c r="AB32" s="2">
        <f ca="1">((RAND()*1+2)*100)*10</f>
        <v>2374.5822185156071</v>
      </c>
      <c r="AC32" s="2">
        <f ca="1">((RAND()*1+2)*100)*10</f>
        <v>2727.7532459714266</v>
      </c>
      <c r="AD32" s="2">
        <f ca="1">((RAND()*1+2)*100)*10</f>
        <v>2130.2665061829439</v>
      </c>
      <c r="AE32" s="2">
        <f ca="1">((RAND()*1+2)*100)*10</f>
        <v>2356.8848829800099</v>
      </c>
      <c r="AF32" s="2">
        <f ca="1">((RAND()*1+2)*100)*10</f>
        <v>2105.6778198641759</v>
      </c>
      <c r="AG32" s="2">
        <f ca="1">((RAND()*1+2)*100)*10</f>
        <v>2269.371026920322</v>
      </c>
      <c r="AH32" s="2">
        <f ca="1">((RAND()*1+2)*100)*10</f>
        <v>2383.977038134246</v>
      </c>
    </row>
    <row r="33" spans="1:34">
      <c r="A33" t="str">
        <f t="shared" si="30"/>
        <v>Maize</v>
      </c>
      <c r="B33" t="str">
        <f t="shared" si="31"/>
        <v>Somali</v>
      </c>
      <c r="C33" s="2">
        <f ca="1">((RAND()*1+2)*100)*10</f>
        <v>2089.5246224831062</v>
      </c>
      <c r="D33" s="2">
        <f ca="1">((RAND()*1+2)*100)*10</f>
        <v>2968.7955427722864</v>
      </c>
      <c r="E33" s="2">
        <f ca="1">((RAND()*1+2)*100)*10</f>
        <v>2033.2765362684527</v>
      </c>
      <c r="F33" s="2">
        <f ca="1">((RAND()*1+2)*100)*10</f>
        <v>2984.2198688701055</v>
      </c>
      <c r="G33" s="2">
        <f ca="1">((RAND()*1+2)*100)*10</f>
        <v>2703.2791350818425</v>
      </c>
      <c r="H33" s="2">
        <f ca="1">((RAND()*1+2)*100)*10</f>
        <v>2018.0193320085334</v>
      </c>
      <c r="I33" s="2">
        <f ca="1">((RAND()*1+2)*100)*10</f>
        <v>2045.2125678076061</v>
      </c>
      <c r="J33" s="2">
        <f ca="1">((RAND()*1+2)*100)*10</f>
        <v>2462.290535462766</v>
      </c>
      <c r="K33" s="2">
        <f ca="1">((RAND()*1+2)*100)*10</f>
        <v>2533.3560918304179</v>
      </c>
      <c r="L33" s="2">
        <f ca="1">((RAND()*1+2)*100)*10</f>
        <v>2945.6717777552876</v>
      </c>
      <c r="M33" s="2">
        <f ca="1">((RAND()*1+2)*100)*10</f>
        <v>2423.7341746011089</v>
      </c>
      <c r="N33" s="2">
        <f ca="1">((RAND()*1+2)*100)*10</f>
        <v>2016.2119237988823</v>
      </c>
      <c r="O33" s="2">
        <f ca="1">((RAND()*1+2)*100)*10</f>
        <v>2082.0046464545908</v>
      </c>
      <c r="P33" s="2">
        <f ca="1">((RAND()*1+2)*100)*10</f>
        <v>2354.1184465140709</v>
      </c>
      <c r="Q33" s="2">
        <f ca="1">((RAND()*1+2)*100)*10</f>
        <v>2040.9117638759424</v>
      </c>
      <c r="R33" s="2">
        <f ca="1">((RAND()*1+2)*100)*10</f>
        <v>2296.7335277294278</v>
      </c>
      <c r="S33" s="2">
        <f ca="1">((RAND()*1+2)*100)*10</f>
        <v>2680.6610770552265</v>
      </c>
      <c r="T33" s="2">
        <f ca="1">((RAND()*1+2)*100)*10</f>
        <v>2120.0500594993391</v>
      </c>
      <c r="U33" s="2">
        <f ca="1">((RAND()*1+2)*100)*10</f>
        <v>2042.0346610389047</v>
      </c>
      <c r="V33" s="2">
        <f ca="1">((RAND()*1+2)*100)*10</f>
        <v>2973.2805973868244</v>
      </c>
      <c r="W33" s="2">
        <f ca="1">((RAND()*1+2)*100)*10</f>
        <v>2619.1966052244316</v>
      </c>
      <c r="X33" s="2">
        <f ca="1">((RAND()*1+2)*100)*10</f>
        <v>2026.5696501396019</v>
      </c>
      <c r="Y33" s="2">
        <f ca="1">((RAND()*1+2)*100)*10</f>
        <v>2195.0819541215383</v>
      </c>
      <c r="Z33" s="2">
        <f ca="1">((RAND()*1+2)*100)*10</f>
        <v>2850.5858280224838</v>
      </c>
      <c r="AA33" s="2">
        <f ca="1">((RAND()*1+2)*100)*10</f>
        <v>2932.2257247684674</v>
      </c>
      <c r="AB33" s="2">
        <f ca="1">((RAND()*1+2)*100)*10</f>
        <v>2103.2328226759914</v>
      </c>
      <c r="AC33" s="2">
        <f ca="1">((RAND()*1+2)*100)*10</f>
        <v>2831.4039317643856</v>
      </c>
      <c r="AD33" s="2">
        <f ca="1">((RAND()*1+2)*100)*10</f>
        <v>2390.7365899532028</v>
      </c>
      <c r="AE33" s="2">
        <f ca="1">((RAND()*1+2)*100)*10</f>
        <v>2313.9623620007069</v>
      </c>
      <c r="AF33" s="2">
        <f ca="1">((RAND()*1+2)*100)*10</f>
        <v>2808.4525662718715</v>
      </c>
      <c r="AG33" s="2">
        <f ca="1">((RAND()*1+2)*100)*10</f>
        <v>2105.7777115368003</v>
      </c>
      <c r="AH33" s="2">
        <f ca="1">((RAND()*1+2)*100)*10</f>
        <v>2188.0445665804427</v>
      </c>
    </row>
    <row r="34" spans="1:34">
      <c r="A34" t="str">
        <f t="shared" si="30"/>
        <v>Maize</v>
      </c>
      <c r="B34" t="str">
        <f t="shared" si="31"/>
        <v>SNNPR</v>
      </c>
      <c r="C34" s="2">
        <f ca="1">((RAND()*1+2)*100)*10</f>
        <v>2832.1927241148906</v>
      </c>
      <c r="D34" s="2">
        <f ca="1">((RAND()*1+2)*100)*10</f>
        <v>2865.5696228538636</v>
      </c>
      <c r="E34" s="2">
        <f ca="1">((RAND()*1+2)*100)*10</f>
        <v>2294.9785475116205</v>
      </c>
      <c r="F34" s="2">
        <f ca="1">((RAND()*1+2)*100)*10</f>
        <v>2723.5292151286576</v>
      </c>
      <c r="G34" s="2">
        <f ca="1">((RAND()*1+2)*100)*10</f>
        <v>2592.9594809489413</v>
      </c>
      <c r="H34" s="2">
        <f ca="1">((RAND()*1+2)*100)*10</f>
        <v>2261.988998965302</v>
      </c>
      <c r="I34" s="2">
        <f ca="1">((RAND()*1+2)*100)*10</f>
        <v>2089.0349291726648</v>
      </c>
      <c r="J34" s="2">
        <f ca="1">((RAND()*1+2)*100)*10</f>
        <v>2483.2127401912007</v>
      </c>
      <c r="K34" s="2">
        <f ca="1">((RAND()*1+2)*100)*10</f>
        <v>2036.1177863165531</v>
      </c>
      <c r="L34" s="2">
        <f ca="1">((RAND()*1+2)*100)*10</f>
        <v>2614.2996407408868</v>
      </c>
      <c r="M34" s="2">
        <f ca="1">((RAND()*1+2)*100)*10</f>
        <v>2228.8976975400501</v>
      </c>
      <c r="N34" s="2">
        <f ca="1">((RAND()*1+2)*100)*10</f>
        <v>2243.6457058468973</v>
      </c>
      <c r="O34" s="2">
        <f ca="1">((RAND()*1+2)*100)*10</f>
        <v>2002.278818586567</v>
      </c>
      <c r="P34" s="2">
        <f ca="1">((RAND()*1+2)*100)*10</f>
        <v>2868.4204731634218</v>
      </c>
      <c r="Q34" s="2">
        <f ca="1">((RAND()*1+2)*100)*10</f>
        <v>2079.0498925304341</v>
      </c>
      <c r="R34" s="2">
        <f ca="1">((RAND()*1+2)*100)*10</f>
        <v>2076.1249065377974</v>
      </c>
      <c r="S34" s="2">
        <f ca="1">((RAND()*1+2)*100)*10</f>
        <v>2668.1032552601387</v>
      </c>
      <c r="T34" s="2">
        <f ca="1">((RAND()*1+2)*100)*10</f>
        <v>2640.5944504384474</v>
      </c>
      <c r="U34" s="2">
        <f ca="1">((RAND()*1+2)*100)*10</f>
        <v>2744.6047020330961</v>
      </c>
      <c r="V34" s="2">
        <f ca="1">((RAND()*1+2)*100)*10</f>
        <v>2978.6950036885582</v>
      </c>
      <c r="W34" s="2">
        <f ca="1">((RAND()*1+2)*100)*10</f>
        <v>2060.4686946490519</v>
      </c>
      <c r="X34" s="2">
        <f ca="1">((RAND()*1+2)*100)*10</f>
        <v>2619.9385289400602</v>
      </c>
      <c r="Y34" s="2">
        <f ca="1">((RAND()*1+2)*100)*10</f>
        <v>2344.583407631414</v>
      </c>
      <c r="Z34" s="2">
        <f ca="1">((RAND()*1+2)*100)*10</f>
        <v>2398.183109264412</v>
      </c>
      <c r="AA34" s="2">
        <f ca="1">((RAND()*1+2)*100)*10</f>
        <v>2742.3219859100745</v>
      </c>
      <c r="AB34" s="2">
        <f ca="1">((RAND()*1+2)*100)*10</f>
        <v>2463.5238215150694</v>
      </c>
      <c r="AC34" s="2">
        <f ca="1">((RAND()*1+2)*100)*10</f>
        <v>2972.5451898252231</v>
      </c>
      <c r="AD34" s="2">
        <f ca="1">((RAND()*1+2)*100)*10</f>
        <v>2851.343586229123</v>
      </c>
      <c r="AE34" s="2">
        <f ca="1">((RAND()*1+2)*100)*10</f>
        <v>2899.1484642613577</v>
      </c>
      <c r="AF34" s="2">
        <f ca="1">((RAND()*1+2)*100)*10</f>
        <v>2842.9944614626243</v>
      </c>
      <c r="AG34" s="2">
        <f ca="1">((RAND()*1+2)*100)*10</f>
        <v>2925.1478380479666</v>
      </c>
      <c r="AH34" s="2">
        <f ca="1">((RAND()*1+2)*100)*10</f>
        <v>2415.4151503955522</v>
      </c>
    </row>
    <row r="35" spans="1:34">
      <c r="A35" t="str">
        <f t="shared" si="30"/>
        <v>Maize</v>
      </c>
      <c r="B35" t="str">
        <f t="shared" si="31"/>
        <v>Tigray</v>
      </c>
      <c r="C35" s="2">
        <f ca="1">((RAND()*1+2)*100)*10</f>
        <v>2958.0130695121998</v>
      </c>
      <c r="D35" s="2">
        <f ca="1">((RAND()*1+2)*100)*10</f>
        <v>2411.682291348332</v>
      </c>
      <c r="E35" s="2">
        <f ca="1">((RAND()*1+2)*100)*10</f>
        <v>2935.7789158646806</v>
      </c>
      <c r="F35" s="2">
        <f ca="1">((RAND()*1+2)*100)*10</f>
        <v>2278.1963713157666</v>
      </c>
      <c r="G35" s="2">
        <f ca="1">((RAND()*1+2)*100)*10</f>
        <v>2980.4708446061259</v>
      </c>
      <c r="H35" s="2">
        <f ca="1">((RAND()*1+2)*100)*10</f>
        <v>2297.723392323358</v>
      </c>
      <c r="I35" s="2">
        <f ca="1">((RAND()*1+2)*100)*10</f>
        <v>2391.3304123252856</v>
      </c>
      <c r="J35" s="2">
        <f ca="1">((RAND()*1+2)*100)*10</f>
        <v>2328.0506199700621</v>
      </c>
      <c r="K35" s="2">
        <f ca="1">((RAND()*1+2)*100)*10</f>
        <v>2645.0622181161525</v>
      </c>
      <c r="L35" s="2">
        <f ca="1">((RAND()*1+2)*100)*10</f>
        <v>2942.6259073842893</v>
      </c>
      <c r="M35" s="2">
        <f ca="1">((RAND()*1+2)*100)*10</f>
        <v>2755.4544205028278</v>
      </c>
      <c r="N35" s="2">
        <f ca="1">((RAND()*1+2)*100)*10</f>
        <v>2454.2479441469145</v>
      </c>
      <c r="O35" s="2">
        <f ca="1">((RAND()*1+2)*100)*10</f>
        <v>2070.2454006480812</v>
      </c>
      <c r="P35" s="2">
        <f ca="1">((RAND()*1+2)*100)*10</f>
        <v>2077.1921164567107</v>
      </c>
      <c r="Q35" s="2">
        <f ca="1">((RAND()*1+2)*100)*10</f>
        <v>2082.4863354157847</v>
      </c>
      <c r="R35" s="2">
        <f ca="1">((RAND()*1+2)*100)*10</f>
        <v>2973.4231728854634</v>
      </c>
      <c r="S35" s="2">
        <f ca="1">((RAND()*1+2)*100)*10</f>
        <v>2594.9658574915106</v>
      </c>
      <c r="T35" s="2">
        <f ca="1">((RAND()*1+2)*100)*10</f>
        <v>2263.3025509559425</v>
      </c>
      <c r="U35" s="2">
        <f ca="1">((RAND()*1+2)*100)*10</f>
        <v>2149.4317941671243</v>
      </c>
      <c r="V35" s="2">
        <f ca="1">((RAND()*1+2)*100)*10</f>
        <v>2076.1349842966029</v>
      </c>
      <c r="W35" s="2">
        <f ca="1">((RAND()*1+2)*100)*10</f>
        <v>2750.6895860359855</v>
      </c>
      <c r="X35" s="2">
        <f ca="1">((RAND()*1+2)*100)*10</f>
        <v>2123.9974161962527</v>
      </c>
      <c r="Y35" s="2">
        <f ca="1">((RAND()*1+2)*100)*10</f>
        <v>2516.0262602508024</v>
      </c>
      <c r="Z35" s="2">
        <f ca="1">((RAND()*1+2)*100)*10</f>
        <v>2679.5195305233215</v>
      </c>
      <c r="AA35" s="2">
        <f ca="1">((RAND()*1+2)*100)*10</f>
        <v>2385.4078394504168</v>
      </c>
      <c r="AB35" s="2">
        <f ca="1">((RAND()*1+2)*100)*10</f>
        <v>2171.9839761646263</v>
      </c>
      <c r="AC35" s="2">
        <f ca="1">((RAND()*1+2)*100)*10</f>
        <v>2819.2037031315404</v>
      </c>
      <c r="AD35" s="2">
        <f ca="1">((RAND()*1+2)*100)*10</f>
        <v>2599.9222082404531</v>
      </c>
      <c r="AE35" s="2">
        <f ca="1">((RAND()*1+2)*100)*10</f>
        <v>2175.4840125285959</v>
      </c>
      <c r="AF35" s="2">
        <f ca="1">((RAND()*1+2)*100)*10</f>
        <v>2024.6385471398139</v>
      </c>
      <c r="AG35" s="2">
        <f ca="1">((RAND()*1+2)*100)*10</f>
        <v>2488.1959738100122</v>
      </c>
      <c r="AH35" s="2">
        <f ca="1">((RAND()*1+2)*100)*10</f>
        <v>2026.7527798830804</v>
      </c>
    </row>
    <row r="36" spans="1:34">
      <c r="A36" t="str">
        <f t="shared" si="30"/>
        <v>Lentils</v>
      </c>
      <c r="B36" t="str">
        <f t="shared" si="31"/>
        <v>AddisAbaba</v>
      </c>
      <c r="C36" s="2">
        <f ca="1">((RAND()*1+2)*100)*10</f>
        <v>2784.7052598169757</v>
      </c>
      <c r="D36" s="2">
        <f ca="1">((RAND()*1+2)*100)*10</f>
        <v>2252.3260141841752</v>
      </c>
      <c r="E36" s="2">
        <f ca="1">((RAND()*1+2)*100)*10</f>
        <v>2554.7289110358488</v>
      </c>
      <c r="F36" s="2">
        <f ca="1">((RAND()*1+2)*100)*10</f>
        <v>2932.6542442252908</v>
      </c>
      <c r="G36" s="2">
        <f ca="1">((RAND()*1+2)*100)*10</f>
        <v>2302.030995976711</v>
      </c>
      <c r="H36" s="2">
        <f ca="1">((RAND()*1+2)*100)*10</f>
        <v>2688.1805012882942</v>
      </c>
      <c r="I36" s="2">
        <f ca="1">((RAND()*1+2)*100)*10</f>
        <v>2923.1273888238811</v>
      </c>
      <c r="J36" s="2">
        <f ca="1">((RAND()*1+2)*100)*10</f>
        <v>2124.4311721267572</v>
      </c>
      <c r="K36" s="2">
        <f ca="1">((RAND()*1+2)*100)*10</f>
        <v>2923.9530617386567</v>
      </c>
      <c r="L36" s="2">
        <f ca="1">((RAND()*1+2)*100)*10</f>
        <v>2659.2712200313781</v>
      </c>
      <c r="M36" s="2">
        <f ca="1">((RAND()*1+2)*100)*10</f>
        <v>2557.7524246497728</v>
      </c>
      <c r="N36" s="2">
        <f ca="1">((RAND()*1+2)*100)*10</f>
        <v>2849.8391067990178</v>
      </c>
      <c r="O36" s="2">
        <f ca="1">((RAND()*1+2)*100)*10</f>
        <v>2033.7830657386803</v>
      </c>
      <c r="P36" s="2">
        <f ca="1">((RAND()*1+2)*100)*10</f>
        <v>2728.8357850753459</v>
      </c>
      <c r="Q36" s="2">
        <f ca="1">((RAND()*1+2)*100)*10</f>
        <v>2682.8602266992498</v>
      </c>
      <c r="R36" s="2">
        <f ca="1">((RAND()*1+2)*100)*10</f>
        <v>2377.8434221524954</v>
      </c>
      <c r="S36" s="2">
        <f ca="1">((RAND()*1+2)*100)*10</f>
        <v>2734.3953658040386</v>
      </c>
      <c r="T36" s="2">
        <f ca="1">((RAND()*1+2)*100)*10</f>
        <v>2963.3702565430121</v>
      </c>
      <c r="U36" s="2">
        <f ca="1">((RAND()*1+2)*100)*10</f>
        <v>2661.9343425323841</v>
      </c>
      <c r="V36" s="2">
        <f ca="1">((RAND()*1+2)*100)*10</f>
        <v>2644.7706814645626</v>
      </c>
      <c r="W36" s="2">
        <f ca="1">((RAND()*1+2)*100)*10</f>
        <v>2236.098129576832</v>
      </c>
      <c r="X36" s="2">
        <f ca="1">((RAND()*1+2)*100)*10</f>
        <v>2320.3485948104744</v>
      </c>
      <c r="Y36" s="2">
        <f ca="1">((RAND()*1+2)*100)*10</f>
        <v>2061.3066876006674</v>
      </c>
      <c r="Z36" s="2">
        <f ca="1">((RAND()*1+2)*100)*10</f>
        <v>2513.4304364916529</v>
      </c>
      <c r="AA36" s="2">
        <f ca="1">((RAND()*1+2)*100)*10</f>
        <v>2986.7748766360664</v>
      </c>
      <c r="AB36" s="2">
        <f ca="1">((RAND()*1+2)*100)*10</f>
        <v>2946.0267196700374</v>
      </c>
      <c r="AC36" s="2">
        <f ca="1">((RAND()*1+2)*100)*10</f>
        <v>2904.5083684681663</v>
      </c>
      <c r="AD36" s="2">
        <f ca="1">((RAND()*1+2)*100)*10</f>
        <v>2489.1554340098255</v>
      </c>
      <c r="AE36" s="2">
        <f ca="1">((RAND()*1+2)*100)*10</f>
        <v>2597.6486209862869</v>
      </c>
      <c r="AF36" s="2">
        <f ca="1">((RAND()*1+2)*100)*10</f>
        <v>2189.9260359667987</v>
      </c>
      <c r="AG36" s="2">
        <f ca="1">((RAND()*1+2)*100)*10</f>
        <v>2232.9808785371351</v>
      </c>
      <c r="AH36" s="2">
        <f ca="1">((RAND()*1+2)*100)*10</f>
        <v>2419.7760322639351</v>
      </c>
    </row>
    <row r="37" spans="1:34">
      <c r="A37" t="str">
        <f t="shared" si="30"/>
        <v>Lentils</v>
      </c>
      <c r="B37" t="str">
        <f t="shared" si="31"/>
        <v>Afar</v>
      </c>
      <c r="C37" s="2">
        <f ca="1">((RAND()*1+2)*100)*10</f>
        <v>2974.8150323902346</v>
      </c>
      <c r="D37" s="2">
        <f ca="1">((RAND()*1+2)*100)*10</f>
        <v>2577.9271607618807</v>
      </c>
      <c r="E37" s="2">
        <f ca="1">((RAND()*1+2)*100)*10</f>
        <v>2289.2555356935109</v>
      </c>
      <c r="F37" s="2">
        <f ca="1">((RAND()*1+2)*100)*10</f>
        <v>2193.2667936005473</v>
      </c>
      <c r="G37" s="2">
        <f ca="1">((RAND()*1+2)*100)*10</f>
        <v>2668.8133137934642</v>
      </c>
      <c r="H37" s="2">
        <f ca="1">((RAND()*1+2)*100)*10</f>
        <v>2107.1728752337253</v>
      </c>
      <c r="I37" s="2">
        <f ca="1">((RAND()*1+2)*100)*10</f>
        <v>2417.7112984061787</v>
      </c>
      <c r="J37" s="2">
        <f ca="1">((RAND()*1+2)*100)*10</f>
        <v>2238.7657106908759</v>
      </c>
      <c r="K37" s="2">
        <f ca="1">((RAND()*1+2)*100)*10</f>
        <v>2941.4022004454569</v>
      </c>
      <c r="L37" s="2">
        <f ca="1">((RAND()*1+2)*100)*10</f>
        <v>2284.1435336189802</v>
      </c>
      <c r="M37" s="2">
        <f ca="1">((RAND()*1+2)*100)*10</f>
        <v>2553.11664889744</v>
      </c>
      <c r="N37" s="2">
        <f ca="1">((RAND()*1+2)*100)*10</f>
        <v>2650.1640743815533</v>
      </c>
      <c r="O37" s="2">
        <f ca="1">((RAND()*1+2)*100)*10</f>
        <v>2974.7942678434028</v>
      </c>
      <c r="P37" s="2">
        <f ca="1">((RAND()*1+2)*100)*10</f>
        <v>2747.4542793877704</v>
      </c>
      <c r="Q37" s="2">
        <f ca="1">((RAND()*1+2)*100)*10</f>
        <v>2093.8957485946607</v>
      </c>
      <c r="R37" s="2">
        <f ca="1">((RAND()*1+2)*100)*10</f>
        <v>2371.8580929540635</v>
      </c>
      <c r="S37" s="2">
        <f ca="1">((RAND()*1+2)*100)*10</f>
        <v>2005.7937549841799</v>
      </c>
      <c r="T37" s="2">
        <f ca="1">((RAND()*1+2)*100)*10</f>
        <v>2405.459291889938</v>
      </c>
      <c r="U37" s="2">
        <f ca="1">((RAND()*1+2)*100)*10</f>
        <v>2216.8543355357633</v>
      </c>
      <c r="V37" s="2">
        <f ca="1">((RAND()*1+2)*100)*10</f>
        <v>2455.0928723361271</v>
      </c>
      <c r="W37" s="2">
        <f ca="1">((RAND()*1+2)*100)*10</f>
        <v>2889.3061242279909</v>
      </c>
      <c r="X37" s="2">
        <f ca="1">((RAND()*1+2)*100)*10</f>
        <v>2097.9137036641641</v>
      </c>
      <c r="Y37" s="2">
        <f ca="1">((RAND()*1+2)*100)*10</f>
        <v>2969.8799754956867</v>
      </c>
      <c r="Z37" s="2">
        <f ca="1">((RAND()*1+2)*100)*10</f>
        <v>2809.0548692187717</v>
      </c>
      <c r="AA37" s="2">
        <f ca="1">((RAND()*1+2)*100)*10</f>
        <v>2453.2940813346322</v>
      </c>
      <c r="AB37" s="2">
        <f ca="1">((RAND()*1+2)*100)*10</f>
        <v>2561.333693030916</v>
      </c>
      <c r="AC37" s="2">
        <f ca="1">((RAND()*1+2)*100)*10</f>
        <v>2554.9351820435772</v>
      </c>
      <c r="AD37" s="2">
        <f ca="1">((RAND()*1+2)*100)*10</f>
        <v>2335.7985562207032</v>
      </c>
      <c r="AE37" s="2">
        <f ca="1">((RAND()*1+2)*100)*10</f>
        <v>2196.7979269903399</v>
      </c>
      <c r="AF37" s="2">
        <f ca="1">((RAND()*1+2)*100)*10</f>
        <v>2614.8219546839237</v>
      </c>
      <c r="AG37" s="2">
        <f ca="1">((RAND()*1+2)*100)*10</f>
        <v>2932.4878583214249</v>
      </c>
      <c r="AH37" s="2">
        <f ca="1">((RAND()*1+2)*100)*10</f>
        <v>2452.5258494021655</v>
      </c>
    </row>
    <row r="38" spans="1:34">
      <c r="A38" t="str">
        <f t="shared" si="30"/>
        <v>Lentils</v>
      </c>
      <c r="B38" t="str">
        <f t="shared" si="31"/>
        <v>Amhara</v>
      </c>
      <c r="C38" s="2">
        <f ca="1">((RAND()*1+2)*100)*10</f>
        <v>2168.5083397485832</v>
      </c>
      <c r="D38" s="2">
        <f ca="1">((RAND()*1+2)*100)*10</f>
        <v>2383.8231628166523</v>
      </c>
      <c r="E38" s="2">
        <f ca="1">((RAND()*1+2)*100)*10</f>
        <v>2056.1802621577126</v>
      </c>
      <c r="F38" s="2">
        <f ca="1">((RAND()*1+2)*100)*10</f>
        <v>2165.5990656137546</v>
      </c>
      <c r="G38" s="2">
        <f ca="1">((RAND()*1+2)*100)*10</f>
        <v>2377.5568103833216</v>
      </c>
      <c r="H38" s="2">
        <f ca="1">((RAND()*1+2)*100)*10</f>
        <v>2058.9703560486905</v>
      </c>
      <c r="I38" s="2">
        <f ca="1">((RAND()*1+2)*100)*10</f>
        <v>2521.7737989220536</v>
      </c>
      <c r="J38" s="2">
        <f ca="1">((RAND()*1+2)*100)*10</f>
        <v>2421.7519885181596</v>
      </c>
      <c r="K38" s="2">
        <f ca="1">((RAND()*1+2)*100)*10</f>
        <v>2462.3506014623326</v>
      </c>
      <c r="L38" s="2">
        <f ca="1">((RAND()*1+2)*100)*10</f>
        <v>2380.5852148579106</v>
      </c>
      <c r="M38" s="2">
        <f ca="1">((RAND()*1+2)*100)*10</f>
        <v>2195.5904625577436</v>
      </c>
      <c r="N38" s="2">
        <f ca="1">((RAND()*1+2)*100)*10</f>
        <v>2137.956892593782</v>
      </c>
      <c r="O38" s="2">
        <f ca="1">((RAND()*1+2)*100)*10</f>
        <v>2687.6764213971842</v>
      </c>
      <c r="P38" s="2">
        <f ca="1">((RAND()*1+2)*100)*10</f>
        <v>2927.1830595806405</v>
      </c>
      <c r="Q38" s="2">
        <f ca="1">((RAND()*1+2)*100)*10</f>
        <v>2511.9783902647519</v>
      </c>
      <c r="R38" s="2">
        <f ca="1">((RAND()*1+2)*100)*10</f>
        <v>2170.2859528239596</v>
      </c>
      <c r="S38" s="2">
        <f ca="1">((RAND()*1+2)*100)*10</f>
        <v>2719.1457910232061</v>
      </c>
      <c r="T38" s="2">
        <f ca="1">((RAND()*1+2)*100)*10</f>
        <v>2075.1243902510687</v>
      </c>
      <c r="U38" s="2">
        <f ca="1">((RAND()*1+2)*100)*10</f>
        <v>2332.1430484730649</v>
      </c>
      <c r="V38" s="2">
        <f ca="1">((RAND()*1+2)*100)*10</f>
        <v>2261.5800195328084</v>
      </c>
      <c r="W38" s="2">
        <f ca="1">((RAND()*1+2)*100)*10</f>
        <v>2050.7174054742163</v>
      </c>
      <c r="X38" s="2">
        <f ca="1">((RAND()*1+2)*100)*10</f>
        <v>2772.5787519197861</v>
      </c>
      <c r="Y38" s="2">
        <f ca="1">((RAND()*1+2)*100)*10</f>
        <v>2181.2084999990525</v>
      </c>
      <c r="Z38" s="2">
        <f ca="1">((RAND()*1+2)*100)*10</f>
        <v>2420.5738019217115</v>
      </c>
      <c r="AA38" s="2">
        <f ca="1">((RAND()*1+2)*100)*10</f>
        <v>2889.3165363589947</v>
      </c>
      <c r="AB38" s="2">
        <f ca="1">((RAND()*1+2)*100)*10</f>
        <v>2849.0392866793154</v>
      </c>
      <c r="AC38" s="2">
        <f ca="1">((RAND()*1+2)*100)*10</f>
        <v>2764.6090563106986</v>
      </c>
      <c r="AD38" s="2">
        <f ca="1">((RAND()*1+2)*100)*10</f>
        <v>2342.3774939180585</v>
      </c>
      <c r="AE38" s="2">
        <f ca="1">((RAND()*1+2)*100)*10</f>
        <v>2855.6486147964661</v>
      </c>
      <c r="AF38" s="2">
        <f ca="1">((RAND()*1+2)*100)*10</f>
        <v>2469.5862632976305</v>
      </c>
      <c r="AG38" s="2">
        <f ca="1">((RAND()*1+2)*100)*10</f>
        <v>2822.86330791519</v>
      </c>
      <c r="AH38" s="2">
        <f ca="1">((RAND()*1+2)*100)*10</f>
        <v>2470.4005798146204</v>
      </c>
    </row>
    <row r="39" spans="1:34">
      <c r="A39" t="str">
        <f t="shared" si="30"/>
        <v>Lentils</v>
      </c>
      <c r="B39" t="str">
        <f t="shared" si="31"/>
        <v>Gumuz</v>
      </c>
      <c r="C39" s="2">
        <f ca="1">((RAND()*1+2)*100)*10</f>
        <v>2775.0499640488597</v>
      </c>
      <c r="D39" s="2">
        <f ca="1">((RAND()*1+2)*100)*10</f>
        <v>2091.5329192249537</v>
      </c>
      <c r="E39" s="2">
        <f ca="1">((RAND()*1+2)*100)*10</f>
        <v>2157.530046408654</v>
      </c>
      <c r="F39" s="2">
        <f ca="1">((RAND()*1+2)*100)*10</f>
        <v>2411.2033207257346</v>
      </c>
      <c r="G39" s="2">
        <f ca="1">((RAND()*1+2)*100)*10</f>
        <v>2741.4025824165442</v>
      </c>
      <c r="H39" s="2">
        <f ca="1">((RAND()*1+2)*100)*10</f>
        <v>2746.7599597425283</v>
      </c>
      <c r="I39" s="2">
        <f ca="1">((RAND()*1+2)*100)*10</f>
        <v>2036.3381224065361</v>
      </c>
      <c r="J39" s="2">
        <f ca="1">((RAND()*1+2)*100)*10</f>
        <v>2349.4513924644048</v>
      </c>
      <c r="K39" s="2">
        <f ca="1">((RAND()*1+2)*100)*10</f>
        <v>2160.3082579634111</v>
      </c>
      <c r="L39" s="2">
        <f ca="1">((RAND()*1+2)*100)*10</f>
        <v>2496.5660835948333</v>
      </c>
      <c r="M39" s="2">
        <f ca="1">((RAND()*1+2)*100)*10</f>
        <v>2027.1559126678701</v>
      </c>
      <c r="N39" s="2">
        <f ca="1">((RAND()*1+2)*100)*10</f>
        <v>2844.5046782671161</v>
      </c>
      <c r="O39" s="2">
        <f ca="1">((RAND()*1+2)*100)*10</f>
        <v>2786.9953481626867</v>
      </c>
      <c r="P39" s="2">
        <f ca="1">((RAND()*1+2)*100)*10</f>
        <v>2015.9930242063801</v>
      </c>
      <c r="Q39" s="2">
        <f ca="1">((RAND()*1+2)*100)*10</f>
        <v>2235.390256565433</v>
      </c>
      <c r="R39" s="2">
        <f ca="1">((RAND()*1+2)*100)*10</f>
        <v>2377.2741740402894</v>
      </c>
      <c r="S39" s="2">
        <f ca="1">((RAND()*1+2)*100)*10</f>
        <v>2725.6822025075735</v>
      </c>
      <c r="T39" s="2">
        <f ca="1">((RAND()*1+2)*100)*10</f>
        <v>2360.4558958813486</v>
      </c>
      <c r="U39" s="2">
        <f ca="1">((RAND()*1+2)*100)*10</f>
        <v>2010.4000839083537</v>
      </c>
      <c r="V39" s="2">
        <f ca="1">((RAND()*1+2)*100)*10</f>
        <v>2414.9941737501094</v>
      </c>
      <c r="W39" s="2">
        <f ca="1">((RAND()*1+2)*100)*10</f>
        <v>2860.2885133921218</v>
      </c>
      <c r="X39" s="2">
        <f ca="1">((RAND()*1+2)*100)*10</f>
        <v>2879.7351539253841</v>
      </c>
      <c r="Y39" s="2">
        <f ca="1">((RAND()*1+2)*100)*10</f>
        <v>2009.6383166326423</v>
      </c>
      <c r="Z39" s="2">
        <f ca="1">((RAND()*1+2)*100)*10</f>
        <v>2858.8985645156022</v>
      </c>
      <c r="AA39" s="2">
        <f ca="1">((RAND()*1+2)*100)*10</f>
        <v>2877.9919854544983</v>
      </c>
      <c r="AB39" s="2">
        <f ca="1">((RAND()*1+2)*100)*10</f>
        <v>2356.2846075873231</v>
      </c>
      <c r="AC39" s="2">
        <f ca="1">((RAND()*1+2)*100)*10</f>
        <v>2173.1002102931725</v>
      </c>
      <c r="AD39" s="2">
        <f ca="1">((RAND()*1+2)*100)*10</f>
        <v>2322.2490040471293</v>
      </c>
      <c r="AE39" s="2">
        <f ca="1">((RAND()*1+2)*100)*10</f>
        <v>2530.6066209037635</v>
      </c>
      <c r="AF39" s="2">
        <f ca="1">((RAND()*1+2)*100)*10</f>
        <v>2763.0585129721512</v>
      </c>
      <c r="AG39" s="2">
        <f ca="1">((RAND()*1+2)*100)*10</f>
        <v>2793.7905132618812</v>
      </c>
      <c r="AH39" s="2">
        <f ca="1">((RAND()*1+2)*100)*10</f>
        <v>2524.3382853807975</v>
      </c>
    </row>
    <row r="40" spans="1:34">
      <c r="A40" t="str">
        <f t="shared" si="30"/>
        <v>Lentils</v>
      </c>
      <c r="B40" t="str">
        <f t="shared" si="31"/>
        <v>DireDawa</v>
      </c>
      <c r="C40" s="2">
        <f ca="1">((RAND()*1+2)*100)*10</f>
        <v>2900.374416249816</v>
      </c>
      <c r="D40" s="2">
        <f ca="1">((RAND()*1+2)*100)*10</f>
        <v>2995.3393269671033</v>
      </c>
      <c r="E40" s="2">
        <f ca="1">((RAND()*1+2)*100)*10</f>
        <v>2759.4303090393787</v>
      </c>
      <c r="F40" s="2">
        <f ca="1">((RAND()*1+2)*100)*10</f>
        <v>2764.0592487787835</v>
      </c>
      <c r="G40" s="2">
        <f ca="1">((RAND()*1+2)*100)*10</f>
        <v>2857.1695718250803</v>
      </c>
      <c r="H40" s="2">
        <f ca="1">((RAND()*1+2)*100)*10</f>
        <v>2319.9663849177996</v>
      </c>
      <c r="I40" s="2">
        <f ca="1">((RAND()*1+2)*100)*10</f>
        <v>2608.8148805888477</v>
      </c>
      <c r="J40" s="2">
        <f ca="1">((RAND()*1+2)*100)*10</f>
        <v>2892.8427144104035</v>
      </c>
      <c r="K40" s="2">
        <f ca="1">((RAND()*1+2)*100)*10</f>
        <v>2611.0858373995734</v>
      </c>
      <c r="L40" s="2">
        <f ca="1">((RAND()*1+2)*100)*10</f>
        <v>2471.773007939425</v>
      </c>
      <c r="M40" s="2">
        <f ca="1">((RAND()*1+2)*100)*10</f>
        <v>2695.778446761346</v>
      </c>
      <c r="N40" s="2">
        <f ca="1">((RAND()*1+2)*100)*10</f>
        <v>2047.4745048446807</v>
      </c>
      <c r="O40" s="2">
        <f ca="1">((RAND()*1+2)*100)*10</f>
        <v>2777.7642793829891</v>
      </c>
      <c r="P40" s="2">
        <f ca="1">((RAND()*1+2)*100)*10</f>
        <v>2573.6961507896285</v>
      </c>
      <c r="Q40" s="2">
        <f ca="1">((RAND()*1+2)*100)*10</f>
        <v>2528.4540516686125</v>
      </c>
      <c r="R40" s="2">
        <f ca="1">((RAND()*1+2)*100)*10</f>
        <v>2104.0859909873725</v>
      </c>
      <c r="S40" s="2">
        <f ca="1">((RAND()*1+2)*100)*10</f>
        <v>2803.4698960860978</v>
      </c>
      <c r="T40" s="2">
        <f ca="1">((RAND()*1+2)*100)*10</f>
        <v>2341.5515274598265</v>
      </c>
      <c r="U40" s="2">
        <f ca="1">((RAND()*1+2)*100)*10</f>
        <v>2569.6449379450682</v>
      </c>
      <c r="V40" s="2">
        <f ca="1">((RAND()*1+2)*100)*10</f>
        <v>2955.5409640646349</v>
      </c>
      <c r="W40" s="2">
        <f ca="1">((RAND()*1+2)*100)*10</f>
        <v>2014.6528280636539</v>
      </c>
      <c r="X40" s="2">
        <f ca="1">((RAND()*1+2)*100)*10</f>
        <v>2119.0900228322566</v>
      </c>
      <c r="Y40" s="2">
        <f ca="1">((RAND()*1+2)*100)*10</f>
        <v>2426.0255241369691</v>
      </c>
      <c r="Z40" s="2">
        <f ca="1">((RAND()*1+2)*100)*10</f>
        <v>2757.5225529490258</v>
      </c>
      <c r="AA40" s="2">
        <f ca="1">((RAND()*1+2)*100)*10</f>
        <v>2963.2591807676881</v>
      </c>
      <c r="AB40" s="2">
        <f ca="1">((RAND()*1+2)*100)*10</f>
        <v>2227.6407642037466</v>
      </c>
      <c r="AC40" s="2">
        <f ca="1">((RAND()*1+2)*100)*10</f>
        <v>2887.4035903985764</v>
      </c>
      <c r="AD40" s="2">
        <f ca="1">((RAND()*1+2)*100)*10</f>
        <v>2176.4735364775629</v>
      </c>
      <c r="AE40" s="2">
        <f ca="1">((RAND()*1+2)*100)*10</f>
        <v>2217.5663803142625</v>
      </c>
      <c r="AF40" s="2">
        <f ca="1">((RAND()*1+2)*100)*10</f>
        <v>2582.0169125484226</v>
      </c>
      <c r="AG40" s="2">
        <f ca="1">((RAND()*1+2)*100)*10</f>
        <v>2780.3338373239667</v>
      </c>
      <c r="AH40" s="2">
        <f ca="1">((RAND()*1+2)*100)*10</f>
        <v>2344.5007818518006</v>
      </c>
    </row>
    <row r="41" spans="1:34">
      <c r="A41" t="str">
        <f t="shared" si="30"/>
        <v>Lentils</v>
      </c>
      <c r="B41" t="str">
        <f t="shared" si="31"/>
        <v>Gambela</v>
      </c>
      <c r="C41" s="2">
        <f ca="1">((RAND()*1+2)*100)*10</f>
        <v>2375.6997489757573</v>
      </c>
      <c r="D41" s="2">
        <f ca="1">((RAND()*1+2)*100)*10</f>
        <v>2698.6740527298716</v>
      </c>
      <c r="E41" s="2">
        <f ca="1">((RAND()*1+2)*100)*10</f>
        <v>2581.4009334132966</v>
      </c>
      <c r="F41" s="2">
        <f ca="1">((RAND()*1+2)*100)*10</f>
        <v>2744.6810841213792</v>
      </c>
      <c r="G41" s="2">
        <f ca="1">((RAND()*1+2)*100)*10</f>
        <v>2824.42852148768</v>
      </c>
      <c r="H41" s="2">
        <f ca="1">((RAND()*1+2)*100)*10</f>
        <v>2101.0741502246874</v>
      </c>
      <c r="I41" s="2">
        <f ca="1">((RAND()*1+2)*100)*10</f>
        <v>2585.9584091126826</v>
      </c>
      <c r="J41" s="2">
        <f ca="1">((RAND()*1+2)*100)*10</f>
        <v>2507.8648660891895</v>
      </c>
      <c r="K41" s="2">
        <f ca="1">((RAND()*1+2)*100)*10</f>
        <v>2011.1337075484448</v>
      </c>
      <c r="L41" s="2">
        <f ca="1">((RAND()*1+2)*100)*10</f>
        <v>2791.4246176780143</v>
      </c>
      <c r="M41" s="2">
        <f ca="1">((RAND()*1+2)*100)*10</f>
        <v>2651.5268027405491</v>
      </c>
      <c r="N41" s="2">
        <f ca="1">((RAND()*1+2)*100)*10</f>
        <v>2234.5600430620852</v>
      </c>
      <c r="O41" s="2">
        <f ca="1">((RAND()*1+2)*100)*10</f>
        <v>2449.7095286505637</v>
      </c>
      <c r="P41" s="2">
        <f ca="1">((RAND()*1+2)*100)*10</f>
        <v>2914.0227970621763</v>
      </c>
      <c r="Q41" s="2">
        <f ca="1">((RAND()*1+2)*100)*10</f>
        <v>2474.1726475256719</v>
      </c>
      <c r="R41" s="2">
        <f ca="1">((RAND()*1+2)*100)*10</f>
        <v>2269.405783190683</v>
      </c>
      <c r="S41" s="2">
        <f ca="1">((RAND()*1+2)*100)*10</f>
        <v>2772.5504319208467</v>
      </c>
      <c r="T41" s="2">
        <f ca="1">((RAND()*1+2)*100)*10</f>
        <v>2255.3332910626891</v>
      </c>
      <c r="U41" s="2">
        <f ca="1">((RAND()*1+2)*100)*10</f>
        <v>2868.7415465202416</v>
      </c>
      <c r="V41" s="2">
        <f ca="1">((RAND()*1+2)*100)*10</f>
        <v>2866.6887909556617</v>
      </c>
      <c r="W41" s="2">
        <f ca="1">((RAND()*1+2)*100)*10</f>
        <v>2641.1673130500112</v>
      </c>
      <c r="X41" s="2">
        <f ca="1">((RAND()*1+2)*100)*10</f>
        <v>2361.5052638405541</v>
      </c>
      <c r="Y41" s="2">
        <f ca="1">((RAND()*1+2)*100)*10</f>
        <v>2292.9162316665256</v>
      </c>
      <c r="Z41" s="2">
        <f ca="1">((RAND()*1+2)*100)*10</f>
        <v>2109.9806658909733</v>
      </c>
      <c r="AA41" s="2">
        <f ca="1">((RAND()*1+2)*100)*10</f>
        <v>2448.3013321429421</v>
      </c>
      <c r="AB41" s="2">
        <f ca="1">((RAND()*1+2)*100)*10</f>
        <v>2290.595486293485</v>
      </c>
      <c r="AC41" s="2">
        <f ca="1">((RAND()*1+2)*100)*10</f>
        <v>2205.1912424104867</v>
      </c>
      <c r="AD41" s="2">
        <f ca="1">((RAND()*1+2)*100)*10</f>
        <v>2613.1079686127946</v>
      </c>
      <c r="AE41" s="2">
        <f ca="1">((RAND()*1+2)*100)*10</f>
        <v>2845.5728998248796</v>
      </c>
      <c r="AF41" s="2">
        <f ca="1">((RAND()*1+2)*100)*10</f>
        <v>2627.0321413895872</v>
      </c>
      <c r="AG41" s="2">
        <f ca="1">((RAND()*1+2)*100)*10</f>
        <v>2812.8496512007732</v>
      </c>
      <c r="AH41" s="2">
        <f ca="1">((RAND()*1+2)*100)*10</f>
        <v>2625.7183650017487</v>
      </c>
    </row>
    <row r="42" spans="1:34">
      <c r="A42" t="str">
        <f t="shared" si="30"/>
        <v>Lentils</v>
      </c>
      <c r="B42" t="str">
        <f t="shared" si="31"/>
        <v>Harari</v>
      </c>
      <c r="C42" s="2">
        <f ca="1">((RAND()*1+2)*100)*10</f>
        <v>2164.9328628383651</v>
      </c>
      <c r="D42" s="2">
        <f ca="1">((RAND()*1+2)*100)*10</f>
        <v>2627.8217533002412</v>
      </c>
      <c r="E42" s="2">
        <f ca="1">((RAND()*1+2)*100)*10</f>
        <v>2436.5239953858413</v>
      </c>
      <c r="F42" s="2">
        <f ca="1">((RAND()*1+2)*100)*10</f>
        <v>2227.1872750908365</v>
      </c>
      <c r="G42" s="2">
        <f ca="1">((RAND()*1+2)*100)*10</f>
        <v>2170.2220568113125</v>
      </c>
      <c r="H42" s="2">
        <f ca="1">((RAND()*1+2)*100)*10</f>
        <v>2724.8083046721122</v>
      </c>
      <c r="I42" s="2">
        <f ca="1">((RAND()*1+2)*100)*10</f>
        <v>2061.0764032051966</v>
      </c>
      <c r="J42" s="2">
        <f ca="1">((RAND()*1+2)*100)*10</f>
        <v>2455.8047611178908</v>
      </c>
      <c r="K42" s="2">
        <f ca="1">((RAND()*1+2)*100)*10</f>
        <v>2390.1068073243864</v>
      </c>
      <c r="L42" s="2">
        <f ca="1">((RAND()*1+2)*100)*10</f>
        <v>2147.8066206440408</v>
      </c>
      <c r="M42" s="2">
        <f ca="1">((RAND()*1+2)*100)*10</f>
        <v>2774.7645545836203</v>
      </c>
      <c r="N42" s="2">
        <f ca="1">((RAND()*1+2)*100)*10</f>
        <v>2619.0039941604341</v>
      </c>
      <c r="O42" s="2">
        <f ca="1">((RAND()*1+2)*100)*10</f>
        <v>2465.0430090830373</v>
      </c>
      <c r="P42" s="2">
        <f ca="1">((RAND()*1+2)*100)*10</f>
        <v>2214.3801121488077</v>
      </c>
      <c r="Q42" s="2">
        <f ca="1">((RAND()*1+2)*100)*10</f>
        <v>2786.8866860938369</v>
      </c>
      <c r="R42" s="2">
        <f ca="1">((RAND()*1+2)*100)*10</f>
        <v>2683.4126985622524</v>
      </c>
      <c r="S42" s="2">
        <f ca="1">((RAND()*1+2)*100)*10</f>
        <v>2087.8156094694564</v>
      </c>
      <c r="T42" s="2">
        <f ca="1">((RAND()*1+2)*100)*10</f>
        <v>2183.6633649867777</v>
      </c>
      <c r="U42" s="2">
        <f ca="1">((RAND()*1+2)*100)*10</f>
        <v>2931.2969109189899</v>
      </c>
      <c r="V42" s="2">
        <f ca="1">((RAND()*1+2)*100)*10</f>
        <v>2445.5490608403024</v>
      </c>
      <c r="W42" s="2">
        <f ca="1">((RAND()*1+2)*100)*10</f>
        <v>2379.340321459792</v>
      </c>
      <c r="X42" s="2">
        <f ca="1">((RAND()*1+2)*100)*10</f>
        <v>2960.8421102635302</v>
      </c>
      <c r="Y42" s="2">
        <f ca="1">((RAND()*1+2)*100)*10</f>
        <v>2906.4768075893658</v>
      </c>
      <c r="Z42" s="2">
        <f ca="1">((RAND()*1+2)*100)*10</f>
        <v>2717.8483107096686</v>
      </c>
      <c r="AA42" s="2">
        <f ca="1">((RAND()*1+2)*100)*10</f>
        <v>2140.1393089593039</v>
      </c>
      <c r="AB42" s="2">
        <f ca="1">((RAND()*1+2)*100)*10</f>
        <v>2429.8386835179608</v>
      </c>
      <c r="AC42" s="2">
        <f ca="1">((RAND()*1+2)*100)*10</f>
        <v>2652.7206436282986</v>
      </c>
      <c r="AD42" s="2">
        <f ca="1">((RAND()*1+2)*100)*10</f>
        <v>2078.1773642235439</v>
      </c>
      <c r="AE42" s="2">
        <f ca="1">((RAND()*1+2)*100)*10</f>
        <v>2780.6385915588089</v>
      </c>
      <c r="AF42" s="2">
        <f ca="1">((RAND()*1+2)*100)*10</f>
        <v>2121.9675554624214</v>
      </c>
      <c r="AG42" s="2">
        <f ca="1">((RAND()*1+2)*100)*10</f>
        <v>2781.1288057262245</v>
      </c>
      <c r="AH42" s="2">
        <f ca="1">((RAND()*1+2)*100)*10</f>
        <v>2169.4294698597605</v>
      </c>
    </row>
    <row r="43" spans="1:34">
      <c r="A43" t="str">
        <f t="shared" si="30"/>
        <v>Lentils</v>
      </c>
      <c r="B43" t="str">
        <f t="shared" si="31"/>
        <v>Oromia</v>
      </c>
      <c r="C43" s="2">
        <f ca="1">((RAND()*1+2)*100)*10</f>
        <v>2138.0585889933877</v>
      </c>
      <c r="D43" s="2">
        <f ca="1">((RAND()*1+2)*100)*10</f>
        <v>2593.8416478487788</v>
      </c>
      <c r="E43" s="2">
        <f ca="1">((RAND()*1+2)*100)*10</f>
        <v>2024.1057558744565</v>
      </c>
      <c r="F43" s="2">
        <f ca="1">((RAND()*1+2)*100)*10</f>
        <v>2807.5397562716648</v>
      </c>
      <c r="G43" s="2">
        <f ca="1">((RAND()*1+2)*100)*10</f>
        <v>2503.4814172530632</v>
      </c>
      <c r="H43" s="2">
        <f ca="1">((RAND()*1+2)*100)*10</f>
        <v>2423.9622184824298</v>
      </c>
      <c r="I43" s="2">
        <f ca="1">((RAND()*1+2)*100)*10</f>
        <v>2539.7289661833729</v>
      </c>
      <c r="J43" s="2">
        <f ca="1">((RAND()*1+2)*100)*10</f>
        <v>2374.1555881555551</v>
      </c>
      <c r="K43" s="2">
        <f ca="1">((RAND()*1+2)*100)*10</f>
        <v>2607.4496204634333</v>
      </c>
      <c r="L43" s="2">
        <f ca="1">((RAND()*1+2)*100)*10</f>
        <v>2894.2177979934609</v>
      </c>
      <c r="M43" s="2">
        <f ca="1">((RAND()*1+2)*100)*10</f>
        <v>2068.6400954423225</v>
      </c>
      <c r="N43" s="2">
        <f ca="1">((RAND()*1+2)*100)*10</f>
        <v>2881.1286294178035</v>
      </c>
      <c r="O43" s="2">
        <f ca="1">((RAND()*1+2)*100)*10</f>
        <v>2368.4517167601998</v>
      </c>
      <c r="P43" s="2">
        <f ca="1">((RAND()*1+2)*100)*10</f>
        <v>2362.6956955392111</v>
      </c>
      <c r="Q43" s="2">
        <f ca="1">((RAND()*1+2)*100)*10</f>
        <v>2124.0664513674601</v>
      </c>
      <c r="R43" s="2">
        <f ca="1">((RAND()*1+2)*100)*10</f>
        <v>2154.0552372677994</v>
      </c>
      <c r="S43" s="2">
        <f ca="1">((RAND()*1+2)*100)*10</f>
        <v>2546.0825958152159</v>
      </c>
      <c r="T43" s="2">
        <f ca="1">((RAND()*1+2)*100)*10</f>
        <v>2157.8433621038489</v>
      </c>
      <c r="U43" s="2">
        <f ca="1">((RAND()*1+2)*100)*10</f>
        <v>2422.6652979821874</v>
      </c>
      <c r="V43" s="2">
        <f ca="1">((RAND()*1+2)*100)*10</f>
        <v>2499.7604646104919</v>
      </c>
      <c r="W43" s="2">
        <f ca="1">((RAND()*1+2)*100)*10</f>
        <v>2087.5426735491524</v>
      </c>
      <c r="X43" s="2">
        <f ca="1">((RAND()*1+2)*100)*10</f>
        <v>2525.6609517671823</v>
      </c>
      <c r="Y43" s="2">
        <f ca="1">((RAND()*1+2)*100)*10</f>
        <v>2656.7924330287769</v>
      </c>
      <c r="Z43" s="2">
        <f ca="1">((RAND()*1+2)*100)*10</f>
        <v>2260.5413221320159</v>
      </c>
      <c r="AA43" s="2">
        <f ca="1">((RAND()*1+2)*100)*10</f>
        <v>2520.2274834952277</v>
      </c>
      <c r="AB43" s="2">
        <f ca="1">((RAND()*1+2)*100)*10</f>
        <v>2566.9044737157969</v>
      </c>
      <c r="AC43" s="2">
        <f ca="1">((RAND()*1+2)*100)*10</f>
        <v>2768.7465047628029</v>
      </c>
      <c r="AD43" s="2">
        <f ca="1">((RAND()*1+2)*100)*10</f>
        <v>2482.759827552587</v>
      </c>
      <c r="AE43" s="2">
        <f ca="1">((RAND()*1+2)*100)*10</f>
        <v>2086.1882058874521</v>
      </c>
      <c r="AF43" s="2">
        <f ca="1">((RAND()*1+2)*100)*10</f>
        <v>2359.579911605269</v>
      </c>
      <c r="AG43" s="2">
        <f ca="1">((RAND()*1+2)*100)*10</f>
        <v>2784.6259136808544</v>
      </c>
      <c r="AH43" s="2">
        <f ca="1">((RAND()*1+2)*100)*10</f>
        <v>2887.7218016777401</v>
      </c>
    </row>
    <row r="44" spans="1:34">
      <c r="A44" t="str">
        <f t="shared" si="30"/>
        <v>Lentils</v>
      </c>
      <c r="B44" t="str">
        <f t="shared" si="31"/>
        <v>Somali</v>
      </c>
      <c r="C44" s="2">
        <f ca="1">((RAND()*1+2)*100)*10</f>
        <v>2620.2699769976853</v>
      </c>
      <c r="D44" s="2">
        <f ca="1">((RAND()*1+2)*100)*10</f>
        <v>2856.1789252037779</v>
      </c>
      <c r="E44" s="2">
        <f ca="1">((RAND()*1+2)*100)*10</f>
        <v>2249.9774850554677</v>
      </c>
      <c r="F44" s="2">
        <f ca="1">((RAND()*1+2)*100)*10</f>
        <v>2373.9102561874511</v>
      </c>
      <c r="G44" s="2">
        <f ca="1">((RAND()*1+2)*100)*10</f>
        <v>2545.806977470239</v>
      </c>
      <c r="H44" s="2">
        <f ca="1">((RAND()*1+2)*100)*10</f>
        <v>2445.8086845664047</v>
      </c>
      <c r="I44" s="2">
        <f ca="1">((RAND()*1+2)*100)*10</f>
        <v>2686.5698274627466</v>
      </c>
      <c r="J44" s="2">
        <f ca="1">((RAND()*1+2)*100)*10</f>
        <v>2054.0690709166897</v>
      </c>
      <c r="K44" s="2">
        <f ca="1">((RAND()*1+2)*100)*10</f>
        <v>2474.3238760604299</v>
      </c>
      <c r="L44" s="2">
        <f ca="1">((RAND()*1+2)*100)*10</f>
        <v>2782.8666073979953</v>
      </c>
      <c r="M44" s="2">
        <f ca="1">((RAND()*1+2)*100)*10</f>
        <v>2329.5012371496382</v>
      </c>
      <c r="N44" s="2">
        <f ca="1">((RAND()*1+2)*100)*10</f>
        <v>2708.6331546227184</v>
      </c>
      <c r="O44" s="2">
        <f ca="1">((RAND()*1+2)*100)*10</f>
        <v>2131.6829239073136</v>
      </c>
      <c r="P44" s="2">
        <f ca="1">((RAND()*1+2)*100)*10</f>
        <v>2451.7711883228562</v>
      </c>
      <c r="Q44" s="2">
        <f ca="1">((RAND()*1+2)*100)*10</f>
        <v>2500.1359186847963</v>
      </c>
      <c r="R44" s="2">
        <f ca="1">((RAND()*1+2)*100)*10</f>
        <v>2290.160076505425</v>
      </c>
      <c r="S44" s="2">
        <f ca="1">((RAND()*1+2)*100)*10</f>
        <v>2463.6429099324941</v>
      </c>
      <c r="T44" s="2">
        <f ca="1">((RAND()*1+2)*100)*10</f>
        <v>2749.800010422809</v>
      </c>
      <c r="U44" s="2">
        <f ca="1">((RAND()*1+2)*100)*10</f>
        <v>2620.2337566995243</v>
      </c>
      <c r="V44" s="2">
        <f ca="1">((RAND()*1+2)*100)*10</f>
        <v>2847.5982692733692</v>
      </c>
      <c r="W44" s="2">
        <f ca="1">((RAND()*1+2)*100)*10</f>
        <v>2694.8098193977976</v>
      </c>
      <c r="X44" s="2">
        <f ca="1">((RAND()*1+2)*100)*10</f>
        <v>2398.0592970080102</v>
      </c>
      <c r="Y44" s="2">
        <f ca="1">((RAND()*1+2)*100)*10</f>
        <v>2572.5547134427006</v>
      </c>
      <c r="Z44" s="2">
        <f ca="1">((RAND()*1+2)*100)*10</f>
        <v>2661.4485369935205</v>
      </c>
      <c r="AA44" s="2">
        <f ca="1">((RAND()*1+2)*100)*10</f>
        <v>2092.4650773586409</v>
      </c>
      <c r="AB44" s="2">
        <f ca="1">((RAND()*1+2)*100)*10</f>
        <v>2887.7140126044374</v>
      </c>
      <c r="AC44" s="2">
        <f ca="1">((RAND()*1+2)*100)*10</f>
        <v>2866.4661564414537</v>
      </c>
      <c r="AD44" s="2">
        <f ca="1">((RAND()*1+2)*100)*10</f>
        <v>2010.7692305438441</v>
      </c>
      <c r="AE44" s="2">
        <f ca="1">((RAND()*1+2)*100)*10</f>
        <v>2041.7889935799903</v>
      </c>
      <c r="AF44" s="2">
        <f ca="1">((RAND()*1+2)*100)*10</f>
        <v>2347.2911282629557</v>
      </c>
      <c r="AG44" s="2">
        <f ca="1">((RAND()*1+2)*100)*10</f>
        <v>2842.5259508985264</v>
      </c>
      <c r="AH44" s="2">
        <f ca="1">((RAND()*1+2)*100)*10</f>
        <v>2476.2117376558845</v>
      </c>
    </row>
    <row r="45" spans="1:34">
      <c r="A45" t="str">
        <f t="shared" si="30"/>
        <v>Lentils</v>
      </c>
      <c r="B45" t="str">
        <f t="shared" si="31"/>
        <v>SNNPR</v>
      </c>
      <c r="C45" s="2">
        <f ca="1">((RAND()*1+2)*100)*10</f>
        <v>2332.3010008368519</v>
      </c>
      <c r="D45" s="2">
        <f ca="1">((RAND()*1+2)*100)*10</f>
        <v>2054.6016618084986</v>
      </c>
      <c r="E45" s="2">
        <f ca="1">((RAND()*1+2)*100)*10</f>
        <v>2787.7875208178325</v>
      </c>
      <c r="F45" s="2">
        <f ca="1">((RAND()*1+2)*100)*10</f>
        <v>2698.0575517252255</v>
      </c>
      <c r="G45" s="2">
        <f ca="1">((RAND()*1+2)*100)*10</f>
        <v>2404.8099628367031</v>
      </c>
      <c r="H45" s="2">
        <f ca="1">((RAND()*1+2)*100)*10</f>
        <v>2431.1338843645281</v>
      </c>
      <c r="I45" s="2">
        <f ca="1">((RAND()*1+2)*100)*10</f>
        <v>2022.1988770220262</v>
      </c>
      <c r="J45" s="2">
        <f ca="1">((RAND()*1+2)*100)*10</f>
        <v>2438.4674808169952</v>
      </c>
      <c r="K45" s="2">
        <f ca="1">((RAND()*1+2)*100)*10</f>
        <v>2909.1432277071913</v>
      </c>
      <c r="L45" s="2">
        <f ca="1">((RAND()*1+2)*100)*10</f>
        <v>2390.7386949497964</v>
      </c>
      <c r="M45" s="2">
        <f ca="1">((RAND()*1+2)*100)*10</f>
        <v>2440.0508547208606</v>
      </c>
      <c r="N45" s="2">
        <f ca="1">((RAND()*1+2)*100)*10</f>
        <v>2902.6626921013449</v>
      </c>
      <c r="O45" s="2">
        <f ca="1">((RAND()*1+2)*100)*10</f>
        <v>2837.292184956154</v>
      </c>
      <c r="P45" s="2">
        <f ca="1">((RAND()*1+2)*100)*10</f>
        <v>2140.9916551622655</v>
      </c>
      <c r="Q45" s="2">
        <f ca="1">((RAND()*1+2)*100)*10</f>
        <v>2098.972869240235</v>
      </c>
      <c r="R45" s="2">
        <f ca="1">((RAND()*1+2)*100)*10</f>
        <v>2006.197750827243</v>
      </c>
      <c r="S45" s="2">
        <f ca="1">((RAND()*1+2)*100)*10</f>
        <v>2697.4662484567298</v>
      </c>
      <c r="T45" s="2">
        <f ca="1">((RAND()*1+2)*100)*10</f>
        <v>2647.007015692031</v>
      </c>
      <c r="U45" s="2">
        <f ca="1">((RAND()*1+2)*100)*10</f>
        <v>2289.3663003176566</v>
      </c>
      <c r="V45" s="2">
        <f ca="1">((RAND()*1+2)*100)*10</f>
        <v>2314.2999884022847</v>
      </c>
      <c r="W45" s="2">
        <f ca="1">((RAND()*1+2)*100)*10</f>
        <v>2958.965148875036</v>
      </c>
      <c r="X45" s="2">
        <f ca="1">((RAND()*1+2)*100)*10</f>
        <v>2981.058886815495</v>
      </c>
      <c r="Y45" s="2">
        <f ca="1">((RAND()*1+2)*100)*10</f>
        <v>2246.584483379565</v>
      </c>
      <c r="Z45" s="2">
        <f ca="1">((RAND()*1+2)*100)*10</f>
        <v>2749.2483956799465</v>
      </c>
      <c r="AA45" s="2">
        <f ca="1">((RAND()*1+2)*100)*10</f>
        <v>2815.5193770854776</v>
      </c>
      <c r="AB45" s="2">
        <f ca="1">((RAND()*1+2)*100)*10</f>
        <v>2937.2308812804727</v>
      </c>
      <c r="AC45" s="2">
        <f ca="1">((RAND()*1+2)*100)*10</f>
        <v>2424.1000649342532</v>
      </c>
      <c r="AD45" s="2">
        <f ca="1">((RAND()*1+2)*100)*10</f>
        <v>2162.6726730897026</v>
      </c>
      <c r="AE45" s="2">
        <f ca="1">((RAND()*1+2)*100)*10</f>
        <v>2162.0880705527184</v>
      </c>
      <c r="AF45" s="2">
        <f ca="1">((RAND()*1+2)*100)*10</f>
        <v>2222.8246318330425</v>
      </c>
      <c r="AG45" s="2">
        <f ca="1">((RAND()*1+2)*100)*10</f>
        <v>2031.0122872827176</v>
      </c>
      <c r="AH45" s="2">
        <f ca="1">((RAND()*1+2)*100)*10</f>
        <v>2755.8366834026124</v>
      </c>
    </row>
    <row r="46" spans="1:34">
      <c r="A46" t="str">
        <f t="shared" si="30"/>
        <v>Lentils</v>
      </c>
      <c r="B46" t="str">
        <f t="shared" si="31"/>
        <v>Tigray</v>
      </c>
      <c r="C46" s="2">
        <f ca="1">((RAND()*1+2)*100)*10</f>
        <v>2706.4892118164676</v>
      </c>
      <c r="D46" s="2">
        <f ca="1">((RAND()*1+2)*100)*10</f>
        <v>2242.3658816613251</v>
      </c>
      <c r="E46" s="2">
        <f ca="1">((RAND()*1+2)*100)*10</f>
        <v>2642.1674650602372</v>
      </c>
      <c r="F46" s="2">
        <f ca="1">((RAND()*1+2)*100)*10</f>
        <v>2681.0533665345833</v>
      </c>
      <c r="G46" s="2">
        <f ca="1">((RAND()*1+2)*100)*10</f>
        <v>2414.2278603378627</v>
      </c>
      <c r="H46" s="2">
        <f ca="1">((RAND()*1+2)*100)*10</f>
        <v>2134.1090524781657</v>
      </c>
      <c r="I46" s="2">
        <f ca="1">((RAND()*1+2)*100)*10</f>
        <v>2933.7357089331545</v>
      </c>
      <c r="J46" s="2">
        <f ca="1">((RAND()*1+2)*100)*10</f>
        <v>2317.6697751561919</v>
      </c>
      <c r="K46" s="2">
        <f ca="1">((RAND()*1+2)*100)*10</f>
        <v>2982.1436617049039</v>
      </c>
      <c r="L46" s="2">
        <f ca="1">((RAND()*1+2)*100)*10</f>
        <v>2173.7979244068815</v>
      </c>
      <c r="M46" s="2">
        <f ca="1">((RAND()*1+2)*100)*10</f>
        <v>2498.8413188214363</v>
      </c>
      <c r="N46" s="2">
        <f ca="1">((RAND()*1+2)*100)*10</f>
        <v>2557.1918320683285</v>
      </c>
      <c r="O46" s="2">
        <f ca="1">((RAND()*1+2)*100)*10</f>
        <v>2297.7079974717199</v>
      </c>
      <c r="P46" s="2">
        <f ca="1">((RAND()*1+2)*100)*10</f>
        <v>2451.5376129618508</v>
      </c>
      <c r="Q46" s="2">
        <f ca="1">((RAND()*1+2)*100)*10</f>
        <v>2516.7015992247084</v>
      </c>
      <c r="R46" s="2">
        <f ca="1">((RAND()*1+2)*100)*10</f>
        <v>2902.8908951136914</v>
      </c>
      <c r="S46" s="2">
        <f ca="1">((RAND()*1+2)*100)*10</f>
        <v>2169.7437538708873</v>
      </c>
      <c r="T46" s="2">
        <f ca="1">((RAND()*1+2)*100)*10</f>
        <v>2591.5532629793597</v>
      </c>
      <c r="U46" s="2">
        <f ca="1">((RAND()*1+2)*100)*10</f>
        <v>2609.8541791391017</v>
      </c>
      <c r="V46" s="2">
        <f ca="1">((RAND()*1+2)*100)*10</f>
        <v>2023.47865687187</v>
      </c>
      <c r="W46" s="2">
        <f ca="1">((RAND()*1+2)*100)*10</f>
        <v>2811.7933018933099</v>
      </c>
      <c r="X46" s="2">
        <f ca="1">((RAND()*1+2)*100)*10</f>
        <v>2799.2918796672957</v>
      </c>
      <c r="Y46" s="2">
        <f ca="1">((RAND()*1+2)*100)*10</f>
        <v>2746.4418170412746</v>
      </c>
      <c r="Z46" s="2">
        <f ca="1">((RAND()*1+2)*100)*10</f>
        <v>2498.5243749684623</v>
      </c>
      <c r="AA46" s="2">
        <f ca="1">((RAND()*1+2)*100)*10</f>
        <v>2723.7619037440531</v>
      </c>
      <c r="AB46" s="2">
        <f ca="1">((RAND()*1+2)*100)*10</f>
        <v>2591.4831058448954</v>
      </c>
      <c r="AC46" s="2">
        <f ca="1">((RAND()*1+2)*100)*10</f>
        <v>2823.0418442647174</v>
      </c>
      <c r="AD46" s="2">
        <f ca="1">((RAND()*1+2)*100)*10</f>
        <v>2448.280961052305</v>
      </c>
      <c r="AE46" s="2">
        <f ca="1">((RAND()*1+2)*100)*10</f>
        <v>2304.6452689691837</v>
      </c>
      <c r="AF46" s="2">
        <f ca="1">((RAND()*1+2)*100)*10</f>
        <v>2677.6915684193691</v>
      </c>
      <c r="AG46" s="2">
        <f ca="1">((RAND()*1+2)*100)*10</f>
        <v>2455.3077430684334</v>
      </c>
      <c r="AH46" s="2">
        <f ca="1">((RAND()*1+2)*100)*10</f>
        <v>2706.427022969141</v>
      </c>
    </row>
    <row r="47" spans="1:34">
      <c r="A47" t="str">
        <f t="shared" si="30"/>
        <v>Vegetables</v>
      </c>
      <c r="B47" t="str">
        <f t="shared" si="31"/>
        <v>AddisAbaba</v>
      </c>
      <c r="C47" s="2">
        <f ca="1">((RAND()*1+2)*100)*10</f>
        <v>2973.3667330578719</v>
      </c>
      <c r="D47" s="2">
        <f ca="1">((RAND()*1+2)*100)*10</f>
        <v>2622.1003862196567</v>
      </c>
      <c r="E47" s="2">
        <f ca="1">((RAND()*1+2)*100)*10</f>
        <v>2599.3159236802917</v>
      </c>
      <c r="F47" s="2">
        <f ca="1">((RAND()*1+2)*100)*10</f>
        <v>2179.7727794017082</v>
      </c>
      <c r="G47" s="2">
        <f ca="1">((RAND()*1+2)*100)*10</f>
        <v>2984.2985249182989</v>
      </c>
      <c r="H47" s="2">
        <f ca="1">((RAND()*1+2)*100)*10</f>
        <v>2873.0182938872235</v>
      </c>
      <c r="I47" s="2">
        <f ca="1">((RAND()*1+2)*100)*10</f>
        <v>2344.7462368948386</v>
      </c>
      <c r="J47" s="2">
        <f ca="1">((RAND()*1+2)*100)*10</f>
        <v>2005.0707253529131</v>
      </c>
      <c r="K47" s="2">
        <f ca="1">((RAND()*1+2)*100)*10</f>
        <v>2437.7608561202769</v>
      </c>
      <c r="L47" s="2">
        <f ca="1">((RAND()*1+2)*100)*10</f>
        <v>2655.7826259230592</v>
      </c>
      <c r="M47" s="2">
        <f ca="1">((RAND()*1+2)*100)*10</f>
        <v>2711.0155834446132</v>
      </c>
      <c r="N47" s="2">
        <f ca="1">((RAND()*1+2)*100)*10</f>
        <v>2140.307694865432</v>
      </c>
      <c r="O47" s="2">
        <f ca="1">((RAND()*1+2)*100)*10</f>
        <v>2353.2583347698765</v>
      </c>
      <c r="P47" s="2">
        <f ca="1">((RAND()*1+2)*100)*10</f>
        <v>2445.4572050196548</v>
      </c>
      <c r="Q47" s="2">
        <f ca="1">((RAND()*1+2)*100)*10</f>
        <v>2957.130452023011</v>
      </c>
      <c r="R47" s="2">
        <f ca="1">((RAND()*1+2)*100)*10</f>
        <v>2495.5767831138837</v>
      </c>
      <c r="S47" s="2">
        <f ca="1">((RAND()*1+2)*100)*10</f>
        <v>2042.6221379500639</v>
      </c>
      <c r="T47" s="2">
        <f ca="1">((RAND()*1+2)*100)*10</f>
        <v>2046.3919109408639</v>
      </c>
      <c r="U47" s="2">
        <f ca="1">((RAND()*1+2)*100)*10</f>
        <v>2146.0829439725881</v>
      </c>
      <c r="V47" s="2">
        <f ca="1">((RAND()*1+2)*100)*10</f>
        <v>2933.7985562072595</v>
      </c>
      <c r="W47" s="2">
        <f ca="1">((RAND()*1+2)*100)*10</f>
        <v>2600.1689736823546</v>
      </c>
      <c r="X47" s="2">
        <f ca="1">((RAND()*1+2)*100)*10</f>
        <v>2270.2611535366823</v>
      </c>
      <c r="Y47" s="2">
        <f ca="1">((RAND()*1+2)*100)*10</f>
        <v>2663.9338442145413</v>
      </c>
      <c r="Z47" s="2">
        <f ca="1">((RAND()*1+2)*100)*10</f>
        <v>2419.1755795028685</v>
      </c>
      <c r="AA47" s="2">
        <f ca="1">((RAND()*1+2)*100)*10</f>
        <v>2373.208877411791</v>
      </c>
      <c r="AB47" s="2">
        <f ca="1">((RAND()*1+2)*100)*10</f>
        <v>2449.381911918244</v>
      </c>
      <c r="AC47" s="2">
        <f ca="1">((RAND()*1+2)*100)*10</f>
        <v>2119.7406352500511</v>
      </c>
      <c r="AD47" s="2">
        <f ca="1">((RAND()*1+2)*100)*10</f>
        <v>2974.66199273957</v>
      </c>
      <c r="AE47" s="2">
        <f ca="1">((RAND()*1+2)*100)*10</f>
        <v>2340.3006975730814</v>
      </c>
      <c r="AF47" s="2">
        <f ca="1">((RAND()*1+2)*100)*10</f>
        <v>2970.0521600918664</v>
      </c>
      <c r="AG47" s="2">
        <f ca="1">((RAND()*1+2)*100)*10</f>
        <v>2031.5598159260755</v>
      </c>
      <c r="AH47" s="2">
        <f ca="1">((RAND()*1+2)*100)*10</f>
        <v>2474.2716062409054</v>
      </c>
    </row>
    <row r="48" spans="1:34">
      <c r="A48" t="str">
        <f t="shared" si="30"/>
        <v>Vegetables</v>
      </c>
      <c r="B48" t="str">
        <f t="shared" si="31"/>
        <v>Afar</v>
      </c>
      <c r="C48" s="2">
        <f ca="1">((RAND()*1+2)*100)*10</f>
        <v>2696.2533832461277</v>
      </c>
      <c r="D48" s="2">
        <f ca="1">((RAND()*1+2)*100)*10</f>
        <v>2123.6719937492007</v>
      </c>
      <c r="E48" s="2">
        <f ca="1">((RAND()*1+2)*100)*10</f>
        <v>2963.0021199279777</v>
      </c>
      <c r="F48" s="2">
        <f ca="1">((RAND()*1+2)*100)*10</f>
        <v>2018.5139524007609</v>
      </c>
      <c r="G48" s="2">
        <f ca="1">((RAND()*1+2)*100)*10</f>
        <v>2554.4598805415353</v>
      </c>
      <c r="H48" s="2">
        <f ca="1">((RAND()*1+2)*100)*10</f>
        <v>2664.1292093056995</v>
      </c>
      <c r="I48" s="2">
        <f ca="1">((RAND()*1+2)*100)*10</f>
        <v>2363.7033189226186</v>
      </c>
      <c r="J48" s="2">
        <f ca="1">((RAND()*1+2)*100)*10</f>
        <v>2020.0689452591919</v>
      </c>
      <c r="K48" s="2">
        <f ca="1">((RAND()*1+2)*100)*10</f>
        <v>2999.3503399086012</v>
      </c>
      <c r="L48" s="2">
        <f ca="1">((RAND()*1+2)*100)*10</f>
        <v>2448.5567538025593</v>
      </c>
      <c r="M48" s="2">
        <f ca="1">((RAND()*1+2)*100)*10</f>
        <v>2942.7612327312522</v>
      </c>
      <c r="N48" s="2">
        <f ca="1">((RAND()*1+2)*100)*10</f>
        <v>2030.157491731421</v>
      </c>
      <c r="O48" s="2">
        <f ca="1">((RAND()*1+2)*100)*10</f>
        <v>2452.351778846511</v>
      </c>
      <c r="P48" s="2">
        <f ca="1">((RAND()*1+2)*100)*10</f>
        <v>2068.5185895730679</v>
      </c>
      <c r="Q48" s="2">
        <f ca="1">((RAND()*1+2)*100)*10</f>
        <v>2799.1262085570233</v>
      </c>
      <c r="R48" s="2">
        <f ca="1">((RAND()*1+2)*100)*10</f>
        <v>2450.520360270235</v>
      </c>
      <c r="S48" s="2">
        <f ca="1">((RAND()*1+2)*100)*10</f>
        <v>2274.4650157936567</v>
      </c>
      <c r="T48" s="2">
        <f ca="1">((RAND()*1+2)*100)*10</f>
        <v>2986.9798838407332</v>
      </c>
      <c r="U48" s="2">
        <f ca="1">((RAND()*1+2)*100)*10</f>
        <v>2930.1965706422629</v>
      </c>
      <c r="V48" s="2">
        <f ca="1">((RAND()*1+2)*100)*10</f>
        <v>2981.901017689675</v>
      </c>
      <c r="W48" s="2">
        <f ca="1">((RAND()*1+2)*100)*10</f>
        <v>2714.4246692251536</v>
      </c>
      <c r="X48" s="2">
        <f ca="1">((RAND()*1+2)*100)*10</f>
        <v>2073.504782597653</v>
      </c>
      <c r="Y48" s="2">
        <f ca="1">((RAND()*1+2)*100)*10</f>
        <v>2947.7640346852195</v>
      </c>
      <c r="Z48" s="2">
        <f ca="1">((RAND()*1+2)*100)*10</f>
        <v>2792.8239728941758</v>
      </c>
      <c r="AA48" s="2">
        <f ca="1">((RAND()*1+2)*100)*10</f>
        <v>2198.3923875753558</v>
      </c>
      <c r="AB48" s="2">
        <f ca="1">((RAND()*1+2)*100)*10</f>
        <v>2169.7099782669961</v>
      </c>
      <c r="AC48" s="2">
        <f ca="1">((RAND()*1+2)*100)*10</f>
        <v>2467.6177826663438</v>
      </c>
      <c r="AD48" s="2">
        <f ca="1">((RAND()*1+2)*100)*10</f>
        <v>2687.027157142295</v>
      </c>
      <c r="AE48" s="2">
        <f ca="1">((RAND()*1+2)*100)*10</f>
        <v>2606.6968841490279</v>
      </c>
      <c r="AF48" s="2">
        <f ca="1">((RAND()*1+2)*100)*10</f>
        <v>2308.2741496835852</v>
      </c>
      <c r="AG48" s="2">
        <f ca="1">((RAND()*1+2)*100)*10</f>
        <v>2413.7578186116134</v>
      </c>
      <c r="AH48" s="2">
        <f ca="1">((RAND()*1+2)*100)*10</f>
        <v>2672.810617269402</v>
      </c>
    </row>
    <row r="49" spans="1:34">
      <c r="A49" t="str">
        <f t="shared" si="30"/>
        <v>Vegetables</v>
      </c>
      <c r="B49" t="str">
        <f t="shared" si="31"/>
        <v>Amhara</v>
      </c>
      <c r="C49" s="2">
        <f ca="1">((RAND()*1+2)*100)*10</f>
        <v>2129.7302965772046</v>
      </c>
      <c r="D49" s="2">
        <f ca="1">((RAND()*1+2)*100)*10</f>
        <v>2705.1782488524873</v>
      </c>
      <c r="E49" s="2">
        <f ca="1">((RAND()*1+2)*100)*10</f>
        <v>2697.4212334954359</v>
      </c>
      <c r="F49" s="2">
        <f ca="1">((RAND()*1+2)*100)*10</f>
        <v>2074.0320653612212</v>
      </c>
      <c r="G49" s="2">
        <f ca="1">((RAND()*1+2)*100)*10</f>
        <v>2503.2602332638671</v>
      </c>
      <c r="H49" s="2">
        <f ca="1">((RAND()*1+2)*100)*10</f>
        <v>2444.5812720403906</v>
      </c>
      <c r="I49" s="2">
        <f ca="1">((RAND()*1+2)*100)*10</f>
        <v>2176.3026313928904</v>
      </c>
      <c r="J49" s="2">
        <f ca="1">((RAND()*1+2)*100)*10</f>
        <v>2829.1357901530746</v>
      </c>
      <c r="K49" s="2">
        <f ca="1">((RAND()*1+2)*100)*10</f>
        <v>2686.9159108646868</v>
      </c>
      <c r="L49" s="2">
        <f ca="1">((RAND()*1+2)*100)*10</f>
        <v>2727.8909521358837</v>
      </c>
      <c r="M49" s="2">
        <f ca="1">((RAND()*1+2)*100)*10</f>
        <v>2803.3425680289502</v>
      </c>
      <c r="N49" s="2">
        <f ca="1">((RAND()*1+2)*100)*10</f>
        <v>2109.2795269398025</v>
      </c>
      <c r="O49" s="2">
        <f ca="1">((RAND()*1+2)*100)*10</f>
        <v>2258.1220661864086</v>
      </c>
      <c r="P49" s="2">
        <f ca="1">((RAND()*1+2)*100)*10</f>
        <v>2397.6225474317234</v>
      </c>
      <c r="Q49" s="2">
        <f ca="1">((RAND()*1+2)*100)*10</f>
        <v>2463.1423429119563</v>
      </c>
      <c r="R49" s="2">
        <f ca="1">((RAND()*1+2)*100)*10</f>
        <v>2222.7692581588867</v>
      </c>
      <c r="S49" s="2">
        <f ca="1">((RAND()*1+2)*100)*10</f>
        <v>2677.545408969816</v>
      </c>
      <c r="T49" s="2">
        <f ca="1">((RAND()*1+2)*100)*10</f>
        <v>2471.3542058728062</v>
      </c>
      <c r="U49" s="2">
        <f ca="1">((RAND()*1+2)*100)*10</f>
        <v>2990.026574686774</v>
      </c>
      <c r="V49" s="2">
        <f ca="1">((RAND()*1+2)*100)*10</f>
        <v>2232.9311254986665</v>
      </c>
      <c r="W49" s="2">
        <f ca="1">((RAND()*1+2)*100)*10</f>
        <v>2690.324639848036</v>
      </c>
      <c r="X49" s="2">
        <f ca="1">((RAND()*1+2)*100)*10</f>
        <v>2481.5196140030484</v>
      </c>
      <c r="Y49" s="2">
        <f ca="1">((RAND()*1+2)*100)*10</f>
        <v>2609.2090862700975</v>
      </c>
      <c r="Z49" s="2">
        <f ca="1">((RAND()*1+2)*100)*10</f>
        <v>2809.5386758202485</v>
      </c>
      <c r="AA49" s="2">
        <f ca="1">((RAND()*1+2)*100)*10</f>
        <v>2788.529338900662</v>
      </c>
      <c r="AB49" s="2">
        <f ca="1">((RAND()*1+2)*100)*10</f>
        <v>2109.6042421175262</v>
      </c>
      <c r="AC49" s="2">
        <f ca="1">((RAND()*1+2)*100)*10</f>
        <v>2892.6378250833295</v>
      </c>
      <c r="AD49" s="2">
        <f ca="1">((RAND()*1+2)*100)*10</f>
        <v>2220.2873847853962</v>
      </c>
      <c r="AE49" s="2">
        <f ca="1">((RAND()*1+2)*100)*10</f>
        <v>2212.0642740542412</v>
      </c>
      <c r="AF49" s="2">
        <f ca="1">((RAND()*1+2)*100)*10</f>
        <v>2415.8754195658726</v>
      </c>
      <c r="AG49" s="2">
        <f ca="1">((RAND()*1+2)*100)*10</f>
        <v>2444.5770037140855</v>
      </c>
      <c r="AH49" s="2">
        <f ca="1">((RAND()*1+2)*100)*10</f>
        <v>2793.870588834227</v>
      </c>
    </row>
    <row r="50" spans="1:34">
      <c r="A50" t="str">
        <f t="shared" si="30"/>
        <v>Vegetables</v>
      </c>
      <c r="B50" t="str">
        <f t="shared" si="31"/>
        <v>Gumuz</v>
      </c>
      <c r="C50" s="2">
        <f ca="1">((RAND()*1+2)*100)*10</f>
        <v>2892.4653901061674</v>
      </c>
      <c r="D50" s="2">
        <f ca="1">((RAND()*1+2)*100)*10</f>
        <v>2716.2960935438086</v>
      </c>
      <c r="E50" s="2">
        <f ca="1">((RAND()*1+2)*100)*10</f>
        <v>2689.7629444018889</v>
      </c>
      <c r="F50" s="2">
        <f ca="1">((RAND()*1+2)*100)*10</f>
        <v>2168.0055986060029</v>
      </c>
      <c r="G50" s="2">
        <f ca="1">((RAND()*1+2)*100)*10</f>
        <v>2119.2766467608717</v>
      </c>
      <c r="H50" s="2">
        <f ca="1">((RAND()*1+2)*100)*10</f>
        <v>2141.4859959563</v>
      </c>
      <c r="I50" s="2">
        <f ca="1">((RAND()*1+2)*100)*10</f>
        <v>2295.1945850131033</v>
      </c>
      <c r="J50" s="2">
        <f ca="1">((RAND()*1+2)*100)*10</f>
        <v>2282.6434332883223</v>
      </c>
      <c r="K50" s="2">
        <f ca="1">((RAND()*1+2)*100)*10</f>
        <v>2233.7649616139888</v>
      </c>
      <c r="L50" s="2">
        <f ca="1">((RAND()*1+2)*100)*10</f>
        <v>2664.6748666993308</v>
      </c>
      <c r="M50" s="2">
        <f ca="1">((RAND()*1+2)*100)*10</f>
        <v>2619.2668239403165</v>
      </c>
      <c r="N50" s="2">
        <f ca="1">((RAND()*1+2)*100)*10</f>
        <v>2055.5704503225243</v>
      </c>
      <c r="O50" s="2">
        <f ca="1">((RAND()*1+2)*100)*10</f>
        <v>2472.1196872244823</v>
      </c>
      <c r="P50" s="2">
        <f ca="1">((RAND()*1+2)*100)*10</f>
        <v>2698.0002129504537</v>
      </c>
      <c r="Q50" s="2">
        <f ca="1">((RAND()*1+2)*100)*10</f>
        <v>2071.0961568417947</v>
      </c>
      <c r="R50" s="2">
        <f ca="1">((RAND()*1+2)*100)*10</f>
        <v>2281.5118632111198</v>
      </c>
      <c r="S50" s="2">
        <f ca="1">((RAND()*1+2)*100)*10</f>
        <v>2974.9746743434234</v>
      </c>
      <c r="T50" s="2">
        <f ca="1">((RAND()*1+2)*100)*10</f>
        <v>2575.5193414725049</v>
      </c>
      <c r="U50" s="2">
        <f ca="1">((RAND()*1+2)*100)*10</f>
        <v>2662.8050222952725</v>
      </c>
      <c r="V50" s="2">
        <f ca="1">((RAND()*1+2)*100)*10</f>
        <v>2665.5376294247185</v>
      </c>
      <c r="W50" s="2">
        <f ca="1">((RAND()*1+2)*100)*10</f>
        <v>2500.2518555061752</v>
      </c>
      <c r="X50" s="2">
        <f ca="1">((RAND()*1+2)*100)*10</f>
        <v>2823.9847725220425</v>
      </c>
      <c r="Y50" s="2">
        <f ca="1">((RAND()*1+2)*100)*10</f>
        <v>2857.2232520333719</v>
      </c>
      <c r="Z50" s="2">
        <f ca="1">((RAND()*1+2)*100)*10</f>
        <v>2024.366311439064</v>
      </c>
      <c r="AA50" s="2">
        <f ca="1">((RAND()*1+2)*100)*10</f>
        <v>2762.7310267398198</v>
      </c>
      <c r="AB50" s="2">
        <f ca="1">((RAND()*1+2)*100)*10</f>
        <v>2291.4193542755042</v>
      </c>
      <c r="AC50" s="2">
        <f ca="1">((RAND()*1+2)*100)*10</f>
        <v>2752.8452490767895</v>
      </c>
      <c r="AD50" s="2">
        <f ca="1">((RAND()*1+2)*100)*10</f>
        <v>2371.0885826805311</v>
      </c>
      <c r="AE50" s="2">
        <f ca="1">((RAND()*1+2)*100)*10</f>
        <v>2033.1835225289535</v>
      </c>
      <c r="AF50" s="2">
        <f ca="1">((RAND()*1+2)*100)*10</f>
        <v>2201.3514613879074</v>
      </c>
      <c r="AG50" s="2">
        <f ca="1">((RAND()*1+2)*100)*10</f>
        <v>2692.8605305337919</v>
      </c>
      <c r="AH50" s="2">
        <f ca="1">((RAND()*1+2)*100)*10</f>
        <v>2781.5872144031682</v>
      </c>
    </row>
    <row r="51" spans="1:34">
      <c r="A51" t="str">
        <f t="shared" si="30"/>
        <v>Vegetables</v>
      </c>
      <c r="B51" t="str">
        <f t="shared" si="31"/>
        <v>DireDawa</v>
      </c>
      <c r="C51" s="2">
        <f ca="1">((RAND()*1+2)*100)*10</f>
        <v>2035.5360446901454</v>
      </c>
      <c r="D51" s="2">
        <f ca="1">((RAND()*1+2)*100)*10</f>
        <v>2053.3202024448783</v>
      </c>
      <c r="E51" s="2">
        <f ca="1">((RAND()*1+2)*100)*10</f>
        <v>2714.736632997915</v>
      </c>
      <c r="F51" s="2">
        <f ca="1">((RAND()*1+2)*100)*10</f>
        <v>2449.054063008206</v>
      </c>
      <c r="G51" s="2">
        <f ca="1">((RAND()*1+2)*100)*10</f>
        <v>2523.6068692705926</v>
      </c>
      <c r="H51" s="2">
        <f ca="1">((RAND()*1+2)*100)*10</f>
        <v>2609.9259493432528</v>
      </c>
      <c r="I51" s="2">
        <f ca="1">((RAND()*1+2)*100)*10</f>
        <v>2989.1309620792617</v>
      </c>
      <c r="J51" s="2">
        <f ca="1">((RAND()*1+2)*100)*10</f>
        <v>2823.1771046450517</v>
      </c>
      <c r="K51" s="2">
        <f ca="1">((RAND()*1+2)*100)*10</f>
        <v>2434.2550911276435</v>
      </c>
      <c r="L51" s="2">
        <f ca="1">((RAND()*1+2)*100)*10</f>
        <v>2757.3273939786959</v>
      </c>
      <c r="M51" s="2">
        <f ca="1">((RAND()*1+2)*100)*10</f>
        <v>2583.6535623739246</v>
      </c>
      <c r="N51" s="2">
        <f ca="1">((RAND()*1+2)*100)*10</f>
        <v>2388.590055156692</v>
      </c>
      <c r="O51" s="2">
        <f ca="1">((RAND()*1+2)*100)*10</f>
        <v>2509.1791756349471</v>
      </c>
      <c r="P51" s="2">
        <f ca="1">((RAND()*1+2)*100)*10</f>
        <v>2593.3492275441904</v>
      </c>
      <c r="Q51" s="2">
        <f ca="1">((RAND()*1+2)*100)*10</f>
        <v>2836.9917369892364</v>
      </c>
      <c r="R51" s="2">
        <f ca="1">((RAND()*1+2)*100)*10</f>
        <v>2911.0485311755842</v>
      </c>
      <c r="S51" s="2">
        <f ca="1">((RAND()*1+2)*100)*10</f>
        <v>2381.7788196763545</v>
      </c>
      <c r="T51" s="2">
        <f ca="1">((RAND()*1+2)*100)*10</f>
        <v>2697.9788046950871</v>
      </c>
      <c r="U51" s="2">
        <f ca="1">((RAND()*1+2)*100)*10</f>
        <v>2078.1848045786996</v>
      </c>
      <c r="V51" s="2">
        <f ca="1">((RAND()*1+2)*100)*10</f>
        <v>2810.5818811310446</v>
      </c>
      <c r="W51" s="2">
        <f ca="1">((RAND()*1+2)*100)*10</f>
        <v>2364.3631541199111</v>
      </c>
      <c r="X51" s="2">
        <f ca="1">((RAND()*1+2)*100)*10</f>
        <v>2957.2266528180817</v>
      </c>
      <c r="Y51" s="2">
        <f ca="1">((RAND()*1+2)*100)*10</f>
        <v>2528.557565459791</v>
      </c>
      <c r="Z51" s="2">
        <f ca="1">((RAND()*1+2)*100)*10</f>
        <v>2110.5072981900203</v>
      </c>
      <c r="AA51" s="2">
        <f ca="1">((RAND()*1+2)*100)*10</f>
        <v>2118.1294560842734</v>
      </c>
      <c r="AB51" s="2">
        <f ca="1">((RAND()*1+2)*100)*10</f>
        <v>2807.0554038394862</v>
      </c>
      <c r="AC51" s="2">
        <f ca="1">((RAND()*1+2)*100)*10</f>
        <v>2383.5144091193001</v>
      </c>
      <c r="AD51" s="2">
        <f ca="1">((RAND()*1+2)*100)*10</f>
        <v>2909.612050776801</v>
      </c>
      <c r="AE51" s="2">
        <f ca="1">((RAND()*1+2)*100)*10</f>
        <v>2659.3935973396992</v>
      </c>
      <c r="AF51" s="2">
        <f ca="1">((RAND()*1+2)*100)*10</f>
        <v>2429.6716756462506</v>
      </c>
      <c r="AG51" s="2">
        <f ca="1">((RAND()*1+2)*100)*10</f>
        <v>2053.3361302455032</v>
      </c>
      <c r="AH51" s="2">
        <f ca="1">((RAND()*1+2)*100)*10</f>
        <v>2371.0986478308168</v>
      </c>
    </row>
    <row r="52" spans="1:34">
      <c r="A52" t="str">
        <f t="shared" si="30"/>
        <v>Vegetables</v>
      </c>
      <c r="B52" t="str">
        <f t="shared" si="31"/>
        <v>Gambela</v>
      </c>
      <c r="C52" s="2">
        <f ca="1">((RAND()*1+2)*100)*10</f>
        <v>2426.5145858082005</v>
      </c>
      <c r="D52" s="2">
        <f ca="1">((RAND()*1+2)*100)*10</f>
        <v>2140.1168266789132</v>
      </c>
      <c r="E52" s="2">
        <f ca="1">((RAND()*1+2)*100)*10</f>
        <v>2145.8827020212489</v>
      </c>
      <c r="F52" s="2">
        <f ca="1">((RAND()*1+2)*100)*10</f>
        <v>2637.4675811640141</v>
      </c>
      <c r="G52" s="2">
        <f ca="1">((RAND()*1+2)*100)*10</f>
        <v>2949.0609377469345</v>
      </c>
      <c r="H52" s="2">
        <f ca="1">((RAND()*1+2)*100)*10</f>
        <v>2950.5598756652889</v>
      </c>
      <c r="I52" s="2">
        <f ca="1">((RAND()*1+2)*100)*10</f>
        <v>2726.0598349724728</v>
      </c>
      <c r="J52" s="2">
        <f ca="1">((RAND()*1+2)*100)*10</f>
        <v>2366.860830637238</v>
      </c>
      <c r="K52" s="2">
        <f ca="1">((RAND()*1+2)*100)*10</f>
        <v>2437.2450948527394</v>
      </c>
      <c r="L52" s="2">
        <f ca="1">((RAND()*1+2)*100)*10</f>
        <v>2928.9571321227832</v>
      </c>
      <c r="M52" s="2">
        <f ca="1">((RAND()*1+2)*100)*10</f>
        <v>2361.1594324018843</v>
      </c>
      <c r="N52" s="2">
        <f ca="1">((RAND()*1+2)*100)*10</f>
        <v>2213.1269695552396</v>
      </c>
      <c r="O52" s="2">
        <f ca="1">((RAND()*1+2)*100)*10</f>
        <v>2288.9488900186725</v>
      </c>
      <c r="P52" s="2">
        <f ca="1">((RAND()*1+2)*100)*10</f>
        <v>2424.1065891809735</v>
      </c>
      <c r="Q52" s="2">
        <f ca="1">((RAND()*1+2)*100)*10</f>
        <v>2996.094832409206</v>
      </c>
      <c r="R52" s="2">
        <f ca="1">((RAND()*1+2)*100)*10</f>
        <v>2170.6225837888619</v>
      </c>
      <c r="S52" s="2">
        <f ca="1">((RAND()*1+2)*100)*10</f>
        <v>2771.5866526640766</v>
      </c>
      <c r="T52" s="2">
        <f ca="1">((RAND()*1+2)*100)*10</f>
        <v>2515.6924132640816</v>
      </c>
      <c r="U52" s="2">
        <f ca="1">((RAND()*1+2)*100)*10</f>
        <v>2004.3233162928416</v>
      </c>
      <c r="V52" s="2">
        <f ca="1">((RAND()*1+2)*100)*10</f>
        <v>2064.155246909701</v>
      </c>
      <c r="W52" s="2">
        <f ca="1">((RAND()*1+2)*100)*10</f>
        <v>2401.9955634848147</v>
      </c>
      <c r="X52" s="2">
        <f ca="1">((RAND()*1+2)*100)*10</f>
        <v>2098.9677112096942</v>
      </c>
      <c r="Y52" s="2">
        <f ca="1">((RAND()*1+2)*100)*10</f>
        <v>2774.5439955098213</v>
      </c>
      <c r="Z52" s="2">
        <f ca="1">((RAND()*1+2)*100)*10</f>
        <v>2383.3090952619959</v>
      </c>
      <c r="AA52" s="2">
        <f ca="1">((RAND()*1+2)*100)*10</f>
        <v>2936.4234782351873</v>
      </c>
      <c r="AB52" s="2">
        <f ca="1">((RAND()*1+2)*100)*10</f>
        <v>2964.9691023132668</v>
      </c>
      <c r="AC52" s="2">
        <f ca="1">((RAND()*1+2)*100)*10</f>
        <v>2829.2513705982547</v>
      </c>
      <c r="AD52" s="2">
        <f ca="1">((RAND()*1+2)*100)*10</f>
        <v>2652.5896751175201</v>
      </c>
      <c r="AE52" s="2">
        <f ca="1">((RAND()*1+2)*100)*10</f>
        <v>2553.4519192541343</v>
      </c>
      <c r="AF52" s="2">
        <f ca="1">((RAND()*1+2)*100)*10</f>
        <v>2969.96589307985</v>
      </c>
      <c r="AG52" s="2">
        <f ca="1">((RAND()*1+2)*100)*10</f>
        <v>2634.6693326696454</v>
      </c>
      <c r="AH52" s="2">
        <f ca="1">((RAND()*1+2)*100)*10</f>
        <v>2322.7175396210978</v>
      </c>
    </row>
    <row r="53" spans="1:34">
      <c r="A53" t="str">
        <f t="shared" si="30"/>
        <v>Vegetables</v>
      </c>
      <c r="B53" t="str">
        <f t="shared" si="31"/>
        <v>Harari</v>
      </c>
      <c r="C53" s="2">
        <f ca="1">((RAND()*1+2)*100)*10</f>
        <v>2593.6413909199218</v>
      </c>
      <c r="D53" s="2">
        <f ca="1">((RAND()*1+2)*100)*10</f>
        <v>2806.7132488010811</v>
      </c>
      <c r="E53" s="2">
        <f ca="1">((RAND()*1+2)*100)*10</f>
        <v>2141.5726292925451</v>
      </c>
      <c r="F53" s="2">
        <f ca="1">((RAND()*1+2)*100)*10</f>
        <v>2500.1998182429065</v>
      </c>
      <c r="G53" s="2">
        <f ca="1">((RAND()*1+2)*100)*10</f>
        <v>2517.963730089908</v>
      </c>
      <c r="H53" s="2">
        <f ca="1">((RAND()*1+2)*100)*10</f>
        <v>2033.1391188559692</v>
      </c>
      <c r="I53" s="2">
        <f ca="1">((RAND()*1+2)*100)*10</f>
        <v>2591.3058074369906</v>
      </c>
      <c r="J53" s="2">
        <f ca="1">((RAND()*1+2)*100)*10</f>
        <v>2479.0373421059408</v>
      </c>
      <c r="K53" s="2">
        <f ca="1">((RAND()*1+2)*100)*10</f>
        <v>2782.5274148366634</v>
      </c>
      <c r="L53" s="2">
        <f ca="1">((RAND()*1+2)*100)*10</f>
        <v>2274.5406417223276</v>
      </c>
      <c r="M53" s="2">
        <f ca="1">((RAND()*1+2)*100)*10</f>
        <v>2626.8861909803177</v>
      </c>
      <c r="N53" s="2">
        <f ca="1">((RAND()*1+2)*100)*10</f>
        <v>2366.4739294483775</v>
      </c>
      <c r="O53" s="2">
        <f ca="1">((RAND()*1+2)*100)*10</f>
        <v>2822.3800837281146</v>
      </c>
      <c r="P53" s="2">
        <f ca="1">((RAND()*1+2)*100)*10</f>
        <v>2632.1286156520978</v>
      </c>
      <c r="Q53" s="2">
        <f ca="1">((RAND()*1+2)*100)*10</f>
        <v>2071.8266525240542</v>
      </c>
      <c r="R53" s="2">
        <f ca="1">((RAND()*1+2)*100)*10</f>
        <v>2556.5563160981501</v>
      </c>
      <c r="S53" s="2">
        <f ca="1">((RAND()*1+2)*100)*10</f>
        <v>2788.8419274935341</v>
      </c>
      <c r="T53" s="2">
        <f ca="1">((RAND()*1+2)*100)*10</f>
        <v>2940.9797481286778</v>
      </c>
      <c r="U53" s="2">
        <f ca="1">((RAND()*1+2)*100)*10</f>
        <v>2355.7345127178282</v>
      </c>
      <c r="V53" s="2">
        <f ca="1">((RAND()*1+2)*100)*10</f>
        <v>2094.347820651325</v>
      </c>
      <c r="W53" s="2">
        <f ca="1">((RAND()*1+2)*100)*10</f>
        <v>2836.1868684844085</v>
      </c>
      <c r="X53" s="2">
        <f ca="1">((RAND()*1+2)*100)*10</f>
        <v>2166.4743806112619</v>
      </c>
      <c r="Y53" s="2">
        <f ca="1">((RAND()*1+2)*100)*10</f>
        <v>2668.8019968261806</v>
      </c>
      <c r="Z53" s="2">
        <f ca="1">((RAND()*1+2)*100)*10</f>
        <v>2064.921639680686</v>
      </c>
      <c r="AA53" s="2">
        <f ca="1">((RAND()*1+2)*100)*10</f>
        <v>2769.7592456767761</v>
      </c>
      <c r="AB53" s="2">
        <f ca="1">((RAND()*1+2)*100)*10</f>
        <v>2911.7387450023598</v>
      </c>
      <c r="AC53" s="2">
        <f ca="1">((RAND()*1+2)*100)*10</f>
        <v>2846.547275489248</v>
      </c>
      <c r="AD53" s="2">
        <f ca="1">((RAND()*1+2)*100)*10</f>
        <v>2381.1380052217382</v>
      </c>
      <c r="AE53" s="2">
        <f ca="1">((RAND()*1+2)*100)*10</f>
        <v>2130.1969165764967</v>
      </c>
      <c r="AF53" s="2">
        <f ca="1">((RAND()*1+2)*100)*10</f>
        <v>2209.0618952595828</v>
      </c>
      <c r="AG53" s="2">
        <f ca="1">((RAND()*1+2)*100)*10</f>
        <v>2588.0204076315636</v>
      </c>
      <c r="AH53" s="2">
        <f ca="1">((RAND()*1+2)*100)*10</f>
        <v>2412.0135486504332</v>
      </c>
    </row>
    <row r="54" spans="1:34">
      <c r="A54" t="str">
        <f t="shared" si="30"/>
        <v>Vegetables</v>
      </c>
      <c r="B54" t="str">
        <f t="shared" si="31"/>
        <v>Oromia</v>
      </c>
      <c r="C54" s="2">
        <f ca="1">((RAND()*1+2)*100)*10</f>
        <v>2156.479561135814</v>
      </c>
      <c r="D54" s="2">
        <f ca="1">((RAND()*1+2)*100)*10</f>
        <v>2103.7118973858705</v>
      </c>
      <c r="E54" s="2">
        <f ca="1">((RAND()*1+2)*100)*10</f>
        <v>2999.5622068572247</v>
      </c>
      <c r="F54" s="2">
        <f ca="1">((RAND()*1+2)*100)*10</f>
        <v>2093.0505975344822</v>
      </c>
      <c r="G54" s="2">
        <f ca="1">((RAND()*1+2)*100)*10</f>
        <v>2621.8688330033065</v>
      </c>
      <c r="H54" s="2">
        <f ca="1">((RAND()*1+2)*100)*10</f>
        <v>2746.4344072199701</v>
      </c>
      <c r="I54" s="2">
        <f ca="1">((RAND()*1+2)*100)*10</f>
        <v>2225.86076806045</v>
      </c>
      <c r="J54" s="2">
        <f ca="1">((RAND()*1+2)*100)*10</f>
        <v>2619.4867932907459</v>
      </c>
      <c r="K54" s="2">
        <f ca="1">((RAND()*1+2)*100)*10</f>
        <v>2794.8478260064899</v>
      </c>
      <c r="L54" s="2">
        <f ca="1">((RAND()*1+2)*100)*10</f>
        <v>2648.3389831639952</v>
      </c>
      <c r="M54" s="2">
        <f ca="1">((RAND()*1+2)*100)*10</f>
        <v>2819.201205795016</v>
      </c>
      <c r="N54" s="2">
        <f ca="1">((RAND()*1+2)*100)*10</f>
        <v>2672.5802699566793</v>
      </c>
      <c r="O54" s="2">
        <f ca="1">((RAND()*1+2)*100)*10</f>
        <v>2682.3044785435723</v>
      </c>
      <c r="P54" s="2">
        <f ca="1">((RAND()*1+2)*100)*10</f>
        <v>2576.4622726893435</v>
      </c>
      <c r="Q54" s="2">
        <f ca="1">((RAND()*1+2)*100)*10</f>
        <v>2828.6089741688015</v>
      </c>
      <c r="R54" s="2">
        <f ca="1">((RAND()*1+2)*100)*10</f>
        <v>2468.2223660840468</v>
      </c>
      <c r="S54" s="2">
        <f ca="1">((RAND()*1+2)*100)*10</f>
        <v>2500.4745707508973</v>
      </c>
      <c r="T54" s="2">
        <f ca="1">((RAND()*1+2)*100)*10</f>
        <v>2858.7095445862997</v>
      </c>
      <c r="U54" s="2">
        <f ca="1">((RAND()*1+2)*100)*10</f>
        <v>2883.8564092277174</v>
      </c>
      <c r="V54" s="2">
        <f ca="1">((RAND()*1+2)*100)*10</f>
        <v>2417.8647709153161</v>
      </c>
      <c r="W54" s="2">
        <f ca="1">((RAND()*1+2)*100)*10</f>
        <v>2590.4665232127586</v>
      </c>
      <c r="X54" s="2">
        <f ca="1">((RAND()*1+2)*100)*10</f>
        <v>2368.2156551058533</v>
      </c>
      <c r="Y54" s="2">
        <f ca="1">((RAND()*1+2)*100)*10</f>
        <v>2535.5101356514888</v>
      </c>
      <c r="Z54" s="2">
        <f ca="1">((RAND()*1+2)*100)*10</f>
        <v>2048.6542675253377</v>
      </c>
      <c r="AA54" s="2">
        <f ca="1">((RAND()*1+2)*100)*10</f>
        <v>2415.7924031086995</v>
      </c>
      <c r="AB54" s="2">
        <f ca="1">((RAND()*1+2)*100)*10</f>
        <v>2761.6838595887521</v>
      </c>
      <c r="AC54" s="2">
        <f ca="1">((RAND()*1+2)*100)*10</f>
        <v>2756.1049782262849</v>
      </c>
      <c r="AD54" s="2">
        <f ca="1">((RAND()*1+2)*100)*10</f>
        <v>2812.1839170297144</v>
      </c>
      <c r="AE54" s="2">
        <f ca="1">((RAND()*1+2)*100)*10</f>
        <v>2607.1169393025084</v>
      </c>
      <c r="AF54" s="2">
        <f ca="1">((RAND()*1+2)*100)*10</f>
        <v>2734.0766518848959</v>
      </c>
      <c r="AG54" s="2">
        <f ca="1">((RAND()*1+2)*100)*10</f>
        <v>2246.6475781174718</v>
      </c>
      <c r="AH54" s="2">
        <f ca="1">((RAND()*1+2)*100)*10</f>
        <v>2046.3676334418783</v>
      </c>
    </row>
    <row r="55" spans="1:34">
      <c r="A55" t="str">
        <f t="shared" si="30"/>
        <v>Vegetables</v>
      </c>
      <c r="B55" t="str">
        <f t="shared" si="31"/>
        <v>Somali</v>
      </c>
      <c r="C55" s="2">
        <f ca="1">((RAND()*1+2)*100)*10</f>
        <v>2336.8954688650733</v>
      </c>
      <c r="D55" s="2">
        <f ca="1">((RAND()*1+2)*100)*10</f>
        <v>2100.7189904284519</v>
      </c>
      <c r="E55" s="2">
        <f ca="1">((RAND()*1+2)*100)*10</f>
        <v>2278.3861014666895</v>
      </c>
      <c r="F55" s="2">
        <f ca="1">((RAND()*1+2)*100)*10</f>
        <v>2284.141676028501</v>
      </c>
      <c r="G55" s="2">
        <f ca="1">((RAND()*1+2)*100)*10</f>
        <v>2217.4449705589136</v>
      </c>
      <c r="H55" s="2">
        <f ca="1">((RAND()*1+2)*100)*10</f>
        <v>2556.7491548471262</v>
      </c>
      <c r="I55" s="2">
        <f ca="1">((RAND()*1+2)*100)*10</f>
        <v>2807.072347721486</v>
      </c>
      <c r="J55" s="2">
        <f ca="1">((RAND()*1+2)*100)*10</f>
        <v>2056.0200954321131</v>
      </c>
      <c r="K55" s="2">
        <f ca="1">((RAND()*1+2)*100)*10</f>
        <v>2333.70966893274</v>
      </c>
      <c r="L55" s="2">
        <f ca="1">((RAND()*1+2)*100)*10</f>
        <v>2728.6321661693446</v>
      </c>
      <c r="M55" s="2">
        <f ca="1">((RAND()*1+2)*100)*10</f>
        <v>2948.131894272829</v>
      </c>
      <c r="N55" s="2">
        <f ca="1">((RAND()*1+2)*100)*10</f>
        <v>2148.8931240853481</v>
      </c>
      <c r="O55" s="2">
        <f ca="1">((RAND()*1+2)*100)*10</f>
        <v>2784.0747212675105</v>
      </c>
      <c r="P55" s="2">
        <f ca="1">((RAND()*1+2)*100)*10</f>
        <v>2507.8316804065694</v>
      </c>
      <c r="Q55" s="2">
        <f ca="1">((RAND()*1+2)*100)*10</f>
        <v>2270.7112246553838</v>
      </c>
      <c r="R55" s="2">
        <f ca="1">((RAND()*1+2)*100)*10</f>
        <v>2434.6388905991994</v>
      </c>
      <c r="S55" s="2">
        <f ca="1">((RAND()*1+2)*100)*10</f>
        <v>2321.8277094414939</v>
      </c>
      <c r="T55" s="2">
        <f ca="1">((RAND()*1+2)*100)*10</f>
        <v>2442.6076095824046</v>
      </c>
      <c r="U55" s="2">
        <f ca="1">((RAND()*1+2)*100)*10</f>
        <v>2672.1428117985333</v>
      </c>
      <c r="V55" s="2">
        <f ca="1">((RAND()*1+2)*100)*10</f>
        <v>2455.055244814303</v>
      </c>
      <c r="W55" s="2">
        <f ca="1">((RAND()*1+2)*100)*10</f>
        <v>2926.6898710653227</v>
      </c>
      <c r="X55" s="2">
        <f ca="1">((RAND()*1+2)*100)*10</f>
        <v>2967.6910259272195</v>
      </c>
      <c r="Y55" s="2">
        <f ca="1">((RAND()*1+2)*100)*10</f>
        <v>2720.8523398543102</v>
      </c>
      <c r="Z55" s="2">
        <f ca="1">((RAND()*1+2)*100)*10</f>
        <v>2400.3528496621448</v>
      </c>
      <c r="AA55" s="2">
        <f ca="1">((RAND()*1+2)*100)*10</f>
        <v>2582.2405290200104</v>
      </c>
      <c r="AB55" s="2">
        <f ca="1">((RAND()*1+2)*100)*10</f>
        <v>2617.903489519349</v>
      </c>
      <c r="AC55" s="2">
        <f ca="1">((RAND()*1+2)*100)*10</f>
        <v>2961.7400720381866</v>
      </c>
      <c r="AD55" s="2">
        <f ca="1">((RAND()*1+2)*100)*10</f>
        <v>2584.3711434897846</v>
      </c>
      <c r="AE55" s="2">
        <f ca="1">((RAND()*1+2)*100)*10</f>
        <v>2697.8628908225278</v>
      </c>
      <c r="AF55" s="2">
        <f ca="1">((RAND()*1+2)*100)*10</f>
        <v>2707.4564837500357</v>
      </c>
      <c r="AG55" s="2">
        <f ca="1">((RAND()*1+2)*100)*10</f>
        <v>2816.6355039420168</v>
      </c>
      <c r="AH55" s="2">
        <f ca="1">((RAND()*1+2)*100)*10</f>
        <v>2031.0249097733254</v>
      </c>
    </row>
    <row r="56" spans="1:34">
      <c r="A56" t="str">
        <f t="shared" si="30"/>
        <v>Vegetables</v>
      </c>
      <c r="B56" t="str">
        <f t="shared" si="31"/>
        <v>SNNPR</v>
      </c>
      <c r="C56" s="2">
        <f ca="1">((RAND()*1+2)*100)*10</f>
        <v>2382.0723829127373</v>
      </c>
      <c r="D56" s="2">
        <f ca="1">((RAND()*1+2)*100)*10</f>
        <v>2997.9057915820513</v>
      </c>
      <c r="E56" s="2">
        <f ca="1">((RAND()*1+2)*100)*10</f>
        <v>2283.1902447586017</v>
      </c>
      <c r="F56" s="2">
        <f ca="1">((RAND()*1+2)*100)*10</f>
        <v>2220.2498915631977</v>
      </c>
      <c r="G56" s="2">
        <f ca="1">((RAND()*1+2)*100)*10</f>
        <v>2170.930601233561</v>
      </c>
      <c r="H56" s="2">
        <f ca="1">((RAND()*1+2)*100)*10</f>
        <v>2547.2183283447453</v>
      </c>
      <c r="I56" s="2">
        <f ca="1">((RAND()*1+2)*100)*10</f>
        <v>2863.5009125693186</v>
      </c>
      <c r="J56" s="2">
        <f ca="1">((RAND()*1+2)*100)*10</f>
        <v>2331.7001227157216</v>
      </c>
      <c r="K56" s="2">
        <f ca="1">((RAND()*1+2)*100)*10</f>
        <v>2469.2345286511099</v>
      </c>
      <c r="L56" s="2">
        <f ca="1">((RAND()*1+2)*100)*10</f>
        <v>2351.0254854402688</v>
      </c>
      <c r="M56" s="2">
        <f ca="1">((RAND()*1+2)*100)*10</f>
        <v>2782.6099819075353</v>
      </c>
      <c r="N56" s="2">
        <f ca="1">((RAND()*1+2)*100)*10</f>
        <v>2424.0565359504203</v>
      </c>
      <c r="O56" s="2">
        <f ca="1">((RAND()*1+2)*100)*10</f>
        <v>2383.0943172832035</v>
      </c>
      <c r="P56" s="2">
        <f ca="1">((RAND()*1+2)*100)*10</f>
        <v>2356.6008859832473</v>
      </c>
      <c r="Q56" s="2">
        <f ca="1">((RAND()*1+2)*100)*10</f>
        <v>2152.0338913789788</v>
      </c>
      <c r="R56" s="2">
        <f ca="1">((RAND()*1+2)*100)*10</f>
        <v>2004.248243429771</v>
      </c>
      <c r="S56" s="2">
        <f ca="1">((RAND()*1+2)*100)*10</f>
        <v>2492.2548760519844</v>
      </c>
      <c r="T56" s="2">
        <f ca="1">((RAND()*1+2)*100)*10</f>
        <v>2592.9695156650514</v>
      </c>
      <c r="U56" s="2">
        <f ca="1">((RAND()*1+2)*100)*10</f>
        <v>2414.7179627326095</v>
      </c>
      <c r="V56" s="2">
        <f ca="1">((RAND()*1+2)*100)*10</f>
        <v>2602.789840283604</v>
      </c>
      <c r="W56" s="2">
        <f ca="1">((RAND()*1+2)*100)*10</f>
        <v>2443.2427617460871</v>
      </c>
      <c r="X56" s="2">
        <f ca="1">((RAND()*1+2)*100)*10</f>
        <v>2086.5558960893541</v>
      </c>
      <c r="Y56" s="2">
        <f ca="1">((RAND()*1+2)*100)*10</f>
        <v>2279.5906158031266</v>
      </c>
      <c r="Z56" s="2">
        <f ca="1">((RAND()*1+2)*100)*10</f>
        <v>2827.8577422232415</v>
      </c>
      <c r="AA56" s="2">
        <f ca="1">((RAND()*1+2)*100)*10</f>
        <v>2053.296030989351</v>
      </c>
      <c r="AB56" s="2">
        <f ca="1">((RAND()*1+2)*100)*10</f>
        <v>2876.9330469972047</v>
      </c>
      <c r="AC56" s="2">
        <f ca="1">((RAND()*1+2)*100)*10</f>
        <v>2874.8351850941522</v>
      </c>
      <c r="AD56" s="2">
        <f ca="1">((RAND()*1+2)*100)*10</f>
        <v>2844.802100742123</v>
      </c>
      <c r="AE56" s="2">
        <f ca="1">((RAND()*1+2)*100)*10</f>
        <v>2687.1697370373786</v>
      </c>
      <c r="AF56" s="2">
        <f ca="1">((RAND()*1+2)*100)*10</f>
        <v>2176.1378999587855</v>
      </c>
      <c r="AG56" s="2">
        <f ca="1">((RAND()*1+2)*100)*10</f>
        <v>2983.371377953792</v>
      </c>
      <c r="AH56" s="2">
        <f ca="1">((RAND()*1+2)*100)*10</f>
        <v>2282.0935994498655</v>
      </c>
    </row>
    <row r="57" spans="1:34">
      <c r="A57" t="str">
        <f t="shared" si="30"/>
        <v>Vegetables</v>
      </c>
      <c r="B57" t="str">
        <f t="shared" si="31"/>
        <v>Tigray</v>
      </c>
      <c r="C57" s="2">
        <f ca="1">((RAND()*1+2)*100)*10</f>
        <v>2064.7833367630938</v>
      </c>
      <c r="D57" s="2">
        <f ca="1">((RAND()*1+2)*100)*10</f>
        <v>2872.8555538541914</v>
      </c>
      <c r="E57" s="2">
        <f ca="1">((RAND()*1+2)*100)*10</f>
        <v>2341.773490073158</v>
      </c>
      <c r="F57" s="2">
        <f ca="1">((RAND()*1+2)*100)*10</f>
        <v>2642.7901621318397</v>
      </c>
      <c r="G57" s="2">
        <f ca="1">((RAND()*1+2)*100)*10</f>
        <v>2044.1380703027287</v>
      </c>
      <c r="H57" s="2">
        <f ca="1">((RAND()*1+2)*100)*10</f>
        <v>2495.6389025138033</v>
      </c>
      <c r="I57" s="2">
        <f ca="1">((RAND()*1+2)*100)*10</f>
        <v>2384.7867153804655</v>
      </c>
      <c r="J57" s="2">
        <f ca="1">((RAND()*1+2)*100)*10</f>
        <v>2957.1011146913424</v>
      </c>
      <c r="K57" s="2">
        <f ca="1">((RAND()*1+2)*100)*10</f>
        <v>2772.6650847636956</v>
      </c>
      <c r="L57" s="2">
        <f ca="1">((RAND()*1+2)*100)*10</f>
        <v>2774.2818601274662</v>
      </c>
      <c r="M57" s="2">
        <f ca="1">((RAND()*1+2)*100)*10</f>
        <v>2520.2538193725622</v>
      </c>
      <c r="N57" s="2">
        <f ca="1">((RAND()*1+2)*100)*10</f>
        <v>2306.6919480930324</v>
      </c>
      <c r="O57" s="2">
        <f ca="1">((RAND()*1+2)*100)*10</f>
        <v>2169.334682876548</v>
      </c>
      <c r="P57" s="2">
        <f ca="1">((RAND()*1+2)*100)*10</f>
        <v>2976.9196875946081</v>
      </c>
      <c r="Q57" s="2">
        <f ca="1">((RAND()*1+2)*100)*10</f>
        <v>2065.4804395674669</v>
      </c>
      <c r="R57" s="2">
        <f ca="1">((RAND()*1+2)*100)*10</f>
        <v>2762.0378112129088</v>
      </c>
      <c r="S57" s="2">
        <f ca="1">((RAND()*1+2)*100)*10</f>
        <v>2242.9427990718923</v>
      </c>
      <c r="T57" s="2">
        <f ca="1">((RAND()*1+2)*100)*10</f>
        <v>2472.1521359718731</v>
      </c>
      <c r="U57" s="2">
        <f ca="1">((RAND()*1+2)*100)*10</f>
        <v>2179.1434996776161</v>
      </c>
      <c r="V57" s="2">
        <f ca="1">((RAND()*1+2)*100)*10</f>
        <v>2711.7966195443746</v>
      </c>
      <c r="W57" s="2">
        <f ca="1">((RAND()*1+2)*100)*10</f>
        <v>2409.8058777618808</v>
      </c>
      <c r="X57" s="2">
        <f ca="1">((RAND()*1+2)*100)*10</f>
        <v>2165.4284831717519</v>
      </c>
      <c r="Y57" s="2">
        <f ca="1">((RAND()*1+2)*100)*10</f>
        <v>2499.0797073218473</v>
      </c>
      <c r="Z57" s="2">
        <f ca="1">((RAND()*1+2)*100)*10</f>
        <v>2534.4687077736212</v>
      </c>
      <c r="AA57" s="2">
        <f ca="1">((RAND()*1+2)*100)*10</f>
        <v>2425.1546370771903</v>
      </c>
      <c r="AB57" s="2">
        <f ca="1">((RAND()*1+2)*100)*10</f>
        <v>2909.4073428663619</v>
      </c>
      <c r="AC57" s="2">
        <f ca="1">((RAND()*1+2)*100)*10</f>
        <v>2325.545958528553</v>
      </c>
      <c r="AD57" s="2">
        <f ca="1">((RAND()*1+2)*100)*10</f>
        <v>2334.7701976273047</v>
      </c>
      <c r="AE57" s="2">
        <f ca="1">((RAND()*1+2)*100)*10</f>
        <v>2879.4141254146684</v>
      </c>
      <c r="AF57" s="2">
        <f ca="1">((RAND()*1+2)*100)*10</f>
        <v>2716.7578228178227</v>
      </c>
      <c r="AG57" s="2">
        <f ca="1">((RAND()*1+2)*100)*10</f>
        <v>2634.1173605777603</v>
      </c>
      <c r="AH57" s="2">
        <f ca="1">((RAND()*1+2)*100)*10</f>
        <v>2912.9072052143556</v>
      </c>
    </row>
    <row r="58" spans="1:34">
      <c r="A58" t="str">
        <f t="shared" si="30"/>
        <v>Coffee</v>
      </c>
      <c r="B58" t="str">
        <f t="shared" si="31"/>
        <v>AddisAbaba</v>
      </c>
      <c r="C58" s="2">
        <f ca="1">((RAND()*1+2)*100)*10</f>
        <v>2688.5214658435843</v>
      </c>
      <c r="D58" s="2">
        <f ca="1">((RAND()*1+2)*100)*10</f>
        <v>2698.4715650709313</v>
      </c>
      <c r="E58" s="2">
        <f ca="1">((RAND()*1+2)*100)*10</f>
        <v>2465.8311638787472</v>
      </c>
      <c r="F58" s="2">
        <f ca="1">((RAND()*1+2)*100)*10</f>
        <v>2740.777786184367</v>
      </c>
      <c r="G58" s="2">
        <f ca="1">((RAND()*1+2)*100)*10</f>
        <v>2258.134554570127</v>
      </c>
      <c r="H58" s="2">
        <f ca="1">((RAND()*1+2)*100)*10</f>
        <v>2787.0680621597639</v>
      </c>
      <c r="I58" s="2">
        <f ca="1">((RAND()*1+2)*100)*10</f>
        <v>2807.4800234678783</v>
      </c>
      <c r="J58" s="2">
        <f ca="1">((RAND()*1+2)*100)*10</f>
        <v>2732.4385286566758</v>
      </c>
      <c r="K58" s="2">
        <f ca="1">((RAND()*1+2)*100)*10</f>
        <v>2185.2871287342782</v>
      </c>
      <c r="L58" s="2">
        <f ca="1">((RAND()*1+2)*100)*10</f>
        <v>2516.3656820001506</v>
      </c>
      <c r="M58" s="2">
        <f ca="1">((RAND()*1+2)*100)*10</f>
        <v>2117.8139753232776</v>
      </c>
      <c r="N58" s="2">
        <f ca="1">((RAND()*1+2)*100)*10</f>
        <v>2210.2689320932304</v>
      </c>
      <c r="O58" s="2">
        <f ca="1">((RAND()*1+2)*100)*10</f>
        <v>2860.7389261089975</v>
      </c>
      <c r="P58" s="2">
        <f ca="1">((RAND()*1+2)*100)*10</f>
        <v>2349.7267094524223</v>
      </c>
      <c r="Q58" s="2">
        <f ca="1">((RAND()*1+2)*100)*10</f>
        <v>2898.154280722028</v>
      </c>
      <c r="R58" s="2">
        <f ca="1">((RAND()*1+2)*100)*10</f>
        <v>2057.4284369814127</v>
      </c>
      <c r="S58" s="2">
        <f ca="1">((RAND()*1+2)*100)*10</f>
        <v>2197.2124760191455</v>
      </c>
      <c r="T58" s="2">
        <f ca="1">((RAND()*1+2)*100)*10</f>
        <v>2072.6351093975377</v>
      </c>
      <c r="U58" s="2">
        <f ca="1">((RAND()*1+2)*100)*10</f>
        <v>2277.8410821826806</v>
      </c>
      <c r="V58" s="2">
        <f ca="1">((RAND()*1+2)*100)*10</f>
        <v>2434.9201693748082</v>
      </c>
      <c r="W58" s="2">
        <f ca="1">((RAND()*1+2)*100)*10</f>
        <v>2591.7260669109778</v>
      </c>
      <c r="X58" s="2">
        <f ca="1">((RAND()*1+2)*100)*10</f>
        <v>2660.4315987268756</v>
      </c>
      <c r="Y58" s="2">
        <f ca="1">((RAND()*1+2)*100)*10</f>
        <v>2108.567775974394</v>
      </c>
      <c r="Z58" s="2">
        <f ca="1">((RAND()*1+2)*100)*10</f>
        <v>2005.2438538310912</v>
      </c>
      <c r="AA58" s="2">
        <f ca="1">((RAND()*1+2)*100)*10</f>
        <v>2310.2771009131447</v>
      </c>
      <c r="AB58" s="2">
        <f ca="1">((RAND()*1+2)*100)*10</f>
        <v>2750.9114921710407</v>
      </c>
      <c r="AC58" s="2">
        <f ca="1">((RAND()*1+2)*100)*10</f>
        <v>2904.7200960256605</v>
      </c>
      <c r="AD58" s="2">
        <f ca="1">((RAND()*1+2)*100)*10</f>
        <v>2101.2281855769206</v>
      </c>
      <c r="AE58" s="2">
        <f ca="1">((RAND()*1+2)*100)*10</f>
        <v>2445.6040754256487</v>
      </c>
      <c r="AF58" s="2">
        <f ca="1">((RAND()*1+2)*100)*10</f>
        <v>2669.1829546988147</v>
      </c>
      <c r="AG58" s="2">
        <f ca="1">((RAND()*1+2)*100)*10</f>
        <v>2441.1551910529465</v>
      </c>
      <c r="AH58" s="2">
        <f ca="1">((RAND()*1+2)*100)*10</f>
        <v>2573.704458021653</v>
      </c>
    </row>
    <row r="59" spans="1:34">
      <c r="A59" t="str">
        <f t="shared" si="30"/>
        <v>Coffee</v>
      </c>
      <c r="B59" t="str">
        <f t="shared" si="31"/>
        <v>Afar</v>
      </c>
      <c r="C59" s="2">
        <f ca="1">((RAND()*1+2)*100)*10</f>
        <v>2676.6025240117278</v>
      </c>
      <c r="D59" s="2">
        <f ca="1">((RAND()*1+2)*100)*10</f>
        <v>2244.5346790646167</v>
      </c>
      <c r="E59" s="2">
        <f ca="1">((RAND()*1+2)*100)*10</f>
        <v>2595.9247538853833</v>
      </c>
      <c r="F59" s="2">
        <f ca="1">((RAND()*1+2)*100)*10</f>
        <v>2014.0651204432127</v>
      </c>
      <c r="G59" s="2">
        <f ca="1">((RAND()*1+2)*100)*10</f>
        <v>2785.2205412493872</v>
      </c>
      <c r="H59" s="2">
        <f ca="1">((RAND()*1+2)*100)*10</f>
        <v>2876.7279174253954</v>
      </c>
      <c r="I59" s="2">
        <f ca="1">((RAND()*1+2)*100)*10</f>
        <v>2471.8241207831707</v>
      </c>
      <c r="J59" s="2">
        <f ca="1">((RAND()*1+2)*100)*10</f>
        <v>2881.2793428845457</v>
      </c>
      <c r="K59" s="2">
        <f ca="1">((RAND()*1+2)*100)*10</f>
        <v>2256.2908622161408</v>
      </c>
      <c r="L59" s="2">
        <f ca="1">((RAND()*1+2)*100)*10</f>
        <v>2642.1273572177529</v>
      </c>
      <c r="M59" s="2">
        <f ca="1">((RAND()*1+2)*100)*10</f>
        <v>2211.6435821330592</v>
      </c>
      <c r="N59" s="2">
        <f ca="1">((RAND()*1+2)*100)*10</f>
        <v>2526.7313864021135</v>
      </c>
      <c r="O59" s="2">
        <f ca="1">((RAND()*1+2)*100)*10</f>
        <v>2187.4499555606117</v>
      </c>
      <c r="P59" s="2">
        <f ca="1">((RAND()*1+2)*100)*10</f>
        <v>2652.7095014735482</v>
      </c>
      <c r="Q59" s="2">
        <f ca="1">((RAND()*1+2)*100)*10</f>
        <v>2818.1389533811334</v>
      </c>
      <c r="R59" s="2">
        <f ca="1">((RAND()*1+2)*100)*10</f>
        <v>2365.389361913577</v>
      </c>
      <c r="S59" s="2">
        <f ca="1">((RAND()*1+2)*100)*10</f>
        <v>2588.2042099320788</v>
      </c>
      <c r="T59" s="2">
        <f ca="1">((RAND()*1+2)*100)*10</f>
        <v>2674.6023720588973</v>
      </c>
      <c r="U59" s="2">
        <f ca="1">((RAND()*1+2)*100)*10</f>
        <v>2357.9275837958949</v>
      </c>
      <c r="V59" s="2">
        <f ca="1">((RAND()*1+2)*100)*10</f>
        <v>2828.0454547584895</v>
      </c>
      <c r="W59" s="2">
        <f ca="1">((RAND()*1+2)*100)*10</f>
        <v>2339.2452011745554</v>
      </c>
      <c r="X59" s="2">
        <f ca="1">((RAND()*1+2)*100)*10</f>
        <v>2251.2400771609005</v>
      </c>
      <c r="Y59" s="2">
        <f ca="1">((RAND()*1+2)*100)*10</f>
        <v>2544.5430606418827</v>
      </c>
      <c r="Z59" s="2">
        <f ca="1">((RAND()*1+2)*100)*10</f>
        <v>2973.5672634643042</v>
      </c>
      <c r="AA59" s="2">
        <f ca="1">((RAND()*1+2)*100)*10</f>
        <v>2397.8183436916297</v>
      </c>
      <c r="AB59" s="2">
        <f ca="1">((RAND()*1+2)*100)*10</f>
        <v>2053.2940409521411</v>
      </c>
      <c r="AC59" s="2">
        <f ca="1">((RAND()*1+2)*100)*10</f>
        <v>2064.8097183595783</v>
      </c>
      <c r="AD59" s="2">
        <f ca="1">((RAND()*1+2)*100)*10</f>
        <v>2512.5444004119427</v>
      </c>
      <c r="AE59" s="2">
        <f ca="1">((RAND()*1+2)*100)*10</f>
        <v>2065.5175616540687</v>
      </c>
      <c r="AF59" s="2">
        <f ca="1">((RAND()*1+2)*100)*10</f>
        <v>2535.1750345254673</v>
      </c>
      <c r="AG59" s="2">
        <f ca="1">((RAND()*1+2)*100)*10</f>
        <v>2627.6801460865795</v>
      </c>
      <c r="AH59" s="2">
        <f ca="1">((RAND()*1+2)*100)*10</f>
        <v>2563.5231805998433</v>
      </c>
    </row>
    <row r="60" spans="1:34">
      <c r="A60" t="str">
        <f t="shared" si="30"/>
        <v>Coffee</v>
      </c>
      <c r="B60" t="str">
        <f t="shared" si="31"/>
        <v>Amhara</v>
      </c>
      <c r="C60" s="2">
        <f ca="1">((RAND()*1+2)*100)*10</f>
        <v>2359.4901136088956</v>
      </c>
      <c r="D60" s="2">
        <f ca="1">((RAND()*1+2)*100)*10</f>
        <v>2341.3073381333515</v>
      </c>
      <c r="E60" s="2">
        <f ca="1">((RAND()*1+2)*100)*10</f>
        <v>2783.5502707454884</v>
      </c>
      <c r="F60" s="2">
        <f ca="1">((RAND()*1+2)*100)*10</f>
        <v>2945.6211905457212</v>
      </c>
      <c r="G60" s="2">
        <f ca="1">((RAND()*1+2)*100)*10</f>
        <v>2017.8130389457278</v>
      </c>
      <c r="H60" s="2">
        <f ca="1">((RAND()*1+2)*100)*10</f>
        <v>2828.2827981734863</v>
      </c>
      <c r="I60" s="2">
        <f ca="1">((RAND()*1+2)*100)*10</f>
        <v>2263.3778155480995</v>
      </c>
      <c r="J60" s="2">
        <f ca="1">((RAND()*1+2)*100)*10</f>
        <v>2985.3796521543541</v>
      </c>
      <c r="K60" s="2">
        <f ca="1">((RAND()*1+2)*100)*10</f>
        <v>2724.1408409270621</v>
      </c>
      <c r="L60" s="2">
        <f ca="1">((RAND()*1+2)*100)*10</f>
        <v>2347.9539692155568</v>
      </c>
      <c r="M60" s="2">
        <f ca="1">((RAND()*1+2)*100)*10</f>
        <v>2915.8075320984408</v>
      </c>
      <c r="N60" s="2">
        <f ca="1">((RAND()*1+2)*100)*10</f>
        <v>2773.5821026690273</v>
      </c>
      <c r="O60" s="2">
        <f ca="1">((RAND()*1+2)*100)*10</f>
        <v>2472.2075336749203</v>
      </c>
      <c r="P60" s="2">
        <f ca="1">((RAND()*1+2)*100)*10</f>
        <v>2707.8643797249888</v>
      </c>
      <c r="Q60" s="2">
        <f ca="1">((RAND()*1+2)*100)*10</f>
        <v>2045.8637587074327</v>
      </c>
      <c r="R60" s="2">
        <f ca="1">((RAND()*1+2)*100)*10</f>
        <v>2372.5470389504785</v>
      </c>
      <c r="S60" s="2">
        <f ca="1">((RAND()*1+2)*100)*10</f>
        <v>2279.458301809108</v>
      </c>
      <c r="T60" s="2">
        <f ca="1">((RAND()*1+2)*100)*10</f>
        <v>2010.2908057641916</v>
      </c>
      <c r="U60" s="2">
        <f ca="1">((RAND()*1+2)*100)*10</f>
        <v>2345.4344907542391</v>
      </c>
      <c r="V60" s="2">
        <f ca="1">((RAND()*1+2)*100)*10</f>
        <v>2422.5016401702605</v>
      </c>
      <c r="W60" s="2">
        <f ca="1">((RAND()*1+2)*100)*10</f>
        <v>2851.8666372282883</v>
      </c>
      <c r="X60" s="2">
        <f ca="1">((RAND()*1+2)*100)*10</f>
        <v>2946.594452222053</v>
      </c>
      <c r="Y60" s="2">
        <f ca="1">((RAND()*1+2)*100)*10</f>
        <v>2846.5441210207841</v>
      </c>
      <c r="Z60" s="2">
        <f ca="1">((RAND()*1+2)*100)*10</f>
        <v>2050.8561116985352</v>
      </c>
      <c r="AA60" s="2">
        <f ca="1">((RAND()*1+2)*100)*10</f>
        <v>2589.8207046122802</v>
      </c>
      <c r="AB60" s="2">
        <f ca="1">((RAND()*1+2)*100)*10</f>
        <v>2769.6516113284774</v>
      </c>
      <c r="AC60" s="2">
        <f ca="1">((RAND()*1+2)*100)*10</f>
        <v>2301.3558110620033</v>
      </c>
      <c r="AD60" s="2">
        <f ca="1">((RAND()*1+2)*100)*10</f>
        <v>2451.6509263305384</v>
      </c>
      <c r="AE60" s="2">
        <f ca="1">((RAND()*1+2)*100)*10</f>
        <v>2885.0160424646815</v>
      </c>
      <c r="AF60" s="2">
        <f ca="1">((RAND()*1+2)*100)*10</f>
        <v>2742.2299054356936</v>
      </c>
      <c r="AG60" s="2">
        <f ca="1">((RAND()*1+2)*100)*10</f>
        <v>2077.4761779395849</v>
      </c>
      <c r="AH60" s="2">
        <f ca="1">((RAND()*1+2)*100)*10</f>
        <v>2093.2889279370766</v>
      </c>
    </row>
    <row r="61" spans="1:34">
      <c r="A61" t="str">
        <f t="shared" si="30"/>
        <v>Coffee</v>
      </c>
      <c r="B61" t="str">
        <f t="shared" si="31"/>
        <v>Gumuz</v>
      </c>
      <c r="C61" s="2">
        <f ca="1">((RAND()*1+2)*100)*10</f>
        <v>2309.7602675102921</v>
      </c>
      <c r="D61" s="2">
        <f ca="1">((RAND()*1+2)*100)*10</f>
        <v>2199.4119846482336</v>
      </c>
      <c r="E61" s="2">
        <f ca="1">((RAND()*1+2)*100)*10</f>
        <v>2972.7269420700959</v>
      </c>
      <c r="F61" s="2">
        <f ca="1">((RAND()*1+2)*100)*10</f>
        <v>2201.030910433401</v>
      </c>
      <c r="G61" s="2">
        <f ca="1">((RAND()*1+2)*100)*10</f>
        <v>2600.0989281610737</v>
      </c>
      <c r="H61" s="2">
        <f ca="1">((RAND()*1+2)*100)*10</f>
        <v>2782.0257043185625</v>
      </c>
      <c r="I61" s="2">
        <f ca="1">((RAND()*1+2)*100)*10</f>
        <v>2142.6026027412818</v>
      </c>
      <c r="J61" s="2">
        <f ca="1">((RAND()*1+2)*100)*10</f>
        <v>2780.7920999156654</v>
      </c>
      <c r="K61" s="2">
        <f ca="1">((RAND()*1+2)*100)*10</f>
        <v>2866.4106916821956</v>
      </c>
      <c r="L61" s="2">
        <f ca="1">((RAND()*1+2)*100)*10</f>
        <v>2106.9651688534682</v>
      </c>
      <c r="M61" s="2">
        <f ca="1">((RAND()*1+2)*100)*10</f>
        <v>2703.36154903223</v>
      </c>
      <c r="N61" s="2">
        <f ca="1">((RAND()*1+2)*100)*10</f>
        <v>2207.0119048163397</v>
      </c>
      <c r="O61" s="2">
        <f ca="1">((RAND()*1+2)*100)*10</f>
        <v>2170.7457285444052</v>
      </c>
      <c r="P61" s="2">
        <f ca="1">((RAND()*1+2)*100)*10</f>
        <v>2116.026460423378</v>
      </c>
      <c r="Q61" s="2">
        <f ca="1">((RAND()*1+2)*100)*10</f>
        <v>2116.7605093987036</v>
      </c>
      <c r="R61" s="2">
        <f ca="1">((RAND()*1+2)*100)*10</f>
        <v>2137.52703308214</v>
      </c>
      <c r="S61" s="2">
        <f ca="1">((RAND()*1+2)*100)*10</f>
        <v>2824.2999600255284</v>
      </c>
      <c r="T61" s="2">
        <f ca="1">((RAND()*1+2)*100)*10</f>
        <v>2394.0843804135216</v>
      </c>
      <c r="U61" s="2">
        <f ca="1">((RAND()*1+2)*100)*10</f>
        <v>2434.2794030181876</v>
      </c>
      <c r="V61" s="2">
        <f ca="1">((RAND()*1+2)*100)*10</f>
        <v>2109.0470454336146</v>
      </c>
      <c r="W61" s="2">
        <f ca="1">((RAND()*1+2)*100)*10</f>
        <v>2806.8824453436064</v>
      </c>
      <c r="X61" s="2">
        <f ca="1">((RAND()*1+2)*100)*10</f>
        <v>2600.0682476886209</v>
      </c>
      <c r="Y61" s="2">
        <f ca="1">((RAND()*1+2)*100)*10</f>
        <v>2916.418353703139</v>
      </c>
      <c r="Z61" s="2">
        <f ca="1">((RAND()*1+2)*100)*10</f>
        <v>2130.5951401814705</v>
      </c>
      <c r="AA61" s="2">
        <f ca="1">((RAND()*1+2)*100)*10</f>
        <v>2227.6130264585463</v>
      </c>
      <c r="AB61" s="2">
        <f ca="1">((RAND()*1+2)*100)*10</f>
        <v>2622.0308979001588</v>
      </c>
      <c r="AC61" s="2">
        <f ca="1">((RAND()*1+2)*100)*10</f>
        <v>2114.6873790264549</v>
      </c>
      <c r="AD61" s="2">
        <f ca="1">((RAND()*1+2)*100)*10</f>
        <v>2649.7118166521022</v>
      </c>
      <c r="AE61" s="2">
        <f ca="1">((RAND()*1+2)*100)*10</f>
        <v>2606.5895754838034</v>
      </c>
      <c r="AF61" s="2">
        <f ca="1">((RAND()*1+2)*100)*10</f>
        <v>2030.7299172267653</v>
      </c>
      <c r="AG61" s="2">
        <f ca="1">((RAND()*1+2)*100)*10</f>
        <v>2770.1479732824328</v>
      </c>
      <c r="AH61" s="2">
        <f ca="1">((RAND()*1+2)*100)*10</f>
        <v>2698.6464177237253</v>
      </c>
    </row>
    <row r="62" spans="1:34">
      <c r="A62" t="str">
        <f t="shared" si="30"/>
        <v>Coffee</v>
      </c>
      <c r="B62" t="str">
        <f t="shared" si="31"/>
        <v>DireDawa</v>
      </c>
      <c r="C62" s="2">
        <f ca="1">((RAND()*1+2)*100)*10</f>
        <v>2274.9841624122155</v>
      </c>
      <c r="D62" s="2">
        <f ca="1">((RAND()*1+2)*100)*10</f>
        <v>2516.9705709350319</v>
      </c>
      <c r="E62" s="2">
        <f ca="1">((RAND()*1+2)*100)*10</f>
        <v>2856.0254220447518</v>
      </c>
      <c r="F62" s="2">
        <f ca="1">((RAND()*1+2)*100)*10</f>
        <v>2778.2483873839537</v>
      </c>
      <c r="G62" s="2">
        <f ca="1">((RAND()*1+2)*100)*10</f>
        <v>2280.7228147879555</v>
      </c>
      <c r="H62" s="2">
        <f ca="1">((RAND()*1+2)*100)*10</f>
        <v>2330.2160827682819</v>
      </c>
      <c r="I62" s="2">
        <f ca="1">((RAND()*1+2)*100)*10</f>
        <v>2098.5440109137085</v>
      </c>
      <c r="J62" s="2">
        <f ca="1">((RAND()*1+2)*100)*10</f>
        <v>2565.6928140241571</v>
      </c>
      <c r="K62" s="2">
        <f ca="1">((RAND()*1+2)*100)*10</f>
        <v>2109.2115674813726</v>
      </c>
      <c r="L62" s="2">
        <f ca="1">((RAND()*1+2)*100)*10</f>
        <v>2868.447616004979</v>
      </c>
      <c r="M62" s="2">
        <f ca="1">((RAND()*1+2)*100)*10</f>
        <v>2532.3731548851292</v>
      </c>
      <c r="N62" s="2">
        <f ca="1">((RAND()*1+2)*100)*10</f>
        <v>2876.1951377752621</v>
      </c>
      <c r="O62" s="2">
        <f ca="1">((RAND()*1+2)*100)*10</f>
        <v>2258.0418318456391</v>
      </c>
      <c r="P62" s="2">
        <f ca="1">((RAND()*1+2)*100)*10</f>
        <v>2474.3953003772635</v>
      </c>
      <c r="Q62" s="2">
        <f ca="1">((RAND()*1+2)*100)*10</f>
        <v>2284.4377808471218</v>
      </c>
      <c r="R62" s="2">
        <f ca="1">((RAND()*1+2)*100)*10</f>
        <v>2008.2146798069384</v>
      </c>
      <c r="S62" s="2">
        <f ca="1">((RAND()*1+2)*100)*10</f>
        <v>2363.2068573435536</v>
      </c>
      <c r="T62" s="2">
        <f ca="1">((RAND()*1+2)*100)*10</f>
        <v>2039.0817622792124</v>
      </c>
      <c r="U62" s="2">
        <f ca="1">((RAND()*1+2)*100)*10</f>
        <v>2542.4397796395751</v>
      </c>
      <c r="V62" s="2">
        <f ca="1">((RAND()*1+2)*100)*10</f>
        <v>2109.9052997205076</v>
      </c>
      <c r="W62" s="2">
        <f ca="1">((RAND()*1+2)*100)*10</f>
        <v>2925.618953288782</v>
      </c>
      <c r="X62" s="2">
        <f ca="1">((RAND()*1+2)*100)*10</f>
        <v>2510.7336932258722</v>
      </c>
      <c r="Y62" s="2">
        <f ca="1">((RAND()*1+2)*100)*10</f>
        <v>2782.9773482144683</v>
      </c>
      <c r="Z62" s="2">
        <f ca="1">((RAND()*1+2)*100)*10</f>
        <v>2989.6960528724649</v>
      </c>
      <c r="AA62" s="2">
        <f ca="1">((RAND()*1+2)*100)*10</f>
        <v>2853.8182154076089</v>
      </c>
      <c r="AB62" s="2">
        <f ca="1">((RAND()*1+2)*100)*10</f>
        <v>2282.1882658791146</v>
      </c>
      <c r="AC62" s="2">
        <f ca="1">((RAND()*1+2)*100)*10</f>
        <v>2372.9101081114754</v>
      </c>
      <c r="AD62" s="2">
        <f ca="1">((RAND()*1+2)*100)*10</f>
        <v>2764.9507061541008</v>
      </c>
      <c r="AE62" s="2">
        <f ca="1">((RAND()*1+2)*100)*10</f>
        <v>2930.6202348413653</v>
      </c>
      <c r="AF62" s="2">
        <f ca="1">((RAND()*1+2)*100)*10</f>
        <v>2840.0023121051254</v>
      </c>
      <c r="AG62" s="2">
        <f ca="1">((RAND()*1+2)*100)*10</f>
        <v>2414.8125718913348</v>
      </c>
      <c r="AH62" s="2">
        <f ca="1">((RAND()*1+2)*100)*10</f>
        <v>2902.100465185003</v>
      </c>
    </row>
    <row r="63" spans="1:34">
      <c r="A63" t="str">
        <f t="shared" si="30"/>
        <v>Coffee</v>
      </c>
      <c r="B63" t="str">
        <f t="shared" si="31"/>
        <v>Gambela</v>
      </c>
      <c r="C63" s="2">
        <f ca="1">((RAND()*1+2)*100)*10</f>
        <v>2906.3924087478326</v>
      </c>
      <c r="D63" s="2">
        <f ca="1">((RAND()*1+2)*100)*10</f>
        <v>2061.79157016605</v>
      </c>
      <c r="E63" s="2">
        <f ca="1">((RAND()*1+2)*100)*10</f>
        <v>2456.3249699289627</v>
      </c>
      <c r="F63" s="2">
        <f ca="1">((RAND()*1+2)*100)*10</f>
        <v>2609.6259606690319</v>
      </c>
      <c r="G63" s="2">
        <f ca="1">((RAND()*1+2)*100)*10</f>
        <v>2400.9922886129784</v>
      </c>
      <c r="H63" s="2">
        <f ca="1">((RAND()*1+2)*100)*10</f>
        <v>2547.0777516125995</v>
      </c>
      <c r="I63" s="2">
        <f ca="1">((RAND()*1+2)*100)*10</f>
        <v>2116.6892929796559</v>
      </c>
      <c r="J63" s="2">
        <f ca="1">((RAND()*1+2)*100)*10</f>
        <v>2962.0817403839219</v>
      </c>
      <c r="K63" s="2">
        <f ca="1">((RAND()*1+2)*100)*10</f>
        <v>2474.4262055804766</v>
      </c>
      <c r="L63" s="2">
        <f ca="1">((RAND()*1+2)*100)*10</f>
        <v>2330.7339711767236</v>
      </c>
      <c r="M63" s="2">
        <f ca="1">((RAND()*1+2)*100)*10</f>
        <v>2982.1861302163288</v>
      </c>
      <c r="N63" s="2">
        <f ca="1">((RAND()*1+2)*100)*10</f>
        <v>2692.5997096215342</v>
      </c>
      <c r="O63" s="2">
        <f ca="1">((RAND()*1+2)*100)*10</f>
        <v>2699.1250563451581</v>
      </c>
      <c r="P63" s="2">
        <f ca="1">((RAND()*1+2)*100)*10</f>
        <v>2216.2809193246248</v>
      </c>
      <c r="Q63" s="2">
        <f ca="1">((RAND()*1+2)*100)*10</f>
        <v>2081.6503627041861</v>
      </c>
      <c r="R63" s="2">
        <f ca="1">((RAND()*1+2)*100)*10</f>
        <v>2918.1493243221703</v>
      </c>
      <c r="S63" s="2">
        <f ca="1">((RAND()*1+2)*100)*10</f>
        <v>2850.1242089347843</v>
      </c>
      <c r="T63" s="2">
        <f ca="1">((RAND()*1+2)*100)*10</f>
        <v>2774.5440278462374</v>
      </c>
      <c r="U63" s="2">
        <f ca="1">((RAND()*1+2)*100)*10</f>
        <v>2714.6865893568843</v>
      </c>
      <c r="V63" s="2">
        <f ca="1">((RAND()*1+2)*100)*10</f>
        <v>2434.7005138054928</v>
      </c>
      <c r="W63" s="2">
        <f ca="1">((RAND()*1+2)*100)*10</f>
        <v>2393.375762080233</v>
      </c>
      <c r="X63" s="2">
        <f ca="1">((RAND()*1+2)*100)*10</f>
        <v>2693.217230832759</v>
      </c>
      <c r="Y63" s="2">
        <f ca="1">((RAND()*1+2)*100)*10</f>
        <v>2123.3696614905393</v>
      </c>
      <c r="Z63" s="2">
        <f ca="1">((RAND()*1+2)*100)*10</f>
        <v>2355.6601558160228</v>
      </c>
      <c r="AA63" s="2">
        <f ca="1">((RAND()*1+2)*100)*10</f>
        <v>2090.0023630213027</v>
      </c>
      <c r="AB63" s="2">
        <f ca="1">((RAND()*1+2)*100)*10</f>
        <v>2361.0472042336637</v>
      </c>
      <c r="AC63" s="2">
        <f ca="1">((RAND()*1+2)*100)*10</f>
        <v>2585.5960023550597</v>
      </c>
      <c r="AD63" s="2">
        <f ca="1">((RAND()*1+2)*100)*10</f>
        <v>2149.2011368538519</v>
      </c>
      <c r="AE63" s="2">
        <f ca="1">((RAND()*1+2)*100)*10</f>
        <v>2635.8568057434004</v>
      </c>
      <c r="AF63" s="2">
        <f ca="1">((RAND()*1+2)*100)*10</f>
        <v>2619.2673011910247</v>
      </c>
      <c r="AG63" s="2">
        <f ca="1">((RAND()*1+2)*100)*10</f>
        <v>2841.9066634824189</v>
      </c>
      <c r="AH63" s="2">
        <f ca="1">((RAND()*1+2)*100)*10</f>
        <v>2757.5123288819968</v>
      </c>
    </row>
    <row r="64" spans="1:34">
      <c r="A64" t="str">
        <f t="shared" si="30"/>
        <v>Coffee</v>
      </c>
      <c r="B64" t="str">
        <f t="shared" si="31"/>
        <v>Harari</v>
      </c>
      <c r="C64" s="2">
        <f ca="1">((RAND()*1+2)*100)*10</f>
        <v>2100.6254142837279</v>
      </c>
      <c r="D64" s="2">
        <f ca="1">((RAND()*1+2)*100)*10</f>
        <v>2215.8768985947772</v>
      </c>
      <c r="E64" s="2">
        <f ca="1">((RAND()*1+2)*100)*10</f>
        <v>2758.5694266376522</v>
      </c>
      <c r="F64" s="2">
        <f ca="1">((RAND()*1+2)*100)*10</f>
        <v>2535.1615828288868</v>
      </c>
      <c r="G64" s="2">
        <f ca="1">((RAND()*1+2)*100)*10</f>
        <v>2991.7395239923017</v>
      </c>
      <c r="H64" s="2">
        <f ca="1">((RAND()*1+2)*100)*10</f>
        <v>2314.841988997257</v>
      </c>
      <c r="I64" s="2">
        <f ca="1">((RAND()*1+2)*100)*10</f>
        <v>2739.1481906875651</v>
      </c>
      <c r="J64" s="2">
        <f ca="1">((RAND()*1+2)*100)*10</f>
        <v>2105.1351794101424</v>
      </c>
      <c r="K64" s="2">
        <f ca="1">((RAND()*1+2)*100)*10</f>
        <v>2247.7270850335458</v>
      </c>
      <c r="L64" s="2">
        <f ca="1">((RAND()*1+2)*100)*10</f>
        <v>2537.5180390686733</v>
      </c>
      <c r="M64" s="2">
        <f ca="1">((RAND()*1+2)*100)*10</f>
        <v>2689.3324910802166</v>
      </c>
      <c r="N64" s="2">
        <f ca="1">((RAND()*1+2)*100)*10</f>
        <v>2648.5961947121223</v>
      </c>
      <c r="O64" s="2">
        <f ca="1">((RAND()*1+2)*100)*10</f>
        <v>2162.0869982988024</v>
      </c>
      <c r="P64" s="2">
        <f ca="1">((RAND()*1+2)*100)*10</f>
        <v>2949.9586832272571</v>
      </c>
      <c r="Q64" s="2">
        <f ca="1">((RAND()*1+2)*100)*10</f>
        <v>2307.72012121836</v>
      </c>
      <c r="R64" s="2">
        <f ca="1">((RAND()*1+2)*100)*10</f>
        <v>2569.9975463744267</v>
      </c>
      <c r="S64" s="2">
        <f ca="1">((RAND()*1+2)*100)*10</f>
        <v>2622.8799968429253</v>
      </c>
      <c r="T64" s="2">
        <f ca="1">((RAND()*1+2)*100)*10</f>
        <v>2849.51826586878</v>
      </c>
      <c r="U64" s="2">
        <f ca="1">((RAND()*1+2)*100)*10</f>
        <v>2497.1560878443183</v>
      </c>
      <c r="V64" s="2">
        <f ca="1">((RAND()*1+2)*100)*10</f>
        <v>2185.5071114557522</v>
      </c>
      <c r="W64" s="2">
        <f ca="1">((RAND()*1+2)*100)*10</f>
        <v>2509.631448480684</v>
      </c>
      <c r="X64" s="2">
        <f ca="1">((RAND()*1+2)*100)*10</f>
        <v>2223.1207282013675</v>
      </c>
      <c r="Y64" s="2">
        <f ca="1">((RAND()*1+2)*100)*10</f>
        <v>2686.0906420198489</v>
      </c>
      <c r="Z64" s="2">
        <f ca="1">((RAND()*1+2)*100)*10</f>
        <v>2428.0414352007247</v>
      </c>
      <c r="AA64" s="2">
        <f ca="1">((RAND()*1+2)*100)*10</f>
        <v>2594.2233711395884</v>
      </c>
      <c r="AB64" s="2">
        <f ca="1">((RAND()*1+2)*100)*10</f>
        <v>2606.8882565100121</v>
      </c>
      <c r="AC64" s="2">
        <f ca="1">((RAND()*1+2)*100)*10</f>
        <v>2646.6660492799238</v>
      </c>
      <c r="AD64" s="2">
        <f ca="1">((RAND()*1+2)*100)*10</f>
        <v>2670.4835726992292</v>
      </c>
      <c r="AE64" s="2">
        <f ca="1">((RAND()*1+2)*100)*10</f>
        <v>2332.9961962701072</v>
      </c>
      <c r="AF64" s="2">
        <f ca="1">((RAND()*1+2)*100)*10</f>
        <v>2881.734184654892</v>
      </c>
      <c r="AG64" s="2">
        <f ca="1">((RAND()*1+2)*100)*10</f>
        <v>2651.627199764258</v>
      </c>
      <c r="AH64" s="2">
        <f ca="1">((RAND()*1+2)*100)*10</f>
        <v>2789.1773175088906</v>
      </c>
    </row>
    <row r="65" spans="1:34">
      <c r="A65" t="str">
        <f t="shared" si="30"/>
        <v>Coffee</v>
      </c>
      <c r="B65" t="str">
        <f t="shared" si="31"/>
        <v>Oromia</v>
      </c>
      <c r="C65" s="2">
        <f ca="1">((RAND()*1+2)*100)*10</f>
        <v>2202.9276797797556</v>
      </c>
      <c r="D65" s="2">
        <f ca="1">((RAND()*1+2)*100)*10</f>
        <v>2040.0317648914292</v>
      </c>
      <c r="E65" s="2">
        <f ca="1">((RAND()*1+2)*100)*10</f>
        <v>2189.5897709984793</v>
      </c>
      <c r="F65" s="2">
        <f ca="1">((RAND()*1+2)*100)*10</f>
        <v>2285.5320536735758</v>
      </c>
      <c r="G65" s="2">
        <f ca="1">((RAND()*1+2)*100)*10</f>
        <v>2183.2175573424265</v>
      </c>
      <c r="H65" s="2">
        <f ca="1">((RAND()*1+2)*100)*10</f>
        <v>2672.2776692694947</v>
      </c>
      <c r="I65" s="2">
        <f ca="1">((RAND()*1+2)*100)*10</f>
        <v>2013.4363657443109</v>
      </c>
      <c r="J65" s="2">
        <f ca="1">((RAND()*1+2)*100)*10</f>
        <v>2484.7460055063457</v>
      </c>
      <c r="K65" s="2">
        <f ca="1">((RAND()*1+2)*100)*10</f>
        <v>2432.1292525237359</v>
      </c>
      <c r="L65" s="2">
        <f ca="1">((RAND()*1+2)*100)*10</f>
        <v>2552.9604357285716</v>
      </c>
      <c r="M65" s="2">
        <f ca="1">((RAND()*1+2)*100)*10</f>
        <v>2038.1772189506178</v>
      </c>
      <c r="N65" s="2">
        <f ca="1">((RAND()*1+2)*100)*10</f>
        <v>2807.6049230044805</v>
      </c>
      <c r="O65" s="2">
        <f ca="1">((RAND()*1+2)*100)*10</f>
        <v>2827.0936010253045</v>
      </c>
      <c r="P65" s="2">
        <f ca="1">((RAND()*1+2)*100)*10</f>
        <v>2748.9201096858869</v>
      </c>
      <c r="Q65" s="2">
        <f ca="1">((RAND()*1+2)*100)*10</f>
        <v>2166.7498759124196</v>
      </c>
      <c r="R65" s="2">
        <f ca="1">((RAND()*1+2)*100)*10</f>
        <v>2822.3805354693509</v>
      </c>
      <c r="S65" s="2">
        <f ca="1">((RAND()*1+2)*100)*10</f>
        <v>2902.732449012592</v>
      </c>
      <c r="T65" s="2">
        <f ca="1">((RAND()*1+2)*100)*10</f>
        <v>2896.0284678591829</v>
      </c>
      <c r="U65" s="2">
        <f ca="1">((RAND()*1+2)*100)*10</f>
        <v>2229.3876239080159</v>
      </c>
      <c r="V65" s="2">
        <f ca="1">((RAND()*1+2)*100)*10</f>
        <v>2577.6893675844308</v>
      </c>
      <c r="W65" s="2">
        <f ca="1">((RAND()*1+2)*100)*10</f>
        <v>2686.4943599732937</v>
      </c>
      <c r="X65" s="2">
        <f ca="1">((RAND()*1+2)*100)*10</f>
        <v>2463.5306885393229</v>
      </c>
      <c r="Y65" s="2">
        <f ca="1">((RAND()*1+2)*100)*10</f>
        <v>2707.5680702777572</v>
      </c>
      <c r="Z65" s="2">
        <f ca="1">((RAND()*1+2)*100)*10</f>
        <v>2928.5984467588833</v>
      </c>
      <c r="AA65" s="2">
        <f ca="1">((RAND()*1+2)*100)*10</f>
        <v>2345.0459654541787</v>
      </c>
      <c r="AB65" s="2">
        <f ca="1">((RAND()*1+2)*100)*10</f>
        <v>2710.6505074625329</v>
      </c>
      <c r="AC65" s="2">
        <f ca="1">((RAND()*1+2)*100)*10</f>
        <v>2735.5293507552728</v>
      </c>
      <c r="AD65" s="2">
        <f ca="1">((RAND()*1+2)*100)*10</f>
        <v>2882.2365119246242</v>
      </c>
      <c r="AE65" s="2">
        <f ca="1">((RAND()*1+2)*100)*10</f>
        <v>2755.6321669174054</v>
      </c>
      <c r="AF65" s="2">
        <f ca="1">((RAND()*1+2)*100)*10</f>
        <v>2979.0734078248215</v>
      </c>
      <c r="AG65" s="2">
        <f ca="1">((RAND()*1+2)*100)*10</f>
        <v>2377.1475412583209</v>
      </c>
      <c r="AH65" s="2">
        <f ca="1">((RAND()*1+2)*100)*10</f>
        <v>2629.6164143768419</v>
      </c>
    </row>
    <row r="66" spans="1:34">
      <c r="A66" t="str">
        <f t="shared" si="30"/>
        <v>Coffee</v>
      </c>
      <c r="B66" t="str">
        <f t="shared" si="31"/>
        <v>Somali</v>
      </c>
      <c r="C66" s="2">
        <f ca="1">((RAND()*1+2)*100)*10</f>
        <v>2482.4929175060711</v>
      </c>
      <c r="D66" s="2">
        <f ca="1">((RAND()*1+2)*100)*10</f>
        <v>2087.4873406299903</v>
      </c>
      <c r="E66" s="2">
        <f ca="1">((RAND()*1+2)*100)*10</f>
        <v>2162.8562672527023</v>
      </c>
      <c r="F66" s="2">
        <f ca="1">((RAND()*1+2)*100)*10</f>
        <v>2323.0097429473008</v>
      </c>
      <c r="G66" s="2">
        <f ca="1">((RAND()*1+2)*100)*10</f>
        <v>2893.8389932123073</v>
      </c>
      <c r="H66" s="2">
        <f ca="1">((RAND()*1+2)*100)*10</f>
        <v>2797.3690150115481</v>
      </c>
      <c r="I66" s="2">
        <f ca="1">((RAND()*1+2)*100)*10</f>
        <v>2384.9625541462156</v>
      </c>
      <c r="J66" s="2">
        <f ca="1">((RAND()*1+2)*100)*10</f>
        <v>2561.1279958978093</v>
      </c>
      <c r="K66" s="2">
        <f ca="1">((RAND()*1+2)*100)*10</f>
        <v>2287.609489931745</v>
      </c>
      <c r="L66" s="2">
        <f ca="1">((RAND()*1+2)*100)*10</f>
        <v>2012.8376581182783</v>
      </c>
      <c r="M66" s="2">
        <f ca="1">((RAND()*1+2)*100)*10</f>
        <v>2250.5173207504104</v>
      </c>
      <c r="N66" s="2">
        <f ca="1">((RAND()*1+2)*100)*10</f>
        <v>2834.5671611975067</v>
      </c>
      <c r="O66" s="2">
        <f ca="1">((RAND()*1+2)*100)*10</f>
        <v>2263.9393497911888</v>
      </c>
      <c r="P66" s="2">
        <f ca="1">((RAND()*1+2)*100)*10</f>
        <v>2082.7336774918513</v>
      </c>
      <c r="Q66" s="2">
        <f ca="1">((RAND()*1+2)*100)*10</f>
        <v>2369.6213622510195</v>
      </c>
      <c r="R66" s="2">
        <f ca="1">((RAND()*1+2)*100)*10</f>
        <v>2692.3416123042907</v>
      </c>
      <c r="S66" s="2">
        <f ca="1">((RAND()*1+2)*100)*10</f>
        <v>2504.2253461311343</v>
      </c>
      <c r="T66" s="2">
        <f ca="1">((RAND()*1+2)*100)*10</f>
        <v>2331.2766621775295</v>
      </c>
      <c r="U66" s="2">
        <f ca="1">((RAND()*1+2)*100)*10</f>
        <v>2882.0628495536284</v>
      </c>
      <c r="V66" s="2">
        <f ca="1">((RAND()*1+2)*100)*10</f>
        <v>2375.1425208611554</v>
      </c>
      <c r="W66" s="2">
        <f ca="1">((RAND()*1+2)*100)*10</f>
        <v>2408.3644458437857</v>
      </c>
      <c r="X66" s="2">
        <f ca="1">((RAND()*1+2)*100)*10</f>
        <v>2665.5615339988235</v>
      </c>
      <c r="Y66" s="2">
        <f ca="1">((RAND()*1+2)*100)*10</f>
        <v>2851.9333831332651</v>
      </c>
      <c r="Z66" s="2">
        <f ca="1">((RAND()*1+2)*100)*10</f>
        <v>2593.9701372601162</v>
      </c>
      <c r="AA66" s="2">
        <f ca="1">((RAND()*1+2)*100)*10</f>
        <v>2289.8935542982108</v>
      </c>
      <c r="AB66" s="2">
        <f ca="1">((RAND()*1+2)*100)*10</f>
        <v>2654.0831879029538</v>
      </c>
      <c r="AC66" s="2">
        <f ca="1">((RAND()*1+2)*100)*10</f>
        <v>2975.8425802751417</v>
      </c>
      <c r="AD66" s="2">
        <f ca="1">((RAND()*1+2)*100)*10</f>
        <v>2933.1615066426962</v>
      </c>
      <c r="AE66" s="2">
        <f ca="1">((RAND()*1+2)*100)*10</f>
        <v>2899.1689760714908</v>
      </c>
      <c r="AF66" s="2">
        <f ca="1">((RAND()*1+2)*100)*10</f>
        <v>2232.5416970767201</v>
      </c>
      <c r="AG66" s="2">
        <f ca="1">((RAND()*1+2)*100)*10</f>
        <v>2307.4232516190395</v>
      </c>
      <c r="AH66" s="2">
        <f ca="1">((RAND()*1+2)*100)*10</f>
        <v>2980.901259523449</v>
      </c>
    </row>
    <row r="67" spans="1:34">
      <c r="A67" t="str">
        <f t="shared" si="30"/>
        <v>Coffee</v>
      </c>
      <c r="B67" t="str">
        <f t="shared" si="31"/>
        <v>SNNPR</v>
      </c>
      <c r="C67" s="2">
        <f ca="1">((RAND()*1+2)*100)*10</f>
        <v>2864.1617689255909</v>
      </c>
      <c r="D67" s="2">
        <f ca="1">((RAND()*1+2)*100)*10</f>
        <v>2195.7348668063687</v>
      </c>
      <c r="E67" s="2">
        <f ca="1">((RAND()*1+2)*100)*10</f>
        <v>2314.2761650360444</v>
      </c>
      <c r="F67" s="2">
        <f ca="1">((RAND()*1+2)*100)*10</f>
        <v>2857.7599328434421</v>
      </c>
      <c r="G67" s="2">
        <f ca="1">((RAND()*1+2)*100)*10</f>
        <v>2212.777668658232</v>
      </c>
      <c r="H67" s="2">
        <f ca="1">((RAND()*1+2)*100)*10</f>
        <v>2991.4391348703039</v>
      </c>
      <c r="I67" s="2">
        <f ca="1">((RAND()*1+2)*100)*10</f>
        <v>2206.6731102230738</v>
      </c>
      <c r="J67" s="2">
        <f ca="1">((RAND()*1+2)*100)*10</f>
        <v>2760.3342854726725</v>
      </c>
      <c r="K67" s="2">
        <f ca="1">((RAND()*1+2)*100)*10</f>
        <v>2381.9458172476279</v>
      </c>
      <c r="L67" s="2">
        <f ca="1">((RAND()*1+2)*100)*10</f>
        <v>2585.4889085396935</v>
      </c>
      <c r="M67" s="2">
        <f ca="1">((RAND()*1+2)*100)*10</f>
        <v>2999.6514834518553</v>
      </c>
      <c r="N67" s="2">
        <f ca="1">((RAND()*1+2)*100)*10</f>
        <v>2224.7477619504962</v>
      </c>
      <c r="O67" s="2">
        <f ca="1">((RAND()*1+2)*100)*10</f>
        <v>2849.7903268929822</v>
      </c>
      <c r="P67" s="2">
        <f ca="1">((RAND()*1+2)*100)*10</f>
        <v>2855.6651512969597</v>
      </c>
      <c r="Q67" s="2">
        <f ca="1">((RAND()*1+2)*100)*10</f>
        <v>2217.5801428181185</v>
      </c>
      <c r="R67" s="2">
        <f ca="1">((RAND()*1+2)*100)*10</f>
        <v>2544.2160652544781</v>
      </c>
      <c r="S67" s="2">
        <f ca="1">((RAND()*1+2)*100)*10</f>
        <v>2030.0394409448063</v>
      </c>
      <c r="T67" s="2">
        <f ca="1">((RAND()*1+2)*100)*10</f>
        <v>2477.0333385143967</v>
      </c>
      <c r="U67" s="2">
        <f ca="1">((RAND()*1+2)*100)*10</f>
        <v>2953.9844527970417</v>
      </c>
      <c r="V67" s="2">
        <f ca="1">((RAND()*1+2)*100)*10</f>
        <v>2527.8966945295115</v>
      </c>
      <c r="W67" s="2">
        <f ca="1">((RAND()*1+2)*100)*10</f>
        <v>2165.5242792028657</v>
      </c>
      <c r="X67" s="2">
        <f ca="1">((RAND()*1+2)*100)*10</f>
        <v>2269.4115246340775</v>
      </c>
      <c r="Y67" s="2">
        <f ca="1">((RAND()*1+2)*100)*10</f>
        <v>2041.2326784903551</v>
      </c>
      <c r="Z67" s="2">
        <f ca="1">((RAND()*1+2)*100)*10</f>
        <v>2114.8330904256081</v>
      </c>
      <c r="AA67" s="2">
        <f ca="1">((RAND()*1+2)*100)*10</f>
        <v>2781.88528637633</v>
      </c>
      <c r="AB67" s="2">
        <f ca="1">((RAND()*1+2)*100)*10</f>
        <v>2900.2064082731617</v>
      </c>
      <c r="AC67" s="2">
        <f ca="1">((RAND()*1+2)*100)*10</f>
        <v>2463.8589162974445</v>
      </c>
      <c r="AD67" s="2">
        <f ca="1">((RAND()*1+2)*100)*10</f>
        <v>2480.3263970689563</v>
      </c>
      <c r="AE67" s="2">
        <f ca="1">((RAND()*1+2)*100)*10</f>
        <v>2596.750747024364</v>
      </c>
      <c r="AF67" s="2">
        <f ca="1">((RAND()*1+2)*100)*10</f>
        <v>2134.95308404976</v>
      </c>
      <c r="AG67" s="2">
        <f ca="1">((RAND()*1+2)*100)*10</f>
        <v>2988.9828630932971</v>
      </c>
      <c r="AH67" s="2">
        <f ca="1">((RAND()*1+2)*100)*10</f>
        <v>2493.4422993487306</v>
      </c>
    </row>
    <row r="68" spans="1:34">
      <c r="A68" t="str">
        <f t="shared" si="30"/>
        <v>Coffee</v>
      </c>
      <c r="B68" t="str">
        <f t="shared" si="31"/>
        <v>Tigray</v>
      </c>
      <c r="C68" s="2">
        <f ca="1">((RAND()*1+2)*100)*10</f>
        <v>2750.066676314108</v>
      </c>
      <c r="D68" s="2">
        <f ca="1">((RAND()*1+2)*100)*10</f>
        <v>2644.0275128575599</v>
      </c>
      <c r="E68" s="2">
        <f ca="1">((RAND()*1+2)*100)*10</f>
        <v>2645.5481432897514</v>
      </c>
      <c r="F68" s="2">
        <f ca="1">((RAND()*1+2)*100)*10</f>
        <v>2532.2276469558628</v>
      </c>
      <c r="G68" s="2">
        <f ca="1">((RAND()*1+2)*100)*10</f>
        <v>2488.1685605030743</v>
      </c>
      <c r="H68" s="2">
        <f ca="1">((RAND()*1+2)*100)*10</f>
        <v>2611.4531337387684</v>
      </c>
      <c r="I68" s="2">
        <f ca="1">((RAND()*1+2)*100)*10</f>
        <v>2922.8107323231079</v>
      </c>
      <c r="J68" s="2">
        <f ca="1">((RAND()*1+2)*100)*10</f>
        <v>2012.8579475201684</v>
      </c>
      <c r="K68" s="2">
        <f ca="1">((RAND()*1+2)*100)*10</f>
        <v>2152.4769224451225</v>
      </c>
      <c r="L68" s="2">
        <f ca="1">((RAND()*1+2)*100)*10</f>
        <v>2135.022839032637</v>
      </c>
      <c r="M68" s="2">
        <f ca="1">((RAND()*1+2)*100)*10</f>
        <v>2851.7067494137818</v>
      </c>
      <c r="N68" s="2">
        <f ca="1">((RAND()*1+2)*100)*10</f>
        <v>2432.3254674279146</v>
      </c>
      <c r="O68" s="2">
        <f ca="1">((RAND()*1+2)*100)*10</f>
        <v>2886.3880759743638</v>
      </c>
      <c r="P68" s="2">
        <f ca="1">((RAND()*1+2)*100)*10</f>
        <v>2310.4799930493959</v>
      </c>
      <c r="Q68" s="2">
        <f ca="1">((RAND()*1+2)*100)*10</f>
        <v>2802.7053565812998</v>
      </c>
      <c r="R68" s="2">
        <f ca="1">((RAND()*1+2)*100)*10</f>
        <v>2429.0700060665104</v>
      </c>
      <c r="S68" s="2">
        <f ca="1">((RAND()*1+2)*100)*10</f>
        <v>2764.3783502677752</v>
      </c>
      <c r="T68" s="2">
        <f ca="1">((RAND()*1+2)*100)*10</f>
        <v>2633.1768541260358</v>
      </c>
      <c r="U68" s="2">
        <f ca="1">((RAND()*1+2)*100)*10</f>
        <v>2472.8774346891796</v>
      </c>
      <c r="V68" s="2">
        <f ca="1">((RAND()*1+2)*100)*10</f>
        <v>2638.8324706344183</v>
      </c>
      <c r="W68" s="2">
        <f ca="1">((RAND()*1+2)*100)*10</f>
        <v>2752.5971206243894</v>
      </c>
      <c r="X68" s="2">
        <f ca="1">((RAND()*1+2)*100)*10</f>
        <v>2723.5990898104451</v>
      </c>
      <c r="Y68" s="2">
        <f ca="1">((RAND()*1+2)*100)*10</f>
        <v>2054.5322017640315</v>
      </c>
      <c r="Z68" s="2">
        <f ca="1">((RAND()*1+2)*100)*10</f>
        <v>2434.748028257864</v>
      </c>
      <c r="AA68" s="2">
        <f ca="1">((RAND()*1+2)*100)*10</f>
        <v>2175.5247186545735</v>
      </c>
      <c r="AB68" s="2">
        <f ca="1">((RAND()*1+2)*100)*10</f>
        <v>2710.8973012381939</v>
      </c>
      <c r="AC68" s="2">
        <f ca="1">((RAND()*1+2)*100)*10</f>
        <v>2759.3830447598657</v>
      </c>
      <c r="AD68" s="2">
        <f ca="1">((RAND()*1+2)*100)*10</f>
        <v>2266.6021695319341</v>
      </c>
      <c r="AE68" s="2">
        <f ca="1">((RAND()*1+2)*100)*10</f>
        <v>2792.020883871221</v>
      </c>
      <c r="AF68" s="2">
        <f ca="1">((RAND()*1+2)*100)*10</f>
        <v>2295.1774656034959</v>
      </c>
      <c r="AG68" s="2">
        <f ca="1">((RAND()*1+2)*100)*10</f>
        <v>2268.4214609985797</v>
      </c>
      <c r="AH68" s="2">
        <f ca="1">((RAND()*1+2)*100)*10</f>
        <v>2956.1888868619362</v>
      </c>
    </row>
    <row r="69" spans="1:34">
      <c r="A69" t="str">
        <f t="shared" si="30"/>
        <v>Beef</v>
      </c>
      <c r="B69" t="str">
        <f t="shared" si="31"/>
        <v>AddisAbaba</v>
      </c>
      <c r="C69" s="2">
        <f t="shared" ref="C69:R90" ca="1" si="32">((RAND()*1+2)*100)*10</f>
        <v>2521.8251731807709</v>
      </c>
      <c r="D69" s="2">
        <f t="shared" ca="1" si="32"/>
        <v>2220.7149723801158</v>
      </c>
      <c r="E69" s="2">
        <f t="shared" ca="1" si="32"/>
        <v>2176.6317272760971</v>
      </c>
      <c r="F69" s="2">
        <f t="shared" ca="1" si="32"/>
        <v>2313.5989564316806</v>
      </c>
      <c r="G69" s="2">
        <f t="shared" ca="1" si="32"/>
        <v>2239.4341299679472</v>
      </c>
      <c r="H69" s="2">
        <f t="shared" ca="1" si="32"/>
        <v>2906.5320318163649</v>
      </c>
      <c r="I69" s="2">
        <f t="shared" ca="1" si="32"/>
        <v>2460.984134955937</v>
      </c>
      <c r="J69" s="2">
        <f t="shared" ca="1" si="32"/>
        <v>2863.9048376541</v>
      </c>
      <c r="K69" s="2">
        <f t="shared" ca="1" si="32"/>
        <v>2682.8973723976947</v>
      </c>
      <c r="L69" s="2">
        <f t="shared" ca="1" si="32"/>
        <v>2122.1519201206174</v>
      </c>
      <c r="M69" s="2">
        <f t="shared" ca="1" si="32"/>
        <v>2452.975726876321</v>
      </c>
      <c r="N69" s="2">
        <f t="shared" ca="1" si="32"/>
        <v>2688.1373498059452</v>
      </c>
      <c r="O69" s="2">
        <f t="shared" ca="1" si="32"/>
        <v>2553.4352410295023</v>
      </c>
      <c r="P69" s="2">
        <f t="shared" ca="1" si="32"/>
        <v>2383.5305767105874</v>
      </c>
      <c r="Q69" s="2">
        <f t="shared" ca="1" si="32"/>
        <v>2898.0898799150636</v>
      </c>
      <c r="R69" s="2">
        <f t="shared" ca="1" si="32"/>
        <v>2348.2867410038198</v>
      </c>
      <c r="S69" s="2">
        <f t="shared" ref="S69:AH90" ca="1" si="33">((RAND()*1+2)*100)*10</f>
        <v>2702.53182879823</v>
      </c>
      <c r="T69" s="2">
        <f t="shared" ca="1" si="33"/>
        <v>2590.0871665926861</v>
      </c>
      <c r="U69" s="2">
        <f t="shared" ca="1" si="33"/>
        <v>2813.8424520720664</v>
      </c>
      <c r="V69" s="2">
        <f t="shared" ca="1" si="33"/>
        <v>2806.897678955645</v>
      </c>
      <c r="W69" s="2">
        <f t="shared" ca="1" si="33"/>
        <v>2057.2363533349353</v>
      </c>
      <c r="X69" s="2">
        <f t="shared" ca="1" si="33"/>
        <v>2193.5368156297945</v>
      </c>
      <c r="Y69" s="2">
        <f t="shared" ca="1" si="33"/>
        <v>2995.7147820195137</v>
      </c>
      <c r="Z69" s="2">
        <f t="shared" ca="1" si="33"/>
        <v>2622.0147488764269</v>
      </c>
      <c r="AA69" s="2">
        <f t="shared" ca="1" si="33"/>
        <v>2695.5157183918122</v>
      </c>
      <c r="AB69" s="2">
        <f t="shared" ca="1" si="33"/>
        <v>2919.4275026105752</v>
      </c>
      <c r="AC69" s="2">
        <f t="shared" ca="1" si="33"/>
        <v>2226.8501208221978</v>
      </c>
      <c r="AD69" s="2">
        <f t="shared" ca="1" si="33"/>
        <v>2874.2694103612898</v>
      </c>
      <c r="AE69" s="2">
        <f t="shared" ca="1" si="33"/>
        <v>2662.3511907903357</v>
      </c>
      <c r="AF69" s="2">
        <f t="shared" ca="1" si="33"/>
        <v>2324.6727106917756</v>
      </c>
      <c r="AG69" s="2">
        <f t="shared" ca="1" si="33"/>
        <v>2394.7141307062884</v>
      </c>
      <c r="AH69" s="2">
        <f t="shared" ca="1" si="33"/>
        <v>2104.6732240768629</v>
      </c>
    </row>
    <row r="70" spans="1:34">
      <c r="A70" t="str">
        <f t="shared" si="30"/>
        <v>Beef</v>
      </c>
      <c r="B70" t="str">
        <f t="shared" si="31"/>
        <v>Afar</v>
      </c>
      <c r="C70" s="2">
        <f t="shared" ca="1" si="32"/>
        <v>2529.4026244419592</v>
      </c>
      <c r="D70" s="2">
        <f t="shared" ca="1" si="32"/>
        <v>2124.4550072993625</v>
      </c>
      <c r="E70" s="2">
        <f t="shared" ca="1" si="32"/>
        <v>2291.1315339868729</v>
      </c>
      <c r="F70" s="2">
        <f t="shared" ca="1" si="32"/>
        <v>2303.8431363102509</v>
      </c>
      <c r="G70" s="2">
        <f t="shared" ca="1" si="32"/>
        <v>2870.76452943505</v>
      </c>
      <c r="H70" s="2">
        <f t="shared" ca="1" si="32"/>
        <v>2602.1771736900682</v>
      </c>
      <c r="I70" s="2">
        <f t="shared" ca="1" si="32"/>
        <v>2936.1501772261249</v>
      </c>
      <c r="J70" s="2">
        <f t="shared" ca="1" si="32"/>
        <v>2082.1371491805908</v>
      </c>
      <c r="K70" s="2">
        <f t="shared" ca="1" si="32"/>
        <v>2147.2707972628832</v>
      </c>
      <c r="L70" s="2">
        <f t="shared" ca="1" si="32"/>
        <v>2671.089325694838</v>
      </c>
      <c r="M70" s="2">
        <f t="shared" ca="1" si="32"/>
        <v>2634.2207988738892</v>
      </c>
      <c r="N70" s="2">
        <f t="shared" ca="1" si="32"/>
        <v>2112.1690738284979</v>
      </c>
      <c r="O70" s="2">
        <f t="shared" ca="1" si="32"/>
        <v>2715.6931342643447</v>
      </c>
      <c r="P70" s="2">
        <f t="shared" ca="1" si="32"/>
        <v>2697.2707479010469</v>
      </c>
      <c r="Q70" s="2">
        <f t="shared" ca="1" si="32"/>
        <v>2541.3748759315595</v>
      </c>
      <c r="R70" s="2">
        <f t="shared" ca="1" si="32"/>
        <v>2982.8319239433722</v>
      </c>
      <c r="S70" s="2">
        <f t="shared" ca="1" si="33"/>
        <v>2641.0214908962853</v>
      </c>
      <c r="T70" s="2">
        <f t="shared" ca="1" si="33"/>
        <v>2210.597875362615</v>
      </c>
      <c r="U70" s="2">
        <f t="shared" ca="1" si="33"/>
        <v>2597.0707242933704</v>
      </c>
      <c r="V70" s="2">
        <f t="shared" ca="1" si="33"/>
        <v>2603.9152682217218</v>
      </c>
      <c r="W70" s="2">
        <f t="shared" ca="1" si="33"/>
        <v>2070.8149084353868</v>
      </c>
      <c r="X70" s="2">
        <f t="shared" ca="1" si="33"/>
        <v>2000.7034601780279</v>
      </c>
      <c r="Y70" s="2">
        <f t="shared" ca="1" si="33"/>
        <v>2287.3639987404854</v>
      </c>
      <c r="Z70" s="2">
        <f t="shared" ca="1" si="33"/>
        <v>2554.8484671395322</v>
      </c>
      <c r="AA70" s="2">
        <f t="shared" ca="1" si="33"/>
        <v>2852.9733918255361</v>
      </c>
      <c r="AB70" s="2">
        <f t="shared" ca="1" si="33"/>
        <v>2337.3825085688795</v>
      </c>
      <c r="AC70" s="2">
        <f t="shared" ca="1" si="33"/>
        <v>2913.9431821350149</v>
      </c>
      <c r="AD70" s="2">
        <f t="shared" ca="1" si="33"/>
        <v>2193.1904604372403</v>
      </c>
      <c r="AE70" s="2">
        <f t="shared" ca="1" si="33"/>
        <v>2084.290164834837</v>
      </c>
      <c r="AF70" s="2">
        <f t="shared" ca="1" si="33"/>
        <v>2228.7770921785909</v>
      </c>
      <c r="AG70" s="2">
        <f t="shared" ca="1" si="33"/>
        <v>2097.3167440421962</v>
      </c>
      <c r="AH70" s="2">
        <f t="shared" ca="1" si="33"/>
        <v>2950.1222321441983</v>
      </c>
    </row>
    <row r="71" spans="1:34">
      <c r="A71" t="str">
        <f t="shared" si="30"/>
        <v>Beef</v>
      </c>
      <c r="B71" t="str">
        <f t="shared" si="31"/>
        <v>Amhara</v>
      </c>
      <c r="C71" s="2">
        <f t="shared" ca="1" si="32"/>
        <v>2140.9714480294888</v>
      </c>
      <c r="D71" s="2">
        <f t="shared" ca="1" si="32"/>
        <v>2818.8105900761429</v>
      </c>
      <c r="E71" s="2">
        <f t="shared" ca="1" si="32"/>
        <v>2064.5167115887907</v>
      </c>
      <c r="F71" s="2">
        <f t="shared" ca="1" si="32"/>
        <v>2934.3271904294861</v>
      </c>
      <c r="G71" s="2">
        <f t="shared" ca="1" si="32"/>
        <v>2185.0412686675381</v>
      </c>
      <c r="H71" s="2">
        <f t="shared" ca="1" si="32"/>
        <v>2915.264855358153</v>
      </c>
      <c r="I71" s="2">
        <f t="shared" ca="1" si="32"/>
        <v>2241.1331461698478</v>
      </c>
      <c r="J71" s="2">
        <f t="shared" ca="1" si="32"/>
        <v>2119.5934730241856</v>
      </c>
      <c r="K71" s="2">
        <f t="shared" ca="1" si="32"/>
        <v>2223.8904231274378</v>
      </c>
      <c r="L71" s="2">
        <f t="shared" ca="1" si="32"/>
        <v>2349.7409117658563</v>
      </c>
      <c r="M71" s="2">
        <f t="shared" ca="1" si="32"/>
        <v>2346.9475047320152</v>
      </c>
      <c r="N71" s="2">
        <f t="shared" ca="1" si="32"/>
        <v>2006.8046220525939</v>
      </c>
      <c r="O71" s="2">
        <f t="shared" ca="1" si="32"/>
        <v>2391.9008894525377</v>
      </c>
      <c r="P71" s="2">
        <f t="shared" ca="1" si="32"/>
        <v>2552.3198858754877</v>
      </c>
      <c r="Q71" s="2">
        <f t="shared" ca="1" si="32"/>
        <v>2756.5555435110118</v>
      </c>
      <c r="R71" s="2">
        <f t="shared" ca="1" si="32"/>
        <v>2527.5069045737969</v>
      </c>
      <c r="S71" s="2">
        <f t="shared" ca="1" si="33"/>
        <v>2959.839110011339</v>
      </c>
      <c r="T71" s="2">
        <f t="shared" ca="1" si="33"/>
        <v>2739.6136377579278</v>
      </c>
      <c r="U71" s="2">
        <f t="shared" ca="1" si="33"/>
        <v>2153.0855037115684</v>
      </c>
      <c r="V71" s="2">
        <f t="shared" ca="1" si="33"/>
        <v>2742.6091656330173</v>
      </c>
      <c r="W71" s="2">
        <f t="shared" ca="1" si="33"/>
        <v>2951.3815505959647</v>
      </c>
      <c r="X71" s="2">
        <f t="shared" ca="1" si="33"/>
        <v>2263.7837472201277</v>
      </c>
      <c r="Y71" s="2">
        <f t="shared" ca="1" si="33"/>
        <v>2174.3442959793192</v>
      </c>
      <c r="Z71" s="2">
        <f t="shared" ca="1" si="33"/>
        <v>2595.0510647714809</v>
      </c>
      <c r="AA71" s="2">
        <f t="shared" ca="1" si="33"/>
        <v>2367.7603044162961</v>
      </c>
      <c r="AB71" s="2">
        <f t="shared" ca="1" si="33"/>
        <v>2892.8926178643264</v>
      </c>
      <c r="AC71" s="2">
        <f t="shared" ca="1" si="33"/>
        <v>2984.490240496089</v>
      </c>
      <c r="AD71" s="2">
        <f t="shared" ca="1" si="33"/>
        <v>2448.6694998449584</v>
      </c>
      <c r="AE71" s="2">
        <f t="shared" ca="1" si="33"/>
        <v>2661.6245108260255</v>
      </c>
      <c r="AF71" s="2">
        <f t="shared" ca="1" si="33"/>
        <v>2933.0659726600693</v>
      </c>
      <c r="AG71" s="2">
        <f t="shared" ca="1" si="33"/>
        <v>2065.7116959687291</v>
      </c>
      <c r="AH71" s="2">
        <f t="shared" ca="1" si="33"/>
        <v>2398.5012876406072</v>
      </c>
    </row>
    <row r="72" spans="1:34">
      <c r="A72" t="str">
        <f t="shared" si="30"/>
        <v>Beef</v>
      </c>
      <c r="B72" t="str">
        <f t="shared" si="31"/>
        <v>Gumuz</v>
      </c>
      <c r="C72" s="2">
        <f t="shared" ca="1" si="32"/>
        <v>2670.7214398597848</v>
      </c>
      <c r="D72" s="2">
        <f t="shared" ca="1" si="32"/>
        <v>2850.5707606174224</v>
      </c>
      <c r="E72" s="2">
        <f t="shared" ca="1" si="32"/>
        <v>2436.2781541337968</v>
      </c>
      <c r="F72" s="2">
        <f t="shared" ca="1" si="32"/>
        <v>2311.7702132101076</v>
      </c>
      <c r="G72" s="2">
        <f t="shared" ca="1" si="32"/>
        <v>2233.3464019714766</v>
      </c>
      <c r="H72" s="2">
        <f t="shared" ca="1" si="32"/>
        <v>2217.7115616084625</v>
      </c>
      <c r="I72" s="2">
        <f t="shared" ca="1" si="32"/>
        <v>2691.8428912216309</v>
      </c>
      <c r="J72" s="2">
        <f t="shared" ca="1" si="32"/>
        <v>2739.6659662498641</v>
      </c>
      <c r="K72" s="2">
        <f t="shared" ca="1" si="32"/>
        <v>2977.000309003748</v>
      </c>
      <c r="L72" s="2">
        <f t="shared" ca="1" si="32"/>
        <v>2471.7380291033951</v>
      </c>
      <c r="M72" s="2">
        <f t="shared" ca="1" si="32"/>
        <v>2934.4385667789256</v>
      </c>
      <c r="N72" s="2">
        <f t="shared" ca="1" si="32"/>
        <v>2975.9506924373782</v>
      </c>
      <c r="O72" s="2">
        <f t="shared" ca="1" si="32"/>
        <v>2605.2803116962996</v>
      </c>
      <c r="P72" s="2">
        <f t="shared" ca="1" si="32"/>
        <v>2748.1865814275052</v>
      </c>
      <c r="Q72" s="2">
        <f t="shared" ca="1" si="32"/>
        <v>2951.5512045001442</v>
      </c>
      <c r="R72" s="2">
        <f t="shared" ca="1" si="32"/>
        <v>2504.8182385748346</v>
      </c>
      <c r="S72" s="2">
        <f t="shared" ca="1" si="33"/>
        <v>2938.1249717924038</v>
      </c>
      <c r="T72" s="2">
        <f t="shared" ca="1" si="33"/>
        <v>2428.9343658282341</v>
      </c>
      <c r="U72" s="2">
        <f t="shared" ca="1" si="33"/>
        <v>2503.7806482155388</v>
      </c>
      <c r="V72" s="2">
        <f t="shared" ca="1" si="33"/>
        <v>2184.3904130414362</v>
      </c>
      <c r="W72" s="2">
        <f t="shared" ca="1" si="33"/>
        <v>2943.0633603411561</v>
      </c>
      <c r="X72" s="2">
        <f t="shared" ca="1" si="33"/>
        <v>2051.0219984486935</v>
      </c>
      <c r="Y72" s="2">
        <f t="shared" ca="1" si="33"/>
        <v>2347.9684417728658</v>
      </c>
      <c r="Z72" s="2">
        <f t="shared" ca="1" si="33"/>
        <v>2868.8630067658737</v>
      </c>
      <c r="AA72" s="2">
        <f t="shared" ca="1" si="33"/>
        <v>2036.8388984769613</v>
      </c>
      <c r="AB72" s="2">
        <f t="shared" ca="1" si="33"/>
        <v>2197.6260848350025</v>
      </c>
      <c r="AC72" s="2">
        <f t="shared" ca="1" si="33"/>
        <v>2399.4800342523017</v>
      </c>
      <c r="AD72" s="2">
        <f t="shared" ca="1" si="33"/>
        <v>2422.2178553727913</v>
      </c>
      <c r="AE72" s="2">
        <f t="shared" ca="1" si="33"/>
        <v>2234.7469261424303</v>
      </c>
      <c r="AF72" s="2">
        <f t="shared" ca="1" si="33"/>
        <v>2900.2279029798547</v>
      </c>
      <c r="AG72" s="2">
        <f t="shared" ca="1" si="33"/>
        <v>2031.6877403320914</v>
      </c>
      <c r="AH72" s="2">
        <f t="shared" ca="1" si="33"/>
        <v>2754.3497298440366</v>
      </c>
    </row>
    <row r="73" spans="1:34">
      <c r="A73" t="str">
        <f t="shared" si="30"/>
        <v>Beef</v>
      </c>
      <c r="B73" t="str">
        <f t="shared" si="31"/>
        <v>DireDawa</v>
      </c>
      <c r="C73" s="2">
        <f t="shared" ca="1" si="32"/>
        <v>2029.6722477872527</v>
      </c>
      <c r="D73" s="2">
        <f t="shared" ca="1" si="32"/>
        <v>2388.2885020726594</v>
      </c>
      <c r="E73" s="2">
        <f t="shared" ca="1" si="32"/>
        <v>2566.1290033543146</v>
      </c>
      <c r="F73" s="2">
        <f t="shared" ca="1" si="32"/>
        <v>2160.6694255129009</v>
      </c>
      <c r="G73" s="2">
        <f t="shared" ca="1" si="32"/>
        <v>2138.1823868562315</v>
      </c>
      <c r="H73" s="2">
        <f t="shared" ca="1" si="32"/>
        <v>2202.7710046612647</v>
      </c>
      <c r="I73" s="2">
        <f t="shared" ca="1" si="32"/>
        <v>2233.3615805077629</v>
      </c>
      <c r="J73" s="2">
        <f t="shared" ca="1" si="32"/>
        <v>2779.2992945400911</v>
      </c>
      <c r="K73" s="2">
        <f t="shared" ca="1" si="32"/>
        <v>2321.0522739321373</v>
      </c>
      <c r="L73" s="2">
        <f t="shared" ca="1" si="32"/>
        <v>2426.0710429044857</v>
      </c>
      <c r="M73" s="2">
        <f t="shared" ca="1" si="32"/>
        <v>2089.2086483289213</v>
      </c>
      <c r="N73" s="2">
        <f t="shared" ca="1" si="32"/>
        <v>2194.89588385349</v>
      </c>
      <c r="O73" s="2">
        <f t="shared" ca="1" si="32"/>
        <v>2957.9422187564733</v>
      </c>
      <c r="P73" s="2">
        <f t="shared" ca="1" si="32"/>
        <v>2088.4446225842212</v>
      </c>
      <c r="Q73" s="2">
        <f t="shared" ca="1" si="32"/>
        <v>2437.9896669341229</v>
      </c>
      <c r="R73" s="2">
        <f t="shared" ca="1" si="32"/>
        <v>2370.7126948566552</v>
      </c>
      <c r="S73" s="2">
        <f t="shared" ca="1" si="33"/>
        <v>2518.0465051290048</v>
      </c>
      <c r="T73" s="2">
        <f t="shared" ca="1" si="33"/>
        <v>2652.384227740959</v>
      </c>
      <c r="U73" s="2">
        <f t="shared" ca="1" si="33"/>
        <v>2424.9678204392358</v>
      </c>
      <c r="V73" s="2">
        <f t="shared" ca="1" si="33"/>
        <v>2061.0024818067054</v>
      </c>
      <c r="W73" s="2">
        <f t="shared" ca="1" si="33"/>
        <v>2422.4458938988</v>
      </c>
      <c r="X73" s="2">
        <f t="shared" ca="1" si="33"/>
        <v>2822.7802645955589</v>
      </c>
      <c r="Y73" s="2">
        <f t="shared" ca="1" si="33"/>
        <v>2531.8241207558917</v>
      </c>
      <c r="Z73" s="2">
        <f t="shared" ca="1" si="33"/>
        <v>2747.1737226836626</v>
      </c>
      <c r="AA73" s="2">
        <f t="shared" ca="1" si="33"/>
        <v>2942.2221223739853</v>
      </c>
      <c r="AB73" s="2">
        <f t="shared" ca="1" si="33"/>
        <v>2558.526541518494</v>
      </c>
      <c r="AC73" s="2">
        <f t="shared" ca="1" si="33"/>
        <v>2984.4466771633274</v>
      </c>
      <c r="AD73" s="2">
        <f t="shared" ca="1" si="33"/>
        <v>2760.0649998636982</v>
      </c>
      <c r="AE73" s="2">
        <f t="shared" ca="1" si="33"/>
        <v>2749.521145695016</v>
      </c>
      <c r="AF73" s="2">
        <f t="shared" ca="1" si="33"/>
        <v>2389.3280310413065</v>
      </c>
      <c r="AG73" s="2">
        <f t="shared" ca="1" si="33"/>
        <v>2194.4299632407101</v>
      </c>
      <c r="AH73" s="2">
        <f t="shared" ca="1" si="33"/>
        <v>2541.581165549982</v>
      </c>
    </row>
    <row r="74" spans="1:34">
      <c r="A74" t="str">
        <f t="shared" si="30"/>
        <v>Beef</v>
      </c>
      <c r="B74" t="str">
        <f t="shared" si="31"/>
        <v>Gambela</v>
      </c>
      <c r="C74" s="2">
        <f t="shared" ca="1" si="32"/>
        <v>2233.7147366587701</v>
      </c>
      <c r="D74" s="2">
        <f t="shared" ca="1" si="32"/>
        <v>2365.9154004645357</v>
      </c>
      <c r="E74" s="2">
        <f t="shared" ca="1" si="32"/>
        <v>2817.9248110620811</v>
      </c>
      <c r="F74" s="2">
        <f t="shared" ca="1" si="32"/>
        <v>2263.9361619322945</v>
      </c>
      <c r="G74" s="2">
        <f t="shared" ca="1" si="32"/>
        <v>2011.765061812031</v>
      </c>
      <c r="H74" s="2">
        <f t="shared" ca="1" si="32"/>
        <v>2490.9368066929692</v>
      </c>
      <c r="I74" s="2">
        <f t="shared" ca="1" si="32"/>
        <v>2168.0219611725634</v>
      </c>
      <c r="J74" s="2">
        <f t="shared" ca="1" si="32"/>
        <v>2828.2928829326033</v>
      </c>
      <c r="K74" s="2">
        <f t="shared" ca="1" si="32"/>
        <v>2236.2489306273128</v>
      </c>
      <c r="L74" s="2">
        <f t="shared" ca="1" si="32"/>
        <v>2651.8303208919988</v>
      </c>
      <c r="M74" s="2">
        <f t="shared" ca="1" si="32"/>
        <v>2457.9559261059098</v>
      </c>
      <c r="N74" s="2">
        <f t="shared" ca="1" si="32"/>
        <v>2348.1562042170453</v>
      </c>
      <c r="O74" s="2">
        <f t="shared" ca="1" si="32"/>
        <v>2879.8541660959245</v>
      </c>
      <c r="P74" s="2">
        <f t="shared" ca="1" si="32"/>
        <v>2689.56417590408</v>
      </c>
      <c r="Q74" s="2">
        <f t="shared" ca="1" si="32"/>
        <v>2496.4676143307702</v>
      </c>
      <c r="R74" s="2">
        <f t="shared" ca="1" si="32"/>
        <v>2142.9614755173752</v>
      </c>
      <c r="S74" s="2">
        <f t="shared" ca="1" si="33"/>
        <v>2586.5453315813938</v>
      </c>
      <c r="T74" s="2">
        <f t="shared" ca="1" si="33"/>
        <v>2254.7178034850535</v>
      </c>
      <c r="U74" s="2">
        <f t="shared" ca="1" si="33"/>
        <v>2788.8821401907462</v>
      </c>
      <c r="V74" s="2">
        <f t="shared" ca="1" si="33"/>
        <v>2631.7360159907948</v>
      </c>
      <c r="W74" s="2">
        <f t="shared" ca="1" si="33"/>
        <v>2813.0435321789032</v>
      </c>
      <c r="X74" s="2">
        <f t="shared" ca="1" si="33"/>
        <v>2910.8856604803232</v>
      </c>
      <c r="Y74" s="2">
        <f t="shared" ca="1" si="33"/>
        <v>2055.2282245523015</v>
      </c>
      <c r="Z74" s="2">
        <f t="shared" ca="1" si="33"/>
        <v>2639.7186355674366</v>
      </c>
      <c r="AA74" s="2">
        <f t="shared" ca="1" si="33"/>
        <v>2106.1687105291512</v>
      </c>
      <c r="AB74" s="2">
        <f t="shared" ca="1" si="33"/>
        <v>2131.5537225023181</v>
      </c>
      <c r="AC74" s="2">
        <f t="shared" ca="1" si="33"/>
        <v>2033.5639889200024</v>
      </c>
      <c r="AD74" s="2">
        <f t="shared" ca="1" si="33"/>
        <v>2486.4671552729596</v>
      </c>
      <c r="AE74" s="2">
        <f t="shared" ca="1" si="33"/>
        <v>2519.8778793331039</v>
      </c>
      <c r="AF74" s="2">
        <f t="shared" ca="1" si="33"/>
        <v>2940.7060740324405</v>
      </c>
      <c r="AG74" s="2">
        <f t="shared" ca="1" si="33"/>
        <v>2516.3041728014009</v>
      </c>
      <c r="AH74" s="2">
        <f t="shared" ca="1" si="33"/>
        <v>2669.7349726083439</v>
      </c>
    </row>
    <row r="75" spans="1:34">
      <c r="A75" t="str">
        <f t="shared" si="30"/>
        <v>Beef</v>
      </c>
      <c r="B75" t="str">
        <f t="shared" si="31"/>
        <v>Harari</v>
      </c>
      <c r="C75" s="2">
        <f t="shared" ca="1" si="32"/>
        <v>2558.2139167687851</v>
      </c>
      <c r="D75" s="2">
        <f t="shared" ca="1" si="32"/>
        <v>2355.3449224164415</v>
      </c>
      <c r="E75" s="2">
        <f t="shared" ca="1" si="32"/>
        <v>2998.9690633520418</v>
      </c>
      <c r="F75" s="2">
        <f t="shared" ca="1" si="32"/>
        <v>2571.9602217916745</v>
      </c>
      <c r="G75" s="2">
        <f t="shared" ca="1" si="32"/>
        <v>2967.8036239826397</v>
      </c>
      <c r="H75" s="2">
        <f t="shared" ca="1" si="32"/>
        <v>2325.2275465205157</v>
      </c>
      <c r="I75" s="2">
        <f t="shared" ca="1" si="32"/>
        <v>2140.6184167108681</v>
      </c>
      <c r="J75" s="2">
        <f t="shared" ca="1" si="32"/>
        <v>2215.0039717911654</v>
      </c>
      <c r="K75" s="2">
        <f t="shared" ca="1" si="32"/>
        <v>2054.6125252671577</v>
      </c>
      <c r="L75" s="2">
        <f t="shared" ca="1" si="32"/>
        <v>2632.6995272720142</v>
      </c>
      <c r="M75" s="2">
        <f t="shared" ca="1" si="32"/>
        <v>2724.7027847424206</v>
      </c>
      <c r="N75" s="2">
        <f t="shared" ca="1" si="32"/>
        <v>2737.1994206187364</v>
      </c>
      <c r="O75" s="2">
        <f t="shared" ca="1" si="32"/>
        <v>2977.9220309337697</v>
      </c>
      <c r="P75" s="2">
        <f t="shared" ca="1" si="32"/>
        <v>2810.3529867477155</v>
      </c>
      <c r="Q75" s="2">
        <f t="shared" ca="1" si="32"/>
        <v>2065.5691134430367</v>
      </c>
      <c r="R75" s="2">
        <f t="shared" ca="1" si="32"/>
        <v>2120.7096373806376</v>
      </c>
      <c r="S75" s="2">
        <f t="shared" ca="1" si="33"/>
        <v>2313.5744446961503</v>
      </c>
      <c r="T75" s="2">
        <f t="shared" ca="1" si="33"/>
        <v>2208.9013579927682</v>
      </c>
      <c r="U75" s="2">
        <f t="shared" ca="1" si="33"/>
        <v>2891.1138702529747</v>
      </c>
      <c r="V75" s="2">
        <f t="shared" ca="1" si="33"/>
        <v>2644.5610453019353</v>
      </c>
      <c r="W75" s="2">
        <f t="shared" ca="1" si="33"/>
        <v>2726.2159857669417</v>
      </c>
      <c r="X75" s="2">
        <f t="shared" ca="1" si="33"/>
        <v>2030.7478227409458</v>
      </c>
      <c r="Y75" s="2">
        <f t="shared" ca="1" si="33"/>
        <v>2083.2017969890694</v>
      </c>
      <c r="Z75" s="2">
        <f t="shared" ca="1" si="33"/>
        <v>2201.0895396773099</v>
      </c>
      <c r="AA75" s="2">
        <f t="shared" ca="1" si="33"/>
        <v>2344.8871315507931</v>
      </c>
      <c r="AB75" s="2">
        <f t="shared" ca="1" si="33"/>
        <v>2641.6744547972985</v>
      </c>
      <c r="AC75" s="2">
        <f t="shared" ca="1" si="33"/>
        <v>2003.1338910344186</v>
      </c>
      <c r="AD75" s="2">
        <f t="shared" ca="1" si="33"/>
        <v>2165.6520552917978</v>
      </c>
      <c r="AE75" s="2">
        <f t="shared" ca="1" si="33"/>
        <v>2837.9064844575723</v>
      </c>
      <c r="AF75" s="2">
        <f t="shared" ca="1" si="33"/>
        <v>2540.6990971600958</v>
      </c>
      <c r="AG75" s="2">
        <f t="shared" ca="1" si="33"/>
        <v>2504.1950827899436</v>
      </c>
      <c r="AH75" s="2">
        <f t="shared" ca="1" si="33"/>
        <v>2805.8262888072641</v>
      </c>
    </row>
    <row r="76" spans="1:34">
      <c r="A76" t="str">
        <f t="shared" si="30"/>
        <v>Beef</v>
      </c>
      <c r="B76" t="str">
        <f t="shared" si="31"/>
        <v>Oromia</v>
      </c>
      <c r="C76" s="2">
        <f t="shared" ca="1" si="32"/>
        <v>2992.846470156268</v>
      </c>
      <c r="D76" s="2">
        <f t="shared" ca="1" si="32"/>
        <v>2646.3288842324837</v>
      </c>
      <c r="E76" s="2">
        <f t="shared" ca="1" si="32"/>
        <v>2958.1808599057367</v>
      </c>
      <c r="F76" s="2">
        <f t="shared" ca="1" si="32"/>
        <v>2312.6866773923502</v>
      </c>
      <c r="G76" s="2">
        <f t="shared" ca="1" si="32"/>
        <v>2062.9821611053876</v>
      </c>
      <c r="H76" s="2">
        <f t="shared" ca="1" si="32"/>
        <v>2228.902531144025</v>
      </c>
      <c r="I76" s="2">
        <f t="shared" ca="1" si="32"/>
        <v>2775.3065786725474</v>
      </c>
      <c r="J76" s="2">
        <f t="shared" ca="1" si="32"/>
        <v>2027.5681370546249</v>
      </c>
      <c r="K76" s="2">
        <f t="shared" ca="1" si="32"/>
        <v>2599.4656516078876</v>
      </c>
      <c r="L76" s="2">
        <f t="shared" ca="1" si="32"/>
        <v>2758.0497650702446</v>
      </c>
      <c r="M76" s="2">
        <f t="shared" ca="1" si="32"/>
        <v>2291.6394043877194</v>
      </c>
      <c r="N76" s="2">
        <f t="shared" ca="1" si="32"/>
        <v>2771.9520464331681</v>
      </c>
      <c r="O76" s="2">
        <f t="shared" ca="1" si="32"/>
        <v>2509.9418172927217</v>
      </c>
      <c r="P76" s="2">
        <f t="shared" ca="1" si="32"/>
        <v>2222.2142661354223</v>
      </c>
      <c r="Q76" s="2">
        <f t="shared" ca="1" si="32"/>
        <v>2874.0667876570933</v>
      </c>
      <c r="R76" s="2">
        <f t="shared" ca="1" si="32"/>
        <v>2119.3735370501922</v>
      </c>
      <c r="S76" s="2">
        <f t="shared" ca="1" si="33"/>
        <v>2093.4228102311981</v>
      </c>
      <c r="T76" s="2">
        <f t="shared" ca="1" si="33"/>
        <v>2697.3033217106445</v>
      </c>
      <c r="U76" s="2">
        <f t="shared" ca="1" si="33"/>
        <v>2820.024486646123</v>
      </c>
      <c r="V76" s="2">
        <f t="shared" ca="1" si="33"/>
        <v>2010.861481202968</v>
      </c>
      <c r="W76" s="2">
        <f t="shared" ca="1" si="33"/>
        <v>2702.0068931805895</v>
      </c>
      <c r="X76" s="2">
        <f t="shared" ca="1" si="33"/>
        <v>2738.1302235160574</v>
      </c>
      <c r="Y76" s="2">
        <f t="shared" ca="1" si="33"/>
        <v>2371.1380557265466</v>
      </c>
      <c r="Z76" s="2">
        <f t="shared" ca="1" si="33"/>
        <v>2600.0157474826656</v>
      </c>
      <c r="AA76" s="2">
        <f t="shared" ca="1" si="33"/>
        <v>2016.6376636024902</v>
      </c>
      <c r="AB76" s="2">
        <f t="shared" ca="1" si="33"/>
        <v>2785.2283209316229</v>
      </c>
      <c r="AC76" s="2">
        <f t="shared" ca="1" si="33"/>
        <v>2506.8071789282299</v>
      </c>
      <c r="AD76" s="2">
        <f t="shared" ca="1" si="33"/>
        <v>2197.0988444766717</v>
      </c>
      <c r="AE76" s="2">
        <f t="shared" ca="1" si="33"/>
        <v>2763.7354111691175</v>
      </c>
      <c r="AF76" s="2">
        <f t="shared" ca="1" si="33"/>
        <v>2383.7702756058216</v>
      </c>
      <c r="AG76" s="2">
        <f t="shared" ca="1" si="33"/>
        <v>2383.7310913420329</v>
      </c>
      <c r="AH76" s="2">
        <f t="shared" ca="1" si="33"/>
        <v>2092.2790729982962</v>
      </c>
    </row>
    <row r="77" spans="1:34">
      <c r="A77" t="str">
        <f t="shared" si="30"/>
        <v>Beef</v>
      </c>
      <c r="B77" t="str">
        <f t="shared" si="31"/>
        <v>Somali</v>
      </c>
      <c r="C77" s="2">
        <f t="shared" ca="1" si="32"/>
        <v>2728.3475941136744</v>
      </c>
      <c r="D77" s="2">
        <f t="shared" ca="1" si="32"/>
        <v>2888.0869991761933</v>
      </c>
      <c r="E77" s="2">
        <f t="shared" ca="1" si="32"/>
        <v>2591.9662699212154</v>
      </c>
      <c r="F77" s="2">
        <f t="shared" ca="1" si="32"/>
        <v>2636.2406938456606</v>
      </c>
      <c r="G77" s="2">
        <f t="shared" ca="1" si="32"/>
        <v>2790.111729701347</v>
      </c>
      <c r="H77" s="2">
        <f t="shared" ca="1" si="32"/>
        <v>2875.0682451412558</v>
      </c>
      <c r="I77" s="2">
        <f t="shared" ca="1" si="32"/>
        <v>2589.910993382774</v>
      </c>
      <c r="J77" s="2">
        <f t="shared" ca="1" si="32"/>
        <v>2202.1123086548942</v>
      </c>
      <c r="K77" s="2">
        <f t="shared" ca="1" si="32"/>
        <v>2897.9624215231706</v>
      </c>
      <c r="L77" s="2">
        <f t="shared" ca="1" si="32"/>
        <v>2609.1978193066102</v>
      </c>
      <c r="M77" s="2">
        <f t="shared" ca="1" si="32"/>
        <v>2198.4308706213506</v>
      </c>
      <c r="N77" s="2">
        <f t="shared" ca="1" si="32"/>
        <v>2928.2362453021933</v>
      </c>
      <c r="O77" s="2">
        <f t="shared" ca="1" si="32"/>
        <v>2809.2970887866363</v>
      </c>
      <c r="P77" s="2">
        <f t="shared" ca="1" si="32"/>
        <v>2699.676691755149</v>
      </c>
      <c r="Q77" s="2">
        <f t="shared" ca="1" si="32"/>
        <v>2480.0240390722965</v>
      </c>
      <c r="R77" s="2">
        <f t="shared" ca="1" si="32"/>
        <v>2190.2366744500105</v>
      </c>
      <c r="S77" s="2">
        <f t="shared" ca="1" si="33"/>
        <v>2715.7133581636958</v>
      </c>
      <c r="T77" s="2">
        <f t="shared" ca="1" si="33"/>
        <v>2838.230533949079</v>
      </c>
      <c r="U77" s="2">
        <f t="shared" ca="1" si="33"/>
        <v>2584.960747636776</v>
      </c>
      <c r="V77" s="2">
        <f t="shared" ca="1" si="33"/>
        <v>2398.2763667581512</v>
      </c>
      <c r="W77" s="2">
        <f t="shared" ca="1" si="33"/>
        <v>2661.6631132906264</v>
      </c>
      <c r="X77" s="2">
        <f t="shared" ca="1" si="33"/>
        <v>2301.322501821317</v>
      </c>
      <c r="Y77" s="2">
        <f t="shared" ca="1" si="33"/>
        <v>2556.9782813071215</v>
      </c>
      <c r="Z77" s="2">
        <f t="shared" ca="1" si="33"/>
        <v>2025.6128023973813</v>
      </c>
      <c r="AA77" s="2">
        <f t="shared" ca="1" si="33"/>
        <v>2066.8477050682573</v>
      </c>
      <c r="AB77" s="2">
        <f t="shared" ca="1" si="33"/>
        <v>2827.4795350842965</v>
      </c>
      <c r="AC77" s="2">
        <f t="shared" ca="1" si="33"/>
        <v>2854.8084240772137</v>
      </c>
      <c r="AD77" s="2">
        <f t="shared" ca="1" si="33"/>
        <v>2743.2454067298168</v>
      </c>
      <c r="AE77" s="2">
        <f t="shared" ca="1" si="33"/>
        <v>2126.7551628985525</v>
      </c>
      <c r="AF77" s="2">
        <f t="shared" ca="1" si="33"/>
        <v>2763.2307567935313</v>
      </c>
      <c r="AG77" s="2">
        <f t="shared" ca="1" si="33"/>
        <v>2019.0453193619189</v>
      </c>
      <c r="AH77" s="2">
        <f t="shared" ca="1" si="33"/>
        <v>2659.0098904663596</v>
      </c>
    </row>
    <row r="78" spans="1:34">
      <c r="A78" t="str">
        <f t="shared" ref="A78:A90" si="34">INDEX(Food,MATCH(A67,Food,0)+1)</f>
        <v>Beef</v>
      </c>
      <c r="B78" t="str">
        <f t="shared" si="31"/>
        <v>SNNPR</v>
      </c>
      <c r="C78" s="2">
        <f t="shared" ca="1" si="32"/>
        <v>2739.9012022802035</v>
      </c>
      <c r="D78" s="2">
        <f t="shared" ca="1" si="32"/>
        <v>2145.7353520151664</v>
      </c>
      <c r="E78" s="2">
        <f t="shared" ca="1" si="32"/>
        <v>2941.0759221357257</v>
      </c>
      <c r="F78" s="2">
        <f t="shared" ca="1" si="32"/>
        <v>2654.4883300083266</v>
      </c>
      <c r="G78" s="2">
        <f t="shared" ca="1" si="32"/>
        <v>2915.0559015871677</v>
      </c>
      <c r="H78" s="2">
        <f t="shared" ca="1" si="32"/>
        <v>2917.9760269055678</v>
      </c>
      <c r="I78" s="2">
        <f t="shared" ca="1" si="32"/>
        <v>2724.5658578193934</v>
      </c>
      <c r="J78" s="2">
        <f t="shared" ca="1" si="32"/>
        <v>2066.293634520061</v>
      </c>
      <c r="K78" s="2">
        <f t="shared" ca="1" si="32"/>
        <v>2349.5521849173256</v>
      </c>
      <c r="L78" s="2">
        <f t="shared" ca="1" si="32"/>
        <v>2770.6413959298038</v>
      </c>
      <c r="M78" s="2">
        <f t="shared" ca="1" si="32"/>
        <v>2035.3840454096876</v>
      </c>
      <c r="N78" s="2">
        <f t="shared" ca="1" si="32"/>
        <v>2549.3568999116314</v>
      </c>
      <c r="O78" s="2">
        <f t="shared" ca="1" si="32"/>
        <v>2559.4411661504114</v>
      </c>
      <c r="P78" s="2">
        <f t="shared" ca="1" si="32"/>
        <v>2959.4021236061776</v>
      </c>
      <c r="Q78" s="2">
        <f t="shared" ca="1" si="32"/>
        <v>2070.5436180109186</v>
      </c>
      <c r="R78" s="2">
        <f t="shared" ca="1" si="32"/>
        <v>2601.2373306202676</v>
      </c>
      <c r="S78" s="2">
        <f t="shared" ca="1" si="33"/>
        <v>2528.8062051077031</v>
      </c>
      <c r="T78" s="2">
        <f t="shared" ca="1" si="33"/>
        <v>2167.5981307543757</v>
      </c>
      <c r="U78" s="2">
        <f t="shared" ca="1" si="33"/>
        <v>2105.2022332862784</v>
      </c>
      <c r="V78" s="2">
        <f t="shared" ca="1" si="33"/>
        <v>2094.5813931437169</v>
      </c>
      <c r="W78" s="2">
        <f t="shared" ca="1" si="33"/>
        <v>2633.8718127856837</v>
      </c>
      <c r="X78" s="2">
        <f t="shared" ca="1" si="33"/>
        <v>2940.114119147519</v>
      </c>
      <c r="Y78" s="2">
        <f t="shared" ca="1" si="33"/>
        <v>2063.8589656873473</v>
      </c>
      <c r="Z78" s="2">
        <f t="shared" ca="1" si="33"/>
        <v>2809.5912872185572</v>
      </c>
      <c r="AA78" s="2">
        <f t="shared" ca="1" si="33"/>
        <v>2334.7556757905195</v>
      </c>
      <c r="AB78" s="2">
        <f t="shared" ca="1" si="33"/>
        <v>2226.7066633720588</v>
      </c>
      <c r="AC78" s="2">
        <f t="shared" ca="1" si="33"/>
        <v>2236.0837860348911</v>
      </c>
      <c r="AD78" s="2">
        <f t="shared" ca="1" si="33"/>
        <v>2658.8245937841589</v>
      </c>
      <c r="AE78" s="2">
        <f t="shared" ca="1" si="33"/>
        <v>2976.1661468755547</v>
      </c>
      <c r="AF78" s="2">
        <f t="shared" ca="1" si="33"/>
        <v>2175.327911703012</v>
      </c>
      <c r="AG78" s="2">
        <f t="shared" ca="1" si="33"/>
        <v>2141.5951080409827</v>
      </c>
      <c r="AH78" s="2">
        <f t="shared" ca="1" si="33"/>
        <v>2021.7758039753314</v>
      </c>
    </row>
    <row r="79" spans="1:34">
      <c r="A79" t="str">
        <f t="shared" si="34"/>
        <v>Beef</v>
      </c>
      <c r="B79" t="str">
        <f t="shared" ref="B79:B90" si="35">B68</f>
        <v>Tigray</v>
      </c>
      <c r="C79" s="2">
        <f t="shared" ca="1" si="32"/>
        <v>2853.7620930711073</v>
      </c>
      <c r="D79" s="2">
        <f t="shared" ca="1" si="32"/>
        <v>2909.2686933267328</v>
      </c>
      <c r="E79" s="2">
        <f t="shared" ca="1" si="32"/>
        <v>2330.8861421227111</v>
      </c>
      <c r="F79" s="2">
        <f t="shared" ca="1" si="32"/>
        <v>2432.46700619481</v>
      </c>
      <c r="G79" s="2">
        <f t="shared" ca="1" si="32"/>
        <v>2979.8349571356316</v>
      </c>
      <c r="H79" s="2">
        <f t="shared" ca="1" si="32"/>
        <v>2773.1178079498659</v>
      </c>
      <c r="I79" s="2">
        <f t="shared" ca="1" si="32"/>
        <v>2720.3865677478188</v>
      </c>
      <c r="J79" s="2">
        <f t="shared" ca="1" si="32"/>
        <v>2929.7605506328055</v>
      </c>
      <c r="K79" s="2">
        <f t="shared" ca="1" si="32"/>
        <v>2656.0034376287376</v>
      </c>
      <c r="L79" s="2">
        <f t="shared" ca="1" si="32"/>
        <v>2638.9041899866538</v>
      </c>
      <c r="M79" s="2">
        <f t="shared" ca="1" si="32"/>
        <v>2913.2407968156867</v>
      </c>
      <c r="N79" s="2">
        <f t="shared" ca="1" si="32"/>
        <v>2158.8361482762784</v>
      </c>
      <c r="O79" s="2">
        <f t="shared" ca="1" si="32"/>
        <v>2947.2471580126107</v>
      </c>
      <c r="P79" s="2">
        <f t="shared" ca="1" si="32"/>
        <v>2424.2221912232462</v>
      </c>
      <c r="Q79" s="2">
        <f t="shared" ca="1" si="32"/>
        <v>2082.874753579727</v>
      </c>
      <c r="R79" s="2">
        <f t="shared" ca="1" si="32"/>
        <v>2391.0588113941021</v>
      </c>
      <c r="S79" s="2">
        <f t="shared" ca="1" si="33"/>
        <v>2180.9864908406976</v>
      </c>
      <c r="T79" s="2">
        <f t="shared" ca="1" si="33"/>
        <v>2198.5669296432043</v>
      </c>
      <c r="U79" s="2">
        <f t="shared" ca="1" si="33"/>
        <v>2561.3027907057563</v>
      </c>
      <c r="V79" s="2">
        <f t="shared" ca="1" si="33"/>
        <v>2988.4286889538384</v>
      </c>
      <c r="W79" s="2">
        <f t="shared" ca="1" si="33"/>
        <v>2207.4011846890658</v>
      </c>
      <c r="X79" s="2">
        <f t="shared" ca="1" si="33"/>
        <v>2126.5477757901735</v>
      </c>
      <c r="Y79" s="2">
        <f t="shared" ca="1" si="33"/>
        <v>2710.4130732106287</v>
      </c>
      <c r="Z79" s="2">
        <f t="shared" ca="1" si="33"/>
        <v>2488.4199096903549</v>
      </c>
      <c r="AA79" s="2">
        <f t="shared" ca="1" si="33"/>
        <v>2572.7381644330062</v>
      </c>
      <c r="AB79" s="2">
        <f t="shared" ca="1" si="33"/>
        <v>2066.0893982373086</v>
      </c>
      <c r="AC79" s="2">
        <f t="shared" ca="1" si="33"/>
        <v>2778.6095136531844</v>
      </c>
      <c r="AD79" s="2">
        <f t="shared" ca="1" si="33"/>
        <v>2334.8731081199471</v>
      </c>
      <c r="AE79" s="2">
        <f t="shared" ca="1" si="33"/>
        <v>2690.9967339926147</v>
      </c>
      <c r="AF79" s="2">
        <f t="shared" ca="1" si="33"/>
        <v>2767.0905910457309</v>
      </c>
      <c r="AG79" s="2">
        <f t="shared" ca="1" si="33"/>
        <v>2677.4462934112175</v>
      </c>
      <c r="AH79" s="2">
        <f t="shared" ca="1" si="33"/>
        <v>2648.793088408087</v>
      </c>
    </row>
    <row r="80" spans="1:34">
      <c r="A80" t="str">
        <f t="shared" si="34"/>
        <v>Milk</v>
      </c>
      <c r="B80" t="str">
        <f t="shared" si="35"/>
        <v>AddisAbaba</v>
      </c>
      <c r="C80" s="2">
        <f t="shared" ca="1" si="32"/>
        <v>2635.9358109930549</v>
      </c>
      <c r="D80" s="2">
        <f t="shared" ca="1" si="32"/>
        <v>2108.8251335425175</v>
      </c>
      <c r="E80" s="2">
        <f t="shared" ca="1" si="32"/>
        <v>2491.6780278857645</v>
      </c>
      <c r="F80" s="2">
        <f t="shared" ca="1" si="32"/>
        <v>2388.6608505424188</v>
      </c>
      <c r="G80" s="2">
        <f t="shared" ca="1" si="32"/>
        <v>2162.3871470473468</v>
      </c>
      <c r="H80" s="2">
        <f t="shared" ca="1" si="32"/>
        <v>2375.8415087965705</v>
      </c>
      <c r="I80" s="2">
        <f t="shared" ca="1" si="32"/>
        <v>2018.6072982179517</v>
      </c>
      <c r="J80" s="2">
        <f t="shared" ca="1" si="32"/>
        <v>2958.1128902112591</v>
      </c>
      <c r="K80" s="2">
        <f t="shared" ca="1" si="32"/>
        <v>2078.4277396128373</v>
      </c>
      <c r="L80" s="2">
        <f t="shared" ca="1" si="32"/>
        <v>2852.6101823475174</v>
      </c>
      <c r="M80" s="2">
        <f t="shared" ca="1" si="32"/>
        <v>2954.4262348168854</v>
      </c>
      <c r="N80" s="2">
        <f t="shared" ca="1" si="32"/>
        <v>2333.3298095149657</v>
      </c>
      <c r="O80" s="2">
        <f t="shared" ca="1" si="32"/>
        <v>2071.5403248321086</v>
      </c>
      <c r="P80" s="2">
        <f t="shared" ca="1" si="32"/>
        <v>2414.3102789798895</v>
      </c>
      <c r="Q80" s="2">
        <f t="shared" ca="1" si="32"/>
        <v>2784.0896585875885</v>
      </c>
      <c r="R80" s="2">
        <f t="shared" ca="1" si="32"/>
        <v>2799.8422389092593</v>
      </c>
      <c r="S80" s="2">
        <f t="shared" ca="1" si="33"/>
        <v>2754.1417959871351</v>
      </c>
      <c r="T80" s="2">
        <f t="shared" ca="1" si="33"/>
        <v>2465.2924030443783</v>
      </c>
      <c r="U80" s="2">
        <f t="shared" ca="1" si="33"/>
        <v>2014.7167302211299</v>
      </c>
      <c r="V80" s="2">
        <f t="shared" ca="1" si="33"/>
        <v>2551.9827999969093</v>
      </c>
      <c r="W80" s="2">
        <f t="shared" ca="1" si="33"/>
        <v>2895.9217765109352</v>
      </c>
      <c r="X80" s="2">
        <f t="shared" ca="1" si="33"/>
        <v>2000.8831947001445</v>
      </c>
      <c r="Y80" s="2">
        <f t="shared" ca="1" si="33"/>
        <v>2124.1366340793356</v>
      </c>
      <c r="Z80" s="2">
        <f t="shared" ca="1" si="33"/>
        <v>2248.6553392583542</v>
      </c>
      <c r="AA80" s="2">
        <f t="shared" ca="1" si="33"/>
        <v>2300.201507691525</v>
      </c>
      <c r="AB80" s="2">
        <f t="shared" ca="1" si="33"/>
        <v>2600.8722003023372</v>
      </c>
      <c r="AC80" s="2">
        <f t="shared" ca="1" si="33"/>
        <v>2821.4561656161213</v>
      </c>
      <c r="AD80" s="2">
        <f t="shared" ca="1" si="33"/>
        <v>2839.4559730858346</v>
      </c>
      <c r="AE80" s="2">
        <f t="shared" ca="1" si="33"/>
        <v>2553.5649665735382</v>
      </c>
      <c r="AF80" s="2">
        <f t="shared" ca="1" si="33"/>
        <v>2068.5118809352516</v>
      </c>
      <c r="AG80" s="2">
        <f t="shared" ca="1" si="33"/>
        <v>2117.2856504920187</v>
      </c>
      <c r="AH80" s="2">
        <f t="shared" ca="1" si="33"/>
        <v>2649.2235772700533</v>
      </c>
    </row>
    <row r="81" spans="1:34">
      <c r="A81" t="str">
        <f t="shared" si="34"/>
        <v>Milk</v>
      </c>
      <c r="B81" t="str">
        <f t="shared" si="35"/>
        <v>Afar</v>
      </c>
      <c r="C81" s="2">
        <f t="shared" ca="1" si="32"/>
        <v>2270.9718982938152</v>
      </c>
      <c r="D81" s="2">
        <f t="shared" ca="1" si="32"/>
        <v>2562.0324136955837</v>
      </c>
      <c r="E81" s="2">
        <f t="shared" ca="1" si="32"/>
        <v>2503.3479307265188</v>
      </c>
      <c r="F81" s="2">
        <f t="shared" ca="1" si="32"/>
        <v>2965.3000860160687</v>
      </c>
      <c r="G81" s="2">
        <f t="shared" ca="1" si="32"/>
        <v>2139.7587373465312</v>
      </c>
      <c r="H81" s="2">
        <f t="shared" ca="1" si="32"/>
        <v>2254.1686775412045</v>
      </c>
      <c r="I81" s="2">
        <f t="shared" ca="1" si="32"/>
        <v>2506.1140232012431</v>
      </c>
      <c r="J81" s="2">
        <f t="shared" ca="1" si="32"/>
        <v>2623.5146673865856</v>
      </c>
      <c r="K81" s="2">
        <f t="shared" ca="1" si="32"/>
        <v>2648.9813924017608</v>
      </c>
      <c r="L81" s="2">
        <f t="shared" ca="1" si="32"/>
        <v>2195.6538108062941</v>
      </c>
      <c r="M81" s="2">
        <f t="shared" ca="1" si="32"/>
        <v>2529.2303398483759</v>
      </c>
      <c r="N81" s="2">
        <f t="shared" ca="1" si="32"/>
        <v>2748.7064123405075</v>
      </c>
      <c r="O81" s="2">
        <f t="shared" ca="1" si="32"/>
        <v>2960.0875123890705</v>
      </c>
      <c r="P81" s="2">
        <f t="shared" ca="1" si="32"/>
        <v>2265.6932640802861</v>
      </c>
      <c r="Q81" s="2">
        <f t="shared" ca="1" si="32"/>
        <v>2341.0844065597462</v>
      </c>
      <c r="R81" s="2">
        <f t="shared" ca="1" si="32"/>
        <v>2974.5828163676424</v>
      </c>
      <c r="S81" s="2">
        <f t="shared" ca="1" si="33"/>
        <v>2127.3718074557892</v>
      </c>
      <c r="T81" s="2">
        <f t="shared" ca="1" si="33"/>
        <v>2809.7263091757145</v>
      </c>
      <c r="U81" s="2">
        <f t="shared" ca="1" si="33"/>
        <v>2256.0560817421847</v>
      </c>
      <c r="V81" s="2">
        <f t="shared" ca="1" si="33"/>
        <v>2329.3588450347543</v>
      </c>
      <c r="W81" s="2">
        <f t="shared" ca="1" si="33"/>
        <v>2126.455025679365</v>
      </c>
      <c r="X81" s="2">
        <f t="shared" ca="1" si="33"/>
        <v>2358.6570975480354</v>
      </c>
      <c r="Y81" s="2">
        <f t="shared" ca="1" si="33"/>
        <v>2527.9057221088797</v>
      </c>
      <c r="Z81" s="2">
        <f t="shared" ca="1" si="33"/>
        <v>2776.5668742343973</v>
      </c>
      <c r="AA81" s="2">
        <f t="shared" ca="1" si="33"/>
        <v>2820.0214892265794</v>
      </c>
      <c r="AB81" s="2">
        <f t="shared" ca="1" si="33"/>
        <v>2081.470876354098</v>
      </c>
      <c r="AC81" s="2">
        <f t="shared" ca="1" si="33"/>
        <v>2472.1854280434604</v>
      </c>
      <c r="AD81" s="2">
        <f t="shared" ca="1" si="33"/>
        <v>2079.5693253086438</v>
      </c>
      <c r="AE81" s="2">
        <f t="shared" ca="1" si="33"/>
        <v>2403.9208049410349</v>
      </c>
      <c r="AF81" s="2">
        <f t="shared" ca="1" si="33"/>
        <v>2814.0952563712453</v>
      </c>
      <c r="AG81" s="2">
        <f t="shared" ca="1" si="33"/>
        <v>2951.0579080259636</v>
      </c>
      <c r="AH81" s="2">
        <f t="shared" ca="1" si="33"/>
        <v>2876.1265814581557</v>
      </c>
    </row>
    <row r="82" spans="1:34">
      <c r="A82" t="str">
        <f t="shared" si="34"/>
        <v>Milk</v>
      </c>
      <c r="B82" t="str">
        <f t="shared" si="35"/>
        <v>Amhara</v>
      </c>
      <c r="C82" s="2">
        <f t="shared" ca="1" si="32"/>
        <v>2117.5989803578204</v>
      </c>
      <c r="D82" s="2">
        <f t="shared" ca="1" si="32"/>
        <v>2248.1996928741664</v>
      </c>
      <c r="E82" s="2">
        <f t="shared" ca="1" si="32"/>
        <v>2264.9471127754027</v>
      </c>
      <c r="F82" s="2">
        <f t="shared" ca="1" si="32"/>
        <v>2675.3398883092123</v>
      </c>
      <c r="G82" s="2">
        <f t="shared" ca="1" si="32"/>
        <v>2362.1232223305506</v>
      </c>
      <c r="H82" s="2">
        <f t="shared" ca="1" si="32"/>
        <v>2663.3753493130916</v>
      </c>
      <c r="I82" s="2">
        <f t="shared" ca="1" si="32"/>
        <v>2635.3839311469019</v>
      </c>
      <c r="J82" s="2">
        <f t="shared" ca="1" si="32"/>
        <v>2727.7218453471282</v>
      </c>
      <c r="K82" s="2">
        <f t="shared" ca="1" si="32"/>
        <v>2556.5664003887396</v>
      </c>
      <c r="L82" s="2">
        <f t="shared" ca="1" si="32"/>
        <v>2827.632548771307</v>
      </c>
      <c r="M82" s="2">
        <f t="shared" ca="1" si="32"/>
        <v>2226.1652335312847</v>
      </c>
      <c r="N82" s="2">
        <f t="shared" ca="1" si="32"/>
        <v>2095.6285985800837</v>
      </c>
      <c r="O82" s="2">
        <f t="shared" ca="1" si="32"/>
        <v>2724.9765158055648</v>
      </c>
      <c r="P82" s="2">
        <f t="shared" ca="1" si="32"/>
        <v>2902.1810537252022</v>
      </c>
      <c r="Q82" s="2">
        <f t="shared" ca="1" si="32"/>
        <v>2077.5646282682392</v>
      </c>
      <c r="R82" s="2">
        <f t="shared" ca="1" si="32"/>
        <v>2859.7894228086143</v>
      </c>
      <c r="S82" s="2">
        <f t="shared" ca="1" si="33"/>
        <v>2156.2185744857584</v>
      </c>
      <c r="T82" s="2">
        <f t="shared" ca="1" si="33"/>
        <v>2133.5211330455636</v>
      </c>
      <c r="U82" s="2">
        <f t="shared" ca="1" si="33"/>
        <v>2279.9047739202588</v>
      </c>
      <c r="V82" s="2">
        <f t="shared" ca="1" si="33"/>
        <v>2436.5630790928121</v>
      </c>
      <c r="W82" s="2">
        <f t="shared" ca="1" si="33"/>
        <v>2492.6373692507759</v>
      </c>
      <c r="X82" s="2">
        <f t="shared" ca="1" si="33"/>
        <v>2259.4542671394875</v>
      </c>
      <c r="Y82" s="2">
        <f t="shared" ca="1" si="33"/>
        <v>2403.7875724365304</v>
      </c>
      <c r="Z82" s="2">
        <f t="shared" ca="1" si="33"/>
        <v>2050.002750428831</v>
      </c>
      <c r="AA82" s="2">
        <f t="shared" ca="1" si="33"/>
        <v>2536.0300074319453</v>
      </c>
      <c r="AB82" s="2">
        <f t="shared" ca="1" si="33"/>
        <v>2583.3225878198336</v>
      </c>
      <c r="AC82" s="2">
        <f t="shared" ca="1" si="33"/>
        <v>2323.1515697459195</v>
      </c>
      <c r="AD82" s="2">
        <f t="shared" ca="1" si="33"/>
        <v>2103.8740682275711</v>
      </c>
      <c r="AE82" s="2">
        <f t="shared" ca="1" si="33"/>
        <v>2050.0667221646227</v>
      </c>
      <c r="AF82" s="2">
        <f t="shared" ca="1" si="33"/>
        <v>2547.6976648650916</v>
      </c>
      <c r="AG82" s="2">
        <f t="shared" ca="1" si="33"/>
        <v>2499.4842714479901</v>
      </c>
      <c r="AH82" s="2">
        <f t="shared" ca="1" si="33"/>
        <v>2349.8372676557947</v>
      </c>
    </row>
    <row r="83" spans="1:34">
      <c r="A83" t="str">
        <f t="shared" si="34"/>
        <v>Milk</v>
      </c>
      <c r="B83" t="str">
        <f t="shared" si="35"/>
        <v>Gumuz</v>
      </c>
      <c r="C83" s="2">
        <f t="shared" ca="1" si="32"/>
        <v>2205.2476547436804</v>
      </c>
      <c r="D83" s="2">
        <f t="shared" ca="1" si="32"/>
        <v>2379.3466754684523</v>
      </c>
      <c r="E83" s="2">
        <f t="shared" ca="1" si="32"/>
        <v>2214.6234908551305</v>
      </c>
      <c r="F83" s="2">
        <f t="shared" ca="1" si="32"/>
        <v>2889.8873199667341</v>
      </c>
      <c r="G83" s="2">
        <f t="shared" ca="1" si="32"/>
        <v>2505.0712280977955</v>
      </c>
      <c r="H83" s="2">
        <f t="shared" ca="1" si="32"/>
        <v>2786.8703699835205</v>
      </c>
      <c r="I83" s="2">
        <f t="shared" ca="1" si="32"/>
        <v>2916.9538839180864</v>
      </c>
      <c r="J83" s="2">
        <f t="shared" ca="1" si="32"/>
        <v>2037.4196562447194</v>
      </c>
      <c r="K83" s="2">
        <f t="shared" ca="1" si="32"/>
        <v>2836.2270516178869</v>
      </c>
      <c r="L83" s="2">
        <f t="shared" ca="1" si="32"/>
        <v>2179.046349031411</v>
      </c>
      <c r="M83" s="2">
        <f t="shared" ca="1" si="32"/>
        <v>2852.4377617837954</v>
      </c>
      <c r="N83" s="2">
        <f t="shared" ca="1" si="32"/>
        <v>2712.0306540071133</v>
      </c>
      <c r="O83" s="2">
        <f t="shared" ca="1" si="32"/>
        <v>2861.5237332934194</v>
      </c>
      <c r="P83" s="2">
        <f t="shared" ca="1" si="32"/>
        <v>2522.105373096369</v>
      </c>
      <c r="Q83" s="2">
        <f t="shared" ca="1" si="32"/>
        <v>2754.6456457539953</v>
      </c>
      <c r="R83" s="2">
        <f t="shared" ca="1" si="32"/>
        <v>2693.1692946509256</v>
      </c>
      <c r="S83" s="2">
        <f t="shared" ca="1" si="33"/>
        <v>2000.7484111472374</v>
      </c>
      <c r="T83" s="2">
        <f t="shared" ca="1" si="33"/>
        <v>2301.0831800702331</v>
      </c>
      <c r="U83" s="2">
        <f t="shared" ca="1" si="33"/>
        <v>2816.2352666149632</v>
      </c>
      <c r="V83" s="2">
        <f t="shared" ca="1" si="33"/>
        <v>2053.9211276645174</v>
      </c>
      <c r="W83" s="2">
        <f t="shared" ca="1" si="33"/>
        <v>2190.0285545470347</v>
      </c>
      <c r="X83" s="2">
        <f t="shared" ca="1" si="33"/>
        <v>2336.284595603332</v>
      </c>
      <c r="Y83" s="2">
        <f t="shared" ca="1" si="33"/>
        <v>2998.4113094311242</v>
      </c>
      <c r="Z83" s="2">
        <f t="shared" ca="1" si="33"/>
        <v>2817.3491755587838</v>
      </c>
      <c r="AA83" s="2">
        <f t="shared" ca="1" si="33"/>
        <v>2115.226562994289</v>
      </c>
      <c r="AB83" s="2">
        <f t="shared" ca="1" si="33"/>
        <v>2755.3128234740602</v>
      </c>
      <c r="AC83" s="2">
        <f t="shared" ca="1" si="33"/>
        <v>2427.651586671408</v>
      </c>
      <c r="AD83" s="2">
        <f t="shared" ca="1" si="33"/>
        <v>2552.0584376836173</v>
      </c>
      <c r="AE83" s="2">
        <f t="shared" ca="1" si="33"/>
        <v>2741.261935319701</v>
      </c>
      <c r="AF83" s="2">
        <f t="shared" ca="1" si="33"/>
        <v>2199.3130447753792</v>
      </c>
      <c r="AG83" s="2">
        <f t="shared" ca="1" si="33"/>
        <v>2555.9124627172646</v>
      </c>
      <c r="AH83" s="2">
        <f t="shared" ca="1" si="33"/>
        <v>2741.2518575632312</v>
      </c>
    </row>
    <row r="84" spans="1:34">
      <c r="A84" t="str">
        <f t="shared" si="34"/>
        <v>Milk</v>
      </c>
      <c r="B84" t="str">
        <f t="shared" si="35"/>
        <v>DireDawa</v>
      </c>
      <c r="C84" s="2">
        <f t="shared" ca="1" si="32"/>
        <v>2529.1149373288217</v>
      </c>
      <c r="D84" s="2">
        <f t="shared" ca="1" si="32"/>
        <v>2498.4580642410974</v>
      </c>
      <c r="E84" s="2">
        <f t="shared" ca="1" si="32"/>
        <v>2730.4274902183734</v>
      </c>
      <c r="F84" s="2">
        <f t="shared" ca="1" si="32"/>
        <v>2793.6380216324592</v>
      </c>
      <c r="G84" s="2">
        <f t="shared" ca="1" si="32"/>
        <v>2814.8052661081856</v>
      </c>
      <c r="H84" s="2">
        <f t="shared" ca="1" si="32"/>
        <v>2570.2331792709047</v>
      </c>
      <c r="I84" s="2">
        <f t="shared" ca="1" si="32"/>
        <v>2064.8018866301168</v>
      </c>
      <c r="J84" s="2">
        <f t="shared" ca="1" si="32"/>
        <v>2356.3942232301679</v>
      </c>
      <c r="K84" s="2">
        <f t="shared" ca="1" si="32"/>
        <v>2033.3148708999693</v>
      </c>
      <c r="L84" s="2">
        <f t="shared" ca="1" si="32"/>
        <v>2659.8493030827926</v>
      </c>
      <c r="M84" s="2">
        <f t="shared" ca="1" si="32"/>
        <v>2689.7199189738631</v>
      </c>
      <c r="N84" s="2">
        <f t="shared" ca="1" si="32"/>
        <v>2277.1908677453594</v>
      </c>
      <c r="O84" s="2">
        <f t="shared" ca="1" si="32"/>
        <v>2564.1839690490651</v>
      </c>
      <c r="P84" s="2">
        <f t="shared" ca="1" si="32"/>
        <v>2865.2209770425006</v>
      </c>
      <c r="Q84" s="2">
        <f t="shared" ca="1" si="32"/>
        <v>2278.088052293228</v>
      </c>
      <c r="R84" s="2">
        <f t="shared" ref="R84:AG90" ca="1" si="36">((RAND()*1+2)*100)*10</f>
        <v>2265.6375139854354</v>
      </c>
      <c r="S84" s="2">
        <f t="shared" ca="1" si="33"/>
        <v>2528.7881706337994</v>
      </c>
      <c r="T84" s="2">
        <f t="shared" ca="1" si="33"/>
        <v>2940.184453086692</v>
      </c>
      <c r="U84" s="2">
        <f t="shared" ca="1" si="33"/>
        <v>2991.3005896431837</v>
      </c>
      <c r="V84" s="2">
        <f t="shared" ca="1" si="33"/>
        <v>2704.6061384785489</v>
      </c>
      <c r="W84" s="2">
        <f t="shared" ca="1" si="33"/>
        <v>2949.6362167110701</v>
      </c>
      <c r="X84" s="2">
        <f t="shared" ca="1" si="33"/>
        <v>2718.0281703684609</v>
      </c>
      <c r="Y84" s="2">
        <f t="shared" ca="1" si="33"/>
        <v>2416.3530249133423</v>
      </c>
      <c r="Z84" s="2">
        <f t="shared" ca="1" si="33"/>
        <v>2143.8748325280867</v>
      </c>
      <c r="AA84" s="2">
        <f t="shared" ca="1" si="33"/>
        <v>2130.9825757791323</v>
      </c>
      <c r="AB84" s="2">
        <f t="shared" ca="1" si="33"/>
        <v>2513.6955066050978</v>
      </c>
      <c r="AC84" s="2">
        <f t="shared" ca="1" si="33"/>
        <v>2170.1236890139462</v>
      </c>
      <c r="AD84" s="2">
        <f t="shared" ca="1" si="33"/>
        <v>2496.4893979377262</v>
      </c>
      <c r="AE84" s="2">
        <f t="shared" ca="1" si="33"/>
        <v>2585.0186598852551</v>
      </c>
      <c r="AF84" s="2">
        <f t="shared" ca="1" si="33"/>
        <v>2597.339554303308</v>
      </c>
      <c r="AG84" s="2">
        <f t="shared" ca="1" si="33"/>
        <v>2538.5306142031504</v>
      </c>
      <c r="AH84" s="2">
        <f t="shared" ref="AH84:AH90" ca="1" si="37">((RAND()*1+2)*100)*10</f>
        <v>2461.5605050516278</v>
      </c>
    </row>
    <row r="85" spans="1:34">
      <c r="A85" t="str">
        <f t="shared" si="34"/>
        <v>Milk</v>
      </c>
      <c r="B85" t="str">
        <f t="shared" si="35"/>
        <v>Gambela</v>
      </c>
      <c r="C85" s="2">
        <f t="shared" ref="C85:Q90" ca="1" si="38">((RAND()*1+2)*100)*10</f>
        <v>2468.785425738311</v>
      </c>
      <c r="D85" s="2">
        <f t="shared" ca="1" si="38"/>
        <v>2232.5261335367745</v>
      </c>
      <c r="E85" s="2">
        <f t="shared" ca="1" si="38"/>
        <v>2781.7304333086831</v>
      </c>
      <c r="F85" s="2">
        <f t="shared" ca="1" si="38"/>
        <v>2400.0191320906747</v>
      </c>
      <c r="G85" s="2">
        <f t="shared" ca="1" si="38"/>
        <v>2811.3581457185192</v>
      </c>
      <c r="H85" s="2">
        <f t="shared" ca="1" si="38"/>
        <v>2995.4575964308242</v>
      </c>
      <c r="I85" s="2">
        <f t="shared" ca="1" si="38"/>
        <v>2932.741017738148</v>
      </c>
      <c r="J85" s="2">
        <f t="shared" ca="1" si="38"/>
        <v>2304.1329483715886</v>
      </c>
      <c r="K85" s="2">
        <f t="shared" ca="1" si="38"/>
        <v>2677.6625776456422</v>
      </c>
      <c r="L85" s="2">
        <f t="shared" ca="1" si="38"/>
        <v>2655.7634144720569</v>
      </c>
      <c r="M85" s="2">
        <f t="shared" ca="1" si="38"/>
        <v>2375.5938888751098</v>
      </c>
      <c r="N85" s="2">
        <f t="shared" ca="1" si="38"/>
        <v>2542.7449292708611</v>
      </c>
      <c r="O85" s="2">
        <f t="shared" ca="1" si="38"/>
        <v>2616.5312104982477</v>
      </c>
      <c r="P85" s="2">
        <f t="shared" ca="1" si="38"/>
        <v>2152.038388032096</v>
      </c>
      <c r="Q85" s="2">
        <f t="shared" ca="1" si="38"/>
        <v>2836.8750220495672</v>
      </c>
      <c r="R85" s="2">
        <f t="shared" ca="1" si="36"/>
        <v>2647.5498925512397</v>
      </c>
      <c r="S85" s="2">
        <f t="shared" ca="1" si="36"/>
        <v>2672.1150746334715</v>
      </c>
      <c r="T85" s="2">
        <f t="shared" ca="1" si="36"/>
        <v>2208.9168104971286</v>
      </c>
      <c r="U85" s="2">
        <f t="shared" ca="1" si="36"/>
        <v>2757.9183819269178</v>
      </c>
      <c r="V85" s="2">
        <f t="shared" ca="1" si="36"/>
        <v>2067.7719046766301</v>
      </c>
      <c r="W85" s="2">
        <f t="shared" ca="1" si="36"/>
        <v>2541.9170908981519</v>
      </c>
      <c r="X85" s="2">
        <f t="shared" ca="1" si="36"/>
        <v>2129.9491293918836</v>
      </c>
      <c r="Y85" s="2">
        <f t="shared" ca="1" si="36"/>
        <v>2210.770188394421</v>
      </c>
      <c r="Z85" s="2">
        <f t="shared" ca="1" si="36"/>
        <v>2360.5881540245095</v>
      </c>
      <c r="AA85" s="2">
        <f t="shared" ca="1" si="36"/>
        <v>2793.7281429318564</v>
      </c>
      <c r="AB85" s="2">
        <f t="shared" ca="1" si="36"/>
        <v>2001.2616000910025</v>
      </c>
      <c r="AC85" s="2">
        <f t="shared" ca="1" si="36"/>
        <v>2816.4651028173535</v>
      </c>
      <c r="AD85" s="2">
        <f t="shared" ca="1" si="36"/>
        <v>2079.267578200142</v>
      </c>
      <c r="AE85" s="2">
        <f t="shared" ca="1" si="36"/>
        <v>2428.7532181738561</v>
      </c>
      <c r="AF85" s="2">
        <f t="shared" ca="1" si="36"/>
        <v>2439.8781725269141</v>
      </c>
      <c r="AG85" s="2">
        <f t="shared" ca="1" si="36"/>
        <v>2162.1109556961405</v>
      </c>
      <c r="AH85" s="2">
        <f t="shared" ca="1" si="37"/>
        <v>2109.8318012216127</v>
      </c>
    </row>
    <row r="86" spans="1:34">
      <c r="A86" t="str">
        <f t="shared" si="34"/>
        <v>Milk</v>
      </c>
      <c r="B86" t="str">
        <f t="shared" si="35"/>
        <v>Harari</v>
      </c>
      <c r="C86" s="2">
        <f t="shared" ca="1" si="38"/>
        <v>2266.9845875003493</v>
      </c>
      <c r="D86" s="2">
        <f t="shared" ca="1" si="38"/>
        <v>2313.5528253540247</v>
      </c>
      <c r="E86" s="2">
        <f t="shared" ca="1" si="38"/>
        <v>2536.3755258484498</v>
      </c>
      <c r="F86" s="2">
        <f t="shared" ca="1" si="38"/>
        <v>2417.9039505972746</v>
      </c>
      <c r="G86" s="2">
        <f t="shared" ca="1" si="38"/>
        <v>2686.3697771318448</v>
      </c>
      <c r="H86" s="2">
        <f t="shared" ca="1" si="38"/>
        <v>2674.9239219642909</v>
      </c>
      <c r="I86" s="2">
        <f t="shared" ca="1" si="38"/>
        <v>2062.8719264165816</v>
      </c>
      <c r="J86" s="2">
        <f t="shared" ca="1" si="38"/>
        <v>2579.1510099494672</v>
      </c>
      <c r="K86" s="2">
        <f t="shared" ca="1" si="38"/>
        <v>2615.5093296410496</v>
      </c>
      <c r="L86" s="2">
        <f t="shared" ca="1" si="38"/>
        <v>2672.8196507833136</v>
      </c>
      <c r="M86" s="2">
        <f t="shared" ca="1" si="38"/>
        <v>2585.7024945202038</v>
      </c>
      <c r="N86" s="2">
        <f t="shared" ca="1" si="38"/>
        <v>2257.0007131504462</v>
      </c>
      <c r="O86" s="2">
        <f t="shared" ca="1" si="38"/>
        <v>2969.0490162940414</v>
      </c>
      <c r="P86" s="2">
        <f t="shared" ca="1" si="38"/>
        <v>2826.9974907584715</v>
      </c>
      <c r="Q86" s="2">
        <f t="shared" ca="1" si="38"/>
        <v>2734.1201677834188</v>
      </c>
      <c r="R86" s="2">
        <f t="shared" ca="1" si="36"/>
        <v>2319.316832551915</v>
      </c>
      <c r="S86" s="2">
        <f t="shared" ca="1" si="36"/>
        <v>2980.121369806227</v>
      </c>
      <c r="T86" s="2">
        <f t="shared" ca="1" si="36"/>
        <v>2923.0112115300062</v>
      </c>
      <c r="U86" s="2">
        <f t="shared" ca="1" si="36"/>
        <v>2333.6332288320482</v>
      </c>
      <c r="V86" s="2">
        <f t="shared" ca="1" si="36"/>
        <v>2282.4603085357207</v>
      </c>
      <c r="W86" s="2">
        <f t="shared" ca="1" si="36"/>
        <v>2987.7404447402914</v>
      </c>
      <c r="X86" s="2">
        <f t="shared" ca="1" si="36"/>
        <v>2278.4951580560037</v>
      </c>
      <c r="Y86" s="2">
        <f t="shared" ca="1" si="36"/>
        <v>2474.4835421096609</v>
      </c>
      <c r="Z86" s="2">
        <f t="shared" ca="1" si="36"/>
        <v>2915.1823123422969</v>
      </c>
      <c r="AA86" s="2">
        <f t="shared" ca="1" si="36"/>
        <v>2716.3965818271113</v>
      </c>
      <c r="AB86" s="2">
        <f t="shared" ca="1" si="36"/>
        <v>2549.8464476615341</v>
      </c>
      <c r="AC86" s="2">
        <f t="shared" ca="1" si="36"/>
        <v>2971.2120893918827</v>
      </c>
      <c r="AD86" s="2">
        <f t="shared" ca="1" si="36"/>
        <v>2624.3076459760509</v>
      </c>
      <c r="AE86" s="2">
        <f t="shared" ca="1" si="36"/>
        <v>2254.1859231803105</v>
      </c>
      <c r="AF86" s="2">
        <f t="shared" ca="1" si="36"/>
        <v>2768.2386565939114</v>
      </c>
      <c r="AG86" s="2">
        <f t="shared" ca="1" si="36"/>
        <v>2591.3431774782466</v>
      </c>
      <c r="AH86" s="2">
        <f t="shared" ca="1" si="37"/>
        <v>2106.1597763387676</v>
      </c>
    </row>
    <row r="87" spans="1:34">
      <c r="A87" t="str">
        <f t="shared" si="34"/>
        <v>Milk</v>
      </c>
      <c r="B87" t="str">
        <f t="shared" si="35"/>
        <v>Oromia</v>
      </c>
      <c r="C87" s="2">
        <f t="shared" ca="1" si="38"/>
        <v>2048.5147711356476</v>
      </c>
      <c r="D87" s="2">
        <f t="shared" ca="1" si="38"/>
        <v>2200.2523648426318</v>
      </c>
      <c r="E87" s="2">
        <f t="shared" ca="1" si="38"/>
        <v>2621.776251931376</v>
      </c>
      <c r="F87" s="2">
        <f t="shared" ca="1" si="38"/>
        <v>2695.4886844568591</v>
      </c>
      <c r="G87" s="2">
        <f t="shared" ca="1" si="38"/>
        <v>2949.4967696376584</v>
      </c>
      <c r="H87" s="2">
        <f t="shared" ca="1" si="38"/>
        <v>2660.6100417439393</v>
      </c>
      <c r="I87" s="2">
        <f t="shared" ca="1" si="38"/>
        <v>2315.2889311755252</v>
      </c>
      <c r="J87" s="2">
        <f t="shared" ca="1" si="38"/>
        <v>2158.462567284324</v>
      </c>
      <c r="K87" s="2">
        <f t="shared" ca="1" si="38"/>
        <v>2383.9292387779824</v>
      </c>
      <c r="L87" s="2">
        <f t="shared" ca="1" si="38"/>
        <v>2253.9643519880788</v>
      </c>
      <c r="M87" s="2">
        <f t="shared" ca="1" si="38"/>
        <v>2504.6750907397432</v>
      </c>
      <c r="N87" s="2">
        <f t="shared" ca="1" si="38"/>
        <v>2609.0123674112033</v>
      </c>
      <c r="O87" s="2">
        <f t="shared" ca="1" si="38"/>
        <v>2476.5286680911513</v>
      </c>
      <c r="P87" s="2">
        <f t="shared" ca="1" si="38"/>
        <v>2329.6538610610132</v>
      </c>
      <c r="Q87" s="2">
        <f t="shared" ca="1" si="38"/>
        <v>2253.3722871984746</v>
      </c>
      <c r="R87" s="2">
        <f t="shared" ca="1" si="36"/>
        <v>2819.9452104460343</v>
      </c>
      <c r="S87" s="2">
        <f t="shared" ca="1" si="36"/>
        <v>2715.2444479424707</v>
      </c>
      <c r="T87" s="2">
        <f t="shared" ca="1" si="36"/>
        <v>2475.5572855297823</v>
      </c>
      <c r="U87" s="2">
        <f t="shared" ca="1" si="36"/>
        <v>2435.8586031780201</v>
      </c>
      <c r="V87" s="2">
        <f t="shared" ca="1" si="36"/>
        <v>2218.6811079937988</v>
      </c>
      <c r="W87" s="2">
        <f t="shared" ca="1" si="36"/>
        <v>2482.5999154061865</v>
      </c>
      <c r="X87" s="2">
        <f t="shared" ca="1" si="36"/>
        <v>2162.3839954587693</v>
      </c>
      <c r="Y87" s="2">
        <f t="shared" ca="1" si="36"/>
        <v>2392.2266579803031</v>
      </c>
      <c r="Z87" s="2">
        <f t="shared" ca="1" si="36"/>
        <v>2015.3558675055208</v>
      </c>
      <c r="AA87" s="2">
        <f t="shared" ca="1" si="36"/>
        <v>2814.0137393184932</v>
      </c>
      <c r="AB87" s="2">
        <f t="shared" ca="1" si="36"/>
        <v>2013.2860086035294</v>
      </c>
      <c r="AC87" s="2">
        <f t="shared" ca="1" si="36"/>
        <v>2110.5733100049715</v>
      </c>
      <c r="AD87" s="2">
        <f t="shared" ca="1" si="36"/>
        <v>2347.9575144715268</v>
      </c>
      <c r="AE87" s="2">
        <f t="shared" ca="1" si="36"/>
        <v>2483.9408777366948</v>
      </c>
      <c r="AF87" s="2">
        <f t="shared" ca="1" si="36"/>
        <v>2692.2507865378229</v>
      </c>
      <c r="AG87" s="2">
        <f t="shared" ca="1" si="36"/>
        <v>2338.6359146677178</v>
      </c>
      <c r="AH87" s="2">
        <f t="shared" ca="1" si="37"/>
        <v>2181.8068900991384</v>
      </c>
    </row>
    <row r="88" spans="1:34">
      <c r="A88" t="str">
        <f t="shared" si="34"/>
        <v>Milk</v>
      </c>
      <c r="B88" t="str">
        <f t="shared" si="35"/>
        <v>Somali</v>
      </c>
      <c r="C88" s="2">
        <f t="shared" ca="1" si="38"/>
        <v>2570.9903922182184</v>
      </c>
      <c r="D88" s="2">
        <f t="shared" ca="1" si="38"/>
        <v>2060.7490131930249</v>
      </c>
      <c r="E88" s="2">
        <f t="shared" ca="1" si="38"/>
        <v>2023.8416447350983</v>
      </c>
      <c r="F88" s="2">
        <f t="shared" ca="1" si="38"/>
        <v>2868.805051770737</v>
      </c>
      <c r="G88" s="2">
        <f t="shared" ca="1" si="38"/>
        <v>2844.0237830391852</v>
      </c>
      <c r="H88" s="2">
        <f t="shared" ca="1" si="38"/>
        <v>2682.4794926910768</v>
      </c>
      <c r="I88" s="2">
        <f t="shared" ca="1" si="38"/>
        <v>2504.0718465495424</v>
      </c>
      <c r="J88" s="2">
        <f t="shared" ca="1" si="38"/>
        <v>2414.1154355821063</v>
      </c>
      <c r="K88" s="2">
        <f t="shared" ca="1" si="38"/>
        <v>2185.4229192554708</v>
      </c>
      <c r="L88" s="2">
        <f t="shared" ca="1" si="38"/>
        <v>2406.9137131534071</v>
      </c>
      <c r="M88" s="2">
        <f t="shared" ca="1" si="38"/>
        <v>2676.5102090142727</v>
      </c>
      <c r="N88" s="2">
        <f t="shared" ca="1" si="38"/>
        <v>2774.9457510018105</v>
      </c>
      <c r="O88" s="2">
        <f t="shared" ca="1" si="38"/>
        <v>2650.3308901061359</v>
      </c>
      <c r="P88" s="2">
        <f t="shared" ca="1" si="38"/>
        <v>2963.1899201618221</v>
      </c>
      <c r="Q88" s="2">
        <f t="shared" ca="1" si="38"/>
        <v>2120.9928920553411</v>
      </c>
      <c r="R88" s="2">
        <f t="shared" ca="1" si="36"/>
        <v>2433.0814264023024</v>
      </c>
      <c r="S88" s="2">
        <f t="shared" ca="1" si="36"/>
        <v>2146.5321270369013</v>
      </c>
      <c r="T88" s="2">
        <f t="shared" ca="1" si="36"/>
        <v>2733.3875256606602</v>
      </c>
      <c r="U88" s="2">
        <f t="shared" ca="1" si="36"/>
        <v>2342.6005597608801</v>
      </c>
      <c r="V88" s="2">
        <f t="shared" ca="1" si="36"/>
        <v>2446.6067032615388</v>
      </c>
      <c r="W88" s="2">
        <f t="shared" ca="1" si="36"/>
        <v>2355.4092551670064</v>
      </c>
      <c r="X88" s="2">
        <f t="shared" ca="1" si="36"/>
        <v>2224.1589155137117</v>
      </c>
      <c r="Y88" s="2">
        <f t="shared" ca="1" si="36"/>
        <v>2589.9642752083059</v>
      </c>
      <c r="Z88" s="2">
        <f t="shared" ca="1" si="36"/>
        <v>2694.5873737689944</v>
      </c>
      <c r="AA88" s="2">
        <f t="shared" ca="1" si="36"/>
        <v>2213.5261708907587</v>
      </c>
      <c r="AB88" s="2">
        <f t="shared" ca="1" si="36"/>
        <v>2208.2909137705378</v>
      </c>
      <c r="AC88" s="2">
        <f t="shared" ca="1" si="36"/>
        <v>2004.3365836765174</v>
      </c>
      <c r="AD88" s="2">
        <f t="shared" ca="1" si="36"/>
        <v>2098.5649506523846</v>
      </c>
      <c r="AE88" s="2">
        <f t="shared" ca="1" si="36"/>
        <v>2905.4176119214167</v>
      </c>
      <c r="AF88" s="2">
        <f t="shared" ca="1" si="36"/>
        <v>2365.3951692823416</v>
      </c>
      <c r="AG88" s="2">
        <f t="shared" ca="1" si="36"/>
        <v>2477.1502886926378</v>
      </c>
      <c r="AH88" s="2">
        <f t="shared" ca="1" si="37"/>
        <v>2486.3417866635377</v>
      </c>
    </row>
    <row r="89" spans="1:34">
      <c r="A89" t="str">
        <f t="shared" si="34"/>
        <v>Milk</v>
      </c>
      <c r="B89" t="str">
        <f t="shared" si="35"/>
        <v>SNNPR</v>
      </c>
      <c r="C89" s="2">
        <f t="shared" ca="1" si="38"/>
        <v>2321.8132699258877</v>
      </c>
      <c r="D89" s="2">
        <f t="shared" ca="1" si="38"/>
        <v>2574.3221262576931</v>
      </c>
      <c r="E89" s="2">
        <f t="shared" ca="1" si="38"/>
        <v>2671.8979585028428</v>
      </c>
      <c r="F89" s="2">
        <f t="shared" ca="1" si="38"/>
        <v>2471.2877411262421</v>
      </c>
      <c r="G89" s="2">
        <f t="shared" ca="1" si="38"/>
        <v>2813.5469295397197</v>
      </c>
      <c r="H89" s="2">
        <f t="shared" ca="1" si="38"/>
        <v>2663.6174979027219</v>
      </c>
      <c r="I89" s="2">
        <f t="shared" ca="1" si="38"/>
        <v>2167.3582680200188</v>
      </c>
      <c r="J89" s="2">
        <f t="shared" ca="1" si="38"/>
        <v>2935.3105737579726</v>
      </c>
      <c r="K89" s="2">
        <f t="shared" ca="1" si="38"/>
        <v>2783.80943409051</v>
      </c>
      <c r="L89" s="2">
        <f t="shared" ca="1" si="38"/>
        <v>2469.0422161011211</v>
      </c>
      <c r="M89" s="2">
        <f t="shared" ca="1" si="38"/>
        <v>2101.3366974403002</v>
      </c>
      <c r="N89" s="2">
        <f t="shared" ca="1" si="38"/>
        <v>2139.8448690305181</v>
      </c>
      <c r="O89" s="2">
        <f t="shared" ca="1" si="38"/>
        <v>2348.3675098713461</v>
      </c>
      <c r="P89" s="2">
        <f t="shared" ca="1" si="38"/>
        <v>2018.8652883501925</v>
      </c>
      <c r="Q89" s="2">
        <f t="shared" ca="1" si="38"/>
        <v>2421.8177131906968</v>
      </c>
      <c r="R89" s="2">
        <f t="shared" ca="1" si="36"/>
        <v>2145.4027979083226</v>
      </c>
      <c r="S89" s="2">
        <f t="shared" ca="1" si="36"/>
        <v>2611.3972161087404</v>
      </c>
      <c r="T89" s="2">
        <f t="shared" ca="1" si="36"/>
        <v>2209.4397011230235</v>
      </c>
      <c r="U89" s="2">
        <f t="shared" ca="1" si="36"/>
        <v>2065.8189465962678</v>
      </c>
      <c r="V89" s="2">
        <f t="shared" ca="1" si="36"/>
        <v>2688.7598815987872</v>
      </c>
      <c r="W89" s="2">
        <f t="shared" ca="1" si="36"/>
        <v>2609.2805013169987</v>
      </c>
      <c r="X89" s="2">
        <f t="shared" ca="1" si="36"/>
        <v>2098.7938874006113</v>
      </c>
      <c r="Y89" s="2">
        <f t="shared" ca="1" si="36"/>
        <v>2289.5505205209151</v>
      </c>
      <c r="Z89" s="2">
        <f t="shared" ca="1" si="36"/>
        <v>2658.3145575359285</v>
      </c>
      <c r="AA89" s="2">
        <f t="shared" ca="1" si="36"/>
        <v>2299.771176738147</v>
      </c>
      <c r="AB89" s="2">
        <f t="shared" ca="1" si="36"/>
        <v>2715.9467444550887</v>
      </c>
      <c r="AC89" s="2">
        <f t="shared" ca="1" si="36"/>
        <v>2378.7086211538849</v>
      </c>
      <c r="AD89" s="2">
        <f t="shared" ca="1" si="36"/>
        <v>2981.4189517647651</v>
      </c>
      <c r="AE89" s="2">
        <f t="shared" ca="1" si="36"/>
        <v>2646.2652295819462</v>
      </c>
      <c r="AF89" s="2">
        <f t="shared" ca="1" si="36"/>
        <v>2629.7434327219307</v>
      </c>
      <c r="AG89" s="2">
        <f t="shared" ca="1" si="36"/>
        <v>2583.6490213960274</v>
      </c>
      <c r="AH89" s="2">
        <f t="shared" ca="1" si="37"/>
        <v>2351.7916040367641</v>
      </c>
    </row>
    <row r="90" spans="1:34">
      <c r="A90" t="str">
        <f t="shared" si="34"/>
        <v>Milk</v>
      </c>
      <c r="B90" t="str">
        <f t="shared" si="35"/>
        <v>Tigray</v>
      </c>
      <c r="C90" s="2">
        <f t="shared" ca="1" si="38"/>
        <v>2737.741421402111</v>
      </c>
      <c r="D90" s="2">
        <f t="shared" ca="1" si="38"/>
        <v>2368.5542510642854</v>
      </c>
      <c r="E90" s="2">
        <f t="shared" ca="1" si="38"/>
        <v>2177.2281567334862</v>
      </c>
      <c r="F90" s="2">
        <f t="shared" ca="1" si="38"/>
        <v>2103.8662808350937</v>
      </c>
      <c r="G90" s="2">
        <f t="shared" ca="1" si="38"/>
        <v>2958.2915654388967</v>
      </c>
      <c r="H90" s="2">
        <f t="shared" ca="1" si="38"/>
        <v>2902.2338300484271</v>
      </c>
      <c r="I90" s="2">
        <f t="shared" ca="1" si="38"/>
        <v>2978.943669968372</v>
      </c>
      <c r="J90" s="2">
        <f t="shared" ca="1" si="38"/>
        <v>2232.4367877149775</v>
      </c>
      <c r="K90" s="2">
        <f t="shared" ca="1" si="38"/>
        <v>2829.1283508953911</v>
      </c>
      <c r="L90" s="2">
        <f t="shared" ca="1" si="38"/>
        <v>2989.3938508108431</v>
      </c>
      <c r="M90" s="2">
        <f t="shared" ca="1" si="38"/>
        <v>2803.1978801184478</v>
      </c>
      <c r="N90" s="2">
        <f t="shared" ca="1" si="38"/>
        <v>2999.1846901355675</v>
      </c>
      <c r="O90" s="2">
        <f t="shared" ca="1" si="38"/>
        <v>2974.0824413979976</v>
      </c>
      <c r="P90" s="2">
        <f t="shared" ca="1" si="38"/>
        <v>2420.2328040790467</v>
      </c>
      <c r="Q90" s="2">
        <f t="shared" ca="1" si="38"/>
        <v>2574.4230730543077</v>
      </c>
      <c r="R90" s="2">
        <f t="shared" ca="1" si="36"/>
        <v>2366.7717134656777</v>
      </c>
      <c r="S90" s="2">
        <f t="shared" ca="1" si="36"/>
        <v>2271.8977070774486</v>
      </c>
      <c r="T90" s="2">
        <f t="shared" ca="1" si="36"/>
        <v>2513.5643636765303</v>
      </c>
      <c r="U90" s="2">
        <f t="shared" ca="1" si="36"/>
        <v>2863.3031826395627</v>
      </c>
      <c r="V90" s="2">
        <f t="shared" ca="1" si="36"/>
        <v>2781.0319347037366</v>
      </c>
      <c r="W90" s="2">
        <f t="shared" ca="1" si="36"/>
        <v>2049.8472694966731</v>
      </c>
      <c r="X90" s="2">
        <f t="shared" ca="1" si="36"/>
        <v>2071.0685439406325</v>
      </c>
      <c r="Y90" s="2">
        <f t="shared" ca="1" si="36"/>
        <v>2613.6837030728411</v>
      </c>
      <c r="Z90" s="2">
        <f t="shared" ca="1" si="36"/>
        <v>2248.1159444885684</v>
      </c>
      <c r="AA90" s="2">
        <f t="shared" ca="1" si="36"/>
        <v>2155.078442947387</v>
      </c>
      <c r="AB90" s="2">
        <f t="shared" ca="1" si="36"/>
        <v>2953.4766273324385</v>
      </c>
      <c r="AC90" s="2">
        <f t="shared" ca="1" si="36"/>
        <v>2351.7552374520383</v>
      </c>
      <c r="AD90" s="2">
        <f t="shared" ca="1" si="36"/>
        <v>2301.3220503125913</v>
      </c>
      <c r="AE90" s="2">
        <f t="shared" ca="1" si="36"/>
        <v>2410.996122713656</v>
      </c>
      <c r="AF90" s="2">
        <f t="shared" ca="1" si="36"/>
        <v>2530.6452413918223</v>
      </c>
      <c r="AG90" s="2">
        <f t="shared" ca="1" si="36"/>
        <v>2018.2586027621082</v>
      </c>
      <c r="AH90" s="2">
        <f t="shared" ca="1" si="37"/>
        <v>2686.3396541500579</v>
      </c>
    </row>
  </sheetData>
  <pageMargins left="0.75" right="0.75" top="1" bottom="1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90"/>
  <sheetViews>
    <sheetView topLeftCell="A46" zoomScale="85" zoomScaleNormal="85" workbookViewId="0"/>
  </sheetViews>
  <sheetFormatPr defaultColWidth="8.875" defaultRowHeight="15.75"/>
  <cols>
    <col min="1" max="1" width="10.125" customWidth="1"/>
    <col min="2" max="2" width="10.625" customWidth="1"/>
  </cols>
  <sheetData>
    <row r="1" spans="1:34">
      <c r="C1" t="str">
        <f t="array" ref="C1:D1">TRANSPOSE(Seasons)</f>
        <v>Belg</v>
      </c>
      <c r="D1" t="str">
        <v>Kremt</v>
      </c>
      <c r="E1" t="str">
        <f>C1</f>
        <v>Belg</v>
      </c>
      <c r="F1" t="str">
        <f t="shared" ref="F1:AH1" si="0">D1</f>
        <v>Kremt</v>
      </c>
      <c r="G1" t="str">
        <f t="shared" si="0"/>
        <v>Belg</v>
      </c>
      <c r="H1" t="str">
        <f t="shared" si="0"/>
        <v>Kremt</v>
      </c>
      <c r="I1" t="str">
        <f t="shared" si="0"/>
        <v>Belg</v>
      </c>
      <c r="J1" t="str">
        <f t="shared" si="0"/>
        <v>Kremt</v>
      </c>
      <c r="K1" t="str">
        <f t="shared" si="0"/>
        <v>Belg</v>
      </c>
      <c r="L1" t="str">
        <f t="shared" si="0"/>
        <v>Kremt</v>
      </c>
      <c r="M1" t="str">
        <f t="shared" si="0"/>
        <v>Belg</v>
      </c>
      <c r="N1" t="str">
        <f t="shared" si="0"/>
        <v>Kremt</v>
      </c>
      <c r="O1" t="str">
        <f t="shared" si="0"/>
        <v>Belg</v>
      </c>
      <c r="P1" t="str">
        <f t="shared" si="0"/>
        <v>Kremt</v>
      </c>
      <c r="Q1" t="str">
        <f t="shared" si="0"/>
        <v>Belg</v>
      </c>
      <c r="R1" t="str">
        <f t="shared" si="0"/>
        <v>Kremt</v>
      </c>
      <c r="S1" t="str">
        <f t="shared" si="0"/>
        <v>Belg</v>
      </c>
      <c r="T1" t="str">
        <f t="shared" si="0"/>
        <v>Kremt</v>
      </c>
      <c r="U1" t="str">
        <f t="shared" si="0"/>
        <v>Belg</v>
      </c>
      <c r="V1" t="str">
        <f t="shared" si="0"/>
        <v>Kremt</v>
      </c>
      <c r="W1" t="str">
        <f t="shared" si="0"/>
        <v>Belg</v>
      </c>
      <c r="X1" t="str">
        <f t="shared" si="0"/>
        <v>Kremt</v>
      </c>
      <c r="Y1" t="str">
        <f t="shared" si="0"/>
        <v>Belg</v>
      </c>
      <c r="Z1" t="str">
        <f t="shared" si="0"/>
        <v>Kremt</v>
      </c>
      <c r="AA1" t="str">
        <f t="shared" si="0"/>
        <v>Belg</v>
      </c>
      <c r="AB1" t="str">
        <f t="shared" si="0"/>
        <v>Kremt</v>
      </c>
      <c r="AC1" t="str">
        <f t="shared" si="0"/>
        <v>Belg</v>
      </c>
      <c r="AD1" t="str">
        <f t="shared" si="0"/>
        <v>Kremt</v>
      </c>
      <c r="AE1" t="str">
        <f t="shared" si="0"/>
        <v>Belg</v>
      </c>
      <c r="AF1" t="str">
        <f t="shared" si="0"/>
        <v>Kremt</v>
      </c>
      <c r="AG1" t="str">
        <f t="shared" si="0"/>
        <v>Belg</v>
      </c>
      <c r="AH1" t="str">
        <f t="shared" si="0"/>
        <v>Kremt</v>
      </c>
    </row>
    <row r="2" spans="1:34">
      <c r="C2">
        <v>2015</v>
      </c>
      <c r="D2">
        <v>2015</v>
      </c>
      <c r="E2">
        <f>C2+1</f>
        <v>2016</v>
      </c>
      <c r="F2">
        <f t="shared" ref="F2:AH2" si="1">D2+1</f>
        <v>2016</v>
      </c>
      <c r="G2">
        <f t="shared" si="1"/>
        <v>2017</v>
      </c>
      <c r="H2">
        <f t="shared" si="1"/>
        <v>2017</v>
      </c>
      <c r="I2">
        <f t="shared" si="1"/>
        <v>2018</v>
      </c>
      <c r="J2">
        <f t="shared" si="1"/>
        <v>2018</v>
      </c>
      <c r="K2">
        <f t="shared" si="1"/>
        <v>2019</v>
      </c>
      <c r="L2">
        <f t="shared" si="1"/>
        <v>2019</v>
      </c>
      <c r="M2">
        <f t="shared" si="1"/>
        <v>2020</v>
      </c>
      <c r="N2">
        <f t="shared" si="1"/>
        <v>2020</v>
      </c>
      <c r="O2">
        <f t="shared" si="1"/>
        <v>2021</v>
      </c>
      <c r="P2">
        <f t="shared" si="1"/>
        <v>2021</v>
      </c>
      <c r="Q2">
        <f t="shared" si="1"/>
        <v>2022</v>
      </c>
      <c r="R2">
        <f t="shared" si="1"/>
        <v>2022</v>
      </c>
      <c r="S2">
        <f t="shared" si="1"/>
        <v>2023</v>
      </c>
      <c r="T2">
        <f t="shared" si="1"/>
        <v>2023</v>
      </c>
      <c r="U2">
        <f t="shared" si="1"/>
        <v>2024</v>
      </c>
      <c r="V2">
        <f t="shared" si="1"/>
        <v>2024</v>
      </c>
      <c r="W2">
        <f t="shared" si="1"/>
        <v>2025</v>
      </c>
      <c r="X2">
        <f t="shared" si="1"/>
        <v>2025</v>
      </c>
      <c r="Y2">
        <f t="shared" si="1"/>
        <v>2026</v>
      </c>
      <c r="Z2">
        <f t="shared" si="1"/>
        <v>2026</v>
      </c>
      <c r="AA2">
        <f t="shared" si="1"/>
        <v>2027</v>
      </c>
      <c r="AB2">
        <f t="shared" si="1"/>
        <v>2027</v>
      </c>
      <c r="AC2">
        <f t="shared" si="1"/>
        <v>2028</v>
      </c>
      <c r="AD2">
        <f t="shared" si="1"/>
        <v>2028</v>
      </c>
      <c r="AE2">
        <f t="shared" si="1"/>
        <v>2029</v>
      </c>
      <c r="AF2">
        <f t="shared" si="1"/>
        <v>2029</v>
      </c>
      <c r="AG2">
        <f t="shared" si="1"/>
        <v>2030</v>
      </c>
      <c r="AH2">
        <f t="shared" si="1"/>
        <v>2030</v>
      </c>
    </row>
    <row r="3" spans="1:34">
      <c r="A3" t="str">
        <f>sets!$H$3</f>
        <v>Teff</v>
      </c>
      <c r="B3" t="str">
        <f t="array" ref="B3:B13">Nodes</f>
        <v>AddisAbaba</v>
      </c>
      <c r="C3" s="2">
        <f ca="1">(RAND()*1+2.5)*10</f>
        <v>33.607060705823073</v>
      </c>
      <c r="D3" s="2">
        <f t="shared" ref="D3:AH11" ca="1" si="2">(RAND()*1+2.5)*10</f>
        <v>34.884286551412139</v>
      </c>
      <c r="E3" s="2">
        <f t="shared" ca="1" si="2"/>
        <v>34.179630650761943</v>
      </c>
      <c r="F3" s="2">
        <f t="shared" ca="1" si="2"/>
        <v>31.897483772411203</v>
      </c>
      <c r="G3" s="2">
        <f t="shared" ca="1" si="2"/>
        <v>26.004985721904085</v>
      </c>
      <c r="H3" s="2">
        <f t="shared" ca="1" si="2"/>
        <v>33.195393485381537</v>
      </c>
      <c r="I3" s="2">
        <f t="shared" ca="1" si="2"/>
        <v>29.734297759741224</v>
      </c>
      <c r="J3" s="2">
        <f t="shared" ca="1" si="2"/>
        <v>34.903604267903603</v>
      </c>
      <c r="K3" s="2">
        <f t="shared" ca="1" si="2"/>
        <v>31.586950545643305</v>
      </c>
      <c r="L3" s="2">
        <f t="shared" ca="1" si="2"/>
        <v>30.949571595411271</v>
      </c>
      <c r="M3" s="2">
        <f t="shared" ca="1" si="2"/>
        <v>31.344666444513351</v>
      </c>
      <c r="N3" s="2">
        <f t="shared" ca="1" si="2"/>
        <v>26.210817159872029</v>
      </c>
      <c r="O3" s="2">
        <f t="shared" ca="1" si="2"/>
        <v>33.495455507889389</v>
      </c>
      <c r="P3" s="2">
        <f t="shared" ca="1" si="2"/>
        <v>27.041488904899275</v>
      </c>
      <c r="Q3" s="2">
        <f t="shared" ca="1" si="2"/>
        <v>33.279660775277115</v>
      </c>
      <c r="R3" s="2">
        <f t="shared" ca="1" si="2"/>
        <v>33.683868068225671</v>
      </c>
      <c r="S3" s="2">
        <f t="shared" ca="1" si="2"/>
        <v>27.510111434894817</v>
      </c>
      <c r="T3" s="2">
        <f t="shared" ca="1" si="2"/>
        <v>28.564754741877323</v>
      </c>
      <c r="U3" s="2">
        <f t="shared" ca="1" si="2"/>
        <v>27.707462499305148</v>
      </c>
      <c r="V3" s="2">
        <f t="shared" ca="1" si="2"/>
        <v>29.520382731702142</v>
      </c>
      <c r="W3" s="2">
        <f t="shared" ca="1" si="2"/>
        <v>25.688476405264492</v>
      </c>
      <c r="X3" s="2">
        <f t="shared" ca="1" si="2"/>
        <v>34.436124765906946</v>
      </c>
      <c r="Y3" s="2">
        <f t="shared" ca="1" si="2"/>
        <v>29.119029652830839</v>
      </c>
      <c r="Z3" s="2">
        <f t="shared" ca="1" si="2"/>
        <v>26.640834019380144</v>
      </c>
      <c r="AA3" s="2">
        <f t="shared" ca="1" si="2"/>
        <v>34.076808702414318</v>
      </c>
      <c r="AB3" s="2">
        <f t="shared" ca="1" si="2"/>
        <v>34.640276692561216</v>
      </c>
      <c r="AC3" s="2">
        <f t="shared" ca="1" si="2"/>
        <v>31.916111873356861</v>
      </c>
      <c r="AD3" s="2">
        <f t="shared" ca="1" si="2"/>
        <v>30.42847862040535</v>
      </c>
      <c r="AE3" s="2">
        <f t="shared" ca="1" si="2"/>
        <v>32.29732930662265</v>
      </c>
      <c r="AF3" s="2">
        <f t="shared" ca="1" si="2"/>
        <v>32.081400203806936</v>
      </c>
      <c r="AG3" s="2">
        <f t="shared" ca="1" si="2"/>
        <v>30.835094365685983</v>
      </c>
      <c r="AH3" s="2">
        <f t="shared" ca="1" si="2"/>
        <v>27.931295593644698</v>
      </c>
    </row>
    <row r="4" spans="1:34">
      <c r="A4" t="str">
        <f>sets!$H$3</f>
        <v>Teff</v>
      </c>
      <c r="B4" t="str">
        <v>Afar</v>
      </c>
      <c r="C4" s="2">
        <f t="shared" ref="C4:R27" ca="1" si="3">(RAND()*1+2.5)*10</f>
        <v>29.364211625989757</v>
      </c>
      <c r="D4" s="2">
        <f t="shared" ca="1" si="2"/>
        <v>30.591320211976118</v>
      </c>
      <c r="E4" s="2">
        <f t="shared" ca="1" si="2"/>
        <v>33.314200683185604</v>
      </c>
      <c r="F4" s="2">
        <f t="shared" ca="1" si="2"/>
        <v>30.431573440410023</v>
      </c>
      <c r="G4" s="2">
        <f t="shared" ca="1" si="2"/>
        <v>28.498454902980995</v>
      </c>
      <c r="H4" s="2">
        <f t="shared" ca="1" si="2"/>
        <v>28.1600398050001</v>
      </c>
      <c r="I4" s="2">
        <f t="shared" ca="1" si="2"/>
        <v>32.850129431881456</v>
      </c>
      <c r="J4" s="2">
        <f t="shared" ca="1" si="2"/>
        <v>33.566886293371184</v>
      </c>
      <c r="K4" s="2">
        <f t="shared" ca="1" si="2"/>
        <v>34.875772934069204</v>
      </c>
      <c r="L4" s="2">
        <f t="shared" ca="1" si="2"/>
        <v>32.271991837260302</v>
      </c>
      <c r="M4" s="2">
        <f t="shared" ca="1" si="2"/>
        <v>25.41528400820885</v>
      </c>
      <c r="N4" s="2">
        <f t="shared" ca="1" si="2"/>
        <v>26.823324626965316</v>
      </c>
      <c r="O4" s="2">
        <f t="shared" ca="1" si="2"/>
        <v>25.051122415029408</v>
      </c>
      <c r="P4" s="2">
        <f t="shared" ca="1" si="2"/>
        <v>34.814899575321469</v>
      </c>
      <c r="Q4" s="2">
        <f t="shared" ca="1" si="2"/>
        <v>30.281198252182161</v>
      </c>
      <c r="R4" s="2">
        <f t="shared" ca="1" si="2"/>
        <v>26.093119664152596</v>
      </c>
      <c r="S4" s="2">
        <f t="shared" ca="1" si="2"/>
        <v>26.566979382805819</v>
      </c>
      <c r="T4" s="2">
        <f t="shared" ca="1" si="2"/>
        <v>25.362536453645966</v>
      </c>
      <c r="U4" s="2">
        <f t="shared" ca="1" si="2"/>
        <v>33.475648393028607</v>
      </c>
      <c r="V4" s="2">
        <f t="shared" ca="1" si="2"/>
        <v>27.026258214559384</v>
      </c>
      <c r="W4" s="2">
        <f t="shared" ca="1" si="2"/>
        <v>28.586548566010777</v>
      </c>
      <c r="X4" s="2">
        <f t="shared" ca="1" si="2"/>
        <v>31.186928350761931</v>
      </c>
      <c r="Y4" s="2">
        <f t="shared" ca="1" si="2"/>
        <v>27.983871948040782</v>
      </c>
      <c r="Z4" s="2">
        <f t="shared" ca="1" si="2"/>
        <v>31.087802499896597</v>
      </c>
      <c r="AA4" s="2">
        <f t="shared" ca="1" si="2"/>
        <v>31.087202232136857</v>
      </c>
      <c r="AB4" s="2">
        <f t="shared" ca="1" si="2"/>
        <v>32.059710116885192</v>
      </c>
      <c r="AC4" s="2">
        <f t="shared" ca="1" si="2"/>
        <v>26.494007547810504</v>
      </c>
      <c r="AD4" s="2">
        <f t="shared" ca="1" si="2"/>
        <v>34.128343416669658</v>
      </c>
      <c r="AE4" s="2">
        <f t="shared" ca="1" si="2"/>
        <v>33.467588380178412</v>
      </c>
      <c r="AF4" s="2">
        <f t="shared" ca="1" si="2"/>
        <v>28.003219676693448</v>
      </c>
      <c r="AG4" s="2">
        <f t="shared" ca="1" si="2"/>
        <v>34.343539222471684</v>
      </c>
      <c r="AH4" s="2">
        <f t="shared" ca="1" si="2"/>
        <v>32.30912441242819</v>
      </c>
    </row>
    <row r="5" spans="1:34">
      <c r="A5" t="str">
        <f>sets!$H$3</f>
        <v>Teff</v>
      </c>
      <c r="B5" t="str">
        <v>Amhara</v>
      </c>
      <c r="C5" s="2">
        <f t="shared" ca="1" si="3"/>
        <v>30.362489613240573</v>
      </c>
      <c r="D5" s="2">
        <f t="shared" ca="1" si="2"/>
        <v>34.370796289452194</v>
      </c>
      <c r="E5" s="2">
        <f t="shared" ca="1" si="2"/>
        <v>25.663734791202621</v>
      </c>
      <c r="F5" s="2">
        <f t="shared" ca="1" si="2"/>
        <v>31.295159876104385</v>
      </c>
      <c r="G5" s="2">
        <f t="shared" ca="1" si="2"/>
        <v>30.08483355953129</v>
      </c>
      <c r="H5" s="2">
        <f t="shared" ca="1" si="2"/>
        <v>34.379889427597561</v>
      </c>
      <c r="I5" s="2">
        <f t="shared" ca="1" si="2"/>
        <v>32.630100231499839</v>
      </c>
      <c r="J5" s="2">
        <f t="shared" ca="1" si="2"/>
        <v>25.386995660603766</v>
      </c>
      <c r="K5" s="2">
        <f t="shared" ca="1" si="2"/>
        <v>25.302952037098599</v>
      </c>
      <c r="L5" s="2">
        <f t="shared" ca="1" si="2"/>
        <v>27.356463936527845</v>
      </c>
      <c r="M5" s="2">
        <f t="shared" ca="1" si="2"/>
        <v>29.713165063139201</v>
      </c>
      <c r="N5" s="2">
        <f t="shared" ca="1" si="2"/>
        <v>26.057712981349582</v>
      </c>
      <c r="O5" s="2">
        <f t="shared" ca="1" si="2"/>
        <v>28.903931689501391</v>
      </c>
      <c r="P5" s="2">
        <f t="shared" ca="1" si="2"/>
        <v>33.852053470682222</v>
      </c>
      <c r="Q5" s="2">
        <f t="shared" ca="1" si="2"/>
        <v>30.926335659047055</v>
      </c>
      <c r="R5" s="2">
        <f t="shared" ca="1" si="2"/>
        <v>25.196588380314036</v>
      </c>
      <c r="S5" s="2">
        <f t="shared" ca="1" si="2"/>
        <v>26.474303979125608</v>
      </c>
      <c r="T5" s="2">
        <f t="shared" ca="1" si="2"/>
        <v>25.050094393536902</v>
      </c>
      <c r="U5" s="2">
        <f t="shared" ca="1" si="2"/>
        <v>29.243988217712907</v>
      </c>
      <c r="V5" s="2">
        <f t="shared" ca="1" si="2"/>
        <v>32.85949360820554</v>
      </c>
      <c r="W5" s="2">
        <f t="shared" ca="1" si="2"/>
        <v>33.156440852168956</v>
      </c>
      <c r="X5" s="2">
        <f t="shared" ca="1" si="2"/>
        <v>34.559961412692417</v>
      </c>
      <c r="Y5" s="2">
        <f t="shared" ca="1" si="2"/>
        <v>29.696318428574919</v>
      </c>
      <c r="Z5" s="2">
        <f t="shared" ca="1" si="2"/>
        <v>25.426060895767954</v>
      </c>
      <c r="AA5" s="2">
        <f t="shared" ca="1" si="2"/>
        <v>26.054831185115141</v>
      </c>
      <c r="AB5" s="2">
        <f t="shared" ca="1" si="2"/>
        <v>29.093390173975013</v>
      </c>
      <c r="AC5" s="2">
        <f t="shared" ca="1" si="2"/>
        <v>31.186421180491138</v>
      </c>
      <c r="AD5" s="2">
        <f t="shared" ca="1" si="2"/>
        <v>30.866913124095188</v>
      </c>
      <c r="AE5" s="2">
        <f t="shared" ca="1" si="2"/>
        <v>26.531245447054967</v>
      </c>
      <c r="AF5" s="2">
        <f t="shared" ca="1" si="2"/>
        <v>27.749770536263814</v>
      </c>
      <c r="AG5" s="2">
        <f t="shared" ca="1" si="2"/>
        <v>25.382489322034623</v>
      </c>
      <c r="AH5" s="2">
        <f t="shared" ca="1" si="2"/>
        <v>32.083437734030277</v>
      </c>
    </row>
    <row r="6" spans="1:34">
      <c r="A6" t="str">
        <f>sets!$H$3</f>
        <v>Teff</v>
      </c>
      <c r="B6" t="str">
        <v>Gumuz</v>
      </c>
      <c r="C6" s="2">
        <f t="shared" ca="1" si="3"/>
        <v>28.392659939249988</v>
      </c>
      <c r="D6" s="2">
        <f t="shared" ca="1" si="2"/>
        <v>32.31181456899747</v>
      </c>
      <c r="E6" s="2">
        <f t="shared" ca="1" si="2"/>
        <v>32.805175772212309</v>
      </c>
      <c r="F6" s="2">
        <f t="shared" ca="1" si="2"/>
        <v>34.217341498514607</v>
      </c>
      <c r="G6" s="2">
        <f t="shared" ca="1" si="2"/>
        <v>32.999802348807478</v>
      </c>
      <c r="H6" s="2">
        <f t="shared" ca="1" si="2"/>
        <v>33.260384347093215</v>
      </c>
      <c r="I6" s="2">
        <f t="shared" ca="1" si="2"/>
        <v>27.789104234260904</v>
      </c>
      <c r="J6" s="2">
        <f t="shared" ca="1" si="2"/>
        <v>26.934840609066327</v>
      </c>
      <c r="K6" s="2">
        <f t="shared" ca="1" si="2"/>
        <v>29.607441415515453</v>
      </c>
      <c r="L6" s="2">
        <f t="shared" ca="1" si="2"/>
        <v>28.022331545228802</v>
      </c>
      <c r="M6" s="2">
        <f t="shared" ca="1" si="2"/>
        <v>30.214411627085809</v>
      </c>
      <c r="N6" s="2">
        <f t="shared" ca="1" si="2"/>
        <v>28.072337136539463</v>
      </c>
      <c r="O6" s="2">
        <f t="shared" ca="1" si="2"/>
        <v>26.540349420486173</v>
      </c>
      <c r="P6" s="2">
        <f t="shared" ca="1" si="2"/>
        <v>28.371186016288696</v>
      </c>
      <c r="Q6" s="2">
        <f t="shared" ca="1" si="2"/>
        <v>26.424804343325036</v>
      </c>
      <c r="R6" s="2">
        <f t="shared" ca="1" si="2"/>
        <v>27.255503844067768</v>
      </c>
      <c r="S6" s="2">
        <f t="shared" ca="1" si="2"/>
        <v>30.767010729349696</v>
      </c>
      <c r="T6" s="2">
        <f t="shared" ca="1" si="2"/>
        <v>27.188687101803232</v>
      </c>
      <c r="U6" s="2">
        <f t="shared" ca="1" si="2"/>
        <v>34.691275720235488</v>
      </c>
      <c r="V6" s="2">
        <f t="shared" ca="1" si="2"/>
        <v>28.248196343336339</v>
      </c>
      <c r="W6" s="2">
        <f t="shared" ca="1" si="2"/>
        <v>30.456509520065769</v>
      </c>
      <c r="X6" s="2">
        <f t="shared" ca="1" si="2"/>
        <v>30.204682212163366</v>
      </c>
      <c r="Y6" s="2">
        <f t="shared" ca="1" si="2"/>
        <v>34.070957716256714</v>
      </c>
      <c r="Z6" s="2">
        <f t="shared" ca="1" si="2"/>
        <v>28.155705142749447</v>
      </c>
      <c r="AA6" s="2">
        <f t="shared" ca="1" si="2"/>
        <v>29.939647217598452</v>
      </c>
      <c r="AB6" s="2">
        <f t="shared" ca="1" si="2"/>
        <v>27.804631860198246</v>
      </c>
      <c r="AC6" s="2">
        <f t="shared" ca="1" si="2"/>
        <v>29.615150121666844</v>
      </c>
      <c r="AD6" s="2">
        <f t="shared" ca="1" si="2"/>
        <v>29.198751870519253</v>
      </c>
      <c r="AE6" s="2">
        <f t="shared" ca="1" si="2"/>
        <v>26.325561263196757</v>
      </c>
      <c r="AF6" s="2">
        <f t="shared" ca="1" si="2"/>
        <v>32.213590738473158</v>
      </c>
      <c r="AG6" s="2">
        <f t="shared" ca="1" si="2"/>
        <v>34.646623384329381</v>
      </c>
      <c r="AH6" s="2">
        <f t="shared" ca="1" si="2"/>
        <v>31.062597907544593</v>
      </c>
    </row>
    <row r="7" spans="1:34">
      <c r="A7" t="str">
        <f>sets!$H$3</f>
        <v>Teff</v>
      </c>
      <c r="B7" t="str">
        <v>DireDawa</v>
      </c>
      <c r="C7" s="2">
        <f t="shared" ca="1" si="3"/>
        <v>25.625177305961387</v>
      </c>
      <c r="D7" s="2">
        <f t="shared" ca="1" si="2"/>
        <v>32.555909956304532</v>
      </c>
      <c r="E7" s="2">
        <f t="shared" ca="1" si="2"/>
        <v>32.711801055798823</v>
      </c>
      <c r="F7" s="2">
        <f t="shared" ca="1" si="2"/>
        <v>31.283683121437132</v>
      </c>
      <c r="G7" s="2">
        <f t="shared" ca="1" si="2"/>
        <v>31.771574211920218</v>
      </c>
      <c r="H7" s="2">
        <f t="shared" ca="1" si="2"/>
        <v>26.173962193488638</v>
      </c>
      <c r="I7" s="2">
        <f t="shared" ca="1" si="2"/>
        <v>29.508733547980913</v>
      </c>
      <c r="J7" s="2">
        <f t="shared" ca="1" si="2"/>
        <v>31.249187011573714</v>
      </c>
      <c r="K7" s="2">
        <f t="shared" ca="1" si="2"/>
        <v>26.93636306695478</v>
      </c>
      <c r="L7" s="2">
        <f t="shared" ca="1" si="2"/>
        <v>30.614536382231723</v>
      </c>
      <c r="M7" s="2">
        <f t="shared" ca="1" si="2"/>
        <v>33.373252440118776</v>
      </c>
      <c r="N7" s="2">
        <f t="shared" ca="1" si="2"/>
        <v>26.30451438334434</v>
      </c>
      <c r="O7" s="2">
        <f t="shared" ca="1" si="2"/>
        <v>26.875107913855111</v>
      </c>
      <c r="P7" s="2">
        <f t="shared" ca="1" si="2"/>
        <v>30.276611861251325</v>
      </c>
      <c r="Q7" s="2">
        <f t="shared" ca="1" si="2"/>
        <v>25.827629906447989</v>
      </c>
      <c r="R7" s="2">
        <f t="shared" ca="1" si="2"/>
        <v>31.793944743682907</v>
      </c>
      <c r="S7" s="2">
        <f t="shared" ca="1" si="2"/>
        <v>33.330387337330862</v>
      </c>
      <c r="T7" s="2">
        <f t="shared" ca="1" si="2"/>
        <v>29.388278450848571</v>
      </c>
      <c r="U7" s="2">
        <f t="shared" ca="1" si="2"/>
        <v>26.65243749796652</v>
      </c>
      <c r="V7" s="2">
        <f t="shared" ca="1" si="2"/>
        <v>32.714571674317945</v>
      </c>
      <c r="W7" s="2">
        <f t="shared" ca="1" si="2"/>
        <v>30.233213306416488</v>
      </c>
      <c r="X7" s="2">
        <f t="shared" ca="1" si="2"/>
        <v>30.207979401596475</v>
      </c>
      <c r="Y7" s="2">
        <f t="shared" ca="1" si="2"/>
        <v>29.580032435099312</v>
      </c>
      <c r="Z7" s="2">
        <f t="shared" ca="1" si="2"/>
        <v>25.696923931595869</v>
      </c>
      <c r="AA7" s="2">
        <f t="shared" ca="1" si="2"/>
        <v>34.071929427232234</v>
      </c>
      <c r="AB7" s="2">
        <f t="shared" ca="1" si="2"/>
        <v>34.960003916154207</v>
      </c>
      <c r="AC7" s="2">
        <f t="shared" ca="1" si="2"/>
        <v>25.797787836394189</v>
      </c>
      <c r="AD7" s="2">
        <f t="shared" ca="1" si="2"/>
        <v>28.606514901623527</v>
      </c>
      <c r="AE7" s="2">
        <f t="shared" ca="1" si="2"/>
        <v>28.23412751890411</v>
      </c>
      <c r="AF7" s="2">
        <f t="shared" ca="1" si="2"/>
        <v>25.322545078363451</v>
      </c>
      <c r="AG7" s="2">
        <f t="shared" ca="1" si="2"/>
        <v>29.056609902829784</v>
      </c>
      <c r="AH7" s="2">
        <f t="shared" ca="1" si="2"/>
        <v>33.21786072945703</v>
      </c>
    </row>
    <row r="8" spans="1:34">
      <c r="A8" t="str">
        <f>sets!$H$3</f>
        <v>Teff</v>
      </c>
      <c r="B8" t="str">
        <v>Gambela</v>
      </c>
      <c r="C8" s="2">
        <f t="shared" ca="1" si="3"/>
        <v>25.343141525988692</v>
      </c>
      <c r="D8" s="2">
        <f t="shared" ca="1" si="2"/>
        <v>30.164441936741593</v>
      </c>
      <c r="E8" s="2">
        <f t="shared" ca="1" si="2"/>
        <v>34.095453728007257</v>
      </c>
      <c r="F8" s="2">
        <f t="shared" ca="1" si="2"/>
        <v>31.838333566973766</v>
      </c>
      <c r="G8" s="2">
        <f t="shared" ca="1" si="2"/>
        <v>30.376032200389545</v>
      </c>
      <c r="H8" s="2">
        <f t="shared" ca="1" si="2"/>
        <v>26.84731634038787</v>
      </c>
      <c r="I8" s="2">
        <f t="shared" ca="1" si="2"/>
        <v>25.173522666898648</v>
      </c>
      <c r="J8" s="2">
        <f t="shared" ca="1" si="2"/>
        <v>26.079948526619159</v>
      </c>
      <c r="K8" s="2">
        <f t="shared" ca="1" si="2"/>
        <v>34.248982413512586</v>
      </c>
      <c r="L8" s="2">
        <f t="shared" ca="1" si="2"/>
        <v>33.229263712942597</v>
      </c>
      <c r="M8" s="2">
        <f t="shared" ca="1" si="2"/>
        <v>32.660951313957625</v>
      </c>
      <c r="N8" s="2">
        <f t="shared" ca="1" si="2"/>
        <v>32.857679090288308</v>
      </c>
      <c r="O8" s="2">
        <f t="shared" ca="1" si="2"/>
        <v>25.487258754426577</v>
      </c>
      <c r="P8" s="2">
        <f t="shared" ca="1" si="2"/>
        <v>30.610706308100646</v>
      </c>
      <c r="Q8" s="2">
        <f t="shared" ca="1" si="2"/>
        <v>34.955131307648401</v>
      </c>
      <c r="R8" s="2">
        <f t="shared" ca="1" si="2"/>
        <v>27.992678597646297</v>
      </c>
      <c r="S8" s="2">
        <f t="shared" ca="1" si="2"/>
        <v>28.825859788962937</v>
      </c>
      <c r="T8" s="2">
        <f t="shared" ca="1" si="2"/>
        <v>34.013555351049966</v>
      </c>
      <c r="U8" s="2">
        <f t="shared" ca="1" si="2"/>
        <v>28.636439223290076</v>
      </c>
      <c r="V8" s="2">
        <f t="shared" ca="1" si="2"/>
        <v>26.625828277115993</v>
      </c>
      <c r="W8" s="2">
        <f t="shared" ca="1" si="2"/>
        <v>28.188409457625873</v>
      </c>
      <c r="X8" s="2">
        <f t="shared" ca="1" si="2"/>
        <v>27.483755016628535</v>
      </c>
      <c r="Y8" s="2">
        <f t="shared" ca="1" si="2"/>
        <v>28.635197394666836</v>
      </c>
      <c r="Z8" s="2">
        <f t="shared" ca="1" si="2"/>
        <v>32.011542605682806</v>
      </c>
      <c r="AA8" s="2">
        <f t="shared" ca="1" si="2"/>
        <v>33.898168670104404</v>
      </c>
      <c r="AB8" s="2">
        <f t="shared" ca="1" si="2"/>
        <v>27.434645828832206</v>
      </c>
      <c r="AC8" s="2">
        <f t="shared" ca="1" si="2"/>
        <v>28.057120443251087</v>
      </c>
      <c r="AD8" s="2">
        <f t="shared" ca="1" si="2"/>
        <v>29.917667916405158</v>
      </c>
      <c r="AE8" s="2">
        <f t="shared" ca="1" si="2"/>
        <v>34.602010315410908</v>
      </c>
      <c r="AF8" s="2">
        <f t="shared" ca="1" si="2"/>
        <v>33.154832203120073</v>
      </c>
      <c r="AG8" s="2">
        <f t="shared" ca="1" si="2"/>
        <v>32.753366443135995</v>
      </c>
      <c r="AH8" s="2">
        <f t="shared" ca="1" si="2"/>
        <v>32.045226539690333</v>
      </c>
    </row>
    <row r="9" spans="1:34">
      <c r="A9" t="str">
        <f>sets!$H$3</f>
        <v>Teff</v>
      </c>
      <c r="B9" t="str">
        <v>Harari</v>
      </c>
      <c r="C9" s="2">
        <f t="shared" ca="1" si="3"/>
        <v>28.696536452817444</v>
      </c>
      <c r="D9" s="2">
        <f t="shared" ca="1" si="2"/>
        <v>27.158331024624264</v>
      </c>
      <c r="E9" s="2">
        <f t="shared" ca="1" si="2"/>
        <v>34.414289920361831</v>
      </c>
      <c r="F9" s="2">
        <f t="shared" ca="1" si="2"/>
        <v>31.900064408375638</v>
      </c>
      <c r="G9" s="2">
        <f t="shared" ca="1" si="2"/>
        <v>28.339667902092103</v>
      </c>
      <c r="H9" s="2">
        <f t="shared" ca="1" si="2"/>
        <v>33.656052188901313</v>
      </c>
      <c r="I9" s="2">
        <f t="shared" ca="1" si="2"/>
        <v>32.748086234237853</v>
      </c>
      <c r="J9" s="2">
        <f t="shared" ca="1" si="2"/>
        <v>33.651475779817837</v>
      </c>
      <c r="K9" s="2">
        <f t="shared" ca="1" si="2"/>
        <v>33.665377379334444</v>
      </c>
      <c r="L9" s="2">
        <f t="shared" ca="1" si="2"/>
        <v>34.48649502012038</v>
      </c>
      <c r="M9" s="2">
        <f t="shared" ca="1" si="2"/>
        <v>28.291973471620757</v>
      </c>
      <c r="N9" s="2">
        <f t="shared" ca="1" si="2"/>
        <v>31.514263186223594</v>
      </c>
      <c r="O9" s="2">
        <f t="shared" ca="1" si="2"/>
        <v>26.288337506340973</v>
      </c>
      <c r="P9" s="2">
        <f t="shared" ca="1" si="2"/>
        <v>28.039228182440631</v>
      </c>
      <c r="Q9" s="2">
        <f t="shared" ca="1" si="2"/>
        <v>31.18969295362605</v>
      </c>
      <c r="R9" s="2">
        <f t="shared" ca="1" si="2"/>
        <v>34.52198530772614</v>
      </c>
      <c r="S9" s="2">
        <f t="shared" ca="1" si="2"/>
        <v>25.804949517953311</v>
      </c>
      <c r="T9" s="2">
        <f t="shared" ca="1" si="2"/>
        <v>30.885640295447732</v>
      </c>
      <c r="U9" s="2">
        <f t="shared" ca="1" si="2"/>
        <v>32.477591420658037</v>
      </c>
      <c r="V9" s="2">
        <f t="shared" ca="1" si="2"/>
        <v>29.929060256975852</v>
      </c>
      <c r="W9" s="2">
        <f t="shared" ca="1" si="2"/>
        <v>34.358806794849187</v>
      </c>
      <c r="X9" s="2">
        <f t="shared" ca="1" si="2"/>
        <v>33.575231893373257</v>
      </c>
      <c r="Y9" s="2">
        <f t="shared" ca="1" si="2"/>
        <v>31.507526662431875</v>
      </c>
      <c r="Z9" s="2">
        <f t="shared" ca="1" si="2"/>
        <v>28.696844317307757</v>
      </c>
      <c r="AA9" s="2">
        <f t="shared" ca="1" si="2"/>
        <v>26.521818680309131</v>
      </c>
      <c r="AB9" s="2">
        <f t="shared" ca="1" si="2"/>
        <v>32.729080671535804</v>
      </c>
      <c r="AC9" s="2">
        <f t="shared" ca="1" si="2"/>
        <v>27.740043734851238</v>
      </c>
      <c r="AD9" s="2">
        <f t="shared" ca="1" si="2"/>
        <v>32.890005167685594</v>
      </c>
      <c r="AE9" s="2">
        <f t="shared" ca="1" si="2"/>
        <v>30.971858522094035</v>
      </c>
      <c r="AF9" s="2">
        <f t="shared" ca="1" si="2"/>
        <v>27.244413089382462</v>
      </c>
      <c r="AG9" s="2">
        <f t="shared" ca="1" si="2"/>
        <v>30.056484350470889</v>
      </c>
      <c r="AH9" s="2">
        <f t="shared" ca="1" si="2"/>
        <v>30.806551894539183</v>
      </c>
    </row>
    <row r="10" spans="1:34">
      <c r="A10" t="str">
        <f>sets!$H$3</f>
        <v>Teff</v>
      </c>
      <c r="B10" t="str">
        <v>Oromia</v>
      </c>
      <c r="C10" s="2">
        <f t="shared" ca="1" si="3"/>
        <v>25.171857046287307</v>
      </c>
      <c r="D10" s="2">
        <f t="shared" ca="1" si="2"/>
        <v>25.713926978696477</v>
      </c>
      <c r="E10" s="2">
        <f t="shared" ca="1" si="2"/>
        <v>26.353217941984152</v>
      </c>
      <c r="F10" s="2">
        <f t="shared" ca="1" si="2"/>
        <v>31.883129148020505</v>
      </c>
      <c r="G10" s="2">
        <f t="shared" ca="1" si="2"/>
        <v>33.80347551012693</v>
      </c>
      <c r="H10" s="2">
        <f t="shared" ca="1" si="2"/>
        <v>26.555182571619671</v>
      </c>
      <c r="I10" s="2">
        <f t="shared" ca="1" si="2"/>
        <v>26.7203066901805</v>
      </c>
      <c r="J10" s="2">
        <f t="shared" ca="1" si="2"/>
        <v>25.498608739202098</v>
      </c>
      <c r="K10" s="2">
        <f t="shared" ca="1" si="2"/>
        <v>25.453969768744528</v>
      </c>
      <c r="L10" s="2">
        <f t="shared" ca="1" si="2"/>
        <v>31.527172559871243</v>
      </c>
      <c r="M10" s="2">
        <f t="shared" ca="1" si="2"/>
        <v>28.460242156387572</v>
      </c>
      <c r="N10" s="2">
        <f t="shared" ca="1" si="2"/>
        <v>34.928694875287796</v>
      </c>
      <c r="O10" s="2">
        <f t="shared" ca="1" si="2"/>
        <v>31.159893307031041</v>
      </c>
      <c r="P10" s="2">
        <f t="shared" ca="1" si="2"/>
        <v>26.630794769495694</v>
      </c>
      <c r="Q10" s="2">
        <f t="shared" ca="1" si="2"/>
        <v>27.033542852002441</v>
      </c>
      <c r="R10" s="2">
        <f t="shared" ca="1" si="2"/>
        <v>33.110248239085543</v>
      </c>
      <c r="S10" s="2">
        <f t="shared" ca="1" si="2"/>
        <v>25.419952760799855</v>
      </c>
      <c r="T10" s="2">
        <f t="shared" ca="1" si="2"/>
        <v>28.238029927298768</v>
      </c>
      <c r="U10" s="2">
        <f t="shared" ca="1" si="2"/>
        <v>32.906207562548246</v>
      </c>
      <c r="V10" s="2">
        <f t="shared" ca="1" si="2"/>
        <v>30.521320514118393</v>
      </c>
      <c r="W10" s="2">
        <f t="shared" ca="1" si="2"/>
        <v>31.425391222291953</v>
      </c>
      <c r="X10" s="2">
        <f t="shared" ca="1" si="2"/>
        <v>34.455064875616308</v>
      </c>
      <c r="Y10" s="2">
        <f t="shared" ca="1" si="2"/>
        <v>31.78670863527212</v>
      </c>
      <c r="Z10" s="2">
        <f t="shared" ca="1" si="2"/>
        <v>32.42222955579561</v>
      </c>
      <c r="AA10" s="2">
        <f t="shared" ca="1" si="2"/>
        <v>29.441591440790443</v>
      </c>
      <c r="AB10" s="2">
        <f t="shared" ca="1" si="2"/>
        <v>29.177566618003254</v>
      </c>
      <c r="AC10" s="2">
        <f t="shared" ca="1" si="2"/>
        <v>34.447471450197682</v>
      </c>
      <c r="AD10" s="2">
        <f t="shared" ca="1" si="2"/>
        <v>32.960535168161741</v>
      </c>
      <c r="AE10" s="2">
        <f t="shared" ca="1" si="2"/>
        <v>32.700959128641969</v>
      </c>
      <c r="AF10" s="2">
        <f t="shared" ca="1" si="2"/>
        <v>33.385917670859556</v>
      </c>
      <c r="AG10" s="2">
        <f t="shared" ca="1" si="2"/>
        <v>27.34209299968456</v>
      </c>
      <c r="AH10" s="2">
        <f t="shared" ca="1" si="2"/>
        <v>34.181564874475093</v>
      </c>
    </row>
    <row r="11" spans="1:34">
      <c r="A11" t="str">
        <f>sets!$H$3</f>
        <v>Teff</v>
      </c>
      <c r="B11" t="str">
        <v>Somali</v>
      </c>
      <c r="C11" s="2">
        <f t="shared" ca="1" si="3"/>
        <v>29.559377252981545</v>
      </c>
      <c r="D11" s="2">
        <f t="shared" ca="1" si="2"/>
        <v>26.452989759057289</v>
      </c>
      <c r="E11" s="2">
        <f t="shared" ca="1" si="2"/>
        <v>34.695647805827349</v>
      </c>
      <c r="F11" s="2">
        <f t="shared" ca="1" si="2"/>
        <v>27.527126161599309</v>
      </c>
      <c r="G11" s="2">
        <f t="shared" ca="1" si="2"/>
        <v>31.121074028767588</v>
      </c>
      <c r="H11" s="2">
        <f t="shared" ca="1" si="2"/>
        <v>32.577703900281485</v>
      </c>
      <c r="I11" s="2">
        <f t="shared" ca="1" si="2"/>
        <v>25.625712469288736</v>
      </c>
      <c r="J11" s="2">
        <f t="shared" ca="1" si="2"/>
        <v>25.551067785098493</v>
      </c>
      <c r="K11" s="2">
        <f t="shared" ref="K11:Z42" ca="1" si="4">(RAND()*1+2.5)*10</f>
        <v>29.778887391600627</v>
      </c>
      <c r="L11" s="2">
        <f t="shared" ca="1" si="4"/>
        <v>27.330417661795142</v>
      </c>
      <c r="M11" s="2">
        <f t="shared" ca="1" si="4"/>
        <v>32.273413290282271</v>
      </c>
      <c r="N11" s="2">
        <f t="shared" ca="1" si="4"/>
        <v>34.382721240219766</v>
      </c>
      <c r="O11" s="2">
        <f t="shared" ca="1" si="4"/>
        <v>27.657278331842328</v>
      </c>
      <c r="P11" s="2">
        <f t="shared" ca="1" si="4"/>
        <v>26.628206106444281</v>
      </c>
      <c r="Q11" s="2">
        <f t="shared" ca="1" si="4"/>
        <v>26.592566984313294</v>
      </c>
      <c r="R11" s="2">
        <f t="shared" ca="1" si="4"/>
        <v>31.29148817634842</v>
      </c>
      <c r="S11" s="2">
        <f t="shared" ca="1" si="4"/>
        <v>29.536457524348091</v>
      </c>
      <c r="T11" s="2">
        <f t="shared" ca="1" si="4"/>
        <v>34.098068044019911</v>
      </c>
      <c r="U11" s="2">
        <f t="shared" ca="1" si="4"/>
        <v>27.530498699220175</v>
      </c>
      <c r="V11" s="2">
        <f t="shared" ca="1" si="4"/>
        <v>32.579699318962426</v>
      </c>
      <c r="W11" s="2">
        <f t="shared" ca="1" si="4"/>
        <v>31.956788154671194</v>
      </c>
      <c r="X11" s="2">
        <f t="shared" ca="1" si="4"/>
        <v>32.8590598487148</v>
      </c>
      <c r="Y11" s="2">
        <f t="shared" ca="1" si="4"/>
        <v>25.823334652890438</v>
      </c>
      <c r="Z11" s="2">
        <f t="shared" ca="1" si="4"/>
        <v>27.199274416244243</v>
      </c>
      <c r="AA11" s="2">
        <f t="shared" ref="AA11:AH42" ca="1" si="5">(RAND()*1+2.5)*10</f>
        <v>28.317563443382554</v>
      </c>
      <c r="AB11" s="2">
        <f t="shared" ca="1" si="5"/>
        <v>31.62593049960266</v>
      </c>
      <c r="AC11" s="2">
        <f t="shared" ca="1" si="5"/>
        <v>30.876978761541743</v>
      </c>
      <c r="AD11" s="2">
        <f t="shared" ca="1" si="5"/>
        <v>28.499489278513067</v>
      </c>
      <c r="AE11" s="2">
        <f t="shared" ca="1" si="5"/>
        <v>28.129802012638343</v>
      </c>
      <c r="AF11" s="2">
        <f t="shared" ca="1" si="5"/>
        <v>31.922712692133885</v>
      </c>
      <c r="AG11" s="2">
        <f t="shared" ca="1" si="5"/>
        <v>33.783948104557908</v>
      </c>
      <c r="AH11" s="2">
        <f t="shared" ca="1" si="5"/>
        <v>34.800300647353041</v>
      </c>
    </row>
    <row r="12" spans="1:34">
      <c r="A12" t="str">
        <f>sets!$H$3</f>
        <v>Teff</v>
      </c>
      <c r="B12" t="str">
        <v>SNNPR</v>
      </c>
      <c r="C12" s="2">
        <f t="shared" ca="1" si="3"/>
        <v>30.873835504687356</v>
      </c>
      <c r="D12" s="2">
        <f t="shared" ca="1" si="3"/>
        <v>29.527967031702566</v>
      </c>
      <c r="E12" s="2">
        <f t="shared" ca="1" si="3"/>
        <v>30.205384155153347</v>
      </c>
      <c r="F12" s="2">
        <f t="shared" ca="1" si="3"/>
        <v>31.598271733687451</v>
      </c>
      <c r="G12" s="2">
        <f t="shared" ca="1" si="3"/>
        <v>30.382105491208819</v>
      </c>
      <c r="H12" s="2">
        <f t="shared" ca="1" si="3"/>
        <v>30.226677746514902</v>
      </c>
      <c r="I12" s="2">
        <f t="shared" ca="1" si="3"/>
        <v>30.766094256952037</v>
      </c>
      <c r="J12" s="2">
        <f t="shared" ca="1" si="3"/>
        <v>27.663461631083344</v>
      </c>
      <c r="K12" s="2">
        <f t="shared" ca="1" si="3"/>
        <v>33.049711613015823</v>
      </c>
      <c r="L12" s="2">
        <f t="shared" ca="1" si="3"/>
        <v>28.28837329153891</v>
      </c>
      <c r="M12" s="2">
        <f t="shared" ca="1" si="3"/>
        <v>32.231279560987836</v>
      </c>
      <c r="N12" s="2">
        <f t="shared" ca="1" si="3"/>
        <v>28.542413465504559</v>
      </c>
      <c r="O12" s="2">
        <f t="shared" ca="1" si="3"/>
        <v>34.5062952978911</v>
      </c>
      <c r="P12" s="2">
        <f t="shared" ca="1" si="3"/>
        <v>26.325025914396605</v>
      </c>
      <c r="Q12" s="2">
        <f t="shared" ca="1" si="3"/>
        <v>25.081175520897183</v>
      </c>
      <c r="R12" s="2">
        <f t="shared" ca="1" si="3"/>
        <v>27.886466973320196</v>
      </c>
      <c r="S12" s="2">
        <f t="shared" ca="1" si="4"/>
        <v>26.283551401477631</v>
      </c>
      <c r="T12" s="2">
        <f t="shared" ca="1" si="4"/>
        <v>26.030402643003427</v>
      </c>
      <c r="U12" s="2">
        <f t="shared" ca="1" si="4"/>
        <v>25.240756653413428</v>
      </c>
      <c r="V12" s="2">
        <f t="shared" ca="1" si="4"/>
        <v>31.982333561771942</v>
      </c>
      <c r="W12" s="2">
        <f t="shared" ca="1" si="4"/>
        <v>30.600892312762834</v>
      </c>
      <c r="X12" s="2">
        <f t="shared" ca="1" si="4"/>
        <v>28.479254877328579</v>
      </c>
      <c r="Y12" s="2">
        <f t="shared" ca="1" si="4"/>
        <v>33.05579526563713</v>
      </c>
      <c r="Z12" s="2">
        <f t="shared" ca="1" si="4"/>
        <v>33.268553506889276</v>
      </c>
      <c r="AA12" s="2">
        <f t="shared" ca="1" si="5"/>
        <v>30.753388227588587</v>
      </c>
      <c r="AB12" s="2">
        <f t="shared" ca="1" si="5"/>
        <v>25.234154603798792</v>
      </c>
      <c r="AC12" s="2">
        <f t="shared" ca="1" si="5"/>
        <v>30.47098344961222</v>
      </c>
      <c r="AD12" s="2">
        <f t="shared" ca="1" si="5"/>
        <v>34.046873326703199</v>
      </c>
      <c r="AE12" s="2">
        <f t="shared" ca="1" si="5"/>
        <v>25.67328215220742</v>
      </c>
      <c r="AF12" s="2">
        <f t="shared" ca="1" si="5"/>
        <v>26.870958194505118</v>
      </c>
      <c r="AG12" s="2">
        <f t="shared" ca="1" si="5"/>
        <v>29.962063714162102</v>
      </c>
      <c r="AH12" s="2">
        <f t="shared" ca="1" si="5"/>
        <v>33.124882256094537</v>
      </c>
    </row>
    <row r="13" spans="1:34">
      <c r="A13" t="str">
        <f>sets!$H$3</f>
        <v>Teff</v>
      </c>
      <c r="B13" t="str">
        <v>Tigray</v>
      </c>
      <c r="C13" s="2">
        <f t="shared" ca="1" si="3"/>
        <v>27.070600547550288</v>
      </c>
      <c r="D13" s="2">
        <f t="shared" ca="1" si="3"/>
        <v>26.769851764975826</v>
      </c>
      <c r="E13" s="2">
        <f t="shared" ca="1" si="3"/>
        <v>30.476803935884696</v>
      </c>
      <c r="F13" s="2">
        <f t="shared" ca="1" si="3"/>
        <v>34.62577251815663</v>
      </c>
      <c r="G13" s="2">
        <f t="shared" ca="1" si="3"/>
        <v>32.570037263143988</v>
      </c>
      <c r="H13" s="2">
        <f t="shared" ca="1" si="3"/>
        <v>25.169036243014883</v>
      </c>
      <c r="I13" s="2">
        <f t="shared" ca="1" si="3"/>
        <v>29.622421634395941</v>
      </c>
      <c r="J13" s="2">
        <f t="shared" ca="1" si="3"/>
        <v>30.916327338285537</v>
      </c>
      <c r="K13" s="2">
        <f t="shared" ca="1" si="3"/>
        <v>28.177178999940075</v>
      </c>
      <c r="L13" s="2">
        <f t="shared" ca="1" si="3"/>
        <v>29.104314838886658</v>
      </c>
      <c r="M13" s="2">
        <f t="shared" ca="1" si="3"/>
        <v>28.722198421237152</v>
      </c>
      <c r="N13" s="2">
        <f t="shared" ca="1" si="3"/>
        <v>34.035337455850573</v>
      </c>
      <c r="O13" s="2">
        <f t="shared" ca="1" si="3"/>
        <v>30.504152193022197</v>
      </c>
      <c r="P13" s="2">
        <f t="shared" ca="1" si="3"/>
        <v>33.061888908693334</v>
      </c>
      <c r="Q13" s="2">
        <f t="shared" ca="1" si="3"/>
        <v>31.355989864643238</v>
      </c>
      <c r="R13" s="2">
        <f t="shared" ca="1" si="3"/>
        <v>25.138597951223044</v>
      </c>
      <c r="S13" s="2">
        <f t="shared" ca="1" si="4"/>
        <v>31.844924839577136</v>
      </c>
      <c r="T13" s="2">
        <f t="shared" ca="1" si="4"/>
        <v>30.78046780563977</v>
      </c>
      <c r="U13" s="2">
        <f t="shared" ca="1" si="4"/>
        <v>30.904436940536218</v>
      </c>
      <c r="V13" s="2">
        <f t="shared" ca="1" si="4"/>
        <v>31.910639200100611</v>
      </c>
      <c r="W13" s="2">
        <f t="shared" ca="1" si="4"/>
        <v>28.980090688239322</v>
      </c>
      <c r="X13" s="2">
        <f t="shared" ca="1" si="4"/>
        <v>28.791214063999142</v>
      </c>
      <c r="Y13" s="2">
        <f t="shared" ca="1" si="4"/>
        <v>34.020397265828159</v>
      </c>
      <c r="Z13" s="2">
        <f t="shared" ca="1" si="4"/>
        <v>29.416493692644671</v>
      </c>
      <c r="AA13" s="2">
        <f t="shared" ca="1" si="5"/>
        <v>25.998644275428312</v>
      </c>
      <c r="AB13" s="2">
        <f t="shared" ca="1" si="5"/>
        <v>25.883979413033522</v>
      </c>
      <c r="AC13" s="2">
        <f t="shared" ca="1" si="5"/>
        <v>27.126163400833843</v>
      </c>
      <c r="AD13" s="2">
        <f t="shared" ca="1" si="5"/>
        <v>27.548540929080506</v>
      </c>
      <c r="AE13" s="2">
        <f t="shared" ca="1" si="5"/>
        <v>29.220347102959039</v>
      </c>
      <c r="AF13" s="2">
        <f t="shared" ca="1" si="5"/>
        <v>32.620527967054173</v>
      </c>
      <c r="AG13" s="2">
        <f t="shared" ca="1" si="5"/>
        <v>29.919044276464358</v>
      </c>
      <c r="AH13" s="2">
        <f t="shared" ca="1" si="5"/>
        <v>32.108359031461092</v>
      </c>
    </row>
    <row r="14" spans="1:34">
      <c r="A14" t="str">
        <f t="shared" ref="A14:A77" si="6">INDEX(Food,MATCH(A3,Food,0)+1)</f>
        <v>Sorghum</v>
      </c>
      <c r="B14" t="str">
        <f>B3</f>
        <v>AddisAbaba</v>
      </c>
      <c r="C14" s="2">
        <f t="shared" ca="1" si="3"/>
        <v>25.636499437397859</v>
      </c>
      <c r="D14" s="2">
        <f t="shared" ca="1" si="3"/>
        <v>27.392037720454358</v>
      </c>
      <c r="E14" s="2">
        <f t="shared" ca="1" si="3"/>
        <v>33.721258386824971</v>
      </c>
      <c r="F14" s="2">
        <f t="shared" ca="1" si="3"/>
        <v>25.661671509209569</v>
      </c>
      <c r="G14" s="2">
        <f t="shared" ca="1" si="3"/>
        <v>28.01695753257912</v>
      </c>
      <c r="H14" s="2">
        <f t="shared" ca="1" si="3"/>
        <v>33.548681132206795</v>
      </c>
      <c r="I14" s="2">
        <f t="shared" ca="1" si="3"/>
        <v>26.546789161809976</v>
      </c>
      <c r="J14" s="2">
        <f t="shared" ca="1" si="3"/>
        <v>29.684226928049952</v>
      </c>
      <c r="K14" s="2">
        <f t="shared" ca="1" si="3"/>
        <v>26.946087750760356</v>
      </c>
      <c r="L14" s="2">
        <f t="shared" ca="1" si="3"/>
        <v>27.739016613640786</v>
      </c>
      <c r="M14" s="2">
        <f t="shared" ca="1" si="3"/>
        <v>30.314125452496921</v>
      </c>
      <c r="N14" s="2">
        <f t="shared" ca="1" si="3"/>
        <v>34.47963814015614</v>
      </c>
      <c r="O14" s="2">
        <f t="shared" ca="1" si="3"/>
        <v>26.180607252585343</v>
      </c>
      <c r="P14" s="2">
        <f t="shared" ca="1" si="3"/>
        <v>26.686417349627831</v>
      </c>
      <c r="Q14" s="2">
        <f t="shared" ca="1" si="3"/>
        <v>34.397366653553618</v>
      </c>
      <c r="R14" s="2">
        <f t="shared" ca="1" si="3"/>
        <v>25.879159684722815</v>
      </c>
      <c r="S14" s="2">
        <f t="shared" ca="1" si="4"/>
        <v>30.985104984288068</v>
      </c>
      <c r="T14" s="2">
        <f t="shared" ca="1" si="4"/>
        <v>31.664674532858875</v>
      </c>
      <c r="U14" s="2">
        <f t="shared" ca="1" si="4"/>
        <v>30.49326608511652</v>
      </c>
      <c r="V14" s="2">
        <f t="shared" ca="1" si="4"/>
        <v>33.730818079561054</v>
      </c>
      <c r="W14" s="2">
        <f t="shared" ca="1" si="4"/>
        <v>27.297297781526247</v>
      </c>
      <c r="X14" s="2">
        <f t="shared" ca="1" si="4"/>
        <v>27.680658404158471</v>
      </c>
      <c r="Y14" s="2">
        <f t="shared" ca="1" si="4"/>
        <v>32.282071838122256</v>
      </c>
      <c r="Z14" s="2">
        <f t="shared" ca="1" si="4"/>
        <v>30.359852010113894</v>
      </c>
      <c r="AA14" s="2">
        <f t="shared" ca="1" si="5"/>
        <v>25.876868619664812</v>
      </c>
      <c r="AB14" s="2">
        <f t="shared" ca="1" si="5"/>
        <v>29.575001069228652</v>
      </c>
      <c r="AC14" s="2">
        <f t="shared" ca="1" si="5"/>
        <v>32.475377179064424</v>
      </c>
      <c r="AD14" s="2">
        <f t="shared" ca="1" si="5"/>
        <v>33.293781945172839</v>
      </c>
      <c r="AE14" s="2">
        <f t="shared" ca="1" si="5"/>
        <v>26.692036860267422</v>
      </c>
      <c r="AF14" s="2">
        <f t="shared" ca="1" si="5"/>
        <v>25.339802775529279</v>
      </c>
      <c r="AG14" s="2">
        <f t="shared" ca="1" si="5"/>
        <v>32.056578544708323</v>
      </c>
      <c r="AH14" s="2">
        <f t="shared" ca="1" si="5"/>
        <v>30.591706865033185</v>
      </c>
    </row>
    <row r="15" spans="1:34">
      <c r="A15" t="str">
        <f t="shared" si="6"/>
        <v>Sorghum</v>
      </c>
      <c r="B15" t="str">
        <f t="shared" ref="B15:B78" si="7">B4</f>
        <v>Afar</v>
      </c>
      <c r="C15" s="2">
        <f t="shared" ca="1" si="3"/>
        <v>34.363596218307784</v>
      </c>
      <c r="D15" s="2">
        <f t="shared" ca="1" si="3"/>
        <v>33.378543250149974</v>
      </c>
      <c r="E15" s="2">
        <f t="shared" ca="1" si="3"/>
        <v>29.008515037455602</v>
      </c>
      <c r="F15" s="2">
        <f t="shared" ca="1" si="3"/>
        <v>30.453432086013457</v>
      </c>
      <c r="G15" s="2">
        <f t="shared" ca="1" si="3"/>
        <v>33.218155984383387</v>
      </c>
      <c r="H15" s="2">
        <f t="shared" ca="1" si="3"/>
        <v>30.827953327463725</v>
      </c>
      <c r="I15" s="2">
        <f t="shared" ca="1" si="3"/>
        <v>25.381496246292222</v>
      </c>
      <c r="J15" s="2">
        <f t="shared" ca="1" si="3"/>
        <v>34.394691872652132</v>
      </c>
      <c r="K15" s="2">
        <f t="shared" ca="1" si="3"/>
        <v>25.058060725832046</v>
      </c>
      <c r="L15" s="2">
        <f t="shared" ca="1" si="3"/>
        <v>25.477924926471303</v>
      </c>
      <c r="M15" s="2">
        <f t="shared" ca="1" si="3"/>
        <v>27.927242506215105</v>
      </c>
      <c r="N15" s="2">
        <f t="shared" ca="1" si="3"/>
        <v>30.384969755074863</v>
      </c>
      <c r="O15" s="2">
        <f t="shared" ca="1" si="3"/>
        <v>32.192395293314476</v>
      </c>
      <c r="P15" s="2">
        <f t="shared" ca="1" si="3"/>
        <v>32.788746366151635</v>
      </c>
      <c r="Q15" s="2">
        <f t="shared" ca="1" si="3"/>
        <v>29.416463285423479</v>
      </c>
      <c r="R15" s="2">
        <f t="shared" ca="1" si="3"/>
        <v>31.427238123433881</v>
      </c>
      <c r="S15" s="2">
        <f t="shared" ca="1" si="4"/>
        <v>30.768600194319326</v>
      </c>
      <c r="T15" s="2">
        <f t="shared" ca="1" si="4"/>
        <v>29.014207424394915</v>
      </c>
      <c r="U15" s="2">
        <f t="shared" ca="1" si="4"/>
        <v>29.229210656520937</v>
      </c>
      <c r="V15" s="2">
        <f t="shared" ca="1" si="4"/>
        <v>29.534223452285801</v>
      </c>
      <c r="W15" s="2">
        <f t="shared" ca="1" si="4"/>
        <v>34.218281203204896</v>
      </c>
      <c r="X15" s="2">
        <f t="shared" ca="1" si="4"/>
        <v>29.115201039527747</v>
      </c>
      <c r="Y15" s="2">
        <f t="shared" ca="1" si="4"/>
        <v>26.284981349386392</v>
      </c>
      <c r="Z15" s="2">
        <f t="shared" ca="1" si="4"/>
        <v>34.880055097514798</v>
      </c>
      <c r="AA15" s="2">
        <f t="shared" ca="1" si="5"/>
        <v>27.063323903680157</v>
      </c>
      <c r="AB15" s="2">
        <f t="shared" ca="1" si="5"/>
        <v>33.524635922585404</v>
      </c>
      <c r="AC15" s="2">
        <f t="shared" ca="1" si="5"/>
        <v>31.270562488531301</v>
      </c>
      <c r="AD15" s="2">
        <f t="shared" ca="1" si="5"/>
        <v>28.575004007080096</v>
      </c>
      <c r="AE15" s="2">
        <f t="shared" ca="1" si="5"/>
        <v>33.013715212536816</v>
      </c>
      <c r="AF15" s="2">
        <f t="shared" ca="1" si="5"/>
        <v>33.180739607258488</v>
      </c>
      <c r="AG15" s="2">
        <f t="shared" ca="1" si="5"/>
        <v>31.157868102686233</v>
      </c>
      <c r="AH15" s="2">
        <f t="shared" ca="1" si="5"/>
        <v>28.341875067994447</v>
      </c>
    </row>
    <row r="16" spans="1:34">
      <c r="A16" t="str">
        <f t="shared" si="6"/>
        <v>Sorghum</v>
      </c>
      <c r="B16" t="str">
        <f t="shared" si="7"/>
        <v>Amhara</v>
      </c>
      <c r="C16" s="2">
        <f t="shared" ca="1" si="3"/>
        <v>29.684186614267503</v>
      </c>
      <c r="D16" s="2">
        <f t="shared" ca="1" si="3"/>
        <v>28.392601618456634</v>
      </c>
      <c r="E16" s="2">
        <f t="shared" ca="1" si="3"/>
        <v>27.398705744878704</v>
      </c>
      <c r="F16" s="2">
        <f t="shared" ca="1" si="3"/>
        <v>25.450157090221026</v>
      </c>
      <c r="G16" s="2">
        <f t="shared" ca="1" si="3"/>
        <v>33.785359524428941</v>
      </c>
      <c r="H16" s="2">
        <f t="shared" ca="1" si="3"/>
        <v>30.154165731205861</v>
      </c>
      <c r="I16" s="2">
        <f t="shared" ca="1" si="3"/>
        <v>33.88694026259644</v>
      </c>
      <c r="J16" s="2">
        <f t="shared" ca="1" si="3"/>
        <v>34.009132697691946</v>
      </c>
      <c r="K16" s="2">
        <f t="shared" ca="1" si="3"/>
        <v>30.863644855600615</v>
      </c>
      <c r="L16" s="2">
        <f t="shared" ca="1" si="3"/>
        <v>27.509504492463549</v>
      </c>
      <c r="M16" s="2">
        <f t="shared" ca="1" si="3"/>
        <v>31.605604904045542</v>
      </c>
      <c r="N16" s="2">
        <f t="shared" ca="1" si="3"/>
        <v>25.805617464988764</v>
      </c>
      <c r="O16" s="2">
        <f t="shared" ca="1" si="3"/>
        <v>26.838969835653685</v>
      </c>
      <c r="P16" s="2">
        <f t="shared" ca="1" si="3"/>
        <v>34.458252338771089</v>
      </c>
      <c r="Q16" s="2">
        <f t="shared" ca="1" si="3"/>
        <v>28.051589433692584</v>
      </c>
      <c r="R16" s="2">
        <f t="shared" ca="1" si="3"/>
        <v>29.348770663501583</v>
      </c>
      <c r="S16" s="2">
        <f t="shared" ca="1" si="4"/>
        <v>32.403278334590595</v>
      </c>
      <c r="T16" s="2">
        <f t="shared" ca="1" si="4"/>
        <v>34.189396936190228</v>
      </c>
      <c r="U16" s="2">
        <f t="shared" ca="1" si="4"/>
        <v>27.51889854337724</v>
      </c>
      <c r="V16" s="2">
        <f t="shared" ca="1" si="4"/>
        <v>32.336899269846022</v>
      </c>
      <c r="W16" s="2">
        <f t="shared" ca="1" si="4"/>
        <v>29.072469143326028</v>
      </c>
      <c r="X16" s="2">
        <f t="shared" ca="1" si="4"/>
        <v>26.87988704001528</v>
      </c>
      <c r="Y16" s="2">
        <f t="shared" ca="1" si="4"/>
        <v>27.446493770818936</v>
      </c>
      <c r="Z16" s="2">
        <f t="shared" ca="1" si="4"/>
        <v>29.577445943833386</v>
      </c>
      <c r="AA16" s="2">
        <f t="shared" ca="1" si="5"/>
        <v>25.023242750712427</v>
      </c>
      <c r="AB16" s="2">
        <f t="shared" ca="1" si="5"/>
        <v>34.708410970885161</v>
      </c>
      <c r="AC16" s="2">
        <f t="shared" ca="1" si="5"/>
        <v>26.132314538197203</v>
      </c>
      <c r="AD16" s="2">
        <f t="shared" ca="1" si="5"/>
        <v>25.247562551007967</v>
      </c>
      <c r="AE16" s="2">
        <f t="shared" ca="1" si="5"/>
        <v>31.487103558693981</v>
      </c>
      <c r="AF16" s="2">
        <f t="shared" ca="1" si="5"/>
        <v>28.876893722353927</v>
      </c>
      <c r="AG16" s="2">
        <f t="shared" ca="1" si="5"/>
        <v>33.71727813180641</v>
      </c>
      <c r="AH16" s="2">
        <f t="shared" ca="1" si="5"/>
        <v>25.646852603826957</v>
      </c>
    </row>
    <row r="17" spans="1:34">
      <c r="A17" t="str">
        <f t="shared" si="6"/>
        <v>Sorghum</v>
      </c>
      <c r="B17" t="str">
        <f t="shared" si="7"/>
        <v>Gumuz</v>
      </c>
      <c r="C17" s="2">
        <f t="shared" ca="1" si="3"/>
        <v>32.08312953616128</v>
      </c>
      <c r="D17" s="2">
        <f t="shared" ca="1" si="3"/>
        <v>29.631040474287666</v>
      </c>
      <c r="E17" s="2">
        <f t="shared" ca="1" si="3"/>
        <v>34.387928324487078</v>
      </c>
      <c r="F17" s="2">
        <f t="shared" ca="1" si="3"/>
        <v>28.097612137524528</v>
      </c>
      <c r="G17" s="2">
        <f t="shared" ca="1" si="3"/>
        <v>27.261471656151343</v>
      </c>
      <c r="H17" s="2">
        <f t="shared" ca="1" si="3"/>
        <v>34.942727227543656</v>
      </c>
      <c r="I17" s="2">
        <f t="shared" ca="1" si="3"/>
        <v>33.667453912267142</v>
      </c>
      <c r="J17" s="2">
        <f t="shared" ca="1" si="3"/>
        <v>34.776789705962202</v>
      </c>
      <c r="K17" s="2">
        <f t="shared" ca="1" si="3"/>
        <v>27.610045983789632</v>
      </c>
      <c r="L17" s="2">
        <f t="shared" ca="1" si="3"/>
        <v>29.613421289620014</v>
      </c>
      <c r="M17" s="2">
        <f t="shared" ca="1" si="3"/>
        <v>28.822049246581194</v>
      </c>
      <c r="N17" s="2">
        <f t="shared" ca="1" si="3"/>
        <v>27.38666928321075</v>
      </c>
      <c r="O17" s="2">
        <f t="shared" ca="1" si="3"/>
        <v>30.740706154951027</v>
      </c>
      <c r="P17" s="2">
        <f t="shared" ca="1" si="3"/>
        <v>34.636112500662037</v>
      </c>
      <c r="Q17" s="2">
        <f t="shared" ca="1" si="3"/>
        <v>30.360130969651912</v>
      </c>
      <c r="R17" s="2">
        <f t="shared" ca="1" si="3"/>
        <v>34.346812516489408</v>
      </c>
      <c r="S17" s="2">
        <f t="shared" ca="1" si="4"/>
        <v>30.077264010732279</v>
      </c>
      <c r="T17" s="2">
        <f t="shared" ca="1" si="4"/>
        <v>26.758017920145868</v>
      </c>
      <c r="U17" s="2">
        <f t="shared" ca="1" si="4"/>
        <v>33.962425900687457</v>
      </c>
      <c r="V17" s="2">
        <f t="shared" ca="1" si="4"/>
        <v>28.579839886591589</v>
      </c>
      <c r="W17" s="2">
        <f t="shared" ca="1" si="4"/>
        <v>26.533108406742258</v>
      </c>
      <c r="X17" s="2">
        <f t="shared" ca="1" si="4"/>
        <v>25.698260230463823</v>
      </c>
      <c r="Y17" s="2">
        <f t="shared" ca="1" si="4"/>
        <v>32.035119019661842</v>
      </c>
      <c r="Z17" s="2">
        <f t="shared" ca="1" si="4"/>
        <v>26.201775560226356</v>
      </c>
      <c r="AA17" s="2">
        <f t="shared" ca="1" si="5"/>
        <v>30.606775674955323</v>
      </c>
      <c r="AB17" s="2">
        <f t="shared" ca="1" si="5"/>
        <v>33.706289529457123</v>
      </c>
      <c r="AC17" s="2">
        <f t="shared" ca="1" si="5"/>
        <v>26.327775858898516</v>
      </c>
      <c r="AD17" s="2">
        <f t="shared" ca="1" si="5"/>
        <v>32.381998558588499</v>
      </c>
      <c r="AE17" s="2">
        <f t="shared" ca="1" si="5"/>
        <v>32.171187965228796</v>
      </c>
      <c r="AF17" s="2">
        <f t="shared" ca="1" si="5"/>
        <v>31.834994008596816</v>
      </c>
      <c r="AG17" s="2">
        <f t="shared" ca="1" si="5"/>
        <v>27.768398738643256</v>
      </c>
      <c r="AH17" s="2">
        <f t="shared" ca="1" si="5"/>
        <v>30.490717183187563</v>
      </c>
    </row>
    <row r="18" spans="1:34">
      <c r="A18" t="str">
        <f t="shared" si="6"/>
        <v>Sorghum</v>
      </c>
      <c r="B18" t="str">
        <f t="shared" si="7"/>
        <v>DireDawa</v>
      </c>
      <c r="C18" s="2">
        <f t="shared" ca="1" si="3"/>
        <v>31.525732708150169</v>
      </c>
      <c r="D18" s="2">
        <f t="shared" ca="1" si="3"/>
        <v>28.871061750461902</v>
      </c>
      <c r="E18" s="2">
        <f t="shared" ca="1" si="3"/>
        <v>26.161953521921681</v>
      </c>
      <c r="F18" s="2">
        <f t="shared" ca="1" si="3"/>
        <v>33.095059188997233</v>
      </c>
      <c r="G18" s="2">
        <f t="shared" ca="1" si="3"/>
        <v>31.463943162599236</v>
      </c>
      <c r="H18" s="2">
        <f t="shared" ca="1" si="3"/>
        <v>32.979156258808743</v>
      </c>
      <c r="I18" s="2">
        <f t="shared" ca="1" si="3"/>
        <v>30.928367550610687</v>
      </c>
      <c r="J18" s="2">
        <f t="shared" ca="1" si="3"/>
        <v>33.741276518538712</v>
      </c>
      <c r="K18" s="2">
        <f t="shared" ca="1" si="3"/>
        <v>32.112023567137157</v>
      </c>
      <c r="L18" s="2">
        <f t="shared" ca="1" si="3"/>
        <v>31.868593026362596</v>
      </c>
      <c r="M18" s="2">
        <f t="shared" ca="1" si="3"/>
        <v>33.293470284064838</v>
      </c>
      <c r="N18" s="2">
        <f t="shared" ca="1" si="3"/>
        <v>34.102401840822459</v>
      </c>
      <c r="O18" s="2">
        <f t="shared" ca="1" si="3"/>
        <v>33.053363934808246</v>
      </c>
      <c r="P18" s="2">
        <f t="shared" ca="1" si="3"/>
        <v>29.808540704001381</v>
      </c>
      <c r="Q18" s="2">
        <f t="shared" ca="1" si="3"/>
        <v>34.774503257513345</v>
      </c>
      <c r="R18" s="2">
        <f t="shared" ca="1" si="3"/>
        <v>30.695716387333697</v>
      </c>
      <c r="S18" s="2">
        <f t="shared" ca="1" si="4"/>
        <v>33.844389880100209</v>
      </c>
      <c r="T18" s="2">
        <f t="shared" ca="1" si="4"/>
        <v>26.540917969475174</v>
      </c>
      <c r="U18" s="2">
        <f t="shared" ca="1" si="4"/>
        <v>29.813011838145517</v>
      </c>
      <c r="V18" s="2">
        <f t="shared" ca="1" si="4"/>
        <v>32.390383389703437</v>
      </c>
      <c r="W18" s="2">
        <f t="shared" ca="1" si="4"/>
        <v>27.70552105253617</v>
      </c>
      <c r="X18" s="2">
        <f t="shared" ca="1" si="4"/>
        <v>32.776357917366028</v>
      </c>
      <c r="Y18" s="2">
        <f t="shared" ca="1" si="4"/>
        <v>27.92306298360414</v>
      </c>
      <c r="Z18" s="2">
        <f t="shared" ca="1" si="4"/>
        <v>28.486615186791404</v>
      </c>
      <c r="AA18" s="2">
        <f t="shared" ca="1" si="5"/>
        <v>25.345392361302807</v>
      </c>
      <c r="AB18" s="2">
        <f t="shared" ca="1" si="5"/>
        <v>26.609738987794664</v>
      </c>
      <c r="AC18" s="2">
        <f t="shared" ca="1" si="5"/>
        <v>33.961545723969422</v>
      </c>
      <c r="AD18" s="2">
        <f t="shared" ca="1" si="5"/>
        <v>25.643643207328154</v>
      </c>
      <c r="AE18" s="2">
        <f t="shared" ca="1" si="5"/>
        <v>25.394537170650104</v>
      </c>
      <c r="AF18" s="2">
        <f t="shared" ca="1" si="5"/>
        <v>33.881919200774718</v>
      </c>
      <c r="AG18" s="2">
        <f t="shared" ca="1" si="5"/>
        <v>30.25475496393674</v>
      </c>
      <c r="AH18" s="2">
        <f t="shared" ca="1" si="5"/>
        <v>30.004365618490564</v>
      </c>
    </row>
    <row r="19" spans="1:34">
      <c r="A19" t="str">
        <f t="shared" si="6"/>
        <v>Sorghum</v>
      </c>
      <c r="B19" t="str">
        <f t="shared" si="7"/>
        <v>Gambela</v>
      </c>
      <c r="C19" s="2">
        <f t="shared" ca="1" si="3"/>
        <v>30.549018598247049</v>
      </c>
      <c r="D19" s="2">
        <f t="shared" ca="1" si="3"/>
        <v>34.949791342926908</v>
      </c>
      <c r="E19" s="2">
        <f t="shared" ca="1" si="3"/>
        <v>29.548738302219117</v>
      </c>
      <c r="F19" s="2">
        <f t="shared" ca="1" si="3"/>
        <v>30.88112100355805</v>
      </c>
      <c r="G19" s="2">
        <f t="shared" ca="1" si="3"/>
        <v>33.86314725847209</v>
      </c>
      <c r="H19" s="2">
        <f t="shared" ca="1" si="3"/>
        <v>25.305854521512188</v>
      </c>
      <c r="I19" s="2">
        <f t="shared" ca="1" si="3"/>
        <v>31.50115636453604</v>
      </c>
      <c r="J19" s="2">
        <f t="shared" ca="1" si="3"/>
        <v>27.08343553204541</v>
      </c>
      <c r="K19" s="2">
        <f t="shared" ca="1" si="3"/>
        <v>25.462739945590343</v>
      </c>
      <c r="L19" s="2">
        <f t="shared" ca="1" si="3"/>
        <v>32.798467054599271</v>
      </c>
      <c r="M19" s="2">
        <f t="shared" ca="1" si="3"/>
        <v>33.542329397247023</v>
      </c>
      <c r="N19" s="2">
        <f t="shared" ca="1" si="3"/>
        <v>32.5547917339238</v>
      </c>
      <c r="O19" s="2">
        <f t="shared" ca="1" si="3"/>
        <v>26.927012452874237</v>
      </c>
      <c r="P19" s="2">
        <f t="shared" ca="1" si="3"/>
        <v>31.315669282146132</v>
      </c>
      <c r="Q19" s="2">
        <f t="shared" ca="1" si="3"/>
        <v>32.838076386562378</v>
      </c>
      <c r="R19" s="2">
        <f t="shared" ca="1" si="3"/>
        <v>31.096250092851285</v>
      </c>
      <c r="S19" s="2">
        <f t="shared" ca="1" si="4"/>
        <v>32.906574581184486</v>
      </c>
      <c r="T19" s="2">
        <f t="shared" ca="1" si="4"/>
        <v>25.69018479274396</v>
      </c>
      <c r="U19" s="2">
        <f t="shared" ca="1" si="4"/>
        <v>25.113773010236329</v>
      </c>
      <c r="V19" s="2">
        <f t="shared" ca="1" si="4"/>
        <v>28.4365346665091</v>
      </c>
      <c r="W19" s="2">
        <f t="shared" ca="1" si="4"/>
        <v>32.918963265873906</v>
      </c>
      <c r="X19" s="2">
        <f t="shared" ca="1" si="4"/>
        <v>30.735338605024467</v>
      </c>
      <c r="Y19" s="2">
        <f t="shared" ca="1" si="4"/>
        <v>30.01509562646115</v>
      </c>
      <c r="Z19" s="2">
        <f t="shared" ca="1" si="4"/>
        <v>32.345746041519945</v>
      </c>
      <c r="AA19" s="2">
        <f t="shared" ca="1" si="5"/>
        <v>26.38785035989525</v>
      </c>
      <c r="AB19" s="2">
        <f t="shared" ca="1" si="5"/>
        <v>28.070246422285948</v>
      </c>
      <c r="AC19" s="2">
        <f t="shared" ca="1" si="5"/>
        <v>31.779056350513542</v>
      </c>
      <c r="AD19" s="2">
        <f t="shared" ca="1" si="5"/>
        <v>29.76748475104468</v>
      </c>
      <c r="AE19" s="2">
        <f t="shared" ca="1" si="5"/>
        <v>28.012396316862755</v>
      </c>
      <c r="AF19" s="2">
        <f t="shared" ca="1" si="5"/>
        <v>28.635635137803344</v>
      </c>
      <c r="AG19" s="2">
        <f t="shared" ca="1" si="5"/>
        <v>34.873590982333702</v>
      </c>
      <c r="AH19" s="2">
        <f t="shared" ca="1" si="5"/>
        <v>32.490646956426595</v>
      </c>
    </row>
    <row r="20" spans="1:34">
      <c r="A20" t="str">
        <f t="shared" si="6"/>
        <v>Sorghum</v>
      </c>
      <c r="B20" t="str">
        <f t="shared" si="7"/>
        <v>Harari</v>
      </c>
      <c r="C20" s="2">
        <f t="shared" ca="1" si="3"/>
        <v>32.97961224454842</v>
      </c>
      <c r="D20" s="2">
        <f t="shared" ca="1" si="3"/>
        <v>28.337384590978687</v>
      </c>
      <c r="E20" s="2">
        <f t="shared" ca="1" si="3"/>
        <v>30.630005011592949</v>
      </c>
      <c r="F20" s="2">
        <f t="shared" ca="1" si="3"/>
        <v>30.833897203779145</v>
      </c>
      <c r="G20" s="2">
        <f t="shared" ca="1" si="3"/>
        <v>26.048984881086511</v>
      </c>
      <c r="H20" s="2">
        <f t="shared" ca="1" si="3"/>
        <v>31.307710158157146</v>
      </c>
      <c r="I20" s="2">
        <f t="shared" ca="1" si="3"/>
        <v>29.440381578426148</v>
      </c>
      <c r="J20" s="2">
        <f t="shared" ca="1" si="3"/>
        <v>32.6771713662595</v>
      </c>
      <c r="K20" s="2">
        <f t="shared" ca="1" si="3"/>
        <v>29.111687623354946</v>
      </c>
      <c r="L20" s="2">
        <f t="shared" ca="1" si="3"/>
        <v>29.123605721559329</v>
      </c>
      <c r="M20" s="2">
        <f t="shared" ca="1" si="3"/>
        <v>27.159420482667759</v>
      </c>
      <c r="N20" s="2">
        <f t="shared" ca="1" si="3"/>
        <v>33.192690723619478</v>
      </c>
      <c r="O20" s="2">
        <f t="shared" ca="1" si="3"/>
        <v>29.397653741601633</v>
      </c>
      <c r="P20" s="2">
        <f t="shared" ca="1" si="3"/>
        <v>25.295521816168083</v>
      </c>
      <c r="Q20" s="2">
        <f t="shared" ca="1" si="3"/>
        <v>25.822979289408426</v>
      </c>
      <c r="R20" s="2">
        <f t="shared" ca="1" si="3"/>
        <v>28.198124230888663</v>
      </c>
      <c r="S20" s="2">
        <f t="shared" ca="1" si="4"/>
        <v>29.285873021257846</v>
      </c>
      <c r="T20" s="2">
        <f t="shared" ca="1" si="4"/>
        <v>28.683941312285022</v>
      </c>
      <c r="U20" s="2">
        <f t="shared" ca="1" si="4"/>
        <v>30.169989223909887</v>
      </c>
      <c r="V20" s="2">
        <f t="shared" ca="1" si="4"/>
        <v>25.661757658558386</v>
      </c>
      <c r="W20" s="2">
        <f t="shared" ca="1" si="4"/>
        <v>32.798405591998787</v>
      </c>
      <c r="X20" s="2">
        <f t="shared" ca="1" si="4"/>
        <v>28.82644077086562</v>
      </c>
      <c r="Y20" s="2">
        <f t="shared" ca="1" si="4"/>
        <v>25.826600027517522</v>
      </c>
      <c r="Z20" s="2">
        <f t="shared" ca="1" si="4"/>
        <v>29.845503174145204</v>
      </c>
      <c r="AA20" s="2">
        <f t="shared" ca="1" si="5"/>
        <v>32.08808599087854</v>
      </c>
      <c r="AB20" s="2">
        <f t="shared" ca="1" si="5"/>
        <v>29.110765629840234</v>
      </c>
      <c r="AC20" s="2">
        <f t="shared" ca="1" si="5"/>
        <v>34.448995283761874</v>
      </c>
      <c r="AD20" s="2">
        <f t="shared" ca="1" si="5"/>
        <v>34.620317043511704</v>
      </c>
      <c r="AE20" s="2">
        <f t="shared" ca="1" si="5"/>
        <v>32.584859414972982</v>
      </c>
      <c r="AF20" s="2">
        <f t="shared" ca="1" si="5"/>
        <v>25.452732294763152</v>
      </c>
      <c r="AG20" s="2">
        <f t="shared" ca="1" si="5"/>
        <v>33.945831704644689</v>
      </c>
      <c r="AH20" s="2">
        <f t="shared" ca="1" si="5"/>
        <v>26.523528463365235</v>
      </c>
    </row>
    <row r="21" spans="1:34">
      <c r="A21" t="str">
        <f t="shared" si="6"/>
        <v>Sorghum</v>
      </c>
      <c r="B21" t="str">
        <f t="shared" si="7"/>
        <v>Oromia</v>
      </c>
      <c r="C21" s="2">
        <f t="shared" ca="1" si="3"/>
        <v>29.078097805351529</v>
      </c>
      <c r="D21" s="2">
        <f t="shared" ca="1" si="3"/>
        <v>26.193086761737522</v>
      </c>
      <c r="E21" s="2">
        <f t="shared" ca="1" si="3"/>
        <v>26.953251618593889</v>
      </c>
      <c r="F21" s="2">
        <f t="shared" ca="1" si="3"/>
        <v>28.82774624884744</v>
      </c>
      <c r="G21" s="2">
        <f t="shared" ca="1" si="3"/>
        <v>29.177246972518827</v>
      </c>
      <c r="H21" s="2">
        <f t="shared" ca="1" si="3"/>
        <v>31.279371925659319</v>
      </c>
      <c r="I21" s="2">
        <f t="shared" ca="1" si="3"/>
        <v>26.466471549498994</v>
      </c>
      <c r="J21" s="2">
        <f t="shared" ca="1" si="3"/>
        <v>25.533951879624183</v>
      </c>
      <c r="K21" s="2">
        <f t="shared" ca="1" si="3"/>
        <v>34.3878151666039</v>
      </c>
      <c r="L21" s="2">
        <f t="shared" ca="1" si="3"/>
        <v>32.735020048157658</v>
      </c>
      <c r="M21" s="2">
        <f t="shared" ca="1" si="3"/>
        <v>29.014627516839898</v>
      </c>
      <c r="N21" s="2">
        <f t="shared" ca="1" si="3"/>
        <v>26.672755073463733</v>
      </c>
      <c r="O21" s="2">
        <f t="shared" ca="1" si="3"/>
        <v>31.229266449350909</v>
      </c>
      <c r="P21" s="2">
        <f t="shared" ca="1" si="3"/>
        <v>33.593980076328968</v>
      </c>
      <c r="Q21" s="2">
        <f t="shared" ca="1" si="3"/>
        <v>28.117686208247644</v>
      </c>
      <c r="R21" s="2">
        <f t="shared" ca="1" si="3"/>
        <v>32.680286132771606</v>
      </c>
      <c r="S21" s="2">
        <f t="shared" ca="1" si="4"/>
        <v>28.850851253446134</v>
      </c>
      <c r="T21" s="2">
        <f t="shared" ca="1" si="4"/>
        <v>31.236702257820603</v>
      </c>
      <c r="U21" s="2">
        <f t="shared" ca="1" si="4"/>
        <v>28.21212272033646</v>
      </c>
      <c r="V21" s="2">
        <f t="shared" ca="1" si="4"/>
        <v>26.418167876536593</v>
      </c>
      <c r="W21" s="2">
        <f t="shared" ca="1" si="4"/>
        <v>27.768076546617735</v>
      </c>
      <c r="X21" s="2">
        <f t="shared" ca="1" si="4"/>
        <v>32.171523939859028</v>
      </c>
      <c r="Y21" s="2">
        <f t="shared" ca="1" si="4"/>
        <v>27.340678540149611</v>
      </c>
      <c r="Z21" s="2">
        <f t="shared" ca="1" si="4"/>
        <v>33.162800562356978</v>
      </c>
      <c r="AA21" s="2">
        <f t="shared" ca="1" si="5"/>
        <v>25.367601583202205</v>
      </c>
      <c r="AB21" s="2">
        <f t="shared" ca="1" si="5"/>
        <v>27.246719393754319</v>
      </c>
      <c r="AC21" s="2">
        <f t="shared" ca="1" si="5"/>
        <v>31.948117016131334</v>
      </c>
      <c r="AD21" s="2">
        <f t="shared" ca="1" si="5"/>
        <v>28.431457663739302</v>
      </c>
      <c r="AE21" s="2">
        <f t="shared" ca="1" si="5"/>
        <v>32.683503056040813</v>
      </c>
      <c r="AF21" s="2">
        <f t="shared" ca="1" si="5"/>
        <v>30.555254822117107</v>
      </c>
      <c r="AG21" s="2">
        <f t="shared" ca="1" si="5"/>
        <v>34.31467200509185</v>
      </c>
      <c r="AH21" s="2">
        <f t="shared" ca="1" si="5"/>
        <v>27.223443720658416</v>
      </c>
    </row>
    <row r="22" spans="1:34">
      <c r="A22" t="str">
        <f t="shared" si="6"/>
        <v>Sorghum</v>
      </c>
      <c r="B22" t="str">
        <f t="shared" si="7"/>
        <v>Somali</v>
      </c>
      <c r="C22" s="2">
        <f t="shared" ca="1" si="3"/>
        <v>29.092038792658439</v>
      </c>
      <c r="D22" s="2">
        <f t="shared" ca="1" si="3"/>
        <v>30.924181110468815</v>
      </c>
      <c r="E22" s="2">
        <f t="shared" ca="1" si="3"/>
        <v>25.976334741011282</v>
      </c>
      <c r="F22" s="2">
        <f t="shared" ca="1" si="3"/>
        <v>30.396138576362397</v>
      </c>
      <c r="G22" s="2">
        <f t="shared" ca="1" si="3"/>
        <v>26.677346386301281</v>
      </c>
      <c r="H22" s="2">
        <f t="shared" ca="1" si="3"/>
        <v>30.103360259606603</v>
      </c>
      <c r="I22" s="2">
        <f t="shared" ca="1" si="3"/>
        <v>26.299699182262284</v>
      </c>
      <c r="J22" s="2">
        <f t="shared" ca="1" si="3"/>
        <v>26.481052491792035</v>
      </c>
      <c r="K22" s="2">
        <f t="shared" ca="1" si="3"/>
        <v>30.138232804305439</v>
      </c>
      <c r="L22" s="2">
        <f t="shared" ca="1" si="3"/>
        <v>29.535406933349023</v>
      </c>
      <c r="M22" s="2">
        <f t="shared" ca="1" si="3"/>
        <v>27.978965840928712</v>
      </c>
      <c r="N22" s="2">
        <f t="shared" ca="1" si="3"/>
        <v>27.601027252957312</v>
      </c>
      <c r="O22" s="2">
        <f t="shared" ca="1" si="3"/>
        <v>30.272812589899658</v>
      </c>
      <c r="P22" s="2">
        <f t="shared" ca="1" si="3"/>
        <v>29.308605340389043</v>
      </c>
      <c r="Q22" s="2">
        <f t="shared" ca="1" si="3"/>
        <v>34.951321910915816</v>
      </c>
      <c r="R22" s="2">
        <f t="shared" ca="1" si="3"/>
        <v>25.971564066683271</v>
      </c>
      <c r="S22" s="2">
        <f t="shared" ca="1" si="4"/>
        <v>26.242620219116475</v>
      </c>
      <c r="T22" s="2">
        <f t="shared" ca="1" si="4"/>
        <v>29.218726101855019</v>
      </c>
      <c r="U22" s="2">
        <f t="shared" ca="1" si="4"/>
        <v>25.044665993118738</v>
      </c>
      <c r="V22" s="2">
        <f t="shared" ca="1" si="4"/>
        <v>27.979793037443216</v>
      </c>
      <c r="W22" s="2">
        <f t="shared" ca="1" si="4"/>
        <v>29.106907301215713</v>
      </c>
      <c r="X22" s="2">
        <f t="shared" ca="1" si="4"/>
        <v>26.036541208445222</v>
      </c>
      <c r="Y22" s="2">
        <f t="shared" ca="1" si="4"/>
        <v>27.881895173549847</v>
      </c>
      <c r="Z22" s="2">
        <f t="shared" ca="1" si="4"/>
        <v>27.914895755082824</v>
      </c>
      <c r="AA22" s="2">
        <f t="shared" ca="1" si="5"/>
        <v>31.81944319285806</v>
      </c>
      <c r="AB22" s="2">
        <f t="shared" ca="1" si="5"/>
        <v>27.115826313339802</v>
      </c>
      <c r="AC22" s="2">
        <f t="shared" ca="1" si="5"/>
        <v>34.51086911057277</v>
      </c>
      <c r="AD22" s="2">
        <f t="shared" ca="1" si="5"/>
        <v>26.102104613532319</v>
      </c>
      <c r="AE22" s="2">
        <f t="shared" ca="1" si="5"/>
        <v>26.738184414369716</v>
      </c>
      <c r="AF22" s="2">
        <f t="shared" ca="1" si="5"/>
        <v>27.012601122965506</v>
      </c>
      <c r="AG22" s="2">
        <f t="shared" ca="1" si="5"/>
        <v>27.921634264163298</v>
      </c>
      <c r="AH22" s="2">
        <f t="shared" ca="1" si="5"/>
        <v>26.191049455605118</v>
      </c>
    </row>
    <row r="23" spans="1:34">
      <c r="A23" t="str">
        <f t="shared" si="6"/>
        <v>Sorghum</v>
      </c>
      <c r="B23" t="str">
        <f t="shared" si="7"/>
        <v>SNNPR</v>
      </c>
      <c r="C23" s="2">
        <f t="shared" ca="1" si="3"/>
        <v>31.903801551888229</v>
      </c>
      <c r="D23" s="2">
        <f t="shared" ca="1" si="3"/>
        <v>34.350581954538164</v>
      </c>
      <c r="E23" s="2">
        <f t="shared" ca="1" si="3"/>
        <v>29.459887771289168</v>
      </c>
      <c r="F23" s="2">
        <f t="shared" ca="1" si="3"/>
        <v>27.691822273596529</v>
      </c>
      <c r="G23" s="2">
        <f t="shared" ca="1" si="3"/>
        <v>26.124750940224818</v>
      </c>
      <c r="H23" s="2">
        <f t="shared" ca="1" si="3"/>
        <v>25.157442327878634</v>
      </c>
      <c r="I23" s="2">
        <f t="shared" ca="1" si="3"/>
        <v>27.60750445174822</v>
      </c>
      <c r="J23" s="2">
        <f t="shared" ca="1" si="3"/>
        <v>31.412125353832177</v>
      </c>
      <c r="K23" s="2">
        <f t="shared" ca="1" si="3"/>
        <v>27.185978721175935</v>
      </c>
      <c r="L23" s="2">
        <f t="shared" ca="1" si="3"/>
        <v>26.392431416198399</v>
      </c>
      <c r="M23" s="2">
        <f t="shared" ca="1" si="3"/>
        <v>32.409303447616445</v>
      </c>
      <c r="N23" s="2">
        <f t="shared" ca="1" si="3"/>
        <v>32.57047605833553</v>
      </c>
      <c r="O23" s="2">
        <f t="shared" ca="1" si="3"/>
        <v>30.772352316813333</v>
      </c>
      <c r="P23" s="2">
        <f t="shared" ca="1" si="3"/>
        <v>27.025403692582877</v>
      </c>
      <c r="Q23" s="2">
        <f t="shared" ca="1" si="3"/>
        <v>34.379279959192502</v>
      </c>
      <c r="R23" s="2">
        <f t="shared" ca="1" si="3"/>
        <v>25.13474905252648</v>
      </c>
      <c r="S23" s="2">
        <f t="shared" ca="1" si="4"/>
        <v>29.87401553454405</v>
      </c>
      <c r="T23" s="2">
        <f t="shared" ca="1" si="4"/>
        <v>29.403780550168573</v>
      </c>
      <c r="U23" s="2">
        <f t="shared" ca="1" si="4"/>
        <v>29.055134539179196</v>
      </c>
      <c r="V23" s="2">
        <f t="shared" ca="1" si="4"/>
        <v>28.285825563148983</v>
      </c>
      <c r="W23" s="2">
        <f t="shared" ca="1" si="4"/>
        <v>29.087791327362883</v>
      </c>
      <c r="X23" s="2">
        <f t="shared" ca="1" si="4"/>
        <v>29.879467510246208</v>
      </c>
      <c r="Y23" s="2">
        <f t="shared" ca="1" si="4"/>
        <v>29.232974205802371</v>
      </c>
      <c r="Z23" s="2">
        <f t="shared" ca="1" si="4"/>
        <v>34.660549342190109</v>
      </c>
      <c r="AA23" s="2">
        <f t="shared" ca="1" si="5"/>
        <v>27.96414562579896</v>
      </c>
      <c r="AB23" s="2">
        <f t="shared" ca="1" si="5"/>
        <v>30.73940957383676</v>
      </c>
      <c r="AC23" s="2">
        <f t="shared" ca="1" si="5"/>
        <v>25.103101395443638</v>
      </c>
      <c r="AD23" s="2">
        <f t="shared" ca="1" si="5"/>
        <v>30.368982767540793</v>
      </c>
      <c r="AE23" s="2">
        <f t="shared" ca="1" si="5"/>
        <v>27.814312316276961</v>
      </c>
      <c r="AF23" s="2">
        <f t="shared" ca="1" si="5"/>
        <v>28.895897724903641</v>
      </c>
      <c r="AG23" s="2">
        <f t="shared" ca="1" si="5"/>
        <v>25.380101387729717</v>
      </c>
      <c r="AH23" s="2">
        <f t="shared" ca="1" si="5"/>
        <v>30.975368458485843</v>
      </c>
    </row>
    <row r="24" spans="1:34">
      <c r="A24" t="str">
        <f t="shared" si="6"/>
        <v>Sorghum</v>
      </c>
      <c r="B24" t="str">
        <f t="shared" si="7"/>
        <v>Tigray</v>
      </c>
      <c r="C24" s="2">
        <f t="shared" ca="1" si="3"/>
        <v>31.698264124223591</v>
      </c>
      <c r="D24" s="2">
        <f t="shared" ca="1" si="3"/>
        <v>27.550950000400817</v>
      </c>
      <c r="E24" s="2">
        <f t="shared" ca="1" si="3"/>
        <v>30.543332524061128</v>
      </c>
      <c r="F24" s="2">
        <f t="shared" ca="1" si="3"/>
        <v>30.668491223355655</v>
      </c>
      <c r="G24" s="2">
        <f t="shared" ca="1" si="3"/>
        <v>25.005458510446744</v>
      </c>
      <c r="H24" s="2">
        <f t="shared" ca="1" si="3"/>
        <v>29.360492833158645</v>
      </c>
      <c r="I24" s="2">
        <f t="shared" ca="1" si="3"/>
        <v>29.201039828525161</v>
      </c>
      <c r="J24" s="2">
        <f t="shared" ca="1" si="3"/>
        <v>27.466000469991769</v>
      </c>
      <c r="K24" s="2">
        <f t="shared" ca="1" si="3"/>
        <v>25.335202508474115</v>
      </c>
      <c r="L24" s="2">
        <f t="shared" ca="1" si="3"/>
        <v>34.380777149485411</v>
      </c>
      <c r="M24" s="2">
        <f t="shared" ca="1" si="3"/>
        <v>25.786850795280579</v>
      </c>
      <c r="N24" s="2">
        <f t="shared" ca="1" si="3"/>
        <v>26.382438053281795</v>
      </c>
      <c r="O24" s="2">
        <f t="shared" ca="1" si="3"/>
        <v>29.612832273721985</v>
      </c>
      <c r="P24" s="2">
        <f t="shared" ca="1" si="3"/>
        <v>25.222235918498409</v>
      </c>
      <c r="Q24" s="2">
        <f t="shared" ca="1" si="3"/>
        <v>30.433134565633306</v>
      </c>
      <c r="R24" s="2">
        <f t="shared" ca="1" si="3"/>
        <v>28.492173659990879</v>
      </c>
      <c r="S24" s="2">
        <f t="shared" ca="1" si="4"/>
        <v>32.94260254179936</v>
      </c>
      <c r="T24" s="2">
        <f t="shared" ca="1" si="4"/>
        <v>26.14243381753333</v>
      </c>
      <c r="U24" s="2">
        <f t="shared" ca="1" si="4"/>
        <v>30.148323969087379</v>
      </c>
      <c r="V24" s="2">
        <f t="shared" ca="1" si="4"/>
        <v>28.054430851963225</v>
      </c>
      <c r="W24" s="2">
        <f t="shared" ca="1" si="4"/>
        <v>30.487777267441412</v>
      </c>
      <c r="X24" s="2">
        <f t="shared" ca="1" si="4"/>
        <v>34.110536119392904</v>
      </c>
      <c r="Y24" s="2">
        <f t="shared" ca="1" si="4"/>
        <v>26.717610257627239</v>
      </c>
      <c r="Z24" s="2">
        <f t="shared" ca="1" si="4"/>
        <v>33.663808741724701</v>
      </c>
      <c r="AA24" s="2">
        <f t="shared" ca="1" si="5"/>
        <v>33.320247382176149</v>
      </c>
      <c r="AB24" s="2">
        <f t="shared" ca="1" si="5"/>
        <v>31.593958990560893</v>
      </c>
      <c r="AC24" s="2">
        <f t="shared" ca="1" si="5"/>
        <v>28.948113096351193</v>
      </c>
      <c r="AD24" s="2">
        <f t="shared" ca="1" si="5"/>
        <v>34.169093784350594</v>
      </c>
      <c r="AE24" s="2">
        <f t="shared" ca="1" si="5"/>
        <v>29.871400088523558</v>
      </c>
      <c r="AF24" s="2">
        <f t="shared" ca="1" si="5"/>
        <v>33.849696680350199</v>
      </c>
      <c r="AG24" s="2">
        <f t="shared" ca="1" si="5"/>
        <v>25.393851772671468</v>
      </c>
      <c r="AH24" s="2">
        <f t="shared" ca="1" si="5"/>
        <v>26.948655605050824</v>
      </c>
    </row>
    <row r="25" spans="1:34">
      <c r="A25" t="str">
        <f t="shared" si="6"/>
        <v>Maize</v>
      </c>
      <c r="B25" t="str">
        <f t="shared" si="7"/>
        <v>AddisAbaba</v>
      </c>
      <c r="C25" s="2">
        <f t="shared" ca="1" si="3"/>
        <v>33.062113470187462</v>
      </c>
      <c r="D25" s="2">
        <f t="shared" ca="1" si="3"/>
        <v>29.270040769117415</v>
      </c>
      <c r="E25" s="2">
        <f t="shared" ca="1" si="3"/>
        <v>30.006289898186157</v>
      </c>
      <c r="F25" s="2">
        <f t="shared" ca="1" si="3"/>
        <v>26.662359917637815</v>
      </c>
      <c r="G25" s="2">
        <f t="shared" ca="1" si="3"/>
        <v>29.842173388131037</v>
      </c>
      <c r="H25" s="2">
        <f t="shared" ca="1" si="3"/>
        <v>31.889841362416508</v>
      </c>
      <c r="I25" s="2">
        <f t="shared" ca="1" si="3"/>
        <v>30.588310168774889</v>
      </c>
      <c r="J25" s="2">
        <f t="shared" ca="1" si="3"/>
        <v>30.378132119792333</v>
      </c>
      <c r="K25" s="2">
        <f t="shared" ca="1" si="3"/>
        <v>28.007069168731526</v>
      </c>
      <c r="L25" s="2">
        <f t="shared" ca="1" si="3"/>
        <v>28.419003592545018</v>
      </c>
      <c r="M25" s="2">
        <f t="shared" ca="1" si="3"/>
        <v>29.425675250269908</v>
      </c>
      <c r="N25" s="2">
        <f t="shared" ca="1" si="3"/>
        <v>27.892491279982305</v>
      </c>
      <c r="O25" s="2">
        <f t="shared" ca="1" si="3"/>
        <v>28.680441493141888</v>
      </c>
      <c r="P25" s="2">
        <f t="shared" ca="1" si="3"/>
        <v>25.568673258873854</v>
      </c>
      <c r="Q25" s="2">
        <f t="shared" ca="1" si="3"/>
        <v>26.438036185174894</v>
      </c>
      <c r="R25" s="2">
        <f t="shared" ca="1" si="3"/>
        <v>29.268340551031457</v>
      </c>
      <c r="S25" s="2">
        <f t="shared" ca="1" si="4"/>
        <v>29.768338149707049</v>
      </c>
      <c r="T25" s="2">
        <f t="shared" ca="1" si="4"/>
        <v>31.213534744020595</v>
      </c>
      <c r="U25" s="2">
        <f t="shared" ca="1" si="4"/>
        <v>32.37488121883991</v>
      </c>
      <c r="V25" s="2">
        <f t="shared" ca="1" si="4"/>
        <v>31.304956840602944</v>
      </c>
      <c r="W25" s="2">
        <f t="shared" ca="1" si="4"/>
        <v>32.227749657162946</v>
      </c>
      <c r="X25" s="2">
        <f t="shared" ca="1" si="4"/>
        <v>32.56024733428174</v>
      </c>
      <c r="Y25" s="2">
        <f t="shared" ca="1" si="4"/>
        <v>34.231430461316151</v>
      </c>
      <c r="Z25" s="2">
        <f t="shared" ca="1" si="4"/>
        <v>25.331823797551053</v>
      </c>
      <c r="AA25" s="2">
        <f t="shared" ca="1" si="5"/>
        <v>25.950336361318307</v>
      </c>
      <c r="AB25" s="2">
        <f t="shared" ca="1" si="5"/>
        <v>30.565439573848259</v>
      </c>
      <c r="AC25" s="2">
        <f t="shared" ca="1" si="5"/>
        <v>31.491264121626543</v>
      </c>
      <c r="AD25" s="2">
        <f t="shared" ca="1" si="5"/>
        <v>25.627067471022968</v>
      </c>
      <c r="AE25" s="2">
        <f t="shared" ca="1" si="5"/>
        <v>29.620531415875181</v>
      </c>
      <c r="AF25" s="2">
        <f t="shared" ca="1" si="5"/>
        <v>33.809832352046115</v>
      </c>
      <c r="AG25" s="2">
        <f t="shared" ca="1" si="5"/>
        <v>34.92563955653943</v>
      </c>
      <c r="AH25" s="2">
        <f t="shared" ca="1" si="5"/>
        <v>32.100503025101766</v>
      </c>
    </row>
    <row r="26" spans="1:34">
      <c r="A26" t="str">
        <f t="shared" si="6"/>
        <v>Maize</v>
      </c>
      <c r="B26" t="str">
        <f t="shared" si="7"/>
        <v>Afar</v>
      </c>
      <c r="C26" s="2">
        <f t="shared" ca="1" si="3"/>
        <v>29.889341514573282</v>
      </c>
      <c r="D26" s="2">
        <f t="shared" ca="1" si="3"/>
        <v>27.072071047796765</v>
      </c>
      <c r="E26" s="2">
        <f t="shared" ca="1" si="3"/>
        <v>29.372559134146684</v>
      </c>
      <c r="F26" s="2">
        <f t="shared" ca="1" si="3"/>
        <v>28.360265007111522</v>
      </c>
      <c r="G26" s="2">
        <f t="shared" ca="1" si="3"/>
        <v>25.943964479272303</v>
      </c>
      <c r="H26" s="2">
        <f t="shared" ca="1" si="3"/>
        <v>32.532934002113436</v>
      </c>
      <c r="I26" s="2">
        <f t="shared" ca="1" si="3"/>
        <v>32.157798878862195</v>
      </c>
      <c r="J26" s="2">
        <f t="shared" ca="1" si="3"/>
        <v>26.289285116209037</v>
      </c>
      <c r="K26" s="2">
        <f t="shared" ca="1" si="3"/>
        <v>32.491899064341077</v>
      </c>
      <c r="L26" s="2">
        <f t="shared" ca="1" si="3"/>
        <v>29.290101591921921</v>
      </c>
      <c r="M26" s="2">
        <f t="shared" ca="1" si="3"/>
        <v>27.433982985224294</v>
      </c>
      <c r="N26" s="2">
        <f t="shared" ca="1" si="3"/>
        <v>30.172245189186171</v>
      </c>
      <c r="O26" s="2">
        <f t="shared" ca="1" si="3"/>
        <v>31.909604735603256</v>
      </c>
      <c r="P26" s="2">
        <f t="shared" ca="1" si="3"/>
        <v>25.834320288355975</v>
      </c>
      <c r="Q26" s="2">
        <f t="shared" ca="1" si="3"/>
        <v>29.692153164498801</v>
      </c>
      <c r="R26" s="2">
        <f t="shared" ca="1" si="3"/>
        <v>28.949292541103656</v>
      </c>
      <c r="S26" s="2">
        <f t="shared" ca="1" si="4"/>
        <v>34.204582270378921</v>
      </c>
      <c r="T26" s="2">
        <f t="shared" ca="1" si="4"/>
        <v>30.850128581573554</v>
      </c>
      <c r="U26" s="2">
        <f t="shared" ca="1" si="4"/>
        <v>30.57523654008433</v>
      </c>
      <c r="V26" s="2">
        <f t="shared" ca="1" si="4"/>
        <v>34.354860242839251</v>
      </c>
      <c r="W26" s="2">
        <f t="shared" ca="1" si="4"/>
        <v>29.667566508120444</v>
      </c>
      <c r="X26" s="2">
        <f t="shared" ca="1" si="4"/>
        <v>31.103293502459334</v>
      </c>
      <c r="Y26" s="2">
        <f t="shared" ca="1" si="4"/>
        <v>32.257370237277179</v>
      </c>
      <c r="Z26" s="2">
        <f t="shared" ca="1" si="4"/>
        <v>27.116837268069133</v>
      </c>
      <c r="AA26" s="2">
        <f t="shared" ca="1" si="5"/>
        <v>26.031516116107618</v>
      </c>
      <c r="AB26" s="2">
        <f t="shared" ca="1" si="5"/>
        <v>31.067953167008699</v>
      </c>
      <c r="AC26" s="2">
        <f t="shared" ca="1" si="5"/>
        <v>33.53151377419718</v>
      </c>
      <c r="AD26" s="2">
        <f t="shared" ca="1" si="5"/>
        <v>34.518645001911096</v>
      </c>
      <c r="AE26" s="2">
        <f t="shared" ca="1" si="5"/>
        <v>29.829537792111608</v>
      </c>
      <c r="AF26" s="2">
        <f t="shared" ca="1" si="5"/>
        <v>26.715799517291838</v>
      </c>
      <c r="AG26" s="2">
        <f t="shared" ca="1" si="5"/>
        <v>29.135198037798027</v>
      </c>
      <c r="AH26" s="2">
        <f t="shared" ca="1" si="5"/>
        <v>33.79146624910419</v>
      </c>
    </row>
    <row r="27" spans="1:34">
      <c r="A27" t="str">
        <f t="shared" si="6"/>
        <v>Maize</v>
      </c>
      <c r="B27" t="str">
        <f t="shared" si="7"/>
        <v>Amhara</v>
      </c>
      <c r="C27" s="2">
        <f t="shared" ca="1" si="3"/>
        <v>25.808459614406154</v>
      </c>
      <c r="D27" s="2">
        <f t="shared" ca="1" si="3"/>
        <v>27.043184274846812</v>
      </c>
      <c r="E27" s="2">
        <f t="shared" ca="1" si="3"/>
        <v>30.708772987075498</v>
      </c>
      <c r="F27" s="2">
        <f t="shared" ca="1" si="3"/>
        <v>29.595492904900141</v>
      </c>
      <c r="G27" s="2">
        <f t="shared" ca="1" si="3"/>
        <v>27.827067141668834</v>
      </c>
      <c r="H27" s="2">
        <f t="shared" ca="1" si="3"/>
        <v>33.533429078503175</v>
      </c>
      <c r="I27" s="2">
        <f t="shared" ca="1" si="3"/>
        <v>26.537424907714133</v>
      </c>
      <c r="J27" s="2">
        <f t="shared" ref="J27:Y42" ca="1" si="8">(RAND()*1+2.5)*10</f>
        <v>32.406452920121311</v>
      </c>
      <c r="K27" s="2">
        <f t="shared" ca="1" si="8"/>
        <v>32.667294117328915</v>
      </c>
      <c r="L27" s="2">
        <f t="shared" ca="1" si="8"/>
        <v>28.335314964214113</v>
      </c>
      <c r="M27" s="2">
        <f t="shared" ca="1" si="8"/>
        <v>28.952165096349603</v>
      </c>
      <c r="N27" s="2">
        <f t="shared" ca="1" si="8"/>
        <v>32.397041700196283</v>
      </c>
      <c r="O27" s="2">
        <f t="shared" ca="1" si="8"/>
        <v>33.180308689875282</v>
      </c>
      <c r="P27" s="2">
        <f t="shared" ca="1" si="8"/>
        <v>31.591184290730428</v>
      </c>
      <c r="Q27" s="2">
        <f t="shared" ca="1" si="8"/>
        <v>33.124145480731286</v>
      </c>
      <c r="R27" s="2">
        <f t="shared" ca="1" si="8"/>
        <v>29.302015772328801</v>
      </c>
      <c r="S27" s="2">
        <f t="shared" ca="1" si="8"/>
        <v>31.689015569529694</v>
      </c>
      <c r="T27" s="2">
        <f t="shared" ca="1" si="8"/>
        <v>25.216097639818727</v>
      </c>
      <c r="U27" s="2">
        <f t="shared" ca="1" si="8"/>
        <v>29.295603812952528</v>
      </c>
      <c r="V27" s="2">
        <f t="shared" ca="1" si="8"/>
        <v>34.536094203672732</v>
      </c>
      <c r="W27" s="2">
        <f t="shared" ca="1" si="8"/>
        <v>33.680345934809701</v>
      </c>
      <c r="X27" s="2">
        <f t="shared" ca="1" si="8"/>
        <v>33.041290940887052</v>
      </c>
      <c r="Y27" s="2">
        <f t="shared" ca="1" si="8"/>
        <v>30.691706102447998</v>
      </c>
      <c r="Z27" s="2">
        <f t="shared" ca="1" si="4"/>
        <v>30.630240628614857</v>
      </c>
      <c r="AA27" s="2">
        <f t="shared" ca="1" si="5"/>
        <v>30.244794288568198</v>
      </c>
      <c r="AB27" s="2">
        <f t="shared" ca="1" si="5"/>
        <v>29.465575711020907</v>
      </c>
      <c r="AC27" s="2">
        <f t="shared" ca="1" si="5"/>
        <v>31.713344322463477</v>
      </c>
      <c r="AD27" s="2">
        <f t="shared" ca="1" si="5"/>
        <v>34.734842659214877</v>
      </c>
      <c r="AE27" s="2">
        <f t="shared" ca="1" si="5"/>
        <v>28.164734926847927</v>
      </c>
      <c r="AF27" s="2">
        <f t="shared" ca="1" si="5"/>
        <v>32.274272196310918</v>
      </c>
      <c r="AG27" s="2">
        <f t="shared" ca="1" si="5"/>
        <v>28.79745829530566</v>
      </c>
      <c r="AH27" s="2">
        <f t="shared" ca="1" si="5"/>
        <v>31.235851893455774</v>
      </c>
    </row>
    <row r="28" spans="1:34">
      <c r="A28" t="str">
        <f t="shared" si="6"/>
        <v>Maize</v>
      </c>
      <c r="B28" t="str">
        <f t="shared" si="7"/>
        <v>Gumuz</v>
      </c>
      <c r="C28" s="2">
        <f t="shared" ref="C28:R52" ca="1" si="9">(RAND()*1+2.5)*10</f>
        <v>29.147667039437259</v>
      </c>
      <c r="D28" s="2">
        <f t="shared" ca="1" si="9"/>
        <v>27.814358262630009</v>
      </c>
      <c r="E28" s="2">
        <f t="shared" ca="1" si="9"/>
        <v>34.98510969274426</v>
      </c>
      <c r="F28" s="2">
        <f t="shared" ca="1" si="9"/>
        <v>30.022906349014278</v>
      </c>
      <c r="G28" s="2">
        <f t="shared" ca="1" si="9"/>
        <v>31.082638914968783</v>
      </c>
      <c r="H28" s="2">
        <f t="shared" ca="1" si="9"/>
        <v>29.738095445083019</v>
      </c>
      <c r="I28" s="2">
        <f t="shared" ca="1" si="9"/>
        <v>30.380657607053664</v>
      </c>
      <c r="J28" s="2">
        <f t="shared" ca="1" si="9"/>
        <v>30.780092914179914</v>
      </c>
      <c r="K28" s="2">
        <f t="shared" ca="1" si="9"/>
        <v>32.110688662935331</v>
      </c>
      <c r="L28" s="2">
        <f t="shared" ca="1" si="9"/>
        <v>34.351440138438022</v>
      </c>
      <c r="M28" s="2">
        <f t="shared" ca="1" si="9"/>
        <v>32.190978573575805</v>
      </c>
      <c r="N28" s="2">
        <f t="shared" ca="1" si="9"/>
        <v>28.381147479552887</v>
      </c>
      <c r="O28" s="2">
        <f t="shared" ca="1" si="9"/>
        <v>34.027320287142715</v>
      </c>
      <c r="P28" s="2">
        <f t="shared" ca="1" si="9"/>
        <v>25.382184728002564</v>
      </c>
      <c r="Q28" s="2">
        <f t="shared" ca="1" si="9"/>
        <v>28.535286837089842</v>
      </c>
      <c r="R28" s="2">
        <f t="shared" ca="1" si="9"/>
        <v>28.884788636112692</v>
      </c>
      <c r="S28" s="2">
        <f t="shared" ca="1" si="8"/>
        <v>31.607009709857135</v>
      </c>
      <c r="T28" s="2">
        <f t="shared" ca="1" si="8"/>
        <v>34.036980442717343</v>
      </c>
      <c r="U28" s="2">
        <f t="shared" ca="1" si="8"/>
        <v>26.003341294246468</v>
      </c>
      <c r="V28" s="2">
        <f t="shared" ca="1" si="8"/>
        <v>28.253964891601214</v>
      </c>
      <c r="W28" s="2">
        <f t="shared" ca="1" si="8"/>
        <v>33.530231305367437</v>
      </c>
      <c r="X28" s="2">
        <f t="shared" ca="1" si="8"/>
        <v>33.451964465184844</v>
      </c>
      <c r="Y28" s="2">
        <f t="shared" ca="1" si="8"/>
        <v>33.744977068685252</v>
      </c>
      <c r="Z28" s="2">
        <f t="shared" ca="1" si="4"/>
        <v>27.547517896237814</v>
      </c>
      <c r="AA28" s="2">
        <f t="shared" ca="1" si="5"/>
        <v>25.749407008563409</v>
      </c>
      <c r="AB28" s="2">
        <f t="shared" ca="1" si="5"/>
        <v>30.662818324838685</v>
      </c>
      <c r="AC28" s="2">
        <f t="shared" ca="1" si="5"/>
        <v>34.629663879389774</v>
      </c>
      <c r="AD28" s="2">
        <f t="shared" ca="1" si="5"/>
        <v>30.499110424357028</v>
      </c>
      <c r="AE28" s="2">
        <f t="shared" ca="1" si="5"/>
        <v>25.498961064047499</v>
      </c>
      <c r="AF28" s="2">
        <f t="shared" ca="1" si="5"/>
        <v>30.031457965511944</v>
      </c>
      <c r="AG28" s="2">
        <f t="shared" ca="1" si="5"/>
        <v>31.38120429797166</v>
      </c>
      <c r="AH28" s="2">
        <f t="shared" ca="1" si="5"/>
        <v>33.863327041140529</v>
      </c>
    </row>
    <row r="29" spans="1:34">
      <c r="A29" t="str">
        <f t="shared" si="6"/>
        <v>Maize</v>
      </c>
      <c r="B29" t="str">
        <f t="shared" si="7"/>
        <v>DireDawa</v>
      </c>
      <c r="C29" s="2">
        <f t="shared" ca="1" si="9"/>
        <v>25.209371983245621</v>
      </c>
      <c r="D29" s="2">
        <f t="shared" ca="1" si="9"/>
        <v>34.93637636411237</v>
      </c>
      <c r="E29" s="2">
        <f t="shared" ca="1" si="9"/>
        <v>25.429181464295176</v>
      </c>
      <c r="F29" s="2">
        <f t="shared" ca="1" si="9"/>
        <v>32.60773659935122</v>
      </c>
      <c r="G29" s="2">
        <f t="shared" ca="1" si="9"/>
        <v>26.82912590689671</v>
      </c>
      <c r="H29" s="2">
        <f t="shared" ca="1" si="9"/>
        <v>26.03725180024183</v>
      </c>
      <c r="I29" s="2">
        <f t="shared" ca="1" si="9"/>
        <v>30.996846623989537</v>
      </c>
      <c r="J29" s="2">
        <f t="shared" ca="1" si="9"/>
        <v>34.439925923912249</v>
      </c>
      <c r="K29" s="2">
        <f t="shared" ca="1" si="9"/>
        <v>27.273518369018426</v>
      </c>
      <c r="L29" s="2">
        <f t="shared" ca="1" si="9"/>
        <v>31.80016959196282</v>
      </c>
      <c r="M29" s="2">
        <f t="shared" ca="1" si="9"/>
        <v>30.109751297676588</v>
      </c>
      <c r="N29" s="2">
        <f t="shared" ca="1" si="9"/>
        <v>33.336036613184696</v>
      </c>
      <c r="O29" s="2">
        <f t="shared" ca="1" si="9"/>
        <v>26.520839607128494</v>
      </c>
      <c r="P29" s="2">
        <f t="shared" ca="1" si="9"/>
        <v>31.6315103240448</v>
      </c>
      <c r="Q29" s="2">
        <f t="shared" ca="1" si="9"/>
        <v>31.300658859763292</v>
      </c>
      <c r="R29" s="2">
        <f t="shared" ca="1" si="9"/>
        <v>28.352485955944875</v>
      </c>
      <c r="S29" s="2">
        <f t="shared" ca="1" si="8"/>
        <v>27.976566868805971</v>
      </c>
      <c r="T29" s="2">
        <f t="shared" ca="1" si="8"/>
        <v>25.06252466521067</v>
      </c>
      <c r="U29" s="2">
        <f t="shared" ca="1" si="8"/>
        <v>27.594850924287218</v>
      </c>
      <c r="V29" s="2">
        <f t="shared" ca="1" si="8"/>
        <v>29.211762630133574</v>
      </c>
      <c r="W29" s="2">
        <f t="shared" ca="1" si="8"/>
        <v>27.787924159388911</v>
      </c>
      <c r="X29" s="2">
        <f t="shared" ca="1" si="8"/>
        <v>29.202246454487142</v>
      </c>
      <c r="Y29" s="2">
        <f t="shared" ca="1" si="8"/>
        <v>29.884854679231644</v>
      </c>
      <c r="Z29" s="2">
        <f t="shared" ca="1" si="4"/>
        <v>31.941446677795795</v>
      </c>
      <c r="AA29" s="2">
        <f t="shared" ca="1" si="5"/>
        <v>29.453627768344688</v>
      </c>
      <c r="AB29" s="2">
        <f t="shared" ca="1" si="5"/>
        <v>33.279719996486257</v>
      </c>
      <c r="AC29" s="2">
        <f t="shared" ca="1" si="5"/>
        <v>27.357193013303622</v>
      </c>
      <c r="AD29" s="2">
        <f t="shared" ca="1" si="5"/>
        <v>31.801447551293876</v>
      </c>
      <c r="AE29" s="2">
        <f t="shared" ca="1" si="5"/>
        <v>26.637430727945567</v>
      </c>
      <c r="AF29" s="2">
        <f t="shared" ca="1" si="5"/>
        <v>25.116866136577492</v>
      </c>
      <c r="AG29" s="2">
        <f t="shared" ca="1" si="5"/>
        <v>29.816623372744676</v>
      </c>
      <c r="AH29" s="2">
        <f t="shared" ca="1" si="5"/>
        <v>33.234295412578881</v>
      </c>
    </row>
    <row r="30" spans="1:34">
      <c r="A30" t="str">
        <f t="shared" si="6"/>
        <v>Maize</v>
      </c>
      <c r="B30" t="str">
        <f t="shared" si="7"/>
        <v>Gambela</v>
      </c>
      <c r="C30" s="2">
        <f t="shared" ca="1" si="9"/>
        <v>28.187686410081735</v>
      </c>
      <c r="D30" s="2">
        <f t="shared" ca="1" si="9"/>
        <v>32.017916070979794</v>
      </c>
      <c r="E30" s="2">
        <f t="shared" ca="1" si="9"/>
        <v>27.008010914970747</v>
      </c>
      <c r="F30" s="2">
        <f t="shared" ca="1" si="9"/>
        <v>34.305864682308069</v>
      </c>
      <c r="G30" s="2">
        <f t="shared" ca="1" si="9"/>
        <v>34.186222845286764</v>
      </c>
      <c r="H30" s="2">
        <f t="shared" ca="1" si="9"/>
        <v>27.606565469567084</v>
      </c>
      <c r="I30" s="2">
        <f t="shared" ca="1" si="9"/>
        <v>25.86896482339602</v>
      </c>
      <c r="J30" s="2">
        <f t="shared" ca="1" si="9"/>
        <v>32.995063721776361</v>
      </c>
      <c r="K30" s="2">
        <f t="shared" ca="1" si="9"/>
        <v>25.340244227372661</v>
      </c>
      <c r="L30" s="2">
        <f t="shared" ca="1" si="9"/>
        <v>27.798108225747221</v>
      </c>
      <c r="M30" s="2">
        <f t="shared" ca="1" si="9"/>
        <v>30.791395465795727</v>
      </c>
      <c r="N30" s="2">
        <f t="shared" ca="1" si="9"/>
        <v>25.629236385243384</v>
      </c>
      <c r="O30" s="2">
        <f t="shared" ca="1" si="9"/>
        <v>33.86828630208143</v>
      </c>
      <c r="P30" s="2">
        <f t="shared" ca="1" si="9"/>
        <v>29.700329126244831</v>
      </c>
      <c r="Q30" s="2">
        <f t="shared" ca="1" si="9"/>
        <v>29.535514329969264</v>
      </c>
      <c r="R30" s="2">
        <f t="shared" ca="1" si="9"/>
        <v>28.889783128512299</v>
      </c>
      <c r="S30" s="2">
        <f t="shared" ca="1" si="8"/>
        <v>29.554930007750567</v>
      </c>
      <c r="T30" s="2">
        <f t="shared" ca="1" si="8"/>
        <v>34.382673176530673</v>
      </c>
      <c r="U30" s="2">
        <f t="shared" ca="1" si="8"/>
        <v>30.134930234166632</v>
      </c>
      <c r="V30" s="2">
        <f t="shared" ca="1" si="8"/>
        <v>33.061473945864172</v>
      </c>
      <c r="W30" s="2">
        <f t="shared" ca="1" si="8"/>
        <v>34.483164821007428</v>
      </c>
      <c r="X30" s="2">
        <f t="shared" ca="1" si="8"/>
        <v>28.577092972002681</v>
      </c>
      <c r="Y30" s="2">
        <f t="shared" ca="1" si="8"/>
        <v>26.311411793769576</v>
      </c>
      <c r="Z30" s="2">
        <f t="shared" ca="1" si="4"/>
        <v>31.46600172250853</v>
      </c>
      <c r="AA30" s="2">
        <f t="shared" ca="1" si="5"/>
        <v>32.949991071840678</v>
      </c>
      <c r="AB30" s="2">
        <f t="shared" ca="1" si="5"/>
        <v>31.515589302131893</v>
      </c>
      <c r="AC30" s="2">
        <f t="shared" ca="1" si="5"/>
        <v>28.259400710831489</v>
      </c>
      <c r="AD30" s="2">
        <f t="shared" ca="1" si="5"/>
        <v>33.317041362510558</v>
      </c>
      <c r="AE30" s="2">
        <f t="shared" ca="1" si="5"/>
        <v>34.018787952647394</v>
      </c>
      <c r="AF30" s="2">
        <f t="shared" ca="1" si="5"/>
        <v>25.709278856255612</v>
      </c>
      <c r="AG30" s="2">
        <f t="shared" ca="1" si="5"/>
        <v>31.005459494422478</v>
      </c>
      <c r="AH30" s="2">
        <f t="shared" ca="1" si="5"/>
        <v>29.233291223055254</v>
      </c>
    </row>
    <row r="31" spans="1:34">
      <c r="A31" t="str">
        <f t="shared" si="6"/>
        <v>Maize</v>
      </c>
      <c r="B31" t="str">
        <f t="shared" si="7"/>
        <v>Harari</v>
      </c>
      <c r="C31" s="2">
        <f t="shared" ca="1" si="9"/>
        <v>26.586889427946971</v>
      </c>
      <c r="D31" s="2">
        <f t="shared" ca="1" si="9"/>
        <v>27.894126177255668</v>
      </c>
      <c r="E31" s="2">
        <f t="shared" ca="1" si="9"/>
        <v>25.578400888119248</v>
      </c>
      <c r="F31" s="2">
        <f t="shared" ca="1" si="9"/>
        <v>25.036841907263074</v>
      </c>
      <c r="G31" s="2">
        <f t="shared" ca="1" si="9"/>
        <v>25.685498299630858</v>
      </c>
      <c r="H31" s="2">
        <f t="shared" ca="1" si="9"/>
        <v>32.79189330150831</v>
      </c>
      <c r="I31" s="2">
        <f t="shared" ca="1" si="9"/>
        <v>26.347370476635664</v>
      </c>
      <c r="J31" s="2">
        <f t="shared" ca="1" si="9"/>
        <v>33.768895754121644</v>
      </c>
      <c r="K31" s="2">
        <f t="shared" ca="1" si="9"/>
        <v>33.097145794556411</v>
      </c>
      <c r="L31" s="2">
        <f t="shared" ca="1" si="9"/>
        <v>26.999848274966872</v>
      </c>
      <c r="M31" s="2">
        <f t="shared" ca="1" si="9"/>
        <v>27.362213732222553</v>
      </c>
      <c r="N31" s="2">
        <f t="shared" ca="1" si="9"/>
        <v>29.819552662545522</v>
      </c>
      <c r="O31" s="2">
        <f t="shared" ca="1" si="9"/>
        <v>30.017528796074082</v>
      </c>
      <c r="P31" s="2">
        <f t="shared" ca="1" si="9"/>
        <v>27.801471776080987</v>
      </c>
      <c r="Q31" s="2">
        <f t="shared" ca="1" si="9"/>
        <v>31.542972494916558</v>
      </c>
      <c r="R31" s="2">
        <f t="shared" ca="1" si="9"/>
        <v>34.980049517634207</v>
      </c>
      <c r="S31" s="2">
        <f t="shared" ca="1" si="8"/>
        <v>25.244465471090763</v>
      </c>
      <c r="T31" s="2">
        <f t="shared" ca="1" si="8"/>
        <v>26.836209009743747</v>
      </c>
      <c r="U31" s="2">
        <f t="shared" ca="1" si="8"/>
        <v>26.753713310780995</v>
      </c>
      <c r="V31" s="2">
        <f t="shared" ca="1" si="8"/>
        <v>26.6213948926111</v>
      </c>
      <c r="W31" s="2">
        <f t="shared" ca="1" si="8"/>
        <v>33.349597743904205</v>
      </c>
      <c r="X31" s="2">
        <f t="shared" ca="1" si="8"/>
        <v>27.394465370939937</v>
      </c>
      <c r="Y31" s="2">
        <f t="shared" ca="1" si="8"/>
        <v>30.63951387345567</v>
      </c>
      <c r="Z31" s="2">
        <f t="shared" ca="1" si="4"/>
        <v>26.491069664851356</v>
      </c>
      <c r="AA31" s="2">
        <f t="shared" ca="1" si="5"/>
        <v>25.165444481114147</v>
      </c>
      <c r="AB31" s="2">
        <f t="shared" ca="1" si="5"/>
        <v>31.878405739302693</v>
      </c>
      <c r="AC31" s="2">
        <f t="shared" ca="1" si="5"/>
        <v>32.534284381167559</v>
      </c>
      <c r="AD31" s="2">
        <f t="shared" ca="1" si="5"/>
        <v>26.493445213807959</v>
      </c>
      <c r="AE31" s="2">
        <f t="shared" ca="1" si="5"/>
        <v>34.388870810411476</v>
      </c>
      <c r="AF31" s="2">
        <f t="shared" ca="1" si="5"/>
        <v>33.641819866967928</v>
      </c>
      <c r="AG31" s="2">
        <f t="shared" ca="1" si="5"/>
        <v>28.341149115124615</v>
      </c>
      <c r="AH31" s="2">
        <f t="shared" ca="1" si="5"/>
        <v>27.203925936639148</v>
      </c>
    </row>
    <row r="32" spans="1:34">
      <c r="A32" t="str">
        <f t="shared" si="6"/>
        <v>Maize</v>
      </c>
      <c r="B32" t="str">
        <f t="shared" si="7"/>
        <v>Oromia</v>
      </c>
      <c r="C32" s="2">
        <f t="shared" ca="1" si="9"/>
        <v>31.127434245236788</v>
      </c>
      <c r="D32" s="2">
        <f t="shared" ca="1" si="9"/>
        <v>27.741796622605989</v>
      </c>
      <c r="E32" s="2">
        <f t="shared" ca="1" si="9"/>
        <v>31.75190789341471</v>
      </c>
      <c r="F32" s="2">
        <f t="shared" ca="1" si="9"/>
        <v>25.064454551563191</v>
      </c>
      <c r="G32" s="2">
        <f t="shared" ca="1" si="9"/>
        <v>33.459545099270009</v>
      </c>
      <c r="H32" s="2">
        <f t="shared" ca="1" si="9"/>
        <v>34.077561659946085</v>
      </c>
      <c r="I32" s="2">
        <f t="shared" ca="1" si="9"/>
        <v>25.31075678013795</v>
      </c>
      <c r="J32" s="2">
        <f t="shared" ca="1" si="9"/>
        <v>28.89634543767551</v>
      </c>
      <c r="K32" s="2">
        <f t="shared" ca="1" si="9"/>
        <v>27.804062529687734</v>
      </c>
      <c r="L32" s="2">
        <f t="shared" ca="1" si="9"/>
        <v>29.860119798736541</v>
      </c>
      <c r="M32" s="2">
        <f t="shared" ca="1" si="9"/>
        <v>28.546431281050136</v>
      </c>
      <c r="N32" s="2">
        <f t="shared" ca="1" si="9"/>
        <v>32.526144825785103</v>
      </c>
      <c r="O32" s="2">
        <f t="shared" ca="1" si="9"/>
        <v>28.802494703876242</v>
      </c>
      <c r="P32" s="2">
        <f t="shared" ca="1" si="9"/>
        <v>31.253351998450206</v>
      </c>
      <c r="Q32" s="2">
        <f t="shared" ca="1" si="9"/>
        <v>28.231080744690548</v>
      </c>
      <c r="R32" s="2">
        <f t="shared" ca="1" si="9"/>
        <v>27.735917498147423</v>
      </c>
      <c r="S32" s="2">
        <f t="shared" ca="1" si="8"/>
        <v>28.440629912693552</v>
      </c>
      <c r="T32" s="2">
        <f t="shared" ca="1" si="8"/>
        <v>32.58217328659245</v>
      </c>
      <c r="U32" s="2">
        <f t="shared" ca="1" si="8"/>
        <v>34.922490289621699</v>
      </c>
      <c r="V32" s="2">
        <f t="shared" ca="1" si="8"/>
        <v>31.853252688603856</v>
      </c>
      <c r="W32" s="2">
        <f t="shared" ca="1" si="8"/>
        <v>28.235344720719972</v>
      </c>
      <c r="X32" s="2">
        <f t="shared" ca="1" si="8"/>
        <v>25.992734490365446</v>
      </c>
      <c r="Y32" s="2">
        <f t="shared" ca="1" si="8"/>
        <v>29.483615309564385</v>
      </c>
      <c r="Z32" s="2">
        <f t="shared" ca="1" si="4"/>
        <v>33.160428067920279</v>
      </c>
      <c r="AA32" s="2">
        <f t="shared" ca="1" si="5"/>
        <v>30.691678486513212</v>
      </c>
      <c r="AB32" s="2">
        <f t="shared" ca="1" si="5"/>
        <v>27.201066265804585</v>
      </c>
      <c r="AC32" s="2">
        <f t="shared" ca="1" si="5"/>
        <v>26.857640511164522</v>
      </c>
      <c r="AD32" s="2">
        <f t="shared" ca="1" si="5"/>
        <v>27.415953964180517</v>
      </c>
      <c r="AE32" s="2">
        <f t="shared" ca="1" si="5"/>
        <v>26.889003500344188</v>
      </c>
      <c r="AF32" s="2">
        <f t="shared" ca="1" si="5"/>
        <v>30.364723265588513</v>
      </c>
      <c r="AG32" s="2">
        <f t="shared" ca="1" si="5"/>
        <v>29.059082327912627</v>
      </c>
      <c r="AH32" s="2">
        <f t="shared" ca="1" si="5"/>
        <v>32.823194237737816</v>
      </c>
    </row>
    <row r="33" spans="1:34">
      <c r="A33" t="str">
        <f t="shared" si="6"/>
        <v>Maize</v>
      </c>
      <c r="B33" t="str">
        <f t="shared" si="7"/>
        <v>Somali</v>
      </c>
      <c r="C33" s="2">
        <f t="shared" ca="1" si="9"/>
        <v>31.688543009723304</v>
      </c>
      <c r="D33" s="2">
        <f t="shared" ca="1" si="9"/>
        <v>34.273461464025658</v>
      </c>
      <c r="E33" s="2">
        <f t="shared" ca="1" si="9"/>
        <v>29.780944867004248</v>
      </c>
      <c r="F33" s="2">
        <f t="shared" ca="1" si="9"/>
        <v>30.15976881979487</v>
      </c>
      <c r="G33" s="2">
        <f t="shared" ca="1" si="9"/>
        <v>25.260098490881457</v>
      </c>
      <c r="H33" s="2">
        <f t="shared" ca="1" si="9"/>
        <v>29.493113457181607</v>
      </c>
      <c r="I33" s="2">
        <f t="shared" ca="1" si="9"/>
        <v>30.867905060501538</v>
      </c>
      <c r="J33" s="2">
        <f t="shared" ca="1" si="9"/>
        <v>28.245461372071752</v>
      </c>
      <c r="K33" s="2">
        <f t="shared" ca="1" si="9"/>
        <v>34.525073322548401</v>
      </c>
      <c r="L33" s="2">
        <f t="shared" ca="1" si="9"/>
        <v>33.02657409653073</v>
      </c>
      <c r="M33" s="2">
        <f t="shared" ca="1" si="9"/>
        <v>31.712501937391568</v>
      </c>
      <c r="N33" s="2">
        <f t="shared" ca="1" si="9"/>
        <v>31.710271768685558</v>
      </c>
      <c r="O33" s="2">
        <f t="shared" ca="1" si="9"/>
        <v>34.409154700997135</v>
      </c>
      <c r="P33" s="2">
        <f t="shared" ca="1" si="9"/>
        <v>32.596474258293455</v>
      </c>
      <c r="Q33" s="2">
        <f t="shared" ca="1" si="9"/>
        <v>27.294821315259799</v>
      </c>
      <c r="R33" s="2">
        <f t="shared" ca="1" si="9"/>
        <v>27.587481656165092</v>
      </c>
      <c r="S33" s="2">
        <f t="shared" ca="1" si="8"/>
        <v>28.842067055386732</v>
      </c>
      <c r="T33" s="2">
        <f t="shared" ca="1" si="8"/>
        <v>34.356826182604678</v>
      </c>
      <c r="U33" s="2">
        <f t="shared" ca="1" si="8"/>
        <v>29.317746607458801</v>
      </c>
      <c r="V33" s="2">
        <f t="shared" ca="1" si="8"/>
        <v>28.872137861716737</v>
      </c>
      <c r="W33" s="2">
        <f t="shared" ca="1" si="8"/>
        <v>33.411780789161824</v>
      </c>
      <c r="X33" s="2">
        <f t="shared" ca="1" si="8"/>
        <v>32.336699096299853</v>
      </c>
      <c r="Y33" s="2">
        <f t="shared" ca="1" si="8"/>
        <v>27.643522643633389</v>
      </c>
      <c r="Z33" s="2">
        <f t="shared" ca="1" si="4"/>
        <v>25.412538164989805</v>
      </c>
      <c r="AA33" s="2">
        <f t="shared" ca="1" si="5"/>
        <v>33.540595893407847</v>
      </c>
      <c r="AB33" s="2">
        <f t="shared" ca="1" si="5"/>
        <v>29.364172217534176</v>
      </c>
      <c r="AC33" s="2">
        <f t="shared" ca="1" si="5"/>
        <v>27.650175514036789</v>
      </c>
      <c r="AD33" s="2">
        <f t="shared" ca="1" si="5"/>
        <v>29.944352466596207</v>
      </c>
      <c r="AE33" s="2">
        <f t="shared" ca="1" si="5"/>
        <v>29.474691730469242</v>
      </c>
      <c r="AF33" s="2">
        <f t="shared" ca="1" si="5"/>
        <v>34.739342960070132</v>
      </c>
      <c r="AG33" s="2">
        <f t="shared" ca="1" si="5"/>
        <v>27.389207854727623</v>
      </c>
      <c r="AH33" s="2">
        <f t="shared" ca="1" si="5"/>
        <v>28.818127536358546</v>
      </c>
    </row>
    <row r="34" spans="1:34">
      <c r="A34" t="str">
        <f t="shared" si="6"/>
        <v>Maize</v>
      </c>
      <c r="B34" t="str">
        <f t="shared" si="7"/>
        <v>SNNPR</v>
      </c>
      <c r="C34" s="2">
        <f t="shared" ca="1" si="9"/>
        <v>28.139017270567976</v>
      </c>
      <c r="D34" s="2">
        <f t="shared" ca="1" si="9"/>
        <v>31.145665691037294</v>
      </c>
      <c r="E34" s="2">
        <f t="shared" ca="1" si="9"/>
        <v>30.132261403149194</v>
      </c>
      <c r="F34" s="2">
        <f t="shared" ca="1" si="9"/>
        <v>34.556556155797658</v>
      </c>
      <c r="G34" s="2">
        <f t="shared" ca="1" si="9"/>
        <v>29.598051078040992</v>
      </c>
      <c r="H34" s="2">
        <f t="shared" ca="1" si="9"/>
        <v>32.319398360083454</v>
      </c>
      <c r="I34" s="2">
        <f t="shared" ca="1" si="9"/>
        <v>26.502795728163598</v>
      </c>
      <c r="J34" s="2">
        <f t="shared" ca="1" si="9"/>
        <v>31.386071525730273</v>
      </c>
      <c r="K34" s="2">
        <f t="shared" ca="1" si="9"/>
        <v>28.310388442371739</v>
      </c>
      <c r="L34" s="2">
        <f t="shared" ca="1" si="9"/>
        <v>26.305184909356356</v>
      </c>
      <c r="M34" s="2">
        <f t="shared" ca="1" si="9"/>
        <v>28.642049365286869</v>
      </c>
      <c r="N34" s="2">
        <f t="shared" ca="1" si="9"/>
        <v>30.183589933995229</v>
      </c>
      <c r="O34" s="2">
        <f t="shared" ca="1" si="9"/>
        <v>29.932878765000915</v>
      </c>
      <c r="P34" s="2">
        <f t="shared" ca="1" si="9"/>
        <v>33.591320004552756</v>
      </c>
      <c r="Q34" s="2">
        <f t="shared" ca="1" si="9"/>
        <v>33.074686708002112</v>
      </c>
      <c r="R34" s="2">
        <f t="shared" ca="1" si="9"/>
        <v>29.989450380650098</v>
      </c>
      <c r="S34" s="2">
        <f t="shared" ca="1" si="8"/>
        <v>31.536385866445951</v>
      </c>
      <c r="T34" s="2">
        <f t="shared" ca="1" si="8"/>
        <v>33.213974108596467</v>
      </c>
      <c r="U34" s="2">
        <f t="shared" ca="1" si="8"/>
        <v>29.390176365744686</v>
      </c>
      <c r="V34" s="2">
        <f t="shared" ca="1" si="8"/>
        <v>32.261985448478889</v>
      </c>
      <c r="W34" s="2">
        <f t="shared" ca="1" si="8"/>
        <v>30.413792458089013</v>
      </c>
      <c r="X34" s="2">
        <f t="shared" ca="1" si="8"/>
        <v>31.630645762114931</v>
      </c>
      <c r="Y34" s="2">
        <f t="shared" ca="1" si="8"/>
        <v>30.346166259684921</v>
      </c>
      <c r="Z34" s="2">
        <f t="shared" ca="1" si="4"/>
        <v>28.958879491780003</v>
      </c>
      <c r="AA34" s="2">
        <f t="shared" ca="1" si="5"/>
        <v>31.531168705393139</v>
      </c>
      <c r="AB34" s="2">
        <f t="shared" ca="1" si="5"/>
        <v>25.235128106151031</v>
      </c>
      <c r="AC34" s="2">
        <f t="shared" ca="1" si="5"/>
        <v>30.849584383279101</v>
      </c>
      <c r="AD34" s="2">
        <f t="shared" ca="1" si="5"/>
        <v>27.658983190320736</v>
      </c>
      <c r="AE34" s="2">
        <f t="shared" ca="1" si="5"/>
        <v>27.535907215447626</v>
      </c>
      <c r="AF34" s="2">
        <f t="shared" ca="1" si="5"/>
        <v>33.66956038045668</v>
      </c>
      <c r="AG34" s="2">
        <f t="shared" ca="1" si="5"/>
        <v>26.698848427512178</v>
      </c>
      <c r="AH34" s="2">
        <f t="shared" ca="1" si="5"/>
        <v>25.856571320626102</v>
      </c>
    </row>
    <row r="35" spans="1:34">
      <c r="A35" t="str">
        <f t="shared" si="6"/>
        <v>Maize</v>
      </c>
      <c r="B35" t="str">
        <f t="shared" si="7"/>
        <v>Tigray</v>
      </c>
      <c r="C35" s="2">
        <f t="shared" ca="1" si="9"/>
        <v>33.062700329807207</v>
      </c>
      <c r="D35" s="2">
        <f t="shared" ca="1" si="9"/>
        <v>25.131323649750286</v>
      </c>
      <c r="E35" s="2">
        <f t="shared" ca="1" si="9"/>
        <v>26.758466528147274</v>
      </c>
      <c r="F35" s="2">
        <f t="shared" ca="1" si="9"/>
        <v>29.875941023629153</v>
      </c>
      <c r="G35" s="2">
        <f t="shared" ca="1" si="9"/>
        <v>29.266684532390727</v>
      </c>
      <c r="H35" s="2">
        <f t="shared" ca="1" si="9"/>
        <v>33.276439202174871</v>
      </c>
      <c r="I35" s="2">
        <f t="shared" ca="1" si="9"/>
        <v>29.333724366333879</v>
      </c>
      <c r="J35" s="2">
        <f t="shared" ca="1" si="9"/>
        <v>32.643380140041494</v>
      </c>
      <c r="K35" s="2">
        <f t="shared" ca="1" si="9"/>
        <v>28.227823968951903</v>
      </c>
      <c r="L35" s="2">
        <f t="shared" ca="1" si="9"/>
        <v>32.87055351768953</v>
      </c>
      <c r="M35" s="2">
        <f t="shared" ca="1" si="9"/>
        <v>30.713277721069122</v>
      </c>
      <c r="N35" s="2">
        <f t="shared" ca="1" si="9"/>
        <v>28.971906563670061</v>
      </c>
      <c r="O35" s="2">
        <f t="shared" ca="1" si="9"/>
        <v>26.51746124359077</v>
      </c>
      <c r="P35" s="2">
        <f t="shared" ca="1" si="9"/>
        <v>31.927010415226121</v>
      </c>
      <c r="Q35" s="2">
        <f t="shared" ca="1" si="9"/>
        <v>33.04815862136924</v>
      </c>
      <c r="R35" s="2">
        <f t="shared" ca="1" si="9"/>
        <v>27.939743408060739</v>
      </c>
      <c r="S35" s="2">
        <f t="shared" ca="1" si="8"/>
        <v>26.057231222474936</v>
      </c>
      <c r="T35" s="2">
        <f t="shared" ca="1" si="8"/>
        <v>33.627906130715679</v>
      </c>
      <c r="U35" s="2">
        <f t="shared" ca="1" si="8"/>
        <v>34.67182410836871</v>
      </c>
      <c r="V35" s="2">
        <f t="shared" ca="1" si="8"/>
        <v>30.761674372319558</v>
      </c>
      <c r="W35" s="2">
        <f t="shared" ca="1" si="8"/>
        <v>31.823625257321588</v>
      </c>
      <c r="X35" s="2">
        <f t="shared" ca="1" si="8"/>
        <v>29.077708818715102</v>
      </c>
      <c r="Y35" s="2">
        <f t="shared" ca="1" si="8"/>
        <v>25.040122163102218</v>
      </c>
      <c r="Z35" s="2">
        <f t="shared" ca="1" si="4"/>
        <v>34.153349200297697</v>
      </c>
      <c r="AA35" s="2">
        <f t="shared" ca="1" si="5"/>
        <v>33.418680945264413</v>
      </c>
      <c r="AB35" s="2">
        <f t="shared" ca="1" si="5"/>
        <v>26.130011056704589</v>
      </c>
      <c r="AC35" s="2">
        <f t="shared" ca="1" si="5"/>
        <v>28.734008824950884</v>
      </c>
      <c r="AD35" s="2">
        <f t="shared" ca="1" si="5"/>
        <v>26.327007492270795</v>
      </c>
      <c r="AE35" s="2">
        <f t="shared" ca="1" si="5"/>
        <v>31.19099947541546</v>
      </c>
      <c r="AF35" s="2">
        <f t="shared" ca="1" si="5"/>
        <v>28.353881926553754</v>
      </c>
      <c r="AG35" s="2">
        <f t="shared" ca="1" si="5"/>
        <v>27.194308150657683</v>
      </c>
      <c r="AH35" s="2">
        <f t="shared" ca="1" si="5"/>
        <v>26.843643392845586</v>
      </c>
    </row>
    <row r="36" spans="1:34">
      <c r="A36" t="str">
        <f t="shared" si="6"/>
        <v>Lentils</v>
      </c>
      <c r="B36" t="str">
        <f t="shared" si="7"/>
        <v>AddisAbaba</v>
      </c>
      <c r="C36" s="2">
        <f t="shared" ca="1" si="9"/>
        <v>28.83728528951594</v>
      </c>
      <c r="D36" s="2">
        <f t="shared" ca="1" si="9"/>
        <v>32.119487664200783</v>
      </c>
      <c r="E36" s="2">
        <f t="shared" ca="1" si="9"/>
        <v>28.844962970824163</v>
      </c>
      <c r="F36" s="2">
        <f t="shared" ca="1" si="9"/>
        <v>27.306396289876464</v>
      </c>
      <c r="G36" s="2">
        <f t="shared" ca="1" si="9"/>
        <v>28.354511969077336</v>
      </c>
      <c r="H36" s="2">
        <f t="shared" ca="1" si="9"/>
        <v>32.692388673064691</v>
      </c>
      <c r="I36" s="2">
        <f t="shared" ca="1" si="9"/>
        <v>25.583125126667031</v>
      </c>
      <c r="J36" s="2">
        <f t="shared" ca="1" si="9"/>
        <v>25.225779402433499</v>
      </c>
      <c r="K36" s="2">
        <f t="shared" ca="1" si="9"/>
        <v>28.989111728654208</v>
      </c>
      <c r="L36" s="2">
        <f t="shared" ca="1" si="9"/>
        <v>31.762231577545947</v>
      </c>
      <c r="M36" s="2">
        <f t="shared" ca="1" si="9"/>
        <v>33.979175043755589</v>
      </c>
      <c r="N36" s="2">
        <f t="shared" ca="1" si="9"/>
        <v>27.512546711852515</v>
      </c>
      <c r="O36" s="2">
        <f t="shared" ca="1" si="9"/>
        <v>29.592379299075112</v>
      </c>
      <c r="P36" s="2">
        <f t="shared" ca="1" si="9"/>
        <v>28.064937642096339</v>
      </c>
      <c r="Q36" s="2">
        <f t="shared" ca="1" si="9"/>
        <v>34.988777754922594</v>
      </c>
      <c r="R36" s="2">
        <f t="shared" ca="1" si="9"/>
        <v>28.526198440319028</v>
      </c>
      <c r="S36" s="2">
        <f t="shared" ca="1" si="8"/>
        <v>28.203072683113135</v>
      </c>
      <c r="T36" s="2">
        <f t="shared" ca="1" si="8"/>
        <v>30.505745342614354</v>
      </c>
      <c r="U36" s="2">
        <f t="shared" ca="1" si="8"/>
        <v>25.407466447748369</v>
      </c>
      <c r="V36" s="2">
        <f t="shared" ca="1" si="8"/>
        <v>29.782095270706954</v>
      </c>
      <c r="W36" s="2">
        <f t="shared" ca="1" si="8"/>
        <v>32.776619408635568</v>
      </c>
      <c r="X36" s="2">
        <f t="shared" ca="1" si="8"/>
        <v>31.958268745591631</v>
      </c>
      <c r="Y36" s="2">
        <f t="shared" ca="1" si="8"/>
        <v>25.720258076992554</v>
      </c>
      <c r="Z36" s="2">
        <f t="shared" ca="1" si="4"/>
        <v>33.010096900794153</v>
      </c>
      <c r="AA36" s="2">
        <f t="shared" ca="1" si="5"/>
        <v>33.393415658360809</v>
      </c>
      <c r="AB36" s="2">
        <f t="shared" ca="1" si="5"/>
        <v>34.627418227786521</v>
      </c>
      <c r="AC36" s="2">
        <f t="shared" ca="1" si="5"/>
        <v>34.160285150702855</v>
      </c>
      <c r="AD36" s="2">
        <f t="shared" ca="1" si="5"/>
        <v>33.996113674132985</v>
      </c>
      <c r="AE36" s="2">
        <f t="shared" ca="1" si="5"/>
        <v>34.168353816688068</v>
      </c>
      <c r="AF36" s="2">
        <f t="shared" ca="1" si="5"/>
        <v>34.929369485383994</v>
      </c>
      <c r="AG36" s="2">
        <f t="shared" ca="1" si="5"/>
        <v>30.2096261419738</v>
      </c>
      <c r="AH36" s="2">
        <f t="shared" ca="1" si="5"/>
        <v>26.281312919287743</v>
      </c>
    </row>
    <row r="37" spans="1:34">
      <c r="A37" t="str">
        <f t="shared" si="6"/>
        <v>Lentils</v>
      </c>
      <c r="B37" t="str">
        <f t="shared" si="7"/>
        <v>Afar</v>
      </c>
      <c r="C37" s="2">
        <f t="shared" ca="1" si="9"/>
        <v>33.164057033658587</v>
      </c>
      <c r="D37" s="2">
        <f t="shared" ca="1" si="9"/>
        <v>25.197979925519121</v>
      </c>
      <c r="E37" s="2">
        <f t="shared" ca="1" si="9"/>
        <v>27.088224686980737</v>
      </c>
      <c r="F37" s="2">
        <f t="shared" ca="1" si="9"/>
        <v>32.938473974132172</v>
      </c>
      <c r="G37" s="2">
        <f t="shared" ca="1" si="9"/>
        <v>33.333984207052175</v>
      </c>
      <c r="H37" s="2">
        <f t="shared" ca="1" si="9"/>
        <v>27.565534369447281</v>
      </c>
      <c r="I37" s="2">
        <f t="shared" ca="1" si="9"/>
        <v>28.172189910556355</v>
      </c>
      <c r="J37" s="2">
        <f t="shared" ca="1" si="9"/>
        <v>32.158941353067135</v>
      </c>
      <c r="K37" s="2">
        <f t="shared" ca="1" si="9"/>
        <v>28.817996067717075</v>
      </c>
      <c r="L37" s="2">
        <f t="shared" ca="1" si="9"/>
        <v>33.893298846252449</v>
      </c>
      <c r="M37" s="2">
        <f t="shared" ca="1" si="9"/>
        <v>27.493084788685771</v>
      </c>
      <c r="N37" s="2">
        <f t="shared" ca="1" si="9"/>
        <v>26.458072440333638</v>
      </c>
      <c r="O37" s="2">
        <f t="shared" ca="1" si="9"/>
        <v>28.249837090940026</v>
      </c>
      <c r="P37" s="2">
        <f t="shared" ca="1" si="9"/>
        <v>27.782199992741432</v>
      </c>
      <c r="Q37" s="2">
        <f t="shared" ca="1" si="9"/>
        <v>26.851838618360233</v>
      </c>
      <c r="R37" s="2">
        <f t="shared" ca="1" si="9"/>
        <v>31.049310781429618</v>
      </c>
      <c r="S37" s="2">
        <f t="shared" ca="1" si="8"/>
        <v>31.918838852643372</v>
      </c>
      <c r="T37" s="2">
        <f t="shared" ca="1" si="8"/>
        <v>29.492341418183017</v>
      </c>
      <c r="U37" s="2">
        <f t="shared" ca="1" si="8"/>
        <v>30.860513357910158</v>
      </c>
      <c r="V37" s="2">
        <f t="shared" ca="1" si="8"/>
        <v>29.062013575966709</v>
      </c>
      <c r="W37" s="2">
        <f t="shared" ca="1" si="8"/>
        <v>26.957991763157811</v>
      </c>
      <c r="X37" s="2">
        <f t="shared" ca="1" si="8"/>
        <v>26.313243159576047</v>
      </c>
      <c r="Y37" s="2">
        <f t="shared" ca="1" si="8"/>
        <v>26.680623609677223</v>
      </c>
      <c r="Z37" s="2">
        <f t="shared" ca="1" si="4"/>
        <v>26.999285796885196</v>
      </c>
      <c r="AA37" s="2">
        <f t="shared" ca="1" si="5"/>
        <v>33.429120603601213</v>
      </c>
      <c r="AB37" s="2">
        <f t="shared" ca="1" si="5"/>
        <v>32.53220999091333</v>
      </c>
      <c r="AC37" s="2">
        <f t="shared" ca="1" si="5"/>
        <v>31.203079891516204</v>
      </c>
      <c r="AD37" s="2">
        <f t="shared" ca="1" si="5"/>
        <v>34.032242710143912</v>
      </c>
      <c r="AE37" s="2">
        <f t="shared" ca="1" si="5"/>
        <v>32.075862439361948</v>
      </c>
      <c r="AF37" s="2">
        <f t="shared" ca="1" si="5"/>
        <v>30.950699675521026</v>
      </c>
      <c r="AG37" s="2">
        <f t="shared" ca="1" si="5"/>
        <v>33.934823963273658</v>
      </c>
      <c r="AH37" s="2">
        <f t="shared" ca="1" si="5"/>
        <v>28.173274628952399</v>
      </c>
    </row>
    <row r="38" spans="1:34">
      <c r="A38" t="str">
        <f t="shared" si="6"/>
        <v>Lentils</v>
      </c>
      <c r="B38" t="str">
        <f t="shared" si="7"/>
        <v>Amhara</v>
      </c>
      <c r="C38" s="2">
        <f t="shared" ca="1" si="9"/>
        <v>27.372188222964873</v>
      </c>
      <c r="D38" s="2">
        <f t="shared" ca="1" si="9"/>
        <v>32.244638901485075</v>
      </c>
      <c r="E38" s="2">
        <f t="shared" ca="1" si="9"/>
        <v>30.749936580230454</v>
      </c>
      <c r="F38" s="2">
        <f t="shared" ca="1" si="9"/>
        <v>25.755944174302179</v>
      </c>
      <c r="G38" s="2">
        <f t="shared" ca="1" si="9"/>
        <v>27.146297358266427</v>
      </c>
      <c r="H38" s="2">
        <f t="shared" ca="1" si="9"/>
        <v>27.993421024644437</v>
      </c>
      <c r="I38" s="2">
        <f t="shared" ca="1" si="9"/>
        <v>25.681627415427208</v>
      </c>
      <c r="J38" s="2">
        <f t="shared" ca="1" si="9"/>
        <v>34.015819151284887</v>
      </c>
      <c r="K38" s="2">
        <f t="shared" ca="1" si="9"/>
        <v>26.751615647798118</v>
      </c>
      <c r="L38" s="2">
        <f t="shared" ca="1" si="9"/>
        <v>32.730390480976091</v>
      </c>
      <c r="M38" s="2">
        <f t="shared" ca="1" si="9"/>
        <v>29.379345457100492</v>
      </c>
      <c r="N38" s="2">
        <f t="shared" ca="1" si="9"/>
        <v>26.279973741224563</v>
      </c>
      <c r="O38" s="2">
        <f t="shared" ca="1" si="9"/>
        <v>25.140840266480261</v>
      </c>
      <c r="P38" s="2">
        <f t="shared" ca="1" si="9"/>
        <v>26.20397053776405</v>
      </c>
      <c r="Q38" s="2">
        <f t="shared" ca="1" si="9"/>
        <v>25.169963697741963</v>
      </c>
      <c r="R38" s="2">
        <f t="shared" ca="1" si="9"/>
        <v>31.557265120991286</v>
      </c>
      <c r="S38" s="2">
        <f t="shared" ca="1" si="8"/>
        <v>25.192032775661652</v>
      </c>
      <c r="T38" s="2">
        <f t="shared" ca="1" si="8"/>
        <v>26.372003370990736</v>
      </c>
      <c r="U38" s="2">
        <f t="shared" ca="1" si="8"/>
        <v>25.277270265307191</v>
      </c>
      <c r="V38" s="2">
        <f t="shared" ca="1" si="8"/>
        <v>25.89878759412035</v>
      </c>
      <c r="W38" s="2">
        <f t="shared" ca="1" si="8"/>
        <v>30.137622174240594</v>
      </c>
      <c r="X38" s="2">
        <f t="shared" ca="1" si="8"/>
        <v>32.694226754955395</v>
      </c>
      <c r="Y38" s="2">
        <f t="shared" ca="1" si="8"/>
        <v>31.406908830329527</v>
      </c>
      <c r="Z38" s="2">
        <f t="shared" ca="1" si="4"/>
        <v>28.883921615221958</v>
      </c>
      <c r="AA38" s="2">
        <f t="shared" ca="1" si="5"/>
        <v>29.105829236985954</v>
      </c>
      <c r="AB38" s="2">
        <f t="shared" ca="1" si="5"/>
        <v>25.004909280489642</v>
      </c>
      <c r="AC38" s="2">
        <f t="shared" ca="1" si="5"/>
        <v>30.507136200052489</v>
      </c>
      <c r="AD38" s="2">
        <f t="shared" ca="1" si="5"/>
        <v>33.77961366102199</v>
      </c>
      <c r="AE38" s="2">
        <f t="shared" ca="1" si="5"/>
        <v>32.663624849770684</v>
      </c>
      <c r="AF38" s="2">
        <f t="shared" ca="1" si="5"/>
        <v>28.121069704030944</v>
      </c>
      <c r="AG38" s="2">
        <f t="shared" ca="1" si="5"/>
        <v>30.765521457027134</v>
      </c>
      <c r="AH38" s="2">
        <f t="shared" ca="1" si="5"/>
        <v>32.556232232642884</v>
      </c>
    </row>
    <row r="39" spans="1:34">
      <c r="A39" t="str">
        <f t="shared" si="6"/>
        <v>Lentils</v>
      </c>
      <c r="B39" t="str">
        <f t="shared" si="7"/>
        <v>Gumuz</v>
      </c>
      <c r="C39" s="2">
        <f t="shared" ca="1" si="9"/>
        <v>26.521579812338345</v>
      </c>
      <c r="D39" s="2">
        <f t="shared" ca="1" si="9"/>
        <v>29.937993498520612</v>
      </c>
      <c r="E39" s="2">
        <f t="shared" ca="1" si="9"/>
        <v>34.688274317904849</v>
      </c>
      <c r="F39" s="2">
        <f t="shared" ca="1" si="9"/>
        <v>25.083261690719269</v>
      </c>
      <c r="G39" s="2">
        <f t="shared" ca="1" si="9"/>
        <v>26.184475565369517</v>
      </c>
      <c r="H39" s="2">
        <f t="shared" ca="1" si="9"/>
        <v>28.693668583017761</v>
      </c>
      <c r="I39" s="2">
        <f t="shared" ca="1" si="9"/>
        <v>32.364033380146516</v>
      </c>
      <c r="J39" s="2">
        <f t="shared" ca="1" si="9"/>
        <v>30.645188060558318</v>
      </c>
      <c r="K39" s="2">
        <f t="shared" ca="1" si="9"/>
        <v>32.92255947224065</v>
      </c>
      <c r="L39" s="2">
        <f t="shared" ca="1" si="9"/>
        <v>32.069372609029287</v>
      </c>
      <c r="M39" s="2">
        <f t="shared" ca="1" si="9"/>
        <v>32.010471939759249</v>
      </c>
      <c r="N39" s="2">
        <f t="shared" ca="1" si="9"/>
        <v>30.86785031004171</v>
      </c>
      <c r="O39" s="2">
        <f t="shared" ca="1" si="9"/>
        <v>31.136396996482965</v>
      </c>
      <c r="P39" s="2">
        <f t="shared" ca="1" si="9"/>
        <v>26.104940287952843</v>
      </c>
      <c r="Q39" s="2">
        <f t="shared" ca="1" si="9"/>
        <v>31.860215808473434</v>
      </c>
      <c r="R39" s="2">
        <f t="shared" ca="1" si="9"/>
        <v>26.968431324081802</v>
      </c>
      <c r="S39" s="2">
        <f t="shared" ca="1" si="8"/>
        <v>33.885158803175642</v>
      </c>
      <c r="T39" s="2">
        <f t="shared" ca="1" si="8"/>
        <v>27.166211923071408</v>
      </c>
      <c r="U39" s="2">
        <f t="shared" ca="1" si="8"/>
        <v>26.134451199877866</v>
      </c>
      <c r="V39" s="2">
        <f t="shared" ca="1" si="8"/>
        <v>28.499782641420847</v>
      </c>
      <c r="W39" s="2">
        <f t="shared" ca="1" si="8"/>
        <v>29.819836623409124</v>
      </c>
      <c r="X39" s="2">
        <f t="shared" ca="1" si="8"/>
        <v>31.329624906530764</v>
      </c>
      <c r="Y39" s="2">
        <f t="shared" ca="1" si="8"/>
        <v>31.504221399523985</v>
      </c>
      <c r="Z39" s="2">
        <f t="shared" ca="1" si="4"/>
        <v>31.9024076095439</v>
      </c>
      <c r="AA39" s="2">
        <f t="shared" ca="1" si="5"/>
        <v>30.468103684728192</v>
      </c>
      <c r="AB39" s="2">
        <f t="shared" ca="1" si="5"/>
        <v>25.726215645508475</v>
      </c>
      <c r="AC39" s="2">
        <f t="shared" ca="1" si="5"/>
        <v>26.751365862958366</v>
      </c>
      <c r="AD39" s="2">
        <f t="shared" ca="1" si="5"/>
        <v>32.942153846741746</v>
      </c>
      <c r="AE39" s="2">
        <f t="shared" ca="1" si="5"/>
        <v>27.035663164211687</v>
      </c>
      <c r="AF39" s="2">
        <f t="shared" ca="1" si="5"/>
        <v>25.043922930097814</v>
      </c>
      <c r="AG39" s="2">
        <f t="shared" ca="1" si="5"/>
        <v>31.970220250378503</v>
      </c>
      <c r="AH39" s="2">
        <f t="shared" ca="1" si="5"/>
        <v>25.622134754134628</v>
      </c>
    </row>
    <row r="40" spans="1:34">
      <c r="A40" t="str">
        <f t="shared" si="6"/>
        <v>Lentils</v>
      </c>
      <c r="B40" t="str">
        <f t="shared" si="7"/>
        <v>DireDawa</v>
      </c>
      <c r="C40" s="2">
        <f t="shared" ca="1" si="9"/>
        <v>28.196365003143864</v>
      </c>
      <c r="D40" s="2">
        <f t="shared" ca="1" si="9"/>
        <v>30.195276899305629</v>
      </c>
      <c r="E40" s="2">
        <f t="shared" ca="1" si="9"/>
        <v>34.83674270353341</v>
      </c>
      <c r="F40" s="2">
        <f t="shared" ca="1" si="9"/>
        <v>34.529765384689824</v>
      </c>
      <c r="G40" s="2">
        <f t="shared" ca="1" si="9"/>
        <v>32.932664305639804</v>
      </c>
      <c r="H40" s="2">
        <f t="shared" ca="1" si="9"/>
        <v>30.557233320374223</v>
      </c>
      <c r="I40" s="2">
        <f t="shared" ca="1" si="9"/>
        <v>27.477527833199499</v>
      </c>
      <c r="J40" s="2">
        <f t="shared" ca="1" si="9"/>
        <v>27.034799089176211</v>
      </c>
      <c r="K40" s="2">
        <f t="shared" ca="1" si="9"/>
        <v>29.744059426323403</v>
      </c>
      <c r="L40" s="2">
        <f t="shared" ca="1" si="9"/>
        <v>33.840530746082401</v>
      </c>
      <c r="M40" s="2">
        <f t="shared" ca="1" si="9"/>
        <v>29.326424238207562</v>
      </c>
      <c r="N40" s="2">
        <f t="shared" ca="1" si="9"/>
        <v>31.444030259882009</v>
      </c>
      <c r="O40" s="2">
        <f t="shared" ca="1" si="9"/>
        <v>28.267878519161815</v>
      </c>
      <c r="P40" s="2">
        <f t="shared" ca="1" si="9"/>
        <v>34.414123305231847</v>
      </c>
      <c r="Q40" s="2">
        <f t="shared" ca="1" si="9"/>
        <v>29.201044913202566</v>
      </c>
      <c r="R40" s="2">
        <f t="shared" ca="1" si="9"/>
        <v>33.484262131772809</v>
      </c>
      <c r="S40" s="2">
        <f t="shared" ca="1" si="8"/>
        <v>30.256899658311298</v>
      </c>
      <c r="T40" s="2">
        <f t="shared" ca="1" si="8"/>
        <v>29.725344598341067</v>
      </c>
      <c r="U40" s="2">
        <f t="shared" ca="1" si="8"/>
        <v>29.278145803897822</v>
      </c>
      <c r="V40" s="2">
        <f t="shared" ca="1" si="8"/>
        <v>29.52874566392612</v>
      </c>
      <c r="W40" s="2">
        <f t="shared" ca="1" si="8"/>
        <v>28.092844481840338</v>
      </c>
      <c r="X40" s="2">
        <f t="shared" ca="1" si="8"/>
        <v>31.672777939523638</v>
      </c>
      <c r="Y40" s="2">
        <f t="shared" ca="1" si="8"/>
        <v>31.464316107060281</v>
      </c>
      <c r="Z40" s="2">
        <f t="shared" ca="1" si="4"/>
        <v>32.332267933917343</v>
      </c>
      <c r="AA40" s="2">
        <f t="shared" ca="1" si="5"/>
        <v>34.052881387822829</v>
      </c>
      <c r="AB40" s="2">
        <f t="shared" ca="1" si="5"/>
        <v>27.802026440096999</v>
      </c>
      <c r="AC40" s="2">
        <f t="shared" ca="1" si="5"/>
        <v>34.734016506657696</v>
      </c>
      <c r="AD40" s="2">
        <f t="shared" ca="1" si="5"/>
        <v>27.341801848049883</v>
      </c>
      <c r="AE40" s="2">
        <f t="shared" ca="1" si="5"/>
        <v>33.38364199444954</v>
      </c>
      <c r="AF40" s="2">
        <f t="shared" ca="1" si="5"/>
        <v>31.754251468265551</v>
      </c>
      <c r="AG40" s="2">
        <f t="shared" ca="1" si="5"/>
        <v>25.674152460900935</v>
      </c>
      <c r="AH40" s="2">
        <f t="shared" ca="1" si="5"/>
        <v>28.118078082357258</v>
      </c>
    </row>
    <row r="41" spans="1:34">
      <c r="A41" t="str">
        <f t="shared" si="6"/>
        <v>Lentils</v>
      </c>
      <c r="B41" t="str">
        <f t="shared" si="7"/>
        <v>Gambela</v>
      </c>
      <c r="C41" s="2">
        <f t="shared" ca="1" si="9"/>
        <v>26.6756350468088</v>
      </c>
      <c r="D41" s="2">
        <f t="shared" ca="1" si="9"/>
        <v>32.93623844010768</v>
      </c>
      <c r="E41" s="2">
        <f t="shared" ca="1" si="9"/>
        <v>28.614959632574323</v>
      </c>
      <c r="F41" s="2">
        <f t="shared" ca="1" si="9"/>
        <v>32.024600969055051</v>
      </c>
      <c r="G41" s="2">
        <f t="shared" ca="1" si="9"/>
        <v>29.868816760804258</v>
      </c>
      <c r="H41" s="2">
        <f t="shared" ca="1" si="9"/>
        <v>29.422241049584457</v>
      </c>
      <c r="I41" s="2">
        <f t="shared" ca="1" si="9"/>
        <v>28.257746429815057</v>
      </c>
      <c r="J41" s="2">
        <f t="shared" ca="1" si="9"/>
        <v>26.230005624926775</v>
      </c>
      <c r="K41" s="2">
        <f t="shared" ca="1" si="9"/>
        <v>34.504316325791649</v>
      </c>
      <c r="L41" s="2">
        <f t="shared" ca="1" si="9"/>
        <v>30.691501294745972</v>
      </c>
      <c r="M41" s="2">
        <f t="shared" ca="1" si="9"/>
        <v>30.871756011417727</v>
      </c>
      <c r="N41" s="2">
        <f t="shared" ca="1" si="9"/>
        <v>32.435638714247062</v>
      </c>
      <c r="O41" s="2">
        <f t="shared" ca="1" si="9"/>
        <v>26.975419411370702</v>
      </c>
      <c r="P41" s="2">
        <f t="shared" ca="1" si="9"/>
        <v>26.28460507523965</v>
      </c>
      <c r="Q41" s="2">
        <f t="shared" ca="1" si="9"/>
        <v>28.856330401217832</v>
      </c>
      <c r="R41" s="2">
        <f t="shared" ca="1" si="9"/>
        <v>27.451611578673933</v>
      </c>
      <c r="S41" s="2">
        <f t="shared" ca="1" si="8"/>
        <v>34.372169666541133</v>
      </c>
      <c r="T41" s="2">
        <f t="shared" ca="1" si="8"/>
        <v>31.239884706425997</v>
      </c>
      <c r="U41" s="2">
        <f t="shared" ca="1" si="8"/>
        <v>34.428857573785223</v>
      </c>
      <c r="V41" s="2">
        <f t="shared" ca="1" si="8"/>
        <v>30.220683577491915</v>
      </c>
      <c r="W41" s="2">
        <f t="shared" ca="1" si="8"/>
        <v>25.133265748944464</v>
      </c>
      <c r="X41" s="2">
        <f t="shared" ca="1" si="8"/>
        <v>28.345006667705817</v>
      </c>
      <c r="Y41" s="2">
        <f t="shared" ca="1" si="8"/>
        <v>30.242064056927877</v>
      </c>
      <c r="Z41" s="2">
        <f t="shared" ca="1" si="4"/>
        <v>33.463701140192022</v>
      </c>
      <c r="AA41" s="2">
        <f t="shared" ca="1" si="5"/>
        <v>34.278028833403063</v>
      </c>
      <c r="AB41" s="2">
        <f t="shared" ca="1" si="5"/>
        <v>27.182205592709735</v>
      </c>
      <c r="AC41" s="2">
        <f t="shared" ca="1" si="5"/>
        <v>30.762139059359104</v>
      </c>
      <c r="AD41" s="2">
        <f t="shared" ca="1" si="5"/>
        <v>30.704217097663253</v>
      </c>
      <c r="AE41" s="2">
        <f t="shared" ca="1" si="5"/>
        <v>29.328867788444214</v>
      </c>
      <c r="AF41" s="2">
        <f t="shared" ca="1" si="5"/>
        <v>27.046862738746583</v>
      </c>
      <c r="AG41" s="2">
        <f t="shared" ca="1" si="5"/>
        <v>31.507430569605532</v>
      </c>
      <c r="AH41" s="2">
        <f t="shared" ca="1" si="5"/>
        <v>25.359170731649378</v>
      </c>
    </row>
    <row r="42" spans="1:34">
      <c r="A42" t="str">
        <f t="shared" si="6"/>
        <v>Lentils</v>
      </c>
      <c r="B42" t="str">
        <f t="shared" si="7"/>
        <v>Harari</v>
      </c>
      <c r="C42" s="2">
        <f t="shared" ca="1" si="9"/>
        <v>27.334303000363672</v>
      </c>
      <c r="D42" s="2">
        <f t="shared" ca="1" si="9"/>
        <v>28.620601935356813</v>
      </c>
      <c r="E42" s="2">
        <f t="shared" ca="1" si="9"/>
        <v>29.387423475744392</v>
      </c>
      <c r="F42" s="2">
        <f t="shared" ca="1" si="9"/>
        <v>31.971792674672706</v>
      </c>
      <c r="G42" s="2">
        <f t="shared" ca="1" si="9"/>
        <v>26.834519619077135</v>
      </c>
      <c r="H42" s="2">
        <f t="shared" ca="1" si="9"/>
        <v>33.981614200500744</v>
      </c>
      <c r="I42" s="2">
        <f t="shared" ca="1" si="9"/>
        <v>31.964695485223707</v>
      </c>
      <c r="J42" s="2">
        <f t="shared" ca="1" si="9"/>
        <v>33.764485112555413</v>
      </c>
      <c r="K42" s="2">
        <f t="shared" ca="1" si="9"/>
        <v>25.913121958387446</v>
      </c>
      <c r="L42" s="2">
        <f t="shared" ca="1" si="9"/>
        <v>26.26993301764832</v>
      </c>
      <c r="M42" s="2">
        <f t="shared" ca="1" si="9"/>
        <v>33.520618823110254</v>
      </c>
      <c r="N42" s="2">
        <f t="shared" ca="1" si="9"/>
        <v>31.907387931661439</v>
      </c>
      <c r="O42" s="2">
        <f t="shared" ca="1" si="9"/>
        <v>31.491669012430201</v>
      </c>
      <c r="P42" s="2">
        <f t="shared" ca="1" si="9"/>
        <v>26.824240115638396</v>
      </c>
      <c r="Q42" s="2">
        <f t="shared" ca="1" si="9"/>
        <v>34.201428501248358</v>
      </c>
      <c r="R42" s="2">
        <f t="shared" ca="1" si="9"/>
        <v>27.403586600810677</v>
      </c>
      <c r="S42" s="2">
        <f t="shared" ca="1" si="8"/>
        <v>32.656377582101584</v>
      </c>
      <c r="T42" s="2">
        <f t="shared" ca="1" si="8"/>
        <v>25.575679310940153</v>
      </c>
      <c r="U42" s="2">
        <f t="shared" ca="1" si="8"/>
        <v>30.413653453380377</v>
      </c>
      <c r="V42" s="2">
        <f t="shared" ca="1" si="8"/>
        <v>30.740334265063879</v>
      </c>
      <c r="W42" s="2">
        <f t="shared" ca="1" si="8"/>
        <v>30.056204421290424</v>
      </c>
      <c r="X42" s="2">
        <f t="shared" ca="1" si="8"/>
        <v>28.289819244368278</v>
      </c>
      <c r="Y42" s="2">
        <f t="shared" ca="1" si="8"/>
        <v>29.405190155846455</v>
      </c>
      <c r="Z42" s="2">
        <f t="shared" ca="1" si="4"/>
        <v>25.177898796523792</v>
      </c>
      <c r="AA42" s="2">
        <f t="shared" ca="1" si="5"/>
        <v>27.383302733036551</v>
      </c>
      <c r="AB42" s="2">
        <f t="shared" ca="1" si="5"/>
        <v>32.371560952173112</v>
      </c>
      <c r="AC42" s="2">
        <f t="shared" ca="1" si="5"/>
        <v>33.113798143440093</v>
      </c>
      <c r="AD42" s="2">
        <f t="shared" ca="1" si="5"/>
        <v>25.486714997644675</v>
      </c>
      <c r="AE42" s="2">
        <f t="shared" ca="1" si="5"/>
        <v>30.516417658055843</v>
      </c>
      <c r="AF42" s="2">
        <f t="shared" ca="1" si="5"/>
        <v>26.24742207089934</v>
      </c>
      <c r="AG42" s="2">
        <f t="shared" ca="1" si="5"/>
        <v>33.244499920065437</v>
      </c>
      <c r="AH42" s="2">
        <f t="shared" ref="D42:AH51" ca="1" si="10">(RAND()*1+2.5)*10</f>
        <v>26.441924357933914</v>
      </c>
    </row>
    <row r="43" spans="1:34">
      <c r="A43" t="str">
        <f t="shared" si="6"/>
        <v>Lentils</v>
      </c>
      <c r="B43" t="str">
        <f t="shared" si="7"/>
        <v>Oromia</v>
      </c>
      <c r="C43" s="2">
        <f t="shared" ca="1" si="9"/>
        <v>32.227008548917311</v>
      </c>
      <c r="D43" s="2">
        <f t="shared" ca="1" si="10"/>
        <v>25.496605952152724</v>
      </c>
      <c r="E43" s="2">
        <f t="shared" ca="1" si="10"/>
        <v>28.284427177866483</v>
      </c>
      <c r="F43" s="2">
        <f t="shared" ca="1" si="10"/>
        <v>30.091678737513142</v>
      </c>
      <c r="G43" s="2">
        <f t="shared" ca="1" si="10"/>
        <v>33.668924035566775</v>
      </c>
      <c r="H43" s="2">
        <f t="shared" ca="1" si="10"/>
        <v>27.788564456564725</v>
      </c>
      <c r="I43" s="2">
        <f t="shared" ca="1" si="10"/>
        <v>33.297928457138411</v>
      </c>
      <c r="J43" s="2">
        <f t="shared" ca="1" si="10"/>
        <v>29.517332879066672</v>
      </c>
      <c r="K43" s="2">
        <f t="shared" ca="1" si="10"/>
        <v>31.56159911148988</v>
      </c>
      <c r="L43" s="2">
        <f t="shared" ca="1" si="10"/>
        <v>34.772803735791776</v>
      </c>
      <c r="M43" s="2">
        <f t="shared" ca="1" si="10"/>
        <v>27.297500583552448</v>
      </c>
      <c r="N43" s="2">
        <f t="shared" ca="1" si="10"/>
        <v>30.078759420192753</v>
      </c>
      <c r="O43" s="2">
        <f t="shared" ca="1" si="10"/>
        <v>32.789281986520017</v>
      </c>
      <c r="P43" s="2">
        <f t="shared" ca="1" si="10"/>
        <v>28.016507005378877</v>
      </c>
      <c r="Q43" s="2">
        <f t="shared" ca="1" si="10"/>
        <v>31.201661609181794</v>
      </c>
      <c r="R43" s="2">
        <f t="shared" ca="1" si="10"/>
        <v>26.626631485215668</v>
      </c>
      <c r="S43" s="2">
        <f t="shared" ca="1" si="10"/>
        <v>33.878158713597422</v>
      </c>
      <c r="T43" s="2">
        <f t="shared" ca="1" si="10"/>
        <v>29.46333545948783</v>
      </c>
      <c r="U43" s="2">
        <f t="shared" ca="1" si="10"/>
        <v>29.482036914232381</v>
      </c>
      <c r="V43" s="2">
        <f t="shared" ca="1" si="10"/>
        <v>34.847745834910327</v>
      </c>
      <c r="W43" s="2">
        <f t="shared" ca="1" si="10"/>
        <v>27.77812172034799</v>
      </c>
      <c r="X43" s="2">
        <f t="shared" ca="1" si="10"/>
        <v>32.408421552607663</v>
      </c>
      <c r="Y43" s="2">
        <f t="shared" ca="1" si="10"/>
        <v>32.398472423235113</v>
      </c>
      <c r="Z43" s="2">
        <f t="shared" ca="1" si="10"/>
        <v>34.981002529756246</v>
      </c>
      <c r="AA43" s="2">
        <f t="shared" ca="1" si="10"/>
        <v>28.759277246472479</v>
      </c>
      <c r="AB43" s="2">
        <f t="shared" ca="1" si="10"/>
        <v>27.716971113927073</v>
      </c>
      <c r="AC43" s="2">
        <f t="shared" ca="1" si="10"/>
        <v>27.124219040697454</v>
      </c>
      <c r="AD43" s="2">
        <f t="shared" ca="1" si="10"/>
        <v>27.58271786445615</v>
      </c>
      <c r="AE43" s="2">
        <f t="shared" ca="1" si="10"/>
        <v>29.111800526953928</v>
      </c>
      <c r="AF43" s="2">
        <f t="shared" ca="1" si="10"/>
        <v>30.565512938859687</v>
      </c>
      <c r="AG43" s="2">
        <f t="shared" ca="1" si="10"/>
        <v>32.68571056640009</v>
      </c>
      <c r="AH43" s="2">
        <f t="shared" ca="1" si="10"/>
        <v>27.921127385703052</v>
      </c>
    </row>
    <row r="44" spans="1:34">
      <c r="A44" t="str">
        <f t="shared" si="6"/>
        <v>Lentils</v>
      </c>
      <c r="B44" t="str">
        <f t="shared" si="7"/>
        <v>Somali</v>
      </c>
      <c r="C44" s="2">
        <f t="shared" ca="1" si="9"/>
        <v>34.844156022657941</v>
      </c>
      <c r="D44" s="2">
        <f t="shared" ca="1" si="10"/>
        <v>30.036884983697533</v>
      </c>
      <c r="E44" s="2">
        <f t="shared" ca="1" si="10"/>
        <v>29.779643396397763</v>
      </c>
      <c r="F44" s="2">
        <f t="shared" ca="1" si="10"/>
        <v>27.737241118675087</v>
      </c>
      <c r="G44" s="2">
        <f t="shared" ca="1" si="10"/>
        <v>32.003567884947913</v>
      </c>
      <c r="H44" s="2">
        <f t="shared" ca="1" si="10"/>
        <v>30.678112544929718</v>
      </c>
      <c r="I44" s="2">
        <f t="shared" ca="1" si="10"/>
        <v>29.079877221833677</v>
      </c>
      <c r="J44" s="2">
        <f t="shared" ca="1" si="10"/>
        <v>28.013963722087375</v>
      </c>
      <c r="K44" s="2">
        <f t="shared" ca="1" si="10"/>
        <v>27.362966249178129</v>
      </c>
      <c r="L44" s="2">
        <f t="shared" ca="1" si="10"/>
        <v>32.601666497696769</v>
      </c>
      <c r="M44" s="2">
        <f t="shared" ca="1" si="10"/>
        <v>31.083473024675232</v>
      </c>
      <c r="N44" s="2">
        <f t="shared" ca="1" si="10"/>
        <v>27.088399363513759</v>
      </c>
      <c r="O44" s="2">
        <f t="shared" ca="1" si="10"/>
        <v>29.950625033756456</v>
      </c>
      <c r="P44" s="2">
        <f t="shared" ca="1" si="10"/>
        <v>28.307345686869407</v>
      </c>
      <c r="Q44" s="2">
        <f t="shared" ca="1" si="10"/>
        <v>31.936932135876756</v>
      </c>
      <c r="R44" s="2">
        <f t="shared" ca="1" si="10"/>
        <v>34.561369170784864</v>
      </c>
      <c r="S44" s="2">
        <f t="shared" ca="1" si="10"/>
        <v>32.951531875171064</v>
      </c>
      <c r="T44" s="2">
        <f t="shared" ca="1" si="10"/>
        <v>34.131454770752413</v>
      </c>
      <c r="U44" s="2">
        <f t="shared" ca="1" si="10"/>
        <v>26.248450660275896</v>
      </c>
      <c r="V44" s="2">
        <f t="shared" ca="1" si="10"/>
        <v>25.03206861543655</v>
      </c>
      <c r="W44" s="2">
        <f t="shared" ca="1" si="10"/>
        <v>34.254668983207075</v>
      </c>
      <c r="X44" s="2">
        <f t="shared" ca="1" si="10"/>
        <v>33.748442002198772</v>
      </c>
      <c r="Y44" s="2">
        <f t="shared" ca="1" si="10"/>
        <v>34.838562744455487</v>
      </c>
      <c r="Z44" s="2">
        <f t="shared" ca="1" si="10"/>
        <v>26.287429491179903</v>
      </c>
      <c r="AA44" s="2">
        <f t="shared" ca="1" si="10"/>
        <v>27.962863366465676</v>
      </c>
      <c r="AB44" s="2">
        <f t="shared" ca="1" si="10"/>
        <v>25.99399412216437</v>
      </c>
      <c r="AC44" s="2">
        <f t="shared" ca="1" si="10"/>
        <v>31.449833458248353</v>
      </c>
      <c r="AD44" s="2">
        <f t="shared" ca="1" si="10"/>
        <v>32.19645515633384</v>
      </c>
      <c r="AE44" s="2">
        <f t="shared" ca="1" si="10"/>
        <v>33.291649176160398</v>
      </c>
      <c r="AF44" s="2">
        <f t="shared" ca="1" si="10"/>
        <v>27.300981885134092</v>
      </c>
      <c r="AG44" s="2">
        <f t="shared" ca="1" si="10"/>
        <v>27.790023729209985</v>
      </c>
      <c r="AH44" s="2">
        <f t="shared" ca="1" si="10"/>
        <v>28.646108983394981</v>
      </c>
    </row>
    <row r="45" spans="1:34">
      <c r="A45" t="str">
        <f t="shared" si="6"/>
        <v>Lentils</v>
      </c>
      <c r="B45" t="str">
        <f t="shared" si="7"/>
        <v>SNNPR</v>
      </c>
      <c r="C45" s="2">
        <f t="shared" ca="1" si="9"/>
        <v>28.623223860739813</v>
      </c>
      <c r="D45" s="2">
        <f t="shared" ca="1" si="10"/>
        <v>34.935295963871617</v>
      </c>
      <c r="E45" s="2">
        <f t="shared" ca="1" si="10"/>
        <v>26.291652079103763</v>
      </c>
      <c r="F45" s="2">
        <f t="shared" ca="1" si="10"/>
        <v>28.799314826197289</v>
      </c>
      <c r="G45" s="2">
        <f t="shared" ca="1" si="10"/>
        <v>27.772583954328212</v>
      </c>
      <c r="H45" s="2">
        <f t="shared" ca="1" si="10"/>
        <v>26.975023745863524</v>
      </c>
      <c r="I45" s="2">
        <f t="shared" ca="1" si="10"/>
        <v>31.446296576820018</v>
      </c>
      <c r="J45" s="2">
        <f t="shared" ca="1" si="10"/>
        <v>25.188149702690975</v>
      </c>
      <c r="K45" s="2">
        <f t="shared" ca="1" si="10"/>
        <v>34.116861430787758</v>
      </c>
      <c r="L45" s="2">
        <f t="shared" ca="1" si="10"/>
        <v>30.665959352922563</v>
      </c>
      <c r="M45" s="2">
        <f t="shared" ca="1" si="10"/>
        <v>32.111930401714076</v>
      </c>
      <c r="N45" s="2">
        <f t="shared" ca="1" si="10"/>
        <v>34.55478935665483</v>
      </c>
      <c r="O45" s="2">
        <f t="shared" ca="1" si="10"/>
        <v>26.516965688376093</v>
      </c>
      <c r="P45" s="2">
        <f t="shared" ca="1" si="10"/>
        <v>31.552225517375767</v>
      </c>
      <c r="Q45" s="2">
        <f t="shared" ca="1" si="10"/>
        <v>31.334382864945319</v>
      </c>
      <c r="R45" s="2">
        <f t="shared" ca="1" si="10"/>
        <v>31.14171144623235</v>
      </c>
      <c r="S45" s="2">
        <f t="shared" ca="1" si="10"/>
        <v>34.822359460354129</v>
      </c>
      <c r="T45" s="2">
        <f t="shared" ca="1" si="10"/>
        <v>34.43986221125791</v>
      </c>
      <c r="U45" s="2">
        <f t="shared" ca="1" si="10"/>
        <v>31.674369184944165</v>
      </c>
      <c r="V45" s="2">
        <f t="shared" ca="1" si="10"/>
        <v>25.37897478712334</v>
      </c>
      <c r="W45" s="2">
        <f t="shared" ca="1" si="10"/>
        <v>31.643359209178648</v>
      </c>
      <c r="X45" s="2">
        <f t="shared" ca="1" si="10"/>
        <v>28.710026513823461</v>
      </c>
      <c r="Y45" s="2">
        <f t="shared" ca="1" si="10"/>
        <v>25.492927634604783</v>
      </c>
      <c r="Z45" s="2">
        <f t="shared" ca="1" si="10"/>
        <v>30.324600482153805</v>
      </c>
      <c r="AA45" s="2">
        <f t="shared" ca="1" si="10"/>
        <v>32.096738082189844</v>
      </c>
      <c r="AB45" s="2">
        <f t="shared" ca="1" si="10"/>
        <v>32.573924468487441</v>
      </c>
      <c r="AC45" s="2">
        <f t="shared" ca="1" si="10"/>
        <v>29.869398556559908</v>
      </c>
      <c r="AD45" s="2">
        <f t="shared" ca="1" si="10"/>
        <v>29.969942375812867</v>
      </c>
      <c r="AE45" s="2">
        <f t="shared" ca="1" si="10"/>
        <v>29.173619663554579</v>
      </c>
      <c r="AF45" s="2">
        <f t="shared" ca="1" si="10"/>
        <v>30.246576445124425</v>
      </c>
      <c r="AG45" s="2">
        <f t="shared" ca="1" si="10"/>
        <v>32.148937839688827</v>
      </c>
      <c r="AH45" s="2">
        <f t="shared" ca="1" si="10"/>
        <v>25.736331847948076</v>
      </c>
    </row>
    <row r="46" spans="1:34">
      <c r="A46" t="str">
        <f t="shared" si="6"/>
        <v>Lentils</v>
      </c>
      <c r="B46" t="str">
        <f t="shared" si="7"/>
        <v>Tigray</v>
      </c>
      <c r="C46" s="2">
        <f t="shared" ca="1" si="9"/>
        <v>26.057496779759131</v>
      </c>
      <c r="D46" s="2">
        <f t="shared" ca="1" si="10"/>
        <v>34.359624768890022</v>
      </c>
      <c r="E46" s="2">
        <f t="shared" ca="1" si="10"/>
        <v>32.663601190386927</v>
      </c>
      <c r="F46" s="2">
        <f t="shared" ca="1" si="10"/>
        <v>27.580083544793705</v>
      </c>
      <c r="G46" s="2">
        <f t="shared" ca="1" si="10"/>
        <v>33.573842006607023</v>
      </c>
      <c r="H46" s="2">
        <f t="shared" ca="1" si="10"/>
        <v>28.7320532579858</v>
      </c>
      <c r="I46" s="2">
        <f t="shared" ca="1" si="10"/>
        <v>28.571454441255785</v>
      </c>
      <c r="J46" s="2">
        <f t="shared" ca="1" si="10"/>
        <v>26.293475750328671</v>
      </c>
      <c r="K46" s="2">
        <f t="shared" ca="1" si="10"/>
        <v>33.250174659163562</v>
      </c>
      <c r="L46" s="2">
        <f t="shared" ca="1" si="10"/>
        <v>26.137651304026122</v>
      </c>
      <c r="M46" s="2">
        <f t="shared" ca="1" si="10"/>
        <v>26.275420859834163</v>
      </c>
      <c r="N46" s="2">
        <f t="shared" ca="1" si="10"/>
        <v>29.108833656854209</v>
      </c>
      <c r="O46" s="2">
        <f t="shared" ca="1" si="10"/>
        <v>27.50122512451447</v>
      </c>
      <c r="P46" s="2">
        <f t="shared" ca="1" si="10"/>
        <v>34.096243259078413</v>
      </c>
      <c r="Q46" s="2">
        <f t="shared" ca="1" si="10"/>
        <v>30.821026806445111</v>
      </c>
      <c r="R46" s="2">
        <f t="shared" ca="1" si="10"/>
        <v>26.053715044728047</v>
      </c>
      <c r="S46" s="2">
        <f t="shared" ca="1" si="10"/>
        <v>32.256764283970718</v>
      </c>
      <c r="T46" s="2">
        <f t="shared" ca="1" si="10"/>
        <v>31.521383560931284</v>
      </c>
      <c r="U46" s="2">
        <f t="shared" ca="1" si="10"/>
        <v>33.456419792705844</v>
      </c>
      <c r="V46" s="2">
        <f t="shared" ca="1" si="10"/>
        <v>31.641351726162036</v>
      </c>
      <c r="W46" s="2">
        <f t="shared" ca="1" si="10"/>
        <v>27.889175939763057</v>
      </c>
      <c r="X46" s="2">
        <f t="shared" ca="1" si="10"/>
        <v>29.814144470378437</v>
      </c>
      <c r="Y46" s="2">
        <f t="shared" ca="1" si="10"/>
        <v>29.10371662594028</v>
      </c>
      <c r="Z46" s="2">
        <f t="shared" ca="1" si="10"/>
        <v>25.954504315441067</v>
      </c>
      <c r="AA46" s="2">
        <f t="shared" ca="1" si="10"/>
        <v>32.37348639203293</v>
      </c>
      <c r="AB46" s="2">
        <f t="shared" ca="1" si="10"/>
        <v>28.374718011999143</v>
      </c>
      <c r="AC46" s="2">
        <f t="shared" ca="1" si="10"/>
        <v>29.201687071946964</v>
      </c>
      <c r="AD46" s="2">
        <f t="shared" ca="1" si="10"/>
        <v>26.342861379330348</v>
      </c>
      <c r="AE46" s="2">
        <f t="shared" ca="1" si="10"/>
        <v>27.061830292858037</v>
      </c>
      <c r="AF46" s="2">
        <f t="shared" ca="1" si="10"/>
        <v>34.981082786343649</v>
      </c>
      <c r="AG46" s="2">
        <f t="shared" ca="1" si="10"/>
        <v>28.845036353922833</v>
      </c>
      <c r="AH46" s="2">
        <f t="shared" ca="1" si="10"/>
        <v>32.757209656290989</v>
      </c>
    </row>
    <row r="47" spans="1:34">
      <c r="A47" t="str">
        <f t="shared" si="6"/>
        <v>Vegetables</v>
      </c>
      <c r="B47" t="str">
        <f t="shared" si="7"/>
        <v>AddisAbaba</v>
      </c>
      <c r="C47" s="2">
        <f t="shared" ca="1" si="9"/>
        <v>31.743962486618642</v>
      </c>
      <c r="D47" s="2">
        <f t="shared" ca="1" si="10"/>
        <v>33.021043516810082</v>
      </c>
      <c r="E47" s="2">
        <f t="shared" ca="1" si="10"/>
        <v>25.800029520811442</v>
      </c>
      <c r="F47" s="2">
        <f t="shared" ca="1" si="10"/>
        <v>27.990690740831301</v>
      </c>
      <c r="G47" s="2">
        <f t="shared" ca="1" si="10"/>
        <v>30.501472393498496</v>
      </c>
      <c r="H47" s="2">
        <f t="shared" ca="1" si="10"/>
        <v>28.901216361164476</v>
      </c>
      <c r="I47" s="2">
        <f t="shared" ca="1" si="10"/>
        <v>26.759710000519213</v>
      </c>
      <c r="J47" s="2">
        <f t="shared" ca="1" si="10"/>
        <v>28.039098897085243</v>
      </c>
      <c r="K47" s="2">
        <f t="shared" ca="1" si="10"/>
        <v>25.562749977542722</v>
      </c>
      <c r="L47" s="2">
        <f t="shared" ca="1" si="10"/>
        <v>33.025275569286393</v>
      </c>
      <c r="M47" s="2">
        <f t="shared" ca="1" si="10"/>
        <v>30.826298131804922</v>
      </c>
      <c r="N47" s="2">
        <f t="shared" ca="1" si="10"/>
        <v>31.990993653996185</v>
      </c>
      <c r="O47" s="2">
        <f t="shared" ca="1" si="10"/>
        <v>34.315533246154921</v>
      </c>
      <c r="P47" s="2">
        <f t="shared" ca="1" si="10"/>
        <v>26.803739659851857</v>
      </c>
      <c r="Q47" s="2">
        <f t="shared" ca="1" si="10"/>
        <v>27.04834040434713</v>
      </c>
      <c r="R47" s="2">
        <f t="shared" ca="1" si="10"/>
        <v>31.108673069479131</v>
      </c>
      <c r="S47" s="2">
        <f t="shared" ca="1" si="10"/>
        <v>29.452558190577939</v>
      </c>
      <c r="T47" s="2">
        <f t="shared" ca="1" si="10"/>
        <v>32.770336780794871</v>
      </c>
      <c r="U47" s="2">
        <f t="shared" ca="1" si="10"/>
        <v>27.472462743246879</v>
      </c>
      <c r="V47" s="2">
        <f t="shared" ca="1" si="10"/>
        <v>29.083744803242098</v>
      </c>
      <c r="W47" s="2">
        <f t="shared" ca="1" si="10"/>
        <v>32.513109459065539</v>
      </c>
      <c r="X47" s="2">
        <f t="shared" ca="1" si="10"/>
        <v>26.887696194767603</v>
      </c>
      <c r="Y47" s="2">
        <f t="shared" ca="1" si="10"/>
        <v>29.314623867181449</v>
      </c>
      <c r="Z47" s="2">
        <f t="shared" ca="1" si="10"/>
        <v>29.308451274361694</v>
      </c>
      <c r="AA47" s="2">
        <f t="shared" ca="1" si="10"/>
        <v>34.171323845423387</v>
      </c>
      <c r="AB47" s="2">
        <f t="shared" ca="1" si="10"/>
        <v>33.15439914351095</v>
      </c>
      <c r="AC47" s="2">
        <f t="shared" ca="1" si="10"/>
        <v>29.119533058226192</v>
      </c>
      <c r="AD47" s="2">
        <f t="shared" ca="1" si="10"/>
        <v>26.561793163154519</v>
      </c>
      <c r="AE47" s="2">
        <f t="shared" ca="1" si="10"/>
        <v>31.800337689148954</v>
      </c>
      <c r="AF47" s="2">
        <f t="shared" ca="1" si="10"/>
        <v>25.562884105089118</v>
      </c>
      <c r="AG47" s="2">
        <f t="shared" ca="1" si="10"/>
        <v>33.379280856566041</v>
      </c>
      <c r="AH47" s="2">
        <f t="shared" ca="1" si="10"/>
        <v>26.472437123744442</v>
      </c>
    </row>
    <row r="48" spans="1:34">
      <c r="A48" t="str">
        <f t="shared" si="6"/>
        <v>Vegetables</v>
      </c>
      <c r="B48" t="str">
        <f t="shared" si="7"/>
        <v>Afar</v>
      </c>
      <c r="C48" s="2">
        <f t="shared" ca="1" si="9"/>
        <v>25.963495969606647</v>
      </c>
      <c r="D48" s="2">
        <f t="shared" ca="1" si="10"/>
        <v>28.943674931570818</v>
      </c>
      <c r="E48" s="2">
        <f t="shared" ca="1" si="10"/>
        <v>31.006768561297591</v>
      </c>
      <c r="F48" s="2">
        <f t="shared" ca="1" si="10"/>
        <v>34.052192758967429</v>
      </c>
      <c r="G48" s="2">
        <f t="shared" ca="1" si="10"/>
        <v>30.866297470341323</v>
      </c>
      <c r="H48" s="2">
        <f t="shared" ca="1" si="10"/>
        <v>25.085046359281353</v>
      </c>
      <c r="I48" s="2">
        <f t="shared" ca="1" si="10"/>
        <v>28.299900577421088</v>
      </c>
      <c r="J48" s="2">
        <f t="shared" ca="1" si="10"/>
        <v>34.038620160996366</v>
      </c>
      <c r="K48" s="2">
        <f t="shared" ca="1" si="10"/>
        <v>25.85622114762506</v>
      </c>
      <c r="L48" s="2">
        <f t="shared" ca="1" si="10"/>
        <v>33.998070247596381</v>
      </c>
      <c r="M48" s="2">
        <f t="shared" ca="1" si="10"/>
        <v>30.575000554587469</v>
      </c>
      <c r="N48" s="2">
        <f t="shared" ca="1" si="10"/>
        <v>34.689157211264153</v>
      </c>
      <c r="O48" s="2">
        <f t="shared" ca="1" si="10"/>
        <v>31.092446632463407</v>
      </c>
      <c r="P48" s="2">
        <f t="shared" ca="1" si="10"/>
        <v>31.501001495147989</v>
      </c>
      <c r="Q48" s="2">
        <f t="shared" ca="1" si="10"/>
        <v>33.269474650466861</v>
      </c>
      <c r="R48" s="2">
        <f t="shared" ca="1" si="10"/>
        <v>26.638478572556068</v>
      </c>
      <c r="S48" s="2">
        <f t="shared" ca="1" si="10"/>
        <v>33.430133590081482</v>
      </c>
      <c r="T48" s="2">
        <f t="shared" ca="1" si="10"/>
        <v>29.841718735643582</v>
      </c>
      <c r="U48" s="2">
        <f t="shared" ca="1" si="10"/>
        <v>25.611881827376386</v>
      </c>
      <c r="V48" s="2">
        <f t="shared" ca="1" si="10"/>
        <v>33.025116839164241</v>
      </c>
      <c r="W48" s="2">
        <f t="shared" ca="1" si="10"/>
        <v>29.292954567985262</v>
      </c>
      <c r="X48" s="2">
        <f t="shared" ca="1" si="10"/>
        <v>32.720515777166398</v>
      </c>
      <c r="Y48" s="2">
        <f t="shared" ca="1" si="10"/>
        <v>33.019725408100783</v>
      </c>
      <c r="Z48" s="2">
        <f t="shared" ca="1" si="10"/>
        <v>32.091191597499467</v>
      </c>
      <c r="AA48" s="2">
        <f t="shared" ca="1" si="10"/>
        <v>34.992119872278955</v>
      </c>
      <c r="AB48" s="2">
        <f t="shared" ca="1" si="10"/>
        <v>31.188233397401515</v>
      </c>
      <c r="AC48" s="2">
        <f t="shared" ca="1" si="10"/>
        <v>26.902497227445572</v>
      </c>
      <c r="AD48" s="2">
        <f t="shared" ca="1" si="10"/>
        <v>32.360132099750338</v>
      </c>
      <c r="AE48" s="2">
        <f t="shared" ca="1" si="10"/>
        <v>32.370188289586963</v>
      </c>
      <c r="AF48" s="2">
        <f t="shared" ca="1" si="10"/>
        <v>29.738258720954221</v>
      </c>
      <c r="AG48" s="2">
        <f t="shared" ca="1" si="10"/>
        <v>28.690281493416123</v>
      </c>
      <c r="AH48" s="2">
        <f t="shared" ca="1" si="10"/>
        <v>30.610674580632804</v>
      </c>
    </row>
    <row r="49" spans="1:34">
      <c r="A49" t="str">
        <f t="shared" si="6"/>
        <v>Vegetables</v>
      </c>
      <c r="B49" t="str">
        <f t="shared" si="7"/>
        <v>Amhara</v>
      </c>
      <c r="C49" s="2">
        <f t="shared" ca="1" si="9"/>
        <v>32.489316321458986</v>
      </c>
      <c r="D49" s="2">
        <f t="shared" ca="1" si="10"/>
        <v>34.212708204420011</v>
      </c>
      <c r="E49" s="2">
        <f t="shared" ca="1" si="10"/>
        <v>27.702267523468031</v>
      </c>
      <c r="F49" s="2">
        <f t="shared" ca="1" si="10"/>
        <v>34.056251596508247</v>
      </c>
      <c r="G49" s="2">
        <f t="shared" ca="1" si="10"/>
        <v>31.199243574132645</v>
      </c>
      <c r="H49" s="2">
        <f t="shared" ca="1" si="10"/>
        <v>28.347096772109413</v>
      </c>
      <c r="I49" s="2">
        <f t="shared" ca="1" si="10"/>
        <v>29.165002565048059</v>
      </c>
      <c r="J49" s="2">
        <f t="shared" ca="1" si="10"/>
        <v>28.608789466032505</v>
      </c>
      <c r="K49" s="2">
        <f t="shared" ca="1" si="10"/>
        <v>29.370585606876404</v>
      </c>
      <c r="L49" s="2">
        <f t="shared" ca="1" si="10"/>
        <v>30.574510855617891</v>
      </c>
      <c r="M49" s="2">
        <f t="shared" ca="1" si="10"/>
        <v>32.51084149364651</v>
      </c>
      <c r="N49" s="2">
        <f t="shared" ca="1" si="10"/>
        <v>29.154925972756438</v>
      </c>
      <c r="O49" s="2">
        <f t="shared" ca="1" si="10"/>
        <v>29.062115140384996</v>
      </c>
      <c r="P49" s="2">
        <f t="shared" ca="1" si="10"/>
        <v>25.694933749370513</v>
      </c>
      <c r="Q49" s="2">
        <f t="shared" ca="1" si="10"/>
        <v>29.120325311232467</v>
      </c>
      <c r="R49" s="2">
        <f t="shared" ca="1" si="10"/>
        <v>30.171935805638363</v>
      </c>
      <c r="S49" s="2">
        <f t="shared" ca="1" si="10"/>
        <v>29.443614431175821</v>
      </c>
      <c r="T49" s="2">
        <f t="shared" ca="1" si="10"/>
        <v>29.545949025088056</v>
      </c>
      <c r="U49" s="2">
        <f t="shared" ca="1" si="10"/>
        <v>27.097327148958627</v>
      </c>
      <c r="V49" s="2">
        <f t="shared" ca="1" si="10"/>
        <v>27.635295526505807</v>
      </c>
      <c r="W49" s="2">
        <f t="shared" ca="1" si="10"/>
        <v>34.339487070298048</v>
      </c>
      <c r="X49" s="2">
        <f t="shared" ca="1" si="10"/>
        <v>30.629602692633675</v>
      </c>
      <c r="Y49" s="2">
        <f t="shared" ca="1" si="10"/>
        <v>31.499054660125964</v>
      </c>
      <c r="Z49" s="2">
        <f t="shared" ca="1" si="10"/>
        <v>31.849752209126414</v>
      </c>
      <c r="AA49" s="2">
        <f t="shared" ca="1" si="10"/>
        <v>27.890977473333368</v>
      </c>
      <c r="AB49" s="2">
        <f t="shared" ca="1" si="10"/>
        <v>31.091188081726074</v>
      </c>
      <c r="AC49" s="2">
        <f t="shared" ca="1" si="10"/>
        <v>29.919112235030425</v>
      </c>
      <c r="AD49" s="2">
        <f t="shared" ca="1" si="10"/>
        <v>32.916864139415637</v>
      </c>
      <c r="AE49" s="2">
        <f t="shared" ca="1" si="10"/>
        <v>26.627214230368693</v>
      </c>
      <c r="AF49" s="2">
        <f t="shared" ca="1" si="10"/>
        <v>27.201624532749392</v>
      </c>
      <c r="AG49" s="2">
        <f t="shared" ca="1" si="10"/>
        <v>31.980702489280752</v>
      </c>
      <c r="AH49" s="2">
        <f t="shared" ca="1" si="10"/>
        <v>26.246164851607592</v>
      </c>
    </row>
    <row r="50" spans="1:34">
      <c r="A50" t="str">
        <f t="shared" si="6"/>
        <v>Vegetables</v>
      </c>
      <c r="B50" t="str">
        <f t="shared" si="7"/>
        <v>Gumuz</v>
      </c>
      <c r="C50" s="2">
        <f t="shared" ca="1" si="9"/>
        <v>28.723900901061832</v>
      </c>
      <c r="D50" s="2">
        <f t="shared" ca="1" si="10"/>
        <v>27.137129955196528</v>
      </c>
      <c r="E50" s="2">
        <f t="shared" ca="1" si="10"/>
        <v>25.150927164990048</v>
      </c>
      <c r="F50" s="2">
        <f t="shared" ca="1" si="10"/>
        <v>34.562237369969395</v>
      </c>
      <c r="G50" s="2">
        <f t="shared" ca="1" si="10"/>
        <v>27.471640383607316</v>
      </c>
      <c r="H50" s="2">
        <f t="shared" ca="1" si="10"/>
        <v>26.656987283784169</v>
      </c>
      <c r="I50" s="2">
        <f t="shared" ca="1" si="10"/>
        <v>31.732793922772625</v>
      </c>
      <c r="J50" s="2">
        <f t="shared" ca="1" si="10"/>
        <v>33.982625811700402</v>
      </c>
      <c r="K50" s="2">
        <f t="shared" ca="1" si="10"/>
        <v>26.545827283995873</v>
      </c>
      <c r="L50" s="2">
        <f t="shared" ca="1" si="10"/>
        <v>28.495226075685093</v>
      </c>
      <c r="M50" s="2">
        <f t="shared" ca="1" si="10"/>
        <v>26.227987201952587</v>
      </c>
      <c r="N50" s="2">
        <f t="shared" ca="1" si="10"/>
        <v>27.123096471340531</v>
      </c>
      <c r="O50" s="2">
        <f t="shared" ca="1" si="10"/>
        <v>32.476247940817849</v>
      </c>
      <c r="P50" s="2">
        <f t="shared" ca="1" si="10"/>
        <v>33.921294506095172</v>
      </c>
      <c r="Q50" s="2">
        <f t="shared" ca="1" si="10"/>
        <v>33.445197748627962</v>
      </c>
      <c r="R50" s="2">
        <f t="shared" ca="1" si="10"/>
        <v>31.706442290961938</v>
      </c>
      <c r="S50" s="2">
        <f t="shared" ca="1" si="10"/>
        <v>32.984928225634619</v>
      </c>
      <c r="T50" s="2">
        <f t="shared" ca="1" si="10"/>
        <v>26.518709197643958</v>
      </c>
      <c r="U50" s="2">
        <f t="shared" ca="1" si="10"/>
        <v>30.935445030857323</v>
      </c>
      <c r="V50" s="2">
        <f t="shared" ca="1" si="10"/>
        <v>26.930916957880804</v>
      </c>
      <c r="W50" s="2">
        <f t="shared" ca="1" si="10"/>
        <v>31.241431476149838</v>
      </c>
      <c r="X50" s="2">
        <f t="shared" ca="1" si="10"/>
        <v>34.654832612493841</v>
      </c>
      <c r="Y50" s="2">
        <f t="shared" ca="1" si="10"/>
        <v>28.750407205546917</v>
      </c>
      <c r="Z50" s="2">
        <f t="shared" ca="1" si="10"/>
        <v>29.429884261658962</v>
      </c>
      <c r="AA50" s="2">
        <f t="shared" ca="1" si="10"/>
        <v>34.572043492778775</v>
      </c>
      <c r="AB50" s="2">
        <f t="shared" ca="1" si="10"/>
        <v>31.241080636142652</v>
      </c>
      <c r="AC50" s="2">
        <f t="shared" ca="1" si="10"/>
        <v>26.516144087865463</v>
      </c>
      <c r="AD50" s="2">
        <f t="shared" ca="1" si="10"/>
        <v>27.251701859421523</v>
      </c>
      <c r="AE50" s="2">
        <f t="shared" ca="1" si="10"/>
        <v>32.60644677157898</v>
      </c>
      <c r="AF50" s="2">
        <f t="shared" ca="1" si="10"/>
        <v>30.52057443762051</v>
      </c>
      <c r="AG50" s="2">
        <f t="shared" ca="1" si="10"/>
        <v>27.477355022162175</v>
      </c>
      <c r="AH50" s="2">
        <f t="shared" ca="1" si="10"/>
        <v>30.112003056185657</v>
      </c>
    </row>
    <row r="51" spans="1:34">
      <c r="A51" t="str">
        <f t="shared" si="6"/>
        <v>Vegetables</v>
      </c>
      <c r="B51" t="str">
        <f t="shared" si="7"/>
        <v>DireDawa</v>
      </c>
      <c r="C51" s="2">
        <f t="shared" ca="1" si="9"/>
        <v>27.688102040673378</v>
      </c>
      <c r="D51" s="2">
        <f t="shared" ca="1" si="10"/>
        <v>34.322193529082647</v>
      </c>
      <c r="E51" s="2">
        <f t="shared" ca="1" si="10"/>
        <v>28.981733220898704</v>
      </c>
      <c r="F51" s="2">
        <f t="shared" ca="1" si="10"/>
        <v>30.770694946763086</v>
      </c>
      <c r="G51" s="2">
        <f t="shared" ca="1" si="10"/>
        <v>31.206618963526907</v>
      </c>
      <c r="H51" s="2">
        <f t="shared" ca="1" si="10"/>
        <v>31.256421663361934</v>
      </c>
      <c r="I51" s="2">
        <f t="shared" ca="1" si="10"/>
        <v>26.130387968328385</v>
      </c>
      <c r="J51" s="2">
        <f t="shared" ref="J51:Y67" ca="1" si="11">(RAND()*1+2.5)*10</f>
        <v>25.051121455573426</v>
      </c>
      <c r="K51" s="2">
        <f t="shared" ca="1" si="11"/>
        <v>33.619571538343102</v>
      </c>
      <c r="L51" s="2">
        <f t="shared" ca="1" si="11"/>
        <v>28.50185386325542</v>
      </c>
      <c r="M51" s="2">
        <f t="shared" ca="1" si="11"/>
        <v>26.288754286974125</v>
      </c>
      <c r="N51" s="2">
        <f t="shared" ca="1" si="11"/>
        <v>31.041906218780063</v>
      </c>
      <c r="O51" s="2">
        <f t="shared" ca="1" si="11"/>
        <v>26.024603028118669</v>
      </c>
      <c r="P51" s="2">
        <f t="shared" ca="1" si="11"/>
        <v>26.397909170595657</v>
      </c>
      <c r="Q51" s="2">
        <f t="shared" ca="1" si="11"/>
        <v>30.603734425225824</v>
      </c>
      <c r="R51" s="2">
        <f t="shared" ca="1" si="11"/>
        <v>32.581788459791781</v>
      </c>
      <c r="S51" s="2">
        <f t="shared" ca="1" si="11"/>
        <v>34.83582023549161</v>
      </c>
      <c r="T51" s="2">
        <f t="shared" ca="1" si="11"/>
        <v>34.449604980504255</v>
      </c>
      <c r="U51" s="2">
        <f t="shared" ca="1" si="11"/>
        <v>33.878820515187016</v>
      </c>
      <c r="V51" s="2">
        <f t="shared" ca="1" si="11"/>
        <v>31.886057488731005</v>
      </c>
      <c r="W51" s="2">
        <f t="shared" ca="1" si="11"/>
        <v>27.694535904067891</v>
      </c>
      <c r="X51" s="2">
        <f t="shared" ca="1" si="11"/>
        <v>30.338902555980233</v>
      </c>
      <c r="Y51" s="2">
        <f t="shared" ca="1" si="11"/>
        <v>31.214889132129471</v>
      </c>
      <c r="Z51" s="2">
        <f t="shared" ref="Z51:AH67" ca="1" si="12">(RAND()*1+2.5)*10</f>
        <v>28.944836248306594</v>
      </c>
      <c r="AA51" s="2">
        <f t="shared" ca="1" si="12"/>
        <v>33.465070050101417</v>
      </c>
      <c r="AB51" s="2">
        <f t="shared" ca="1" si="12"/>
        <v>31.139388869474459</v>
      </c>
      <c r="AC51" s="2">
        <f t="shared" ca="1" si="12"/>
        <v>25.323365274578027</v>
      </c>
      <c r="AD51" s="2">
        <f t="shared" ca="1" si="12"/>
        <v>25.155838895216345</v>
      </c>
      <c r="AE51" s="2">
        <f t="shared" ca="1" si="12"/>
        <v>30.739779893035461</v>
      </c>
      <c r="AF51" s="2">
        <f t="shared" ca="1" si="12"/>
        <v>28.933591658348234</v>
      </c>
      <c r="AG51" s="2">
        <f t="shared" ca="1" si="12"/>
        <v>28.824706441331251</v>
      </c>
      <c r="AH51" s="2">
        <f t="shared" ca="1" si="12"/>
        <v>29.167716624724459</v>
      </c>
    </row>
    <row r="52" spans="1:34">
      <c r="A52" t="str">
        <f t="shared" si="6"/>
        <v>Vegetables</v>
      </c>
      <c r="B52" t="str">
        <f t="shared" si="7"/>
        <v>Gambela</v>
      </c>
      <c r="C52" s="2">
        <f t="shared" ca="1" si="9"/>
        <v>30.934787817526441</v>
      </c>
      <c r="D52" s="2">
        <f t="shared" ca="1" si="9"/>
        <v>34.967562793604607</v>
      </c>
      <c r="E52" s="2">
        <f t="shared" ca="1" si="9"/>
        <v>25.145809930488703</v>
      </c>
      <c r="F52" s="2">
        <f t="shared" ca="1" si="9"/>
        <v>34.24878702765308</v>
      </c>
      <c r="G52" s="2">
        <f t="shared" ca="1" si="9"/>
        <v>33.311384629991409</v>
      </c>
      <c r="H52" s="2">
        <f t="shared" ca="1" si="9"/>
        <v>29.536272053708768</v>
      </c>
      <c r="I52" s="2">
        <f t="shared" ref="I52:X67" ca="1" si="13">(RAND()*1+2.5)*10</f>
        <v>33.983075764940381</v>
      </c>
      <c r="J52" s="2">
        <f t="shared" ca="1" si="13"/>
        <v>32.247856844456606</v>
      </c>
      <c r="K52" s="2">
        <f t="shared" ca="1" si="13"/>
        <v>33.570737299087668</v>
      </c>
      <c r="L52" s="2">
        <f t="shared" ca="1" si="13"/>
        <v>29.397783185155888</v>
      </c>
      <c r="M52" s="2">
        <f t="shared" ca="1" si="13"/>
        <v>34.411912485850074</v>
      </c>
      <c r="N52" s="2">
        <f t="shared" ca="1" si="13"/>
        <v>27.432007123884155</v>
      </c>
      <c r="O52" s="2">
        <f t="shared" ca="1" si="13"/>
        <v>30.865327970628975</v>
      </c>
      <c r="P52" s="2">
        <f t="shared" ca="1" si="13"/>
        <v>29.178026319299725</v>
      </c>
      <c r="Q52" s="2">
        <f t="shared" ca="1" si="13"/>
        <v>29.888238760987626</v>
      </c>
      <c r="R52" s="2">
        <f t="shared" ca="1" si="13"/>
        <v>32.343812656622156</v>
      </c>
      <c r="S52" s="2">
        <f t="shared" ca="1" si="13"/>
        <v>31.428845210994275</v>
      </c>
      <c r="T52" s="2">
        <f t="shared" ca="1" si="13"/>
        <v>33.094374809536554</v>
      </c>
      <c r="U52" s="2">
        <f t="shared" ca="1" si="13"/>
        <v>29.068969109926989</v>
      </c>
      <c r="V52" s="2">
        <f t="shared" ca="1" si="13"/>
        <v>30.190143475425707</v>
      </c>
      <c r="W52" s="2">
        <f t="shared" ca="1" si="13"/>
        <v>34.93675913602199</v>
      </c>
      <c r="X52" s="2">
        <f t="shared" ca="1" si="13"/>
        <v>27.486054960500688</v>
      </c>
      <c r="Y52" s="2">
        <f t="shared" ca="1" si="11"/>
        <v>30.364412576955839</v>
      </c>
      <c r="Z52" s="2">
        <f t="shared" ca="1" si="12"/>
        <v>25.527202822954258</v>
      </c>
      <c r="AA52" s="2">
        <f t="shared" ca="1" si="12"/>
        <v>32.782161904798656</v>
      </c>
      <c r="AB52" s="2">
        <f t="shared" ca="1" si="12"/>
        <v>28.577551819577277</v>
      </c>
      <c r="AC52" s="2">
        <f t="shared" ca="1" si="12"/>
        <v>25.138235830446408</v>
      </c>
      <c r="AD52" s="2">
        <f t="shared" ca="1" si="12"/>
        <v>31.932476293223885</v>
      </c>
      <c r="AE52" s="2">
        <f t="shared" ca="1" si="12"/>
        <v>25.86250139737799</v>
      </c>
      <c r="AF52" s="2">
        <f t="shared" ca="1" si="12"/>
        <v>33.984770294170012</v>
      </c>
      <c r="AG52" s="2">
        <f t="shared" ca="1" si="12"/>
        <v>26.716783539503488</v>
      </c>
      <c r="AH52" s="2">
        <f t="shared" ca="1" si="12"/>
        <v>34.572871369095417</v>
      </c>
    </row>
    <row r="53" spans="1:34">
      <c r="A53" t="str">
        <f t="shared" si="6"/>
        <v>Vegetables</v>
      </c>
      <c r="B53" t="str">
        <f t="shared" si="7"/>
        <v>Harari</v>
      </c>
      <c r="C53" s="2">
        <f t="shared" ref="C53:R68" ca="1" si="14">(RAND()*1+2.5)*10</f>
        <v>26.946877743588331</v>
      </c>
      <c r="D53" s="2">
        <f t="shared" ca="1" si="14"/>
        <v>25.003650914596864</v>
      </c>
      <c r="E53" s="2">
        <f t="shared" ca="1" si="14"/>
        <v>25.785158669995305</v>
      </c>
      <c r="F53" s="2">
        <f t="shared" ca="1" si="14"/>
        <v>32.92101192235571</v>
      </c>
      <c r="G53" s="2">
        <f t="shared" ca="1" si="14"/>
        <v>30.614256271976412</v>
      </c>
      <c r="H53" s="2">
        <f t="shared" ca="1" si="14"/>
        <v>33.47882848813174</v>
      </c>
      <c r="I53" s="2">
        <f t="shared" ca="1" si="14"/>
        <v>30.576719975503298</v>
      </c>
      <c r="J53" s="2">
        <f t="shared" ca="1" si="14"/>
        <v>29.175978868235184</v>
      </c>
      <c r="K53" s="2">
        <f t="shared" ca="1" si="14"/>
        <v>30.531861081894331</v>
      </c>
      <c r="L53" s="2">
        <f t="shared" ca="1" si="14"/>
        <v>29.019786340799428</v>
      </c>
      <c r="M53" s="2">
        <f t="shared" ca="1" si="14"/>
        <v>34.134126510809558</v>
      </c>
      <c r="N53" s="2">
        <f t="shared" ca="1" si="14"/>
        <v>26.679941154819492</v>
      </c>
      <c r="O53" s="2">
        <f t="shared" ca="1" si="14"/>
        <v>31.325892258689542</v>
      </c>
      <c r="P53" s="2">
        <f t="shared" ca="1" si="14"/>
        <v>30.629495921295895</v>
      </c>
      <c r="Q53" s="2">
        <f t="shared" ca="1" si="14"/>
        <v>31.586665837930326</v>
      </c>
      <c r="R53" s="2">
        <f t="shared" ca="1" si="14"/>
        <v>28.304150176637648</v>
      </c>
      <c r="S53" s="2">
        <f t="shared" ca="1" si="13"/>
        <v>28.674267035951189</v>
      </c>
      <c r="T53" s="2">
        <f t="shared" ca="1" si="13"/>
        <v>26.562666196484113</v>
      </c>
      <c r="U53" s="2">
        <f t="shared" ca="1" si="13"/>
        <v>32.848605172666694</v>
      </c>
      <c r="V53" s="2">
        <f t="shared" ca="1" si="13"/>
        <v>32.512009412205849</v>
      </c>
      <c r="W53" s="2">
        <f t="shared" ca="1" si="13"/>
        <v>32.390613756679713</v>
      </c>
      <c r="X53" s="2">
        <f t="shared" ca="1" si="13"/>
        <v>32.743999492780027</v>
      </c>
      <c r="Y53" s="2">
        <f t="shared" ca="1" si="11"/>
        <v>28.496152021605656</v>
      </c>
      <c r="Z53" s="2">
        <f t="shared" ca="1" si="12"/>
        <v>30.393602877958497</v>
      </c>
      <c r="AA53" s="2">
        <f t="shared" ca="1" si="12"/>
        <v>30.438506806128803</v>
      </c>
      <c r="AB53" s="2">
        <f t="shared" ca="1" si="12"/>
        <v>28.824396175567486</v>
      </c>
      <c r="AC53" s="2">
        <f t="shared" ca="1" si="12"/>
        <v>27.761771799906377</v>
      </c>
      <c r="AD53" s="2">
        <f t="shared" ca="1" si="12"/>
        <v>33.670644096336581</v>
      </c>
      <c r="AE53" s="2">
        <f t="shared" ca="1" si="12"/>
        <v>26.628884902602294</v>
      </c>
      <c r="AF53" s="2">
        <f t="shared" ca="1" si="12"/>
        <v>29.115970129112799</v>
      </c>
      <c r="AG53" s="2">
        <f t="shared" ca="1" si="12"/>
        <v>33.378744088119632</v>
      </c>
      <c r="AH53" s="2">
        <f t="shared" ca="1" si="12"/>
        <v>32.86751628868268</v>
      </c>
    </row>
    <row r="54" spans="1:34">
      <c r="A54" t="str">
        <f t="shared" si="6"/>
        <v>Vegetables</v>
      </c>
      <c r="B54" t="str">
        <f t="shared" si="7"/>
        <v>Oromia</v>
      </c>
      <c r="C54" s="2">
        <f t="shared" ca="1" si="14"/>
        <v>30.331881001045776</v>
      </c>
      <c r="D54" s="2">
        <f t="shared" ca="1" si="14"/>
        <v>28.981047494305084</v>
      </c>
      <c r="E54" s="2">
        <f t="shared" ca="1" si="14"/>
        <v>30.888534949794444</v>
      </c>
      <c r="F54" s="2">
        <f t="shared" ca="1" si="14"/>
        <v>27.522850718379388</v>
      </c>
      <c r="G54" s="2">
        <f t="shared" ca="1" si="14"/>
        <v>27.594759250951498</v>
      </c>
      <c r="H54" s="2">
        <f t="shared" ca="1" si="14"/>
        <v>29.882983233651579</v>
      </c>
      <c r="I54" s="2">
        <f t="shared" ca="1" si="14"/>
        <v>33.208308558486316</v>
      </c>
      <c r="J54" s="2">
        <f t="shared" ca="1" si="14"/>
        <v>30.420309592479015</v>
      </c>
      <c r="K54" s="2">
        <f t="shared" ca="1" si="14"/>
        <v>31.560056811820402</v>
      </c>
      <c r="L54" s="2">
        <f t="shared" ca="1" si="14"/>
        <v>31.181499630690745</v>
      </c>
      <c r="M54" s="2">
        <f t="shared" ca="1" si="14"/>
        <v>31.767569342094628</v>
      </c>
      <c r="N54" s="2">
        <f t="shared" ca="1" si="14"/>
        <v>28.233552903890981</v>
      </c>
      <c r="O54" s="2">
        <f t="shared" ca="1" si="14"/>
        <v>33.623610646436731</v>
      </c>
      <c r="P54" s="2">
        <f t="shared" ca="1" si="14"/>
        <v>32.592724414453627</v>
      </c>
      <c r="Q54" s="2">
        <f t="shared" ca="1" si="14"/>
        <v>30.995151372560073</v>
      </c>
      <c r="R54" s="2">
        <f t="shared" ca="1" si="14"/>
        <v>31.972929330371045</v>
      </c>
      <c r="S54" s="2">
        <f t="shared" ca="1" si="13"/>
        <v>25.323695270955746</v>
      </c>
      <c r="T54" s="2">
        <f t="shared" ca="1" si="13"/>
        <v>32.674951662247793</v>
      </c>
      <c r="U54" s="2">
        <f t="shared" ca="1" si="13"/>
        <v>31.963155730689166</v>
      </c>
      <c r="V54" s="2">
        <f t="shared" ca="1" si="13"/>
        <v>30.718526709374174</v>
      </c>
      <c r="W54" s="2">
        <f t="shared" ca="1" si="13"/>
        <v>26.061784736346119</v>
      </c>
      <c r="X54" s="2">
        <f t="shared" ca="1" si="13"/>
        <v>32.488366463619862</v>
      </c>
      <c r="Y54" s="2">
        <f t="shared" ca="1" si="11"/>
        <v>27.522968866443659</v>
      </c>
      <c r="Z54" s="2">
        <f t="shared" ca="1" si="12"/>
        <v>25.156875849439878</v>
      </c>
      <c r="AA54" s="2">
        <f t="shared" ca="1" si="12"/>
        <v>30.1343553778832</v>
      </c>
      <c r="AB54" s="2">
        <f t="shared" ca="1" si="12"/>
        <v>25.535199096226172</v>
      </c>
      <c r="AC54" s="2">
        <f t="shared" ca="1" si="12"/>
        <v>28.059526277415387</v>
      </c>
      <c r="AD54" s="2">
        <f t="shared" ca="1" si="12"/>
        <v>32.543739852842009</v>
      </c>
      <c r="AE54" s="2">
        <f t="shared" ca="1" si="12"/>
        <v>32.046554681051134</v>
      </c>
      <c r="AF54" s="2">
        <f t="shared" ca="1" si="12"/>
        <v>26.558796979484494</v>
      </c>
      <c r="AG54" s="2">
        <f t="shared" ca="1" si="12"/>
        <v>28.185356463572138</v>
      </c>
      <c r="AH54" s="2">
        <f t="shared" ca="1" si="12"/>
        <v>27.981023435130183</v>
      </c>
    </row>
    <row r="55" spans="1:34">
      <c r="A55" t="str">
        <f t="shared" si="6"/>
        <v>Vegetables</v>
      </c>
      <c r="B55" t="str">
        <f t="shared" si="7"/>
        <v>Somali</v>
      </c>
      <c r="C55" s="2">
        <f t="shared" ca="1" si="14"/>
        <v>25.144751293231067</v>
      </c>
      <c r="D55" s="2">
        <f t="shared" ca="1" si="14"/>
        <v>27.311429254283404</v>
      </c>
      <c r="E55" s="2">
        <f t="shared" ca="1" si="14"/>
        <v>34.476688643592325</v>
      </c>
      <c r="F55" s="2">
        <f t="shared" ca="1" si="14"/>
        <v>30.950271018195366</v>
      </c>
      <c r="G55" s="2">
        <f t="shared" ca="1" si="14"/>
        <v>27.869710000347933</v>
      </c>
      <c r="H55" s="2">
        <f t="shared" ca="1" si="14"/>
        <v>26.402850700797032</v>
      </c>
      <c r="I55" s="2">
        <f t="shared" ca="1" si="14"/>
        <v>32.687411159846334</v>
      </c>
      <c r="J55" s="2">
        <f t="shared" ca="1" si="14"/>
        <v>27.651947376593586</v>
      </c>
      <c r="K55" s="2">
        <f t="shared" ca="1" si="14"/>
        <v>26.824990857349228</v>
      </c>
      <c r="L55" s="2">
        <f t="shared" ca="1" si="14"/>
        <v>30.847031549005454</v>
      </c>
      <c r="M55" s="2">
        <f t="shared" ca="1" si="14"/>
        <v>30.186903836312425</v>
      </c>
      <c r="N55" s="2">
        <f t="shared" ca="1" si="14"/>
        <v>33.715882995423939</v>
      </c>
      <c r="O55" s="2">
        <f t="shared" ca="1" si="14"/>
        <v>29.375772702620466</v>
      </c>
      <c r="P55" s="2">
        <f t="shared" ca="1" si="14"/>
        <v>26.577523864428677</v>
      </c>
      <c r="Q55" s="2">
        <f t="shared" ca="1" si="14"/>
        <v>32.849916043766349</v>
      </c>
      <c r="R55" s="2">
        <f t="shared" ca="1" si="14"/>
        <v>27.781444070323211</v>
      </c>
      <c r="S55" s="2">
        <f t="shared" ca="1" si="13"/>
        <v>32.856328396262604</v>
      </c>
      <c r="T55" s="2">
        <f t="shared" ca="1" si="13"/>
        <v>25.041646454554005</v>
      </c>
      <c r="U55" s="2">
        <f t="shared" ca="1" si="13"/>
        <v>28.67148816782294</v>
      </c>
      <c r="V55" s="2">
        <f t="shared" ca="1" si="13"/>
        <v>32.573751714387711</v>
      </c>
      <c r="W55" s="2">
        <f t="shared" ca="1" si="13"/>
        <v>28.376148564845764</v>
      </c>
      <c r="X55" s="2">
        <f t="shared" ca="1" si="13"/>
        <v>32.645892302083425</v>
      </c>
      <c r="Y55" s="2">
        <f t="shared" ca="1" si="11"/>
        <v>25.939173122382101</v>
      </c>
      <c r="Z55" s="2">
        <f t="shared" ca="1" si="12"/>
        <v>29.255789896418449</v>
      </c>
      <c r="AA55" s="2">
        <f t="shared" ca="1" si="12"/>
        <v>34.652832464599051</v>
      </c>
      <c r="AB55" s="2">
        <f t="shared" ca="1" si="12"/>
        <v>34.779480408482506</v>
      </c>
      <c r="AC55" s="2">
        <f t="shared" ca="1" si="12"/>
        <v>31.315713523883268</v>
      </c>
      <c r="AD55" s="2">
        <f t="shared" ca="1" si="12"/>
        <v>28.978065889707914</v>
      </c>
      <c r="AE55" s="2">
        <f t="shared" ca="1" si="12"/>
        <v>27.138877578155807</v>
      </c>
      <c r="AF55" s="2">
        <f t="shared" ca="1" si="12"/>
        <v>30.939189268591306</v>
      </c>
      <c r="AG55" s="2">
        <f t="shared" ca="1" si="12"/>
        <v>32.58791454584906</v>
      </c>
      <c r="AH55" s="2">
        <f t="shared" ca="1" si="12"/>
        <v>28.857123761266532</v>
      </c>
    </row>
    <row r="56" spans="1:34">
      <c r="A56" t="str">
        <f t="shared" si="6"/>
        <v>Vegetables</v>
      </c>
      <c r="B56" t="str">
        <f t="shared" si="7"/>
        <v>SNNPR</v>
      </c>
      <c r="C56" s="2">
        <f t="shared" ca="1" si="14"/>
        <v>27.3138714475424</v>
      </c>
      <c r="D56" s="2">
        <f t="shared" ca="1" si="14"/>
        <v>31.384888787375477</v>
      </c>
      <c r="E56" s="2">
        <f t="shared" ca="1" si="14"/>
        <v>27.422048812365382</v>
      </c>
      <c r="F56" s="2">
        <f t="shared" ca="1" si="14"/>
        <v>29.785241960186578</v>
      </c>
      <c r="G56" s="2">
        <f t="shared" ca="1" si="14"/>
        <v>32.925000708980065</v>
      </c>
      <c r="H56" s="2">
        <f t="shared" ca="1" si="14"/>
        <v>34.23090566183263</v>
      </c>
      <c r="I56" s="2">
        <f t="shared" ca="1" si="14"/>
        <v>30.389299774450031</v>
      </c>
      <c r="J56" s="2">
        <f t="shared" ca="1" si="14"/>
        <v>25.047605210380418</v>
      </c>
      <c r="K56" s="2">
        <f t="shared" ca="1" si="14"/>
        <v>32.795723599899837</v>
      </c>
      <c r="L56" s="2">
        <f t="shared" ca="1" si="14"/>
        <v>25.43411806958553</v>
      </c>
      <c r="M56" s="2">
        <f t="shared" ca="1" si="14"/>
        <v>30.466464950942044</v>
      </c>
      <c r="N56" s="2">
        <f t="shared" ca="1" si="14"/>
        <v>27.674820025606749</v>
      </c>
      <c r="O56" s="2">
        <f t="shared" ca="1" si="14"/>
        <v>34.396008139629195</v>
      </c>
      <c r="P56" s="2">
        <f t="shared" ca="1" si="14"/>
        <v>32.255150587111828</v>
      </c>
      <c r="Q56" s="2">
        <f t="shared" ca="1" si="14"/>
        <v>26.910586542950249</v>
      </c>
      <c r="R56" s="2">
        <f t="shared" ca="1" si="14"/>
        <v>34.99765121666676</v>
      </c>
      <c r="S56" s="2">
        <f t="shared" ca="1" si="13"/>
        <v>25.084499703713</v>
      </c>
      <c r="T56" s="2">
        <f t="shared" ca="1" si="13"/>
        <v>29.355766308552987</v>
      </c>
      <c r="U56" s="2">
        <f t="shared" ca="1" si="13"/>
        <v>28.210228345878534</v>
      </c>
      <c r="V56" s="2">
        <f t="shared" ca="1" si="13"/>
        <v>32.291573893284223</v>
      </c>
      <c r="W56" s="2">
        <f t="shared" ca="1" si="13"/>
        <v>31.773462429514577</v>
      </c>
      <c r="X56" s="2">
        <f t="shared" ca="1" si="13"/>
        <v>30.21048562222628</v>
      </c>
      <c r="Y56" s="2">
        <f t="shared" ca="1" si="11"/>
        <v>33.721640250728285</v>
      </c>
      <c r="Z56" s="2">
        <f t="shared" ca="1" si="12"/>
        <v>30.812145408913164</v>
      </c>
      <c r="AA56" s="2">
        <f t="shared" ca="1" si="12"/>
        <v>33.105784134756597</v>
      </c>
      <c r="AB56" s="2">
        <f t="shared" ca="1" si="12"/>
        <v>33.442616546375731</v>
      </c>
      <c r="AC56" s="2">
        <f t="shared" ca="1" si="12"/>
        <v>34.687737443799577</v>
      </c>
      <c r="AD56" s="2">
        <f t="shared" ca="1" si="12"/>
        <v>25.858672137661376</v>
      </c>
      <c r="AE56" s="2">
        <f t="shared" ca="1" si="12"/>
        <v>31.296386634640267</v>
      </c>
      <c r="AF56" s="2">
        <f t="shared" ca="1" si="12"/>
        <v>28.704933524917131</v>
      </c>
      <c r="AG56" s="2">
        <f t="shared" ca="1" si="12"/>
        <v>31.062152110838291</v>
      </c>
      <c r="AH56" s="2">
        <f t="shared" ca="1" si="12"/>
        <v>29.77578570523136</v>
      </c>
    </row>
    <row r="57" spans="1:34">
      <c r="A57" t="str">
        <f t="shared" si="6"/>
        <v>Vegetables</v>
      </c>
      <c r="B57" t="str">
        <f t="shared" si="7"/>
        <v>Tigray</v>
      </c>
      <c r="C57" s="2">
        <f t="shared" ca="1" si="14"/>
        <v>34.93989456985728</v>
      </c>
      <c r="D57" s="2">
        <f t="shared" ca="1" si="14"/>
        <v>34.845369425479461</v>
      </c>
      <c r="E57" s="2">
        <f t="shared" ca="1" si="14"/>
        <v>33.241631848160104</v>
      </c>
      <c r="F57" s="2">
        <f t="shared" ca="1" si="14"/>
        <v>28.342805887098741</v>
      </c>
      <c r="G57" s="2">
        <f t="shared" ca="1" si="14"/>
        <v>34.75469984896138</v>
      </c>
      <c r="H57" s="2">
        <f t="shared" ca="1" si="14"/>
        <v>27.178840435200165</v>
      </c>
      <c r="I57" s="2">
        <f t="shared" ca="1" si="14"/>
        <v>26.903343176892818</v>
      </c>
      <c r="J57" s="2">
        <f t="shared" ca="1" si="14"/>
        <v>30.547037991777653</v>
      </c>
      <c r="K57" s="2">
        <f t="shared" ca="1" si="14"/>
        <v>30.993127290094083</v>
      </c>
      <c r="L57" s="2">
        <f t="shared" ca="1" si="14"/>
        <v>26.182878642968053</v>
      </c>
      <c r="M57" s="2">
        <f t="shared" ca="1" si="14"/>
        <v>34.616382803730318</v>
      </c>
      <c r="N57" s="2">
        <f t="shared" ca="1" si="14"/>
        <v>33.557693211204025</v>
      </c>
      <c r="O57" s="2">
        <f t="shared" ca="1" si="14"/>
        <v>27.821347256586066</v>
      </c>
      <c r="P57" s="2">
        <f t="shared" ca="1" si="14"/>
        <v>28.372894585592682</v>
      </c>
      <c r="Q57" s="2">
        <f t="shared" ca="1" si="14"/>
        <v>33.493347966462196</v>
      </c>
      <c r="R57" s="2">
        <f t="shared" ca="1" si="14"/>
        <v>26.845318954741675</v>
      </c>
      <c r="S57" s="2">
        <f t="shared" ca="1" si="13"/>
        <v>30.351599100552349</v>
      </c>
      <c r="T57" s="2">
        <f t="shared" ca="1" si="13"/>
        <v>25.449796281893388</v>
      </c>
      <c r="U57" s="2">
        <f t="shared" ca="1" si="13"/>
        <v>26.527797315942372</v>
      </c>
      <c r="V57" s="2">
        <f t="shared" ca="1" si="13"/>
        <v>28.568614279277149</v>
      </c>
      <c r="W57" s="2">
        <f t="shared" ca="1" si="13"/>
        <v>34.480201348493047</v>
      </c>
      <c r="X57" s="2">
        <f t="shared" ca="1" si="13"/>
        <v>30.516879622140394</v>
      </c>
      <c r="Y57" s="2">
        <f t="shared" ca="1" si="11"/>
        <v>34.986843280133442</v>
      </c>
      <c r="Z57" s="2">
        <f t="shared" ca="1" si="12"/>
        <v>25.395913025851016</v>
      </c>
      <c r="AA57" s="2">
        <f t="shared" ca="1" si="12"/>
        <v>26.897107182149721</v>
      </c>
      <c r="AB57" s="2">
        <f t="shared" ca="1" si="12"/>
        <v>32.901419926449364</v>
      </c>
      <c r="AC57" s="2">
        <f t="shared" ca="1" si="12"/>
        <v>29.301713354761695</v>
      </c>
      <c r="AD57" s="2">
        <f t="shared" ca="1" si="12"/>
        <v>34.976280792650002</v>
      </c>
      <c r="AE57" s="2">
        <f t="shared" ca="1" si="12"/>
        <v>29.305085266215251</v>
      </c>
      <c r="AF57" s="2">
        <f t="shared" ca="1" si="12"/>
        <v>34.518379697086282</v>
      </c>
      <c r="AG57" s="2">
        <f t="shared" ca="1" si="12"/>
        <v>26.281425905018658</v>
      </c>
      <c r="AH57" s="2">
        <f t="shared" ca="1" si="12"/>
        <v>27.791349728589012</v>
      </c>
    </row>
    <row r="58" spans="1:34">
      <c r="A58" t="str">
        <f t="shared" si="6"/>
        <v>Coffee</v>
      </c>
      <c r="B58" t="str">
        <f t="shared" si="7"/>
        <v>AddisAbaba</v>
      </c>
      <c r="C58" s="2">
        <f t="shared" ca="1" si="14"/>
        <v>27.342670581701633</v>
      </c>
      <c r="D58" s="2">
        <f t="shared" ca="1" si="14"/>
        <v>28.249535032885458</v>
      </c>
      <c r="E58" s="2">
        <f t="shared" ca="1" si="14"/>
        <v>31.316081076006572</v>
      </c>
      <c r="F58" s="2">
        <f t="shared" ca="1" si="14"/>
        <v>33.634880761681991</v>
      </c>
      <c r="G58" s="2">
        <f t="shared" ca="1" si="14"/>
        <v>27.750208710364063</v>
      </c>
      <c r="H58" s="2">
        <f t="shared" ca="1" si="14"/>
        <v>33.742471626792188</v>
      </c>
      <c r="I58" s="2">
        <f t="shared" ca="1" si="14"/>
        <v>32.602039871377386</v>
      </c>
      <c r="J58" s="2">
        <f t="shared" ca="1" si="14"/>
        <v>34.235841327319008</v>
      </c>
      <c r="K58" s="2">
        <f t="shared" ca="1" si="14"/>
        <v>28.504097050563288</v>
      </c>
      <c r="L58" s="2">
        <f t="shared" ca="1" si="14"/>
        <v>29.660084716156703</v>
      </c>
      <c r="M58" s="2">
        <f t="shared" ca="1" si="14"/>
        <v>34.702948958970858</v>
      </c>
      <c r="N58" s="2">
        <f t="shared" ca="1" si="14"/>
        <v>34.57251417716833</v>
      </c>
      <c r="O58" s="2">
        <f t="shared" ca="1" si="14"/>
        <v>28.382254068621098</v>
      </c>
      <c r="P58" s="2">
        <f t="shared" ca="1" si="14"/>
        <v>26.579703837638636</v>
      </c>
      <c r="Q58" s="2">
        <f t="shared" ca="1" si="14"/>
        <v>25.582929810702431</v>
      </c>
      <c r="R58" s="2">
        <f t="shared" ca="1" si="14"/>
        <v>25.587400517480997</v>
      </c>
      <c r="S58" s="2">
        <f t="shared" ca="1" si="13"/>
        <v>30.727945171446677</v>
      </c>
      <c r="T58" s="2">
        <f t="shared" ca="1" si="13"/>
        <v>31.697753781951192</v>
      </c>
      <c r="U58" s="2">
        <f t="shared" ca="1" si="13"/>
        <v>26.440467584776606</v>
      </c>
      <c r="V58" s="2">
        <f t="shared" ca="1" si="13"/>
        <v>33.177202183572319</v>
      </c>
      <c r="W58" s="2">
        <f t="shared" ca="1" si="13"/>
        <v>30.554396669832215</v>
      </c>
      <c r="X58" s="2">
        <f t="shared" ca="1" si="13"/>
        <v>33.344863507195093</v>
      </c>
      <c r="Y58" s="2">
        <f t="shared" ca="1" si="11"/>
        <v>32.149034515910493</v>
      </c>
      <c r="Z58" s="2">
        <f t="shared" ca="1" si="12"/>
        <v>32.997524219231536</v>
      </c>
      <c r="AA58" s="2">
        <f t="shared" ca="1" si="12"/>
        <v>29.411387445336182</v>
      </c>
      <c r="AB58" s="2">
        <f t="shared" ca="1" si="12"/>
        <v>27.969306794150874</v>
      </c>
      <c r="AC58" s="2">
        <f t="shared" ca="1" si="12"/>
        <v>34.381601430619597</v>
      </c>
      <c r="AD58" s="2">
        <f t="shared" ca="1" si="12"/>
        <v>29.138476442626789</v>
      </c>
      <c r="AE58" s="2">
        <f t="shared" ca="1" si="12"/>
        <v>28.68773683937599</v>
      </c>
      <c r="AF58" s="2">
        <f t="shared" ca="1" si="12"/>
        <v>30.980692218065261</v>
      </c>
      <c r="AG58" s="2">
        <f t="shared" ca="1" si="12"/>
        <v>34.443372989534929</v>
      </c>
      <c r="AH58" s="2">
        <f t="shared" ca="1" si="12"/>
        <v>27.051340389355193</v>
      </c>
    </row>
    <row r="59" spans="1:34">
      <c r="A59" t="str">
        <f t="shared" si="6"/>
        <v>Coffee</v>
      </c>
      <c r="B59" t="str">
        <f t="shared" si="7"/>
        <v>Afar</v>
      </c>
      <c r="C59" s="2">
        <f t="shared" ca="1" si="14"/>
        <v>28.005092994577296</v>
      </c>
      <c r="D59" s="2">
        <f t="shared" ca="1" si="14"/>
        <v>30.332202466885406</v>
      </c>
      <c r="E59" s="2">
        <f t="shared" ca="1" si="14"/>
        <v>26.530150432518429</v>
      </c>
      <c r="F59" s="2">
        <f t="shared" ca="1" si="14"/>
        <v>29.396939907420304</v>
      </c>
      <c r="G59" s="2">
        <f t="shared" ca="1" si="14"/>
        <v>31.173660426244922</v>
      </c>
      <c r="H59" s="2">
        <f t="shared" ca="1" si="14"/>
        <v>30.828250058943549</v>
      </c>
      <c r="I59" s="2">
        <f t="shared" ca="1" si="14"/>
        <v>27.0957374442252</v>
      </c>
      <c r="J59" s="2">
        <f t="shared" ca="1" si="14"/>
        <v>25.097115596822341</v>
      </c>
      <c r="K59" s="2">
        <f t="shared" ca="1" si="14"/>
        <v>25.501749170017966</v>
      </c>
      <c r="L59" s="2">
        <f t="shared" ca="1" si="14"/>
        <v>29.483478600650553</v>
      </c>
      <c r="M59" s="2">
        <f t="shared" ca="1" si="14"/>
        <v>31.054975963050246</v>
      </c>
      <c r="N59" s="2">
        <f t="shared" ca="1" si="14"/>
        <v>28.734289753060448</v>
      </c>
      <c r="O59" s="2">
        <f t="shared" ca="1" si="14"/>
        <v>29.439918503641664</v>
      </c>
      <c r="P59" s="2">
        <f t="shared" ca="1" si="14"/>
        <v>28.884320937801373</v>
      </c>
      <c r="Q59" s="2">
        <f t="shared" ca="1" si="14"/>
        <v>33.993663871607694</v>
      </c>
      <c r="R59" s="2">
        <f t="shared" ca="1" si="14"/>
        <v>26.65727859034391</v>
      </c>
      <c r="S59" s="2">
        <f t="shared" ca="1" si="13"/>
        <v>33.608310237250109</v>
      </c>
      <c r="T59" s="2">
        <f t="shared" ca="1" si="13"/>
        <v>28.168616406744903</v>
      </c>
      <c r="U59" s="2">
        <f t="shared" ca="1" si="13"/>
        <v>33.170972799832768</v>
      </c>
      <c r="V59" s="2">
        <f t="shared" ca="1" si="13"/>
        <v>33.754281210513454</v>
      </c>
      <c r="W59" s="2">
        <f t="shared" ca="1" si="13"/>
        <v>32.299611770921246</v>
      </c>
      <c r="X59" s="2">
        <f t="shared" ca="1" si="13"/>
        <v>29.741571084364701</v>
      </c>
      <c r="Y59" s="2">
        <f t="shared" ca="1" si="11"/>
        <v>32.71223794273395</v>
      </c>
      <c r="Z59" s="2">
        <f t="shared" ca="1" si="12"/>
        <v>30.817672808046602</v>
      </c>
      <c r="AA59" s="2">
        <f t="shared" ca="1" si="12"/>
        <v>29.779791833154448</v>
      </c>
      <c r="AB59" s="2">
        <f t="shared" ca="1" si="12"/>
        <v>26.487704929930732</v>
      </c>
      <c r="AC59" s="2">
        <f t="shared" ca="1" si="12"/>
        <v>25.804967946525196</v>
      </c>
      <c r="AD59" s="2">
        <f t="shared" ca="1" si="12"/>
        <v>25.208732438863631</v>
      </c>
      <c r="AE59" s="2">
        <f t="shared" ca="1" si="12"/>
        <v>32.637778728127394</v>
      </c>
      <c r="AF59" s="2">
        <f t="shared" ca="1" si="12"/>
        <v>26.128490174118415</v>
      </c>
      <c r="AG59" s="2">
        <f t="shared" ca="1" si="12"/>
        <v>30.423461188929458</v>
      </c>
      <c r="AH59" s="2">
        <f t="shared" ca="1" si="12"/>
        <v>25.800939178732875</v>
      </c>
    </row>
    <row r="60" spans="1:34">
      <c r="A60" t="str">
        <f t="shared" si="6"/>
        <v>Coffee</v>
      </c>
      <c r="B60" t="str">
        <f t="shared" si="7"/>
        <v>Amhara</v>
      </c>
      <c r="C60" s="2">
        <f t="shared" ca="1" si="14"/>
        <v>25.402320778138105</v>
      </c>
      <c r="D60" s="2">
        <f t="shared" ca="1" si="14"/>
        <v>32.679182737458696</v>
      </c>
      <c r="E60" s="2">
        <f t="shared" ca="1" si="14"/>
        <v>33.412844277112647</v>
      </c>
      <c r="F60" s="2">
        <f t="shared" ca="1" si="14"/>
        <v>25.222590299200366</v>
      </c>
      <c r="G60" s="2">
        <f t="shared" ca="1" si="14"/>
        <v>34.516416499437277</v>
      </c>
      <c r="H60" s="2">
        <f t="shared" ca="1" si="14"/>
        <v>30.103810358554256</v>
      </c>
      <c r="I60" s="2">
        <f t="shared" ca="1" si="14"/>
        <v>31.974813072893397</v>
      </c>
      <c r="J60" s="2">
        <f t="shared" ca="1" si="14"/>
        <v>28.142685958948064</v>
      </c>
      <c r="K60" s="2">
        <f t="shared" ca="1" si="14"/>
        <v>33.948624000772654</v>
      </c>
      <c r="L60" s="2">
        <f t="shared" ca="1" si="14"/>
        <v>30.906065792749253</v>
      </c>
      <c r="M60" s="2">
        <f t="shared" ca="1" si="14"/>
        <v>28.372264795505767</v>
      </c>
      <c r="N60" s="2">
        <f t="shared" ca="1" si="14"/>
        <v>25.73532720071519</v>
      </c>
      <c r="O60" s="2">
        <f t="shared" ca="1" si="14"/>
        <v>28.732557937301799</v>
      </c>
      <c r="P60" s="2">
        <f t="shared" ca="1" si="14"/>
        <v>30.693246216215897</v>
      </c>
      <c r="Q60" s="2">
        <f t="shared" ca="1" si="14"/>
        <v>28.502367250235181</v>
      </c>
      <c r="R60" s="2">
        <f t="shared" ca="1" si="14"/>
        <v>26.391356462999525</v>
      </c>
      <c r="S60" s="2">
        <f t="shared" ca="1" si="13"/>
        <v>30.071169101353284</v>
      </c>
      <c r="T60" s="2">
        <f t="shared" ca="1" si="13"/>
        <v>27.929384556890589</v>
      </c>
      <c r="U60" s="2">
        <f t="shared" ca="1" si="13"/>
        <v>31.945463696118065</v>
      </c>
      <c r="V60" s="2">
        <f t="shared" ca="1" si="13"/>
        <v>25.668605893030183</v>
      </c>
      <c r="W60" s="2">
        <f t="shared" ca="1" si="13"/>
        <v>33.096699936088747</v>
      </c>
      <c r="X60" s="2">
        <f t="shared" ca="1" si="13"/>
        <v>31.908734397172967</v>
      </c>
      <c r="Y60" s="2">
        <f t="shared" ca="1" si="11"/>
        <v>27.048983233602261</v>
      </c>
      <c r="Z60" s="2">
        <f t="shared" ca="1" si="12"/>
        <v>27.494362183032166</v>
      </c>
      <c r="AA60" s="2">
        <f t="shared" ca="1" si="12"/>
        <v>30.133580764570201</v>
      </c>
      <c r="AB60" s="2">
        <f t="shared" ca="1" si="12"/>
        <v>31.29340876321649</v>
      </c>
      <c r="AC60" s="2">
        <f t="shared" ca="1" si="12"/>
        <v>26.45557574392566</v>
      </c>
      <c r="AD60" s="2">
        <f t="shared" ca="1" si="12"/>
        <v>34.159513249322757</v>
      </c>
      <c r="AE60" s="2">
        <f t="shared" ca="1" si="12"/>
        <v>30.943335206775224</v>
      </c>
      <c r="AF60" s="2">
        <f t="shared" ca="1" si="12"/>
        <v>25.479732562370394</v>
      </c>
      <c r="AG60" s="2">
        <f t="shared" ca="1" si="12"/>
        <v>28.597240134173788</v>
      </c>
      <c r="AH60" s="2">
        <f t="shared" ca="1" si="12"/>
        <v>32.889088807904635</v>
      </c>
    </row>
    <row r="61" spans="1:34">
      <c r="A61" t="str">
        <f t="shared" si="6"/>
        <v>Coffee</v>
      </c>
      <c r="B61" t="str">
        <f t="shared" si="7"/>
        <v>Gumuz</v>
      </c>
      <c r="C61" s="2">
        <f t="shared" ca="1" si="14"/>
        <v>34.535889621722646</v>
      </c>
      <c r="D61" s="2">
        <f t="shared" ca="1" si="14"/>
        <v>34.127573751968747</v>
      </c>
      <c r="E61" s="2">
        <f t="shared" ca="1" si="14"/>
        <v>31.777968137785855</v>
      </c>
      <c r="F61" s="2">
        <f t="shared" ca="1" si="14"/>
        <v>32.071923568493908</v>
      </c>
      <c r="G61" s="2">
        <f t="shared" ca="1" si="14"/>
        <v>25.747516761418442</v>
      </c>
      <c r="H61" s="2">
        <f t="shared" ca="1" si="14"/>
        <v>33.084541808885923</v>
      </c>
      <c r="I61" s="2">
        <f t="shared" ca="1" si="14"/>
        <v>27.463838779125183</v>
      </c>
      <c r="J61" s="2">
        <f t="shared" ca="1" si="14"/>
        <v>30.005199164053721</v>
      </c>
      <c r="K61" s="2">
        <f t="shared" ca="1" si="14"/>
        <v>33.90646634473157</v>
      </c>
      <c r="L61" s="2">
        <f t="shared" ca="1" si="14"/>
        <v>32.924501303960525</v>
      </c>
      <c r="M61" s="2">
        <f t="shared" ca="1" si="14"/>
        <v>27.292775271648495</v>
      </c>
      <c r="N61" s="2">
        <f t="shared" ca="1" si="14"/>
        <v>32.486284017090739</v>
      </c>
      <c r="O61" s="2">
        <f t="shared" ca="1" si="14"/>
        <v>25.910944549436515</v>
      </c>
      <c r="P61" s="2">
        <f t="shared" ca="1" si="14"/>
        <v>33.450659034435979</v>
      </c>
      <c r="Q61" s="2">
        <f t="shared" ca="1" si="14"/>
        <v>34.040437776735793</v>
      </c>
      <c r="R61" s="2">
        <f t="shared" ca="1" si="14"/>
        <v>33.459885022258121</v>
      </c>
      <c r="S61" s="2">
        <f t="shared" ca="1" si="13"/>
        <v>25.902398611232492</v>
      </c>
      <c r="T61" s="2">
        <f t="shared" ca="1" si="13"/>
        <v>31.319210947433369</v>
      </c>
      <c r="U61" s="2">
        <f t="shared" ca="1" si="13"/>
        <v>31.76486580709442</v>
      </c>
      <c r="V61" s="2">
        <f t="shared" ca="1" si="13"/>
        <v>34.672626298729355</v>
      </c>
      <c r="W61" s="2">
        <f t="shared" ca="1" si="13"/>
        <v>32.744911694853457</v>
      </c>
      <c r="X61" s="2">
        <f t="shared" ca="1" si="13"/>
        <v>33.776283488196185</v>
      </c>
      <c r="Y61" s="2">
        <f t="shared" ca="1" si="11"/>
        <v>26.522546482531197</v>
      </c>
      <c r="Z61" s="2">
        <f t="shared" ca="1" si="12"/>
        <v>26.641423729679687</v>
      </c>
      <c r="AA61" s="2">
        <f t="shared" ca="1" si="12"/>
        <v>34.539342482393778</v>
      </c>
      <c r="AB61" s="2">
        <f t="shared" ca="1" si="12"/>
        <v>30.45399311217054</v>
      </c>
      <c r="AC61" s="2">
        <f t="shared" ca="1" si="12"/>
        <v>34.487911966802436</v>
      </c>
      <c r="AD61" s="2">
        <f t="shared" ca="1" si="12"/>
        <v>27.69771385171968</v>
      </c>
      <c r="AE61" s="2">
        <f t="shared" ca="1" si="12"/>
        <v>26.700756974447501</v>
      </c>
      <c r="AF61" s="2">
        <f t="shared" ca="1" si="12"/>
        <v>33.019608305827134</v>
      </c>
      <c r="AG61" s="2">
        <f t="shared" ca="1" si="12"/>
        <v>30.814700731082745</v>
      </c>
      <c r="AH61" s="2">
        <f t="shared" ca="1" si="12"/>
        <v>31.875198153293702</v>
      </c>
    </row>
    <row r="62" spans="1:34">
      <c r="A62" t="str">
        <f t="shared" si="6"/>
        <v>Coffee</v>
      </c>
      <c r="B62" t="str">
        <f t="shared" si="7"/>
        <v>DireDawa</v>
      </c>
      <c r="C62" s="2">
        <f t="shared" ca="1" si="14"/>
        <v>26.692584159297972</v>
      </c>
      <c r="D62" s="2">
        <f t="shared" ca="1" si="14"/>
        <v>25.684167772661645</v>
      </c>
      <c r="E62" s="2">
        <f t="shared" ca="1" si="14"/>
        <v>34.808202078763081</v>
      </c>
      <c r="F62" s="2">
        <f t="shared" ca="1" si="14"/>
        <v>26.940179333626698</v>
      </c>
      <c r="G62" s="2">
        <f t="shared" ca="1" si="14"/>
        <v>30.819796191715298</v>
      </c>
      <c r="H62" s="2">
        <f t="shared" ca="1" si="14"/>
        <v>30.548475611505516</v>
      </c>
      <c r="I62" s="2">
        <f t="shared" ca="1" si="14"/>
        <v>30.509357267314495</v>
      </c>
      <c r="J62" s="2">
        <f t="shared" ca="1" si="14"/>
        <v>29.103554009724345</v>
      </c>
      <c r="K62" s="2">
        <f t="shared" ca="1" si="14"/>
        <v>33.797620530233452</v>
      </c>
      <c r="L62" s="2">
        <f t="shared" ca="1" si="14"/>
        <v>25.305574012177114</v>
      </c>
      <c r="M62" s="2">
        <f t="shared" ca="1" si="14"/>
        <v>30.555044962983221</v>
      </c>
      <c r="N62" s="2">
        <f t="shared" ca="1" si="14"/>
        <v>30.711446756866934</v>
      </c>
      <c r="O62" s="2">
        <f t="shared" ca="1" si="14"/>
        <v>33.484612708040871</v>
      </c>
      <c r="P62" s="2">
        <f t="shared" ca="1" si="14"/>
        <v>27.829241600195232</v>
      </c>
      <c r="Q62" s="2">
        <f t="shared" ca="1" si="14"/>
        <v>32.645974718220302</v>
      </c>
      <c r="R62" s="2">
        <f t="shared" ca="1" si="14"/>
        <v>31.603603206595498</v>
      </c>
      <c r="S62" s="2">
        <f t="shared" ca="1" si="13"/>
        <v>25.906347624692469</v>
      </c>
      <c r="T62" s="2">
        <f t="shared" ca="1" si="13"/>
        <v>30.156057655175395</v>
      </c>
      <c r="U62" s="2">
        <f t="shared" ca="1" si="13"/>
        <v>30.215333459692317</v>
      </c>
      <c r="V62" s="2">
        <f t="shared" ca="1" si="13"/>
        <v>28.92472202480041</v>
      </c>
      <c r="W62" s="2">
        <f t="shared" ca="1" si="13"/>
        <v>27.530244040429963</v>
      </c>
      <c r="X62" s="2">
        <f t="shared" ca="1" si="13"/>
        <v>26.064350728923273</v>
      </c>
      <c r="Y62" s="2">
        <f t="shared" ca="1" si="11"/>
        <v>29.500383639617205</v>
      </c>
      <c r="Z62" s="2">
        <f t="shared" ca="1" si="12"/>
        <v>32.753165696968608</v>
      </c>
      <c r="AA62" s="2">
        <f t="shared" ca="1" si="12"/>
        <v>31.864740977018972</v>
      </c>
      <c r="AB62" s="2">
        <f t="shared" ca="1" si="12"/>
        <v>25.192937081493859</v>
      </c>
      <c r="AC62" s="2">
        <f t="shared" ca="1" si="12"/>
        <v>32.815509884193766</v>
      </c>
      <c r="AD62" s="2">
        <f t="shared" ca="1" si="12"/>
        <v>33.026771258100098</v>
      </c>
      <c r="AE62" s="2">
        <f t="shared" ca="1" si="12"/>
        <v>31.806031765084512</v>
      </c>
      <c r="AF62" s="2">
        <f t="shared" ca="1" si="12"/>
        <v>26.664800459875636</v>
      </c>
      <c r="AG62" s="2">
        <f t="shared" ca="1" si="12"/>
        <v>31.177830382635186</v>
      </c>
      <c r="AH62" s="2">
        <f t="shared" ca="1" si="12"/>
        <v>31.372665173250166</v>
      </c>
    </row>
    <row r="63" spans="1:34">
      <c r="A63" t="str">
        <f t="shared" si="6"/>
        <v>Coffee</v>
      </c>
      <c r="B63" t="str">
        <f t="shared" si="7"/>
        <v>Gambela</v>
      </c>
      <c r="C63" s="2">
        <f t="shared" ca="1" si="14"/>
        <v>26.020842339573377</v>
      </c>
      <c r="D63" s="2">
        <f t="shared" ca="1" si="14"/>
        <v>30.743394969576109</v>
      </c>
      <c r="E63" s="2">
        <f t="shared" ca="1" si="14"/>
        <v>32.663255559411056</v>
      </c>
      <c r="F63" s="2">
        <f t="shared" ca="1" si="14"/>
        <v>27.695555891294681</v>
      </c>
      <c r="G63" s="2">
        <f t="shared" ca="1" si="14"/>
        <v>29.198433179361682</v>
      </c>
      <c r="H63" s="2">
        <f t="shared" ca="1" si="14"/>
        <v>28.57155902931315</v>
      </c>
      <c r="I63" s="2">
        <f t="shared" ca="1" si="14"/>
        <v>28.069797759900798</v>
      </c>
      <c r="J63" s="2">
        <f t="shared" ca="1" si="14"/>
        <v>27.717587862975797</v>
      </c>
      <c r="K63" s="2">
        <f t="shared" ca="1" si="14"/>
        <v>33.685424215389276</v>
      </c>
      <c r="L63" s="2">
        <f t="shared" ca="1" si="14"/>
        <v>33.16052022783726</v>
      </c>
      <c r="M63" s="2">
        <f t="shared" ca="1" si="14"/>
        <v>32.774393729719897</v>
      </c>
      <c r="N63" s="2">
        <f t="shared" ca="1" si="14"/>
        <v>28.427031780065409</v>
      </c>
      <c r="O63" s="2">
        <f t="shared" ca="1" si="14"/>
        <v>30.510289600423199</v>
      </c>
      <c r="P63" s="2">
        <f t="shared" ca="1" si="14"/>
        <v>33.964637010476949</v>
      </c>
      <c r="Q63" s="2">
        <f t="shared" ca="1" si="14"/>
        <v>27.247352399337185</v>
      </c>
      <c r="R63" s="2">
        <f t="shared" ca="1" si="14"/>
        <v>30.349214833578564</v>
      </c>
      <c r="S63" s="2">
        <f t="shared" ca="1" si="13"/>
        <v>34.627484340998819</v>
      </c>
      <c r="T63" s="2">
        <f t="shared" ca="1" si="13"/>
        <v>34.277033627238879</v>
      </c>
      <c r="U63" s="2">
        <f t="shared" ca="1" si="13"/>
        <v>28.337084931202334</v>
      </c>
      <c r="V63" s="2">
        <f t="shared" ca="1" si="13"/>
        <v>31.715077983048381</v>
      </c>
      <c r="W63" s="2">
        <f t="shared" ca="1" si="13"/>
        <v>25.47859660236206</v>
      </c>
      <c r="X63" s="2">
        <f t="shared" ca="1" si="13"/>
        <v>33.424448642370379</v>
      </c>
      <c r="Y63" s="2">
        <f t="shared" ca="1" si="11"/>
        <v>32.707258289967953</v>
      </c>
      <c r="Z63" s="2">
        <f t="shared" ca="1" si="12"/>
        <v>25.094968631426106</v>
      </c>
      <c r="AA63" s="2">
        <f t="shared" ca="1" si="12"/>
        <v>32.865526942052938</v>
      </c>
      <c r="AB63" s="2">
        <f t="shared" ca="1" si="12"/>
        <v>30.499721150218466</v>
      </c>
      <c r="AC63" s="2">
        <f t="shared" ca="1" si="12"/>
        <v>29.696918524899289</v>
      </c>
      <c r="AD63" s="2">
        <f t="shared" ca="1" si="12"/>
        <v>26.36039526323124</v>
      </c>
      <c r="AE63" s="2">
        <f t="shared" ca="1" si="12"/>
        <v>31.681609980057111</v>
      </c>
      <c r="AF63" s="2">
        <f t="shared" ca="1" si="12"/>
        <v>30.618091789074654</v>
      </c>
      <c r="AG63" s="2">
        <f t="shared" ca="1" si="12"/>
        <v>26.604778129760845</v>
      </c>
      <c r="AH63" s="2">
        <f t="shared" ca="1" si="12"/>
        <v>32.572611357051535</v>
      </c>
    </row>
    <row r="64" spans="1:34">
      <c r="A64" t="str">
        <f t="shared" si="6"/>
        <v>Coffee</v>
      </c>
      <c r="B64" t="str">
        <f t="shared" si="7"/>
        <v>Harari</v>
      </c>
      <c r="C64" s="2">
        <f t="shared" ca="1" si="14"/>
        <v>26.306305562962997</v>
      </c>
      <c r="D64" s="2">
        <f t="shared" ca="1" si="14"/>
        <v>25.173180645868189</v>
      </c>
      <c r="E64" s="2">
        <f t="shared" ca="1" si="14"/>
        <v>33.12466835187724</v>
      </c>
      <c r="F64" s="2">
        <f t="shared" ca="1" si="14"/>
        <v>26.002824747739449</v>
      </c>
      <c r="G64" s="2">
        <f t="shared" ca="1" si="14"/>
        <v>25.864634021003077</v>
      </c>
      <c r="H64" s="2">
        <f t="shared" ca="1" si="14"/>
        <v>27.728484634153606</v>
      </c>
      <c r="I64" s="2">
        <f t="shared" ca="1" si="14"/>
        <v>33.760168648935661</v>
      </c>
      <c r="J64" s="2">
        <f t="shared" ca="1" si="14"/>
        <v>28.777097299759212</v>
      </c>
      <c r="K64" s="2">
        <f t="shared" ca="1" si="14"/>
        <v>28.564091783660579</v>
      </c>
      <c r="L64" s="2">
        <f t="shared" ca="1" si="14"/>
        <v>27.58604352424598</v>
      </c>
      <c r="M64" s="2">
        <f t="shared" ca="1" si="14"/>
        <v>25.976643592212465</v>
      </c>
      <c r="N64" s="2">
        <f t="shared" ca="1" si="14"/>
        <v>32.121629799701878</v>
      </c>
      <c r="O64" s="2">
        <f t="shared" ca="1" si="14"/>
        <v>30.155649938486317</v>
      </c>
      <c r="P64" s="2">
        <f t="shared" ca="1" si="14"/>
        <v>25.04721486008199</v>
      </c>
      <c r="Q64" s="2">
        <f t="shared" ca="1" si="14"/>
        <v>30.200496777303023</v>
      </c>
      <c r="R64" s="2">
        <f t="shared" ca="1" si="14"/>
        <v>30.750748917084181</v>
      </c>
      <c r="S64" s="2">
        <f t="shared" ca="1" si="13"/>
        <v>27.084371967301799</v>
      </c>
      <c r="T64" s="2">
        <f t="shared" ca="1" si="13"/>
        <v>29.398916312405664</v>
      </c>
      <c r="U64" s="2">
        <f t="shared" ca="1" si="13"/>
        <v>30.076535482721546</v>
      </c>
      <c r="V64" s="2">
        <f t="shared" ca="1" si="13"/>
        <v>25.731652949510703</v>
      </c>
      <c r="W64" s="2">
        <f t="shared" ca="1" si="13"/>
        <v>28.048106483744469</v>
      </c>
      <c r="X64" s="2">
        <f t="shared" ca="1" si="13"/>
        <v>33.612596261640839</v>
      </c>
      <c r="Y64" s="2">
        <f t="shared" ca="1" si="11"/>
        <v>31.893102212530589</v>
      </c>
      <c r="Z64" s="2">
        <f t="shared" ca="1" si="12"/>
        <v>29.240449276429175</v>
      </c>
      <c r="AA64" s="2">
        <f t="shared" ca="1" si="12"/>
        <v>34.887932410007934</v>
      </c>
      <c r="AB64" s="2">
        <f t="shared" ca="1" si="12"/>
        <v>27.428867261117432</v>
      </c>
      <c r="AC64" s="2">
        <f t="shared" ca="1" si="12"/>
        <v>32.353337105864455</v>
      </c>
      <c r="AD64" s="2">
        <f t="shared" ca="1" si="12"/>
        <v>29.862217292139533</v>
      </c>
      <c r="AE64" s="2">
        <f t="shared" ca="1" si="12"/>
        <v>29.654602494766927</v>
      </c>
      <c r="AF64" s="2">
        <f t="shared" ca="1" si="12"/>
        <v>30.696127298228273</v>
      </c>
      <c r="AG64" s="2">
        <f t="shared" ca="1" si="12"/>
        <v>34.65925014163598</v>
      </c>
      <c r="AH64" s="2">
        <f t="shared" ca="1" si="12"/>
        <v>28.519497157169418</v>
      </c>
    </row>
    <row r="65" spans="1:34">
      <c r="A65" t="str">
        <f t="shared" si="6"/>
        <v>Coffee</v>
      </c>
      <c r="B65" t="str">
        <f t="shared" si="7"/>
        <v>Oromia</v>
      </c>
      <c r="C65" s="2">
        <f t="shared" ca="1" si="14"/>
        <v>27.311928979036857</v>
      </c>
      <c r="D65" s="2">
        <f t="shared" ca="1" si="14"/>
        <v>29.678192396733024</v>
      </c>
      <c r="E65" s="2">
        <f t="shared" ca="1" si="14"/>
        <v>25.794677013075638</v>
      </c>
      <c r="F65" s="2">
        <f t="shared" ca="1" si="14"/>
        <v>28.882235438479015</v>
      </c>
      <c r="G65" s="2">
        <f t="shared" ca="1" si="14"/>
        <v>27.553807158179975</v>
      </c>
      <c r="H65" s="2">
        <f t="shared" ca="1" si="14"/>
        <v>32.544467026415148</v>
      </c>
      <c r="I65" s="2">
        <f t="shared" ca="1" si="14"/>
        <v>30.434785326806942</v>
      </c>
      <c r="J65" s="2">
        <f t="shared" ca="1" si="14"/>
        <v>27.323337322781896</v>
      </c>
      <c r="K65" s="2">
        <f t="shared" ca="1" si="14"/>
        <v>26.289827786508187</v>
      </c>
      <c r="L65" s="2">
        <f t="shared" ca="1" si="14"/>
        <v>33.327234940542759</v>
      </c>
      <c r="M65" s="2">
        <f t="shared" ca="1" si="14"/>
        <v>27.190556251470586</v>
      </c>
      <c r="N65" s="2">
        <f t="shared" ca="1" si="14"/>
        <v>27.448077014291901</v>
      </c>
      <c r="O65" s="2">
        <f t="shared" ca="1" si="14"/>
        <v>29.162586083951105</v>
      </c>
      <c r="P65" s="2">
        <f t="shared" ca="1" si="14"/>
        <v>30.084529096056784</v>
      </c>
      <c r="Q65" s="2">
        <f t="shared" ca="1" si="14"/>
        <v>25.991407792491668</v>
      </c>
      <c r="R65" s="2">
        <f t="shared" ca="1" si="14"/>
        <v>31.290058710854296</v>
      </c>
      <c r="S65" s="2">
        <f t="shared" ca="1" si="13"/>
        <v>25.807924652279077</v>
      </c>
      <c r="T65" s="2">
        <f t="shared" ca="1" si="13"/>
        <v>30.279290711528191</v>
      </c>
      <c r="U65" s="2">
        <f t="shared" ca="1" si="13"/>
        <v>30.585310403635042</v>
      </c>
      <c r="V65" s="2">
        <f t="shared" ca="1" si="13"/>
        <v>32.00953395349331</v>
      </c>
      <c r="W65" s="2">
        <f t="shared" ca="1" si="13"/>
        <v>28.159998857176738</v>
      </c>
      <c r="X65" s="2">
        <f t="shared" ca="1" si="13"/>
        <v>32.261632088722806</v>
      </c>
      <c r="Y65" s="2">
        <f t="shared" ca="1" si="11"/>
        <v>34.515308754968785</v>
      </c>
      <c r="Z65" s="2">
        <f t="shared" ca="1" si="12"/>
        <v>25.331467700164254</v>
      </c>
      <c r="AA65" s="2">
        <f t="shared" ca="1" si="12"/>
        <v>32.53696892624113</v>
      </c>
      <c r="AB65" s="2">
        <f t="shared" ca="1" si="12"/>
        <v>33.107921070166114</v>
      </c>
      <c r="AC65" s="2">
        <f t="shared" ca="1" si="12"/>
        <v>31.082652664559404</v>
      </c>
      <c r="AD65" s="2">
        <f t="shared" ca="1" si="12"/>
        <v>33.733343218981354</v>
      </c>
      <c r="AE65" s="2">
        <f t="shared" ca="1" si="12"/>
        <v>33.582455774918841</v>
      </c>
      <c r="AF65" s="2">
        <f t="shared" ca="1" si="12"/>
        <v>33.135006378616296</v>
      </c>
      <c r="AG65" s="2">
        <f t="shared" ca="1" si="12"/>
        <v>32.875801859859891</v>
      </c>
      <c r="AH65" s="2">
        <f t="shared" ca="1" si="12"/>
        <v>28.402897433585697</v>
      </c>
    </row>
    <row r="66" spans="1:34">
      <c r="A66" t="str">
        <f t="shared" si="6"/>
        <v>Coffee</v>
      </c>
      <c r="B66" t="str">
        <f t="shared" si="7"/>
        <v>Somali</v>
      </c>
      <c r="C66" s="2">
        <f t="shared" ca="1" si="14"/>
        <v>29.248240463700498</v>
      </c>
      <c r="D66" s="2">
        <f t="shared" ca="1" si="14"/>
        <v>33.617373947174507</v>
      </c>
      <c r="E66" s="2">
        <f t="shared" ca="1" si="14"/>
        <v>25.504373654923747</v>
      </c>
      <c r="F66" s="2">
        <f t="shared" ca="1" si="14"/>
        <v>26.733638450301282</v>
      </c>
      <c r="G66" s="2">
        <f t="shared" ca="1" si="14"/>
        <v>25.417114944418699</v>
      </c>
      <c r="H66" s="2">
        <f t="shared" ca="1" si="14"/>
        <v>25.027474346555401</v>
      </c>
      <c r="I66" s="2">
        <f t="shared" ca="1" si="14"/>
        <v>32.682452669245819</v>
      </c>
      <c r="J66" s="2">
        <f t="shared" ca="1" si="14"/>
        <v>32.016590519803479</v>
      </c>
      <c r="K66" s="2">
        <f t="shared" ca="1" si="14"/>
        <v>30.703117751528666</v>
      </c>
      <c r="L66" s="2">
        <f t="shared" ca="1" si="14"/>
        <v>33.030660553996952</v>
      </c>
      <c r="M66" s="2">
        <f t="shared" ca="1" si="14"/>
        <v>34.198687377706932</v>
      </c>
      <c r="N66" s="2">
        <f t="shared" ca="1" si="14"/>
        <v>29.483158176735436</v>
      </c>
      <c r="O66" s="2">
        <f t="shared" ca="1" si="14"/>
        <v>32.607725611820705</v>
      </c>
      <c r="P66" s="2">
        <f t="shared" ca="1" si="14"/>
        <v>33.143673040940349</v>
      </c>
      <c r="Q66" s="2">
        <f t="shared" ca="1" si="14"/>
        <v>33.401415164716717</v>
      </c>
      <c r="R66" s="2">
        <f t="shared" ca="1" si="14"/>
        <v>32.969992777688788</v>
      </c>
      <c r="S66" s="2">
        <f t="shared" ca="1" si="13"/>
        <v>34.053585946257385</v>
      </c>
      <c r="T66" s="2">
        <f t="shared" ca="1" si="13"/>
        <v>25.941598923601585</v>
      </c>
      <c r="U66" s="2">
        <f t="shared" ca="1" si="13"/>
        <v>31.870596290246311</v>
      </c>
      <c r="V66" s="2">
        <f t="shared" ca="1" si="13"/>
        <v>25.585633224575712</v>
      </c>
      <c r="W66" s="2">
        <f t="shared" ca="1" si="13"/>
        <v>25.465671521276665</v>
      </c>
      <c r="X66" s="2">
        <f t="shared" ca="1" si="13"/>
        <v>27.44112366200924</v>
      </c>
      <c r="Y66" s="2">
        <f t="shared" ca="1" si="11"/>
        <v>26.020344810731679</v>
      </c>
      <c r="Z66" s="2">
        <f t="shared" ca="1" si="12"/>
        <v>32.678413549523015</v>
      </c>
      <c r="AA66" s="2">
        <f t="shared" ca="1" si="12"/>
        <v>28.552638720490272</v>
      </c>
      <c r="AB66" s="2">
        <f t="shared" ca="1" si="12"/>
        <v>26.459398802225657</v>
      </c>
      <c r="AC66" s="2">
        <f t="shared" ca="1" si="12"/>
        <v>26.095282858842239</v>
      </c>
      <c r="AD66" s="2">
        <f t="shared" ca="1" si="12"/>
        <v>31.368866647690616</v>
      </c>
      <c r="AE66" s="2">
        <f t="shared" ca="1" si="12"/>
        <v>34.90632067034673</v>
      </c>
      <c r="AF66" s="2">
        <f t="shared" ca="1" si="12"/>
        <v>30.176260311787292</v>
      </c>
      <c r="AG66" s="2">
        <f t="shared" ca="1" si="12"/>
        <v>33.244350609177012</v>
      </c>
      <c r="AH66" s="2">
        <f t="shared" ca="1" si="12"/>
        <v>29.977038059257474</v>
      </c>
    </row>
    <row r="67" spans="1:34">
      <c r="A67" t="str">
        <f t="shared" si="6"/>
        <v>Coffee</v>
      </c>
      <c r="B67" t="str">
        <f t="shared" si="7"/>
        <v>SNNPR</v>
      </c>
      <c r="C67" s="2">
        <f t="shared" ca="1" si="14"/>
        <v>33.746965801387006</v>
      </c>
      <c r="D67" s="2">
        <f t="shared" ca="1" si="14"/>
        <v>29.441314195091984</v>
      </c>
      <c r="E67" s="2">
        <f t="shared" ca="1" si="14"/>
        <v>33.43011176550948</v>
      </c>
      <c r="F67" s="2">
        <f t="shared" ca="1" si="14"/>
        <v>34.080616171543888</v>
      </c>
      <c r="G67" s="2">
        <f t="shared" ca="1" si="14"/>
        <v>27.43587261888106</v>
      </c>
      <c r="H67" s="2">
        <f t="shared" ca="1" si="14"/>
        <v>31.560343423772697</v>
      </c>
      <c r="I67" s="2">
        <f t="shared" ca="1" si="14"/>
        <v>30.948115779809964</v>
      </c>
      <c r="J67" s="2">
        <f t="shared" ca="1" si="14"/>
        <v>34.71477298438225</v>
      </c>
      <c r="K67" s="2">
        <f t="shared" ca="1" si="14"/>
        <v>26.042485076470232</v>
      </c>
      <c r="L67" s="2">
        <f t="shared" ca="1" si="14"/>
        <v>26.719437555373439</v>
      </c>
      <c r="M67" s="2">
        <f t="shared" ca="1" si="14"/>
        <v>32.888808261449739</v>
      </c>
      <c r="N67" s="2">
        <f t="shared" ca="1" si="14"/>
        <v>30.092773769692087</v>
      </c>
      <c r="O67" s="2">
        <f t="shared" ca="1" si="14"/>
        <v>30.210635193810024</v>
      </c>
      <c r="P67" s="2">
        <f t="shared" ca="1" si="14"/>
        <v>27.974246964192378</v>
      </c>
      <c r="Q67" s="2">
        <f t="shared" ca="1" si="14"/>
        <v>31.644936538216037</v>
      </c>
      <c r="R67" s="2">
        <f t="shared" ca="1" si="14"/>
        <v>33.077963918783048</v>
      </c>
      <c r="S67" s="2">
        <f t="shared" ca="1" si="13"/>
        <v>29.824428003674839</v>
      </c>
      <c r="T67" s="2">
        <f t="shared" ca="1" si="13"/>
        <v>27.092242208270392</v>
      </c>
      <c r="U67" s="2">
        <f t="shared" ca="1" si="13"/>
        <v>32.49277527516152</v>
      </c>
      <c r="V67" s="2">
        <f t="shared" ca="1" si="13"/>
        <v>30.346130937522425</v>
      </c>
      <c r="W67" s="2">
        <f t="shared" ca="1" si="13"/>
        <v>28.15062220695448</v>
      </c>
      <c r="X67" s="2">
        <f t="shared" ca="1" si="13"/>
        <v>29.659001042158661</v>
      </c>
      <c r="Y67" s="2">
        <f t="shared" ca="1" si="11"/>
        <v>26.010278249591828</v>
      </c>
      <c r="Z67" s="2">
        <f t="shared" ca="1" si="12"/>
        <v>26.989322882608285</v>
      </c>
      <c r="AA67" s="2">
        <f t="shared" ca="1" si="12"/>
        <v>28.133658082562288</v>
      </c>
      <c r="AB67" s="2">
        <f t="shared" ca="1" si="12"/>
        <v>27.668477618414023</v>
      </c>
      <c r="AC67" s="2">
        <f t="shared" ca="1" si="12"/>
        <v>29.182669932031153</v>
      </c>
      <c r="AD67" s="2">
        <f t="shared" ca="1" si="12"/>
        <v>27.082668162138567</v>
      </c>
      <c r="AE67" s="2">
        <f t="shared" ca="1" si="12"/>
        <v>34.810066192397002</v>
      </c>
      <c r="AF67" s="2">
        <f t="shared" ca="1" si="12"/>
        <v>27.210648728858892</v>
      </c>
      <c r="AG67" s="2">
        <f t="shared" ca="1" si="12"/>
        <v>29.223502480884957</v>
      </c>
      <c r="AH67" s="2">
        <f t="shared" ca="1" si="12"/>
        <v>31.966436226675601</v>
      </c>
    </row>
    <row r="68" spans="1:34">
      <c r="A68" t="str">
        <f t="shared" si="6"/>
        <v>Coffee</v>
      </c>
      <c r="B68" t="str">
        <f t="shared" si="7"/>
        <v>Tigray</v>
      </c>
      <c r="C68" s="2">
        <f t="shared" ca="1" si="14"/>
        <v>32.516594067263178</v>
      </c>
      <c r="D68" s="2">
        <f t="shared" ca="1" si="14"/>
        <v>30.973509521470763</v>
      </c>
      <c r="E68" s="2">
        <f t="shared" ca="1" si="14"/>
        <v>34.668306893670568</v>
      </c>
      <c r="F68" s="2">
        <f t="shared" ca="1" si="14"/>
        <v>31.139863721136585</v>
      </c>
      <c r="G68" s="2">
        <f t="shared" ca="1" si="14"/>
        <v>32.167215291722982</v>
      </c>
      <c r="H68" s="2">
        <f t="shared" ca="1" si="14"/>
        <v>29.528073361882548</v>
      </c>
      <c r="I68" s="2">
        <f t="shared" ca="1" si="14"/>
        <v>29.110595863503384</v>
      </c>
      <c r="J68" s="2">
        <f t="shared" ca="1" si="14"/>
        <v>28.993511587965518</v>
      </c>
      <c r="K68" s="2">
        <f t="shared" ca="1" si="14"/>
        <v>27.376517142630039</v>
      </c>
      <c r="L68" s="2">
        <f t="shared" ca="1" si="14"/>
        <v>28.657123746010242</v>
      </c>
      <c r="M68" s="2">
        <f t="shared" ca="1" si="14"/>
        <v>27.836890639520476</v>
      </c>
      <c r="N68" s="2">
        <f t="shared" ca="1" si="14"/>
        <v>28.376112229855437</v>
      </c>
      <c r="O68" s="2">
        <f t="shared" ca="1" si="14"/>
        <v>27.325327334951449</v>
      </c>
      <c r="P68" s="2">
        <f t="shared" ca="1" si="14"/>
        <v>32.524119218198592</v>
      </c>
      <c r="Q68" s="2">
        <f t="shared" ca="1" si="14"/>
        <v>28.520666191155705</v>
      </c>
      <c r="R68" s="2">
        <f t="shared" ref="R68:AH82" ca="1" si="15">(RAND()*1+2.5)*10</f>
        <v>28.489217166044448</v>
      </c>
      <c r="S68" s="2">
        <f t="shared" ca="1" si="15"/>
        <v>33.442249022435874</v>
      </c>
      <c r="T68" s="2">
        <f t="shared" ca="1" si="15"/>
        <v>27.685099113088576</v>
      </c>
      <c r="U68" s="2">
        <f t="shared" ca="1" si="15"/>
        <v>25.925760893335635</v>
      </c>
      <c r="V68" s="2">
        <f t="shared" ca="1" si="15"/>
        <v>29.098670185447784</v>
      </c>
      <c r="W68" s="2">
        <f t="shared" ca="1" si="15"/>
        <v>33.947538838099703</v>
      </c>
      <c r="X68" s="2">
        <f t="shared" ca="1" si="15"/>
        <v>30.40983184657463</v>
      </c>
      <c r="Y68" s="2">
        <f t="shared" ca="1" si="15"/>
        <v>25.614274478835842</v>
      </c>
      <c r="Z68" s="2">
        <f t="shared" ca="1" si="15"/>
        <v>31.125206607099276</v>
      </c>
      <c r="AA68" s="2">
        <f t="shared" ca="1" si="15"/>
        <v>27.162695531943832</v>
      </c>
      <c r="AB68" s="2">
        <f t="shared" ca="1" si="15"/>
        <v>31.445798789304824</v>
      </c>
      <c r="AC68" s="2">
        <f t="shared" ca="1" si="15"/>
        <v>31.56827633538061</v>
      </c>
      <c r="AD68" s="2">
        <f t="shared" ca="1" si="15"/>
        <v>34.76242755568525</v>
      </c>
      <c r="AE68" s="2">
        <f t="shared" ca="1" si="15"/>
        <v>30.372659493513872</v>
      </c>
      <c r="AF68" s="2">
        <f t="shared" ca="1" si="15"/>
        <v>33.426088138673563</v>
      </c>
      <c r="AG68" s="2">
        <f t="shared" ca="1" si="15"/>
        <v>26.289195001272972</v>
      </c>
      <c r="AH68" s="2">
        <f t="shared" ca="1" si="15"/>
        <v>32.253433142368678</v>
      </c>
    </row>
    <row r="69" spans="1:34">
      <c r="A69" t="str">
        <f t="shared" si="6"/>
        <v>Beef</v>
      </c>
      <c r="B69" t="str">
        <f t="shared" si="7"/>
        <v>AddisAbaba</v>
      </c>
      <c r="C69" s="2">
        <f t="shared" ref="C69:R90" ca="1" si="16">(RAND()*1+2.5)*10</f>
        <v>34.709980692578256</v>
      </c>
      <c r="D69" s="2">
        <f t="shared" ca="1" si="16"/>
        <v>31.976928300895487</v>
      </c>
      <c r="E69" s="2">
        <f t="shared" ca="1" si="16"/>
        <v>32.447091469175689</v>
      </c>
      <c r="F69" s="2">
        <f t="shared" ca="1" si="16"/>
        <v>29.275121966554735</v>
      </c>
      <c r="G69" s="2">
        <f t="shared" ca="1" si="16"/>
        <v>30.590655951945436</v>
      </c>
      <c r="H69" s="2">
        <f t="shared" ca="1" si="16"/>
        <v>32.131209104910688</v>
      </c>
      <c r="I69" s="2">
        <f t="shared" ca="1" si="16"/>
        <v>29.853565067878641</v>
      </c>
      <c r="J69" s="2">
        <f t="shared" ca="1" si="16"/>
        <v>26.841234516389015</v>
      </c>
      <c r="K69" s="2">
        <f t="shared" ca="1" si="16"/>
        <v>34.415045053645237</v>
      </c>
      <c r="L69" s="2">
        <f t="shared" ca="1" si="16"/>
        <v>33.238327085064981</v>
      </c>
      <c r="M69" s="2">
        <f t="shared" ca="1" si="16"/>
        <v>33.138976422653144</v>
      </c>
      <c r="N69" s="2">
        <f t="shared" ca="1" si="16"/>
        <v>30.454778925293819</v>
      </c>
      <c r="O69" s="2">
        <f t="shared" ca="1" si="16"/>
        <v>30.262492523139315</v>
      </c>
      <c r="P69" s="2">
        <f t="shared" ca="1" si="16"/>
        <v>27.640119610020527</v>
      </c>
      <c r="Q69" s="2">
        <f t="shared" ca="1" si="16"/>
        <v>32.547526596977704</v>
      </c>
      <c r="R69" s="2">
        <f t="shared" ca="1" si="15"/>
        <v>27.732854074138523</v>
      </c>
      <c r="S69" s="2">
        <f t="shared" ca="1" si="15"/>
        <v>25.798578045175592</v>
      </c>
      <c r="T69" s="2">
        <f t="shared" ca="1" si="15"/>
        <v>33.966757600035528</v>
      </c>
      <c r="U69" s="2">
        <f t="shared" ca="1" si="15"/>
        <v>25.424891899217425</v>
      </c>
      <c r="V69" s="2">
        <f t="shared" ca="1" si="15"/>
        <v>30.288869392152481</v>
      </c>
      <c r="W69" s="2">
        <f t="shared" ca="1" si="15"/>
        <v>30.267914154386659</v>
      </c>
      <c r="X69" s="2">
        <f t="shared" ca="1" si="15"/>
        <v>28.226098540685847</v>
      </c>
      <c r="Y69" s="2">
        <f t="shared" ca="1" si="15"/>
        <v>29.546177292659532</v>
      </c>
      <c r="Z69" s="2">
        <f t="shared" ca="1" si="15"/>
        <v>25.88057484465854</v>
      </c>
      <c r="AA69" s="2">
        <f t="shared" ca="1" si="15"/>
        <v>30.052210505217065</v>
      </c>
      <c r="AB69" s="2">
        <f t="shared" ca="1" si="15"/>
        <v>29.6273124430606</v>
      </c>
      <c r="AC69" s="2">
        <f t="shared" ca="1" si="15"/>
        <v>33.33319226166973</v>
      </c>
      <c r="AD69" s="2">
        <f t="shared" ca="1" si="15"/>
        <v>32.622496244843987</v>
      </c>
      <c r="AE69" s="2">
        <f t="shared" ca="1" si="15"/>
        <v>26.74096436601782</v>
      </c>
      <c r="AF69" s="2">
        <f t="shared" ca="1" si="15"/>
        <v>27.602119031080541</v>
      </c>
      <c r="AG69" s="2">
        <f t="shared" ca="1" si="15"/>
        <v>28.503613787008398</v>
      </c>
      <c r="AH69" s="2">
        <f t="shared" ca="1" si="15"/>
        <v>27.144853175192122</v>
      </c>
    </row>
    <row r="70" spans="1:34">
      <c r="A70" t="str">
        <f t="shared" si="6"/>
        <v>Beef</v>
      </c>
      <c r="B70" t="str">
        <f t="shared" si="7"/>
        <v>Afar</v>
      </c>
      <c r="C70" s="2">
        <f t="shared" ca="1" si="16"/>
        <v>30.095860783106488</v>
      </c>
      <c r="D70" s="2">
        <f t="shared" ca="1" si="16"/>
        <v>30.390198580065334</v>
      </c>
      <c r="E70" s="2">
        <f t="shared" ca="1" si="16"/>
        <v>30.604402554589981</v>
      </c>
      <c r="F70" s="2">
        <f t="shared" ca="1" si="16"/>
        <v>26.077498865057358</v>
      </c>
      <c r="G70" s="2">
        <f t="shared" ca="1" si="16"/>
        <v>27.363348228665032</v>
      </c>
      <c r="H70" s="2">
        <f t="shared" ca="1" si="16"/>
        <v>27.911958251990015</v>
      </c>
      <c r="I70" s="2">
        <f t="shared" ca="1" si="16"/>
        <v>27.099608859116593</v>
      </c>
      <c r="J70" s="2">
        <f t="shared" ca="1" si="16"/>
        <v>34.11303102953876</v>
      </c>
      <c r="K70" s="2">
        <f t="shared" ca="1" si="16"/>
        <v>27.272832060639285</v>
      </c>
      <c r="L70" s="2">
        <f t="shared" ca="1" si="16"/>
        <v>33.182538800567585</v>
      </c>
      <c r="M70" s="2">
        <f t="shared" ca="1" si="16"/>
        <v>33.126510461179308</v>
      </c>
      <c r="N70" s="2">
        <f t="shared" ca="1" si="16"/>
        <v>34.634063175438456</v>
      </c>
      <c r="O70" s="2">
        <f t="shared" ca="1" si="16"/>
        <v>33.990075212512721</v>
      </c>
      <c r="P70" s="2">
        <f t="shared" ca="1" si="16"/>
        <v>27.416882839314706</v>
      </c>
      <c r="Q70" s="2">
        <f t="shared" ca="1" si="16"/>
        <v>32.679899165263123</v>
      </c>
      <c r="R70" s="2">
        <f t="shared" ca="1" si="15"/>
        <v>26.514605553791863</v>
      </c>
      <c r="S70" s="2">
        <f t="shared" ca="1" si="15"/>
        <v>27.825447168987097</v>
      </c>
      <c r="T70" s="2">
        <f t="shared" ca="1" si="15"/>
        <v>26.346696747367496</v>
      </c>
      <c r="U70" s="2">
        <f t="shared" ca="1" si="15"/>
        <v>28.065664737171836</v>
      </c>
      <c r="V70" s="2">
        <f t="shared" ca="1" si="15"/>
        <v>28.010963875851825</v>
      </c>
      <c r="W70" s="2">
        <f t="shared" ca="1" si="15"/>
        <v>29.304306311431439</v>
      </c>
      <c r="X70" s="2">
        <f t="shared" ca="1" si="15"/>
        <v>28.55035556558072</v>
      </c>
      <c r="Y70" s="2">
        <f t="shared" ca="1" si="15"/>
        <v>26.844269106583827</v>
      </c>
      <c r="Z70" s="2">
        <f t="shared" ca="1" si="15"/>
        <v>26.967616456585411</v>
      </c>
      <c r="AA70" s="2">
        <f t="shared" ca="1" si="15"/>
        <v>26.392609330704524</v>
      </c>
      <c r="AB70" s="2">
        <f t="shared" ca="1" si="15"/>
        <v>31.916507063993226</v>
      </c>
      <c r="AC70" s="2">
        <f t="shared" ca="1" si="15"/>
        <v>31.686002149651358</v>
      </c>
      <c r="AD70" s="2">
        <f t="shared" ca="1" si="15"/>
        <v>28.040021639843893</v>
      </c>
      <c r="AE70" s="2">
        <f t="shared" ca="1" si="15"/>
        <v>30.981135599833785</v>
      </c>
      <c r="AF70" s="2">
        <f t="shared" ca="1" si="15"/>
        <v>26.827177839124069</v>
      </c>
      <c r="AG70" s="2">
        <f t="shared" ca="1" si="15"/>
        <v>27.14344345299849</v>
      </c>
      <c r="AH70" s="2">
        <f t="shared" ca="1" si="15"/>
        <v>32.513208535757862</v>
      </c>
    </row>
    <row r="71" spans="1:34">
      <c r="A71" t="str">
        <f t="shared" si="6"/>
        <v>Beef</v>
      </c>
      <c r="B71" t="str">
        <f t="shared" si="7"/>
        <v>Amhara</v>
      </c>
      <c r="C71" s="2">
        <f t="shared" ca="1" si="16"/>
        <v>34.961801101558933</v>
      </c>
      <c r="D71" s="2">
        <f t="shared" ca="1" si="16"/>
        <v>27.978918435586767</v>
      </c>
      <c r="E71" s="2">
        <f t="shared" ca="1" si="16"/>
        <v>30.392355718993539</v>
      </c>
      <c r="F71" s="2">
        <f t="shared" ca="1" si="16"/>
        <v>34.402822337920398</v>
      </c>
      <c r="G71" s="2">
        <f t="shared" ca="1" si="16"/>
        <v>25.923166593884758</v>
      </c>
      <c r="H71" s="2">
        <f t="shared" ca="1" si="16"/>
        <v>32.221988483889589</v>
      </c>
      <c r="I71" s="2">
        <f t="shared" ca="1" si="16"/>
        <v>28.542661198727373</v>
      </c>
      <c r="J71" s="2">
        <f t="shared" ca="1" si="16"/>
        <v>34.37812250260577</v>
      </c>
      <c r="K71" s="2">
        <f t="shared" ca="1" si="16"/>
        <v>31.239734837813668</v>
      </c>
      <c r="L71" s="2">
        <f t="shared" ca="1" si="16"/>
        <v>32.864410837191429</v>
      </c>
      <c r="M71" s="2">
        <f t="shared" ca="1" si="16"/>
        <v>34.799608386590876</v>
      </c>
      <c r="N71" s="2">
        <f t="shared" ca="1" si="16"/>
        <v>34.350749254650012</v>
      </c>
      <c r="O71" s="2">
        <f t="shared" ca="1" si="16"/>
        <v>26.062191889577889</v>
      </c>
      <c r="P71" s="2">
        <f t="shared" ca="1" si="16"/>
        <v>26.393207748702729</v>
      </c>
      <c r="Q71" s="2">
        <f t="shared" ca="1" si="16"/>
        <v>26.269575429400973</v>
      </c>
      <c r="R71" s="2">
        <f t="shared" ca="1" si="15"/>
        <v>34.131733386335526</v>
      </c>
      <c r="S71" s="2">
        <f t="shared" ca="1" si="15"/>
        <v>27.51752192146089</v>
      </c>
      <c r="T71" s="2">
        <f t="shared" ca="1" si="15"/>
        <v>27.707467018360919</v>
      </c>
      <c r="U71" s="2">
        <f t="shared" ca="1" si="15"/>
        <v>26.18363540543141</v>
      </c>
      <c r="V71" s="2">
        <f t="shared" ca="1" si="15"/>
        <v>31.400059949448583</v>
      </c>
      <c r="W71" s="2">
        <f t="shared" ca="1" si="15"/>
        <v>25.345411694377773</v>
      </c>
      <c r="X71" s="2">
        <f t="shared" ca="1" si="15"/>
        <v>34.148401335285868</v>
      </c>
      <c r="Y71" s="2">
        <f t="shared" ca="1" si="15"/>
        <v>25.935993844820651</v>
      </c>
      <c r="Z71" s="2">
        <f t="shared" ca="1" si="15"/>
        <v>26.209866249376653</v>
      </c>
      <c r="AA71" s="2">
        <f t="shared" ca="1" si="15"/>
        <v>27.6062304660921</v>
      </c>
      <c r="AB71" s="2">
        <f t="shared" ca="1" si="15"/>
        <v>34.917514568711702</v>
      </c>
      <c r="AC71" s="2">
        <f t="shared" ca="1" si="15"/>
        <v>27.506671021456633</v>
      </c>
      <c r="AD71" s="2">
        <f t="shared" ca="1" si="15"/>
        <v>29.265760542706353</v>
      </c>
      <c r="AE71" s="2">
        <f t="shared" ca="1" si="15"/>
        <v>31.598520215930588</v>
      </c>
      <c r="AF71" s="2">
        <f t="shared" ca="1" si="15"/>
        <v>26.121061354129097</v>
      </c>
      <c r="AG71" s="2">
        <f t="shared" ca="1" si="15"/>
        <v>31.997421190153311</v>
      </c>
      <c r="AH71" s="2">
        <f t="shared" ca="1" si="15"/>
        <v>34.857076753773867</v>
      </c>
    </row>
    <row r="72" spans="1:34">
      <c r="A72" t="str">
        <f t="shared" si="6"/>
        <v>Beef</v>
      </c>
      <c r="B72" t="str">
        <f t="shared" si="7"/>
        <v>Gumuz</v>
      </c>
      <c r="C72" s="2">
        <f t="shared" ca="1" si="16"/>
        <v>34.800451449764111</v>
      </c>
      <c r="D72" s="2">
        <f t="shared" ca="1" si="16"/>
        <v>34.260104697961268</v>
      </c>
      <c r="E72" s="2">
        <f t="shared" ca="1" si="16"/>
        <v>29.807535301206997</v>
      </c>
      <c r="F72" s="2">
        <f t="shared" ca="1" si="16"/>
        <v>26.101721140758318</v>
      </c>
      <c r="G72" s="2">
        <f t="shared" ca="1" si="16"/>
        <v>30.003934129215942</v>
      </c>
      <c r="H72" s="2">
        <f t="shared" ca="1" si="16"/>
        <v>32.925774395095431</v>
      </c>
      <c r="I72" s="2">
        <f t="shared" ca="1" si="16"/>
        <v>25.487191578455665</v>
      </c>
      <c r="J72" s="2">
        <f t="shared" ca="1" si="16"/>
        <v>25.788539865957752</v>
      </c>
      <c r="K72" s="2">
        <f t="shared" ca="1" si="16"/>
        <v>33.077056418914168</v>
      </c>
      <c r="L72" s="2">
        <f t="shared" ca="1" si="16"/>
        <v>30.527870268586355</v>
      </c>
      <c r="M72" s="2">
        <f t="shared" ca="1" si="16"/>
        <v>25.644431975546517</v>
      </c>
      <c r="N72" s="2">
        <f t="shared" ca="1" si="16"/>
        <v>31.702525379281763</v>
      </c>
      <c r="O72" s="2">
        <f t="shared" ca="1" si="16"/>
        <v>32.327541333975404</v>
      </c>
      <c r="P72" s="2">
        <f t="shared" ca="1" si="16"/>
        <v>31.26346678082416</v>
      </c>
      <c r="Q72" s="2">
        <f t="shared" ca="1" si="16"/>
        <v>32.372854696716338</v>
      </c>
      <c r="R72" s="2">
        <f t="shared" ca="1" si="15"/>
        <v>32.114567997772944</v>
      </c>
      <c r="S72" s="2">
        <f t="shared" ca="1" si="15"/>
        <v>31.994376100241908</v>
      </c>
      <c r="T72" s="2">
        <f t="shared" ca="1" si="15"/>
        <v>28.215535956089717</v>
      </c>
      <c r="U72" s="2">
        <f t="shared" ca="1" si="15"/>
        <v>26.505283852695708</v>
      </c>
      <c r="V72" s="2">
        <f t="shared" ca="1" si="15"/>
        <v>31.124369822706587</v>
      </c>
      <c r="W72" s="2">
        <f t="shared" ca="1" si="15"/>
        <v>26.797448671914129</v>
      </c>
      <c r="X72" s="2">
        <f t="shared" ca="1" si="15"/>
        <v>31.897691396804781</v>
      </c>
      <c r="Y72" s="2">
        <f t="shared" ca="1" si="15"/>
        <v>25.503354130494913</v>
      </c>
      <c r="Z72" s="2">
        <f t="shared" ca="1" si="15"/>
        <v>29.851832075523813</v>
      </c>
      <c r="AA72" s="2">
        <f t="shared" ca="1" si="15"/>
        <v>30.226323048389951</v>
      </c>
      <c r="AB72" s="2">
        <f t="shared" ca="1" si="15"/>
        <v>30.481946582859976</v>
      </c>
      <c r="AC72" s="2">
        <f t="shared" ca="1" si="15"/>
        <v>32.658172414924408</v>
      </c>
      <c r="AD72" s="2">
        <f t="shared" ca="1" si="15"/>
        <v>33.422874735059224</v>
      </c>
      <c r="AE72" s="2">
        <f t="shared" ca="1" si="15"/>
        <v>27.998497487330955</v>
      </c>
      <c r="AF72" s="2">
        <f t="shared" ca="1" si="15"/>
        <v>30.831056584269277</v>
      </c>
      <c r="AG72" s="2">
        <f t="shared" ca="1" si="15"/>
        <v>28.606795804597645</v>
      </c>
      <c r="AH72" s="2">
        <f t="shared" ca="1" si="15"/>
        <v>31.569323932459781</v>
      </c>
    </row>
    <row r="73" spans="1:34">
      <c r="A73" t="str">
        <f t="shared" si="6"/>
        <v>Beef</v>
      </c>
      <c r="B73" t="str">
        <f t="shared" si="7"/>
        <v>DireDawa</v>
      </c>
      <c r="C73" s="2">
        <f t="shared" ca="1" si="16"/>
        <v>34.512707423679259</v>
      </c>
      <c r="D73" s="2">
        <f t="shared" ca="1" si="16"/>
        <v>31.570295912379535</v>
      </c>
      <c r="E73" s="2">
        <f t="shared" ca="1" si="16"/>
        <v>31.946347536440879</v>
      </c>
      <c r="F73" s="2">
        <f t="shared" ca="1" si="16"/>
        <v>25.511460201322208</v>
      </c>
      <c r="G73" s="2">
        <f t="shared" ca="1" si="16"/>
        <v>32.904167269267553</v>
      </c>
      <c r="H73" s="2">
        <f t="shared" ca="1" si="16"/>
        <v>33.530432659794641</v>
      </c>
      <c r="I73" s="2">
        <f t="shared" ca="1" si="16"/>
        <v>33.18402974218364</v>
      </c>
      <c r="J73" s="2">
        <f t="shared" ca="1" si="16"/>
        <v>31.722137427276579</v>
      </c>
      <c r="K73" s="2">
        <f t="shared" ca="1" si="16"/>
        <v>30.128701035854483</v>
      </c>
      <c r="L73" s="2">
        <f t="shared" ca="1" si="16"/>
        <v>30.416959968968147</v>
      </c>
      <c r="M73" s="2">
        <f t="shared" ca="1" si="16"/>
        <v>33.884718347925961</v>
      </c>
      <c r="N73" s="2">
        <f t="shared" ca="1" si="16"/>
        <v>27.184342034773007</v>
      </c>
      <c r="O73" s="2">
        <f t="shared" ca="1" si="16"/>
        <v>34.641936248885017</v>
      </c>
      <c r="P73" s="2">
        <f t="shared" ca="1" si="16"/>
        <v>30.64160169303538</v>
      </c>
      <c r="Q73" s="2">
        <f t="shared" ca="1" si="16"/>
        <v>31.778210209356388</v>
      </c>
      <c r="R73" s="2">
        <f t="shared" ca="1" si="15"/>
        <v>34.393080692638748</v>
      </c>
      <c r="S73" s="2">
        <f t="shared" ca="1" si="15"/>
        <v>32.287254862911198</v>
      </c>
      <c r="T73" s="2">
        <f t="shared" ca="1" si="15"/>
        <v>33.167289504241779</v>
      </c>
      <c r="U73" s="2">
        <f t="shared" ca="1" si="15"/>
        <v>33.176542964686874</v>
      </c>
      <c r="V73" s="2">
        <f t="shared" ca="1" si="15"/>
        <v>27.275306378646825</v>
      </c>
      <c r="W73" s="2">
        <f t="shared" ca="1" si="15"/>
        <v>31.028750261166287</v>
      </c>
      <c r="X73" s="2">
        <f t="shared" ca="1" si="15"/>
        <v>33.401518650859686</v>
      </c>
      <c r="Y73" s="2">
        <f t="shared" ca="1" si="15"/>
        <v>25.54330454301002</v>
      </c>
      <c r="Z73" s="2">
        <f t="shared" ca="1" si="15"/>
        <v>26.858255902598703</v>
      </c>
      <c r="AA73" s="2">
        <f t="shared" ca="1" si="15"/>
        <v>33.672026753773153</v>
      </c>
      <c r="AB73" s="2">
        <f t="shared" ca="1" si="15"/>
        <v>28.77849174453516</v>
      </c>
      <c r="AC73" s="2">
        <f t="shared" ca="1" si="15"/>
        <v>33.710253575529499</v>
      </c>
      <c r="AD73" s="2">
        <f t="shared" ca="1" si="15"/>
        <v>33.60076397161437</v>
      </c>
      <c r="AE73" s="2">
        <f t="shared" ca="1" si="15"/>
        <v>34.396962157282452</v>
      </c>
      <c r="AF73" s="2">
        <f t="shared" ca="1" si="15"/>
        <v>34.702094104232216</v>
      </c>
      <c r="AG73" s="2">
        <f t="shared" ca="1" si="15"/>
        <v>30.719824929665535</v>
      </c>
      <c r="AH73" s="2">
        <f t="shared" ca="1" si="15"/>
        <v>27.251613138167869</v>
      </c>
    </row>
    <row r="74" spans="1:34">
      <c r="A74" t="str">
        <f t="shared" si="6"/>
        <v>Beef</v>
      </c>
      <c r="B74" t="str">
        <f t="shared" si="7"/>
        <v>Gambela</v>
      </c>
      <c r="C74" s="2">
        <f t="shared" ca="1" si="16"/>
        <v>31.663141939440482</v>
      </c>
      <c r="D74" s="2">
        <f t="shared" ca="1" si="16"/>
        <v>28.463464492642053</v>
      </c>
      <c r="E74" s="2">
        <f t="shared" ca="1" si="16"/>
        <v>26.564719257550571</v>
      </c>
      <c r="F74" s="2">
        <f t="shared" ca="1" si="16"/>
        <v>34.129139644598908</v>
      </c>
      <c r="G74" s="2">
        <f t="shared" ca="1" si="16"/>
        <v>32.376691432893011</v>
      </c>
      <c r="H74" s="2">
        <f t="shared" ca="1" si="16"/>
        <v>26.976332261846387</v>
      </c>
      <c r="I74" s="2">
        <f t="shared" ca="1" si="16"/>
        <v>30.251936925108861</v>
      </c>
      <c r="J74" s="2">
        <f t="shared" ca="1" si="16"/>
        <v>32.805316909661236</v>
      </c>
      <c r="K74" s="2">
        <f t="shared" ca="1" si="16"/>
        <v>29.513895404108595</v>
      </c>
      <c r="L74" s="2">
        <f t="shared" ca="1" si="16"/>
        <v>26.13621103669238</v>
      </c>
      <c r="M74" s="2">
        <f t="shared" ca="1" si="16"/>
        <v>25.129082836613399</v>
      </c>
      <c r="N74" s="2">
        <f t="shared" ca="1" si="16"/>
        <v>29.481463712945242</v>
      </c>
      <c r="O74" s="2">
        <f t="shared" ca="1" si="16"/>
        <v>33.914214465243155</v>
      </c>
      <c r="P74" s="2">
        <f t="shared" ca="1" si="16"/>
        <v>25.326098390489115</v>
      </c>
      <c r="Q74" s="2">
        <f t="shared" ca="1" si="16"/>
        <v>31.703414598932209</v>
      </c>
      <c r="R74" s="2">
        <f t="shared" ca="1" si="15"/>
        <v>32.604145931413882</v>
      </c>
      <c r="S74" s="2">
        <f t="shared" ca="1" si="15"/>
        <v>28.231735524064028</v>
      </c>
      <c r="T74" s="2">
        <f t="shared" ca="1" si="15"/>
        <v>31.018641741513978</v>
      </c>
      <c r="U74" s="2">
        <f t="shared" ca="1" si="15"/>
        <v>34.714303649447061</v>
      </c>
      <c r="V74" s="2">
        <f t="shared" ca="1" si="15"/>
        <v>25.408610755626334</v>
      </c>
      <c r="W74" s="2">
        <f t="shared" ca="1" si="15"/>
        <v>26.707638515458306</v>
      </c>
      <c r="X74" s="2">
        <f t="shared" ca="1" si="15"/>
        <v>28.590642031094973</v>
      </c>
      <c r="Y74" s="2">
        <f t="shared" ca="1" si="15"/>
        <v>34.805578018557618</v>
      </c>
      <c r="Z74" s="2">
        <f t="shared" ca="1" si="15"/>
        <v>27.382868435986119</v>
      </c>
      <c r="AA74" s="2">
        <f t="shared" ca="1" si="15"/>
        <v>34.55166291066903</v>
      </c>
      <c r="AB74" s="2">
        <f t="shared" ca="1" si="15"/>
        <v>30.689531046621671</v>
      </c>
      <c r="AC74" s="2">
        <f t="shared" ca="1" si="15"/>
        <v>29.132581706980147</v>
      </c>
      <c r="AD74" s="2">
        <f t="shared" ca="1" si="15"/>
        <v>30.990101251240006</v>
      </c>
      <c r="AE74" s="2">
        <f t="shared" ca="1" si="15"/>
        <v>34.576165744969614</v>
      </c>
      <c r="AF74" s="2">
        <f t="shared" ca="1" si="15"/>
        <v>28.440216823951083</v>
      </c>
      <c r="AG74" s="2">
        <f t="shared" ca="1" si="15"/>
        <v>25.511561546598877</v>
      </c>
      <c r="AH74" s="2">
        <f t="shared" ca="1" si="15"/>
        <v>28.159018223388948</v>
      </c>
    </row>
    <row r="75" spans="1:34">
      <c r="A75" t="str">
        <f t="shared" si="6"/>
        <v>Beef</v>
      </c>
      <c r="B75" t="str">
        <f t="shared" si="7"/>
        <v>Harari</v>
      </c>
      <c r="C75" s="2">
        <f t="shared" ca="1" si="16"/>
        <v>28.112454731576356</v>
      </c>
      <c r="D75" s="2">
        <f t="shared" ca="1" si="16"/>
        <v>27.36228034655737</v>
      </c>
      <c r="E75" s="2">
        <f t="shared" ca="1" si="16"/>
        <v>32.227898596256793</v>
      </c>
      <c r="F75" s="2">
        <f t="shared" ca="1" si="16"/>
        <v>32.268399149695959</v>
      </c>
      <c r="G75" s="2">
        <f t="shared" ca="1" si="16"/>
        <v>32.094106583449062</v>
      </c>
      <c r="H75" s="2">
        <f t="shared" ca="1" si="16"/>
        <v>32.75293462332025</v>
      </c>
      <c r="I75" s="2">
        <f t="shared" ca="1" si="16"/>
        <v>32.453373513694494</v>
      </c>
      <c r="J75" s="2">
        <f t="shared" ca="1" si="16"/>
        <v>31.366207903633136</v>
      </c>
      <c r="K75" s="2">
        <f t="shared" ca="1" si="16"/>
        <v>27.240384036602716</v>
      </c>
      <c r="L75" s="2">
        <f t="shared" ca="1" si="16"/>
        <v>33.527819312958975</v>
      </c>
      <c r="M75" s="2">
        <f t="shared" ca="1" si="16"/>
        <v>29.843091482758712</v>
      </c>
      <c r="N75" s="2">
        <f t="shared" ca="1" si="16"/>
        <v>33.641231304852113</v>
      </c>
      <c r="O75" s="2">
        <f t="shared" ca="1" si="16"/>
        <v>27.779948874139599</v>
      </c>
      <c r="P75" s="2">
        <f t="shared" ca="1" si="16"/>
        <v>30.654577735343619</v>
      </c>
      <c r="Q75" s="2">
        <f t="shared" ca="1" si="16"/>
        <v>28.530191025317965</v>
      </c>
      <c r="R75" s="2">
        <f t="shared" ca="1" si="15"/>
        <v>28.105118266992484</v>
      </c>
      <c r="S75" s="2">
        <f t="shared" ca="1" si="15"/>
        <v>29.336008175749939</v>
      </c>
      <c r="T75" s="2">
        <f t="shared" ca="1" si="15"/>
        <v>29.388580301555113</v>
      </c>
      <c r="U75" s="2">
        <f t="shared" ca="1" si="15"/>
        <v>25.842382274161491</v>
      </c>
      <c r="V75" s="2">
        <f t="shared" ca="1" si="15"/>
        <v>25.117225780839945</v>
      </c>
      <c r="W75" s="2">
        <f t="shared" ca="1" si="15"/>
        <v>34.924484145985247</v>
      </c>
      <c r="X75" s="2">
        <f t="shared" ca="1" si="15"/>
        <v>28.384130397303352</v>
      </c>
      <c r="Y75" s="2">
        <f t="shared" ca="1" si="15"/>
        <v>34.042423467117196</v>
      </c>
      <c r="Z75" s="2">
        <f t="shared" ca="1" si="15"/>
        <v>26.200899432906539</v>
      </c>
      <c r="AA75" s="2">
        <f t="shared" ca="1" si="15"/>
        <v>31.415034387942384</v>
      </c>
      <c r="AB75" s="2">
        <f t="shared" ca="1" si="15"/>
        <v>25.521474654991749</v>
      </c>
      <c r="AC75" s="2">
        <f t="shared" ca="1" si="15"/>
        <v>27.603155211210932</v>
      </c>
      <c r="AD75" s="2">
        <f t="shared" ca="1" si="15"/>
        <v>26.846115214328634</v>
      </c>
      <c r="AE75" s="2">
        <f t="shared" ca="1" si="15"/>
        <v>29.600399152848212</v>
      </c>
      <c r="AF75" s="2">
        <f t="shared" ca="1" si="15"/>
        <v>34.56018895792424</v>
      </c>
      <c r="AG75" s="2">
        <f t="shared" ca="1" si="15"/>
        <v>34.892907781443867</v>
      </c>
      <c r="AH75" s="2">
        <f t="shared" ca="1" si="15"/>
        <v>34.200842504076398</v>
      </c>
    </row>
    <row r="76" spans="1:34">
      <c r="A76" t="str">
        <f t="shared" si="6"/>
        <v>Beef</v>
      </c>
      <c r="B76" t="str">
        <f t="shared" si="7"/>
        <v>Oromia</v>
      </c>
      <c r="C76" s="2">
        <f t="shared" ca="1" si="16"/>
        <v>30.431729590424077</v>
      </c>
      <c r="D76" s="2">
        <f t="shared" ca="1" si="16"/>
        <v>26.772888323762544</v>
      </c>
      <c r="E76" s="2">
        <f t="shared" ca="1" si="16"/>
        <v>32.091753502284917</v>
      </c>
      <c r="F76" s="2">
        <f t="shared" ca="1" si="16"/>
        <v>25.632169527920041</v>
      </c>
      <c r="G76" s="2">
        <f t="shared" ca="1" si="16"/>
        <v>30.533918746646439</v>
      </c>
      <c r="H76" s="2">
        <f t="shared" ca="1" si="16"/>
        <v>32.149924898075412</v>
      </c>
      <c r="I76" s="2">
        <f t="shared" ca="1" si="16"/>
        <v>31.277841161902451</v>
      </c>
      <c r="J76" s="2">
        <f t="shared" ca="1" si="16"/>
        <v>25.838370887314433</v>
      </c>
      <c r="K76" s="2">
        <f t="shared" ca="1" si="16"/>
        <v>29.521035530467188</v>
      </c>
      <c r="L76" s="2">
        <f t="shared" ca="1" si="16"/>
        <v>34.314612084641539</v>
      </c>
      <c r="M76" s="2">
        <f t="shared" ca="1" si="16"/>
        <v>29.942786843273126</v>
      </c>
      <c r="N76" s="2">
        <f t="shared" ca="1" si="16"/>
        <v>30.349958699363427</v>
      </c>
      <c r="O76" s="2">
        <f t="shared" ca="1" si="16"/>
        <v>30.22096475504652</v>
      </c>
      <c r="P76" s="2">
        <f t="shared" ca="1" si="16"/>
        <v>29.004635239811279</v>
      </c>
      <c r="Q76" s="2">
        <f t="shared" ca="1" si="16"/>
        <v>31.024612831447207</v>
      </c>
      <c r="R76" s="2">
        <f t="shared" ca="1" si="15"/>
        <v>30.645443760070062</v>
      </c>
      <c r="S76" s="2">
        <f t="shared" ca="1" si="15"/>
        <v>32.985213472111269</v>
      </c>
      <c r="T76" s="2">
        <f t="shared" ca="1" si="15"/>
        <v>26.724828176552972</v>
      </c>
      <c r="U76" s="2">
        <f t="shared" ca="1" si="15"/>
        <v>30.138967116237907</v>
      </c>
      <c r="V76" s="2">
        <f t="shared" ca="1" si="15"/>
        <v>30.056677322930348</v>
      </c>
      <c r="W76" s="2">
        <f t="shared" ca="1" si="15"/>
        <v>31.399610853637114</v>
      </c>
      <c r="X76" s="2">
        <f t="shared" ca="1" si="15"/>
        <v>29.787829884729508</v>
      </c>
      <c r="Y76" s="2">
        <f t="shared" ca="1" si="15"/>
        <v>33.999034012040241</v>
      </c>
      <c r="Z76" s="2">
        <f t="shared" ca="1" si="15"/>
        <v>31.866811669947968</v>
      </c>
      <c r="AA76" s="2">
        <f t="shared" ca="1" si="15"/>
        <v>33.83410168038764</v>
      </c>
      <c r="AB76" s="2">
        <f t="shared" ca="1" si="15"/>
        <v>27.54987837154717</v>
      </c>
      <c r="AC76" s="2">
        <f t="shared" ca="1" si="15"/>
        <v>26.541326632648072</v>
      </c>
      <c r="AD76" s="2">
        <f t="shared" ca="1" si="15"/>
        <v>33.249735614953991</v>
      </c>
      <c r="AE76" s="2">
        <f t="shared" ca="1" si="15"/>
        <v>28.592785728416558</v>
      </c>
      <c r="AF76" s="2">
        <f t="shared" ca="1" si="15"/>
        <v>28.503626036911577</v>
      </c>
      <c r="AG76" s="2">
        <f t="shared" ca="1" si="15"/>
        <v>33.244167833100093</v>
      </c>
      <c r="AH76" s="2">
        <f t="shared" ca="1" si="15"/>
        <v>30.569317277887652</v>
      </c>
    </row>
    <row r="77" spans="1:34">
      <c r="A77" t="str">
        <f t="shared" si="6"/>
        <v>Beef</v>
      </c>
      <c r="B77" t="str">
        <f t="shared" si="7"/>
        <v>Somali</v>
      </c>
      <c r="C77" s="2">
        <f t="shared" ca="1" si="16"/>
        <v>32.331990687099534</v>
      </c>
      <c r="D77" s="2">
        <f t="shared" ca="1" si="16"/>
        <v>33.899199771488732</v>
      </c>
      <c r="E77" s="2">
        <f t="shared" ca="1" si="16"/>
        <v>32.862146339436883</v>
      </c>
      <c r="F77" s="2">
        <f t="shared" ca="1" si="16"/>
        <v>33.334989538920503</v>
      </c>
      <c r="G77" s="2">
        <f t="shared" ca="1" si="16"/>
        <v>34.085244746388987</v>
      </c>
      <c r="H77" s="2">
        <f t="shared" ca="1" si="16"/>
        <v>26.247268504585005</v>
      </c>
      <c r="I77" s="2">
        <f t="shared" ca="1" si="16"/>
        <v>25.661447370602701</v>
      </c>
      <c r="J77" s="2">
        <f t="shared" ca="1" si="16"/>
        <v>30.992757714200067</v>
      </c>
      <c r="K77" s="2">
        <f t="shared" ca="1" si="16"/>
        <v>33.83050853697091</v>
      </c>
      <c r="L77" s="2">
        <f t="shared" ca="1" si="16"/>
        <v>27.432839519062217</v>
      </c>
      <c r="M77" s="2">
        <f t="shared" ca="1" si="16"/>
        <v>32.929862595629238</v>
      </c>
      <c r="N77" s="2">
        <f t="shared" ca="1" si="16"/>
        <v>34.035850018378738</v>
      </c>
      <c r="O77" s="2">
        <f t="shared" ca="1" si="16"/>
        <v>30.368214481355032</v>
      </c>
      <c r="P77" s="2">
        <f t="shared" ca="1" si="16"/>
        <v>26.33495821308567</v>
      </c>
      <c r="Q77" s="2">
        <f t="shared" ca="1" si="16"/>
        <v>27.000887490107424</v>
      </c>
      <c r="R77" s="2">
        <f t="shared" ca="1" si="15"/>
        <v>31.38629803242635</v>
      </c>
      <c r="S77" s="2">
        <f t="shared" ca="1" si="15"/>
        <v>26.673534044855998</v>
      </c>
      <c r="T77" s="2">
        <f t="shared" ca="1" si="15"/>
        <v>31.029550296891447</v>
      </c>
      <c r="U77" s="2">
        <f t="shared" ca="1" si="15"/>
        <v>25.447481748240676</v>
      </c>
      <c r="V77" s="2">
        <f t="shared" ca="1" si="15"/>
        <v>29.000976165125621</v>
      </c>
      <c r="W77" s="2">
        <f t="shared" ca="1" si="15"/>
        <v>26.311843274320129</v>
      </c>
      <c r="X77" s="2">
        <f t="shared" ca="1" si="15"/>
        <v>30.077991438435951</v>
      </c>
      <c r="Y77" s="2">
        <f t="shared" ca="1" si="15"/>
        <v>25.260617120641157</v>
      </c>
      <c r="Z77" s="2">
        <f t="shared" ca="1" si="15"/>
        <v>27.595326332459599</v>
      </c>
      <c r="AA77" s="2">
        <f t="shared" ca="1" si="15"/>
        <v>34.424595612988391</v>
      </c>
      <c r="AB77" s="2">
        <f t="shared" ca="1" si="15"/>
        <v>31.58525505588343</v>
      </c>
      <c r="AC77" s="2">
        <f t="shared" ca="1" si="15"/>
        <v>32.482856898968947</v>
      </c>
      <c r="AD77" s="2">
        <f t="shared" ca="1" si="15"/>
        <v>25.684356622496214</v>
      </c>
      <c r="AE77" s="2">
        <f t="shared" ca="1" si="15"/>
        <v>25.893800313485844</v>
      </c>
      <c r="AF77" s="2">
        <f t="shared" ca="1" si="15"/>
        <v>32.927280649175579</v>
      </c>
      <c r="AG77" s="2">
        <f t="shared" ca="1" si="15"/>
        <v>32.084734642454251</v>
      </c>
      <c r="AH77" s="2">
        <f t="shared" ca="1" si="15"/>
        <v>29.69509489606483</v>
      </c>
    </row>
    <row r="78" spans="1:34">
      <c r="A78" t="str">
        <f t="shared" ref="A78:A90" si="17">INDEX(Food,MATCH(A67,Food,0)+1)</f>
        <v>Beef</v>
      </c>
      <c r="B78" t="str">
        <f t="shared" si="7"/>
        <v>SNNPR</v>
      </c>
      <c r="C78" s="2">
        <f t="shared" ca="1" si="16"/>
        <v>25.504326487435058</v>
      </c>
      <c r="D78" s="2">
        <f t="shared" ca="1" si="16"/>
        <v>32.159023676188482</v>
      </c>
      <c r="E78" s="2">
        <f t="shared" ca="1" si="16"/>
        <v>33.075315703386835</v>
      </c>
      <c r="F78" s="2">
        <f t="shared" ca="1" si="16"/>
        <v>33.631582452937138</v>
      </c>
      <c r="G78" s="2">
        <f t="shared" ca="1" si="16"/>
        <v>29.366117915674977</v>
      </c>
      <c r="H78" s="2">
        <f t="shared" ca="1" si="16"/>
        <v>27.183557176411561</v>
      </c>
      <c r="I78" s="2">
        <f t="shared" ca="1" si="16"/>
        <v>25.620506686215041</v>
      </c>
      <c r="J78" s="2">
        <f t="shared" ca="1" si="16"/>
        <v>31.928044919706487</v>
      </c>
      <c r="K78" s="2">
        <f t="shared" ca="1" si="16"/>
        <v>32.689238697654119</v>
      </c>
      <c r="L78" s="2">
        <f t="shared" ca="1" si="16"/>
        <v>26.805505328032023</v>
      </c>
      <c r="M78" s="2">
        <f t="shared" ca="1" si="16"/>
        <v>26.066976115831814</v>
      </c>
      <c r="N78" s="2">
        <f t="shared" ca="1" si="16"/>
        <v>27.230468259394087</v>
      </c>
      <c r="O78" s="2">
        <f t="shared" ca="1" si="16"/>
        <v>27.860221790918324</v>
      </c>
      <c r="P78" s="2">
        <f t="shared" ca="1" si="16"/>
        <v>29.443375850003054</v>
      </c>
      <c r="Q78" s="2">
        <f t="shared" ca="1" si="16"/>
        <v>26.569777475325559</v>
      </c>
      <c r="R78" s="2">
        <f t="shared" ca="1" si="15"/>
        <v>34.786924154777218</v>
      </c>
      <c r="S78" s="2">
        <f t="shared" ca="1" si="15"/>
        <v>28.293956687957472</v>
      </c>
      <c r="T78" s="2">
        <f t="shared" ca="1" si="15"/>
        <v>27.880359303583525</v>
      </c>
      <c r="U78" s="2">
        <f t="shared" ca="1" si="15"/>
        <v>34.160683537426301</v>
      </c>
      <c r="V78" s="2">
        <f t="shared" ca="1" si="15"/>
        <v>26.777546075047937</v>
      </c>
      <c r="W78" s="2">
        <f t="shared" ca="1" si="15"/>
        <v>34.692806978740315</v>
      </c>
      <c r="X78" s="2">
        <f t="shared" ca="1" si="15"/>
        <v>27.354319453817702</v>
      </c>
      <c r="Y78" s="2">
        <f t="shared" ca="1" si="15"/>
        <v>34.736969623324477</v>
      </c>
      <c r="Z78" s="2">
        <f t="shared" ca="1" si="15"/>
        <v>31.797666663439095</v>
      </c>
      <c r="AA78" s="2">
        <f t="shared" ca="1" si="15"/>
        <v>27.572073897531748</v>
      </c>
      <c r="AB78" s="2">
        <f t="shared" ca="1" si="15"/>
        <v>26.162689592082302</v>
      </c>
      <c r="AC78" s="2">
        <f t="shared" ca="1" si="15"/>
        <v>32.775287100630699</v>
      </c>
      <c r="AD78" s="2">
        <f t="shared" ca="1" si="15"/>
        <v>28.139439132588183</v>
      </c>
      <c r="AE78" s="2">
        <f t="shared" ca="1" si="15"/>
        <v>26.029154361168661</v>
      </c>
      <c r="AF78" s="2">
        <f t="shared" ca="1" si="15"/>
        <v>29.240279224631905</v>
      </c>
      <c r="AG78" s="2">
        <f t="shared" ca="1" si="15"/>
        <v>29.188542573356088</v>
      </c>
      <c r="AH78" s="2">
        <f t="shared" ca="1" si="15"/>
        <v>29.459235947564302</v>
      </c>
    </row>
    <row r="79" spans="1:34">
      <c r="A79" t="str">
        <f t="shared" si="17"/>
        <v>Beef</v>
      </c>
      <c r="B79" t="str">
        <f t="shared" ref="B79:B90" si="18">B68</f>
        <v>Tigray</v>
      </c>
      <c r="C79" s="2">
        <f t="shared" ca="1" si="16"/>
        <v>26.169705827344796</v>
      </c>
      <c r="D79" s="2">
        <f t="shared" ca="1" si="16"/>
        <v>34.849735199917646</v>
      </c>
      <c r="E79" s="2">
        <f t="shared" ca="1" si="16"/>
        <v>34.024274458676643</v>
      </c>
      <c r="F79" s="2">
        <f t="shared" ca="1" si="16"/>
        <v>34.578190317359926</v>
      </c>
      <c r="G79" s="2">
        <f t="shared" ca="1" si="16"/>
        <v>26.430991279018162</v>
      </c>
      <c r="H79" s="2">
        <f t="shared" ca="1" si="16"/>
        <v>26.63157935241685</v>
      </c>
      <c r="I79" s="2">
        <f t="shared" ca="1" si="16"/>
        <v>26.047384561698053</v>
      </c>
      <c r="J79" s="2">
        <f t="shared" ca="1" si="16"/>
        <v>28.928071807207509</v>
      </c>
      <c r="K79" s="2">
        <f t="shared" ca="1" si="16"/>
        <v>30.687413917943218</v>
      </c>
      <c r="L79" s="2">
        <f t="shared" ca="1" si="16"/>
        <v>27.042291396718269</v>
      </c>
      <c r="M79" s="2">
        <f t="shared" ca="1" si="16"/>
        <v>26.022125749432593</v>
      </c>
      <c r="N79" s="2">
        <f t="shared" ca="1" si="16"/>
        <v>32.349286615491032</v>
      </c>
      <c r="O79" s="2">
        <f t="shared" ca="1" si="16"/>
        <v>25.836666919267472</v>
      </c>
      <c r="P79" s="2">
        <f t="shared" ca="1" si="16"/>
        <v>31.101382098345539</v>
      </c>
      <c r="Q79" s="2">
        <f t="shared" ca="1" si="16"/>
        <v>28.458574952270293</v>
      </c>
      <c r="R79" s="2">
        <f t="shared" ca="1" si="15"/>
        <v>29.451839007719638</v>
      </c>
      <c r="S79" s="2">
        <f t="shared" ca="1" si="15"/>
        <v>28.196357805275746</v>
      </c>
      <c r="T79" s="2">
        <f t="shared" ca="1" si="15"/>
        <v>27.339890168520409</v>
      </c>
      <c r="U79" s="2">
        <f t="shared" ca="1" si="15"/>
        <v>31.14887480161466</v>
      </c>
      <c r="V79" s="2">
        <f t="shared" ca="1" si="15"/>
        <v>31.356519242582095</v>
      </c>
      <c r="W79" s="2">
        <f t="shared" ca="1" si="15"/>
        <v>30.413343161042896</v>
      </c>
      <c r="X79" s="2">
        <f t="shared" ca="1" si="15"/>
        <v>30.366574874749421</v>
      </c>
      <c r="Y79" s="2">
        <f t="shared" ca="1" si="15"/>
        <v>28.356839495856789</v>
      </c>
      <c r="Z79" s="2">
        <f t="shared" ca="1" si="15"/>
        <v>26.386866853727959</v>
      </c>
      <c r="AA79" s="2">
        <f t="shared" ca="1" si="15"/>
        <v>27.902264613788859</v>
      </c>
      <c r="AB79" s="2">
        <f t="shared" ca="1" si="15"/>
        <v>26.04036258420728</v>
      </c>
      <c r="AC79" s="2">
        <f t="shared" ca="1" si="15"/>
        <v>33.225743957853652</v>
      </c>
      <c r="AD79" s="2">
        <f t="shared" ca="1" si="15"/>
        <v>30.993547810723335</v>
      </c>
      <c r="AE79" s="2">
        <f t="shared" ca="1" si="15"/>
        <v>25.452523327917149</v>
      </c>
      <c r="AF79" s="2">
        <f t="shared" ca="1" si="15"/>
        <v>26.393309253149599</v>
      </c>
      <c r="AG79" s="2">
        <f t="shared" ca="1" si="15"/>
        <v>27.463054755689754</v>
      </c>
      <c r="AH79" s="2">
        <f t="shared" ca="1" si="15"/>
        <v>29.583707933757019</v>
      </c>
    </row>
    <row r="80" spans="1:34">
      <c r="A80" t="str">
        <f t="shared" si="17"/>
        <v>Milk</v>
      </c>
      <c r="B80" t="str">
        <f t="shared" si="18"/>
        <v>AddisAbaba</v>
      </c>
      <c r="C80" s="2">
        <f t="shared" ca="1" si="16"/>
        <v>27.571240631822093</v>
      </c>
      <c r="D80" s="2">
        <f t="shared" ca="1" si="16"/>
        <v>31.782593418628352</v>
      </c>
      <c r="E80" s="2">
        <f t="shared" ca="1" si="16"/>
        <v>27.519745597190092</v>
      </c>
      <c r="F80" s="2">
        <f t="shared" ca="1" si="16"/>
        <v>25.366900435912207</v>
      </c>
      <c r="G80" s="2">
        <f t="shared" ca="1" si="16"/>
        <v>34.925226859403828</v>
      </c>
      <c r="H80" s="2">
        <f t="shared" ca="1" si="16"/>
        <v>28.982637256850516</v>
      </c>
      <c r="I80" s="2">
        <f t="shared" ca="1" si="16"/>
        <v>30.172601745446013</v>
      </c>
      <c r="J80" s="2">
        <f t="shared" ca="1" si="16"/>
        <v>25.159415416233642</v>
      </c>
      <c r="K80" s="2">
        <f t="shared" ca="1" si="16"/>
        <v>34.58881775016782</v>
      </c>
      <c r="L80" s="2">
        <f t="shared" ca="1" si="16"/>
        <v>31.844280543552639</v>
      </c>
      <c r="M80" s="2">
        <f t="shared" ca="1" si="16"/>
        <v>25.986011874599491</v>
      </c>
      <c r="N80" s="2">
        <f t="shared" ca="1" si="16"/>
        <v>34.218791726578459</v>
      </c>
      <c r="O80" s="2">
        <f t="shared" ca="1" si="16"/>
        <v>31.899888847450416</v>
      </c>
      <c r="P80" s="2">
        <f t="shared" ca="1" si="16"/>
        <v>33.728726764798566</v>
      </c>
      <c r="Q80" s="2">
        <f t="shared" ca="1" si="16"/>
        <v>31.060888472583606</v>
      </c>
      <c r="R80" s="2">
        <f t="shared" ca="1" si="15"/>
        <v>30.428726782910349</v>
      </c>
      <c r="S80" s="2">
        <f t="shared" ca="1" si="15"/>
        <v>25.301455639266663</v>
      </c>
      <c r="T80" s="2">
        <f t="shared" ca="1" si="15"/>
        <v>32.41925976497641</v>
      </c>
      <c r="U80" s="2">
        <f t="shared" ca="1" si="15"/>
        <v>32.870396884511884</v>
      </c>
      <c r="V80" s="2">
        <f t="shared" ca="1" si="15"/>
        <v>28.244123520076378</v>
      </c>
      <c r="W80" s="2">
        <f t="shared" ca="1" si="15"/>
        <v>25.847590677946357</v>
      </c>
      <c r="X80" s="2">
        <f t="shared" ca="1" si="15"/>
        <v>29.309625203627675</v>
      </c>
      <c r="Y80" s="2">
        <f t="shared" ca="1" si="15"/>
        <v>26.024306666921028</v>
      </c>
      <c r="Z80" s="2">
        <f t="shared" ca="1" si="15"/>
        <v>29.951878959623105</v>
      </c>
      <c r="AA80" s="2">
        <f t="shared" ca="1" si="15"/>
        <v>29.902724981238528</v>
      </c>
      <c r="AB80" s="2">
        <f t="shared" ca="1" si="15"/>
        <v>34.484136899753672</v>
      </c>
      <c r="AC80" s="2">
        <f t="shared" ca="1" si="15"/>
        <v>25.984807483214478</v>
      </c>
      <c r="AD80" s="2">
        <f t="shared" ca="1" si="15"/>
        <v>31.810963193118688</v>
      </c>
      <c r="AE80" s="2">
        <f t="shared" ca="1" si="15"/>
        <v>30.460384732303027</v>
      </c>
      <c r="AF80" s="2">
        <f t="shared" ca="1" si="15"/>
        <v>27.198524014403471</v>
      </c>
      <c r="AG80" s="2">
        <f t="shared" ca="1" si="15"/>
        <v>25.461373029840185</v>
      </c>
      <c r="AH80" s="2">
        <f t="shared" ca="1" si="15"/>
        <v>27.361954856245482</v>
      </c>
    </row>
    <row r="81" spans="1:34">
      <c r="A81" t="str">
        <f t="shared" si="17"/>
        <v>Milk</v>
      </c>
      <c r="B81" t="str">
        <f t="shared" si="18"/>
        <v>Afar</v>
      </c>
      <c r="C81" s="2">
        <f t="shared" ca="1" si="16"/>
        <v>34.968715810418729</v>
      </c>
      <c r="D81" s="2">
        <f t="shared" ca="1" si="16"/>
        <v>31.640191814891459</v>
      </c>
      <c r="E81" s="2">
        <f t="shared" ca="1" si="16"/>
        <v>33.004121060421724</v>
      </c>
      <c r="F81" s="2">
        <f t="shared" ca="1" si="16"/>
        <v>33.687238076583412</v>
      </c>
      <c r="G81" s="2">
        <f t="shared" ca="1" si="16"/>
        <v>25.02960500610433</v>
      </c>
      <c r="H81" s="2">
        <f t="shared" ca="1" si="16"/>
        <v>33.952096755035328</v>
      </c>
      <c r="I81" s="2">
        <f t="shared" ca="1" si="16"/>
        <v>32.102461572947881</v>
      </c>
      <c r="J81" s="2">
        <f t="shared" ca="1" si="16"/>
        <v>26.751261631497407</v>
      </c>
      <c r="K81" s="2">
        <f t="shared" ca="1" si="16"/>
        <v>28.163381094091836</v>
      </c>
      <c r="L81" s="2">
        <f t="shared" ca="1" si="16"/>
        <v>34.725461596875348</v>
      </c>
      <c r="M81" s="2">
        <f t="shared" ca="1" si="16"/>
        <v>31.475357388408902</v>
      </c>
      <c r="N81" s="2">
        <f t="shared" ca="1" si="16"/>
        <v>28.035547233253148</v>
      </c>
      <c r="O81" s="2">
        <f t="shared" ca="1" si="16"/>
        <v>33.135438458879435</v>
      </c>
      <c r="P81" s="2">
        <f t="shared" ca="1" si="16"/>
        <v>33.902543746000404</v>
      </c>
      <c r="Q81" s="2">
        <f t="shared" ca="1" si="16"/>
        <v>28.031591226810804</v>
      </c>
      <c r="R81" s="2">
        <f t="shared" ca="1" si="15"/>
        <v>25.866331792352248</v>
      </c>
      <c r="S81" s="2">
        <f t="shared" ca="1" si="15"/>
        <v>30.767606159612512</v>
      </c>
      <c r="T81" s="2">
        <f t="shared" ca="1" si="15"/>
        <v>28.010473466934759</v>
      </c>
      <c r="U81" s="2">
        <f t="shared" ca="1" si="15"/>
        <v>29.804999100695312</v>
      </c>
      <c r="V81" s="2">
        <f t="shared" ca="1" si="15"/>
        <v>34.875656624758463</v>
      </c>
      <c r="W81" s="2">
        <f t="shared" ca="1" si="15"/>
        <v>33.557151151730892</v>
      </c>
      <c r="X81" s="2">
        <f t="shared" ca="1" si="15"/>
        <v>28.884505431731039</v>
      </c>
      <c r="Y81" s="2">
        <f t="shared" ca="1" si="15"/>
        <v>28.097327493000456</v>
      </c>
      <c r="Z81" s="2">
        <f t="shared" ca="1" si="15"/>
        <v>29.45566556459589</v>
      </c>
      <c r="AA81" s="2">
        <f t="shared" ca="1" si="15"/>
        <v>30.541970628856625</v>
      </c>
      <c r="AB81" s="2">
        <f t="shared" ca="1" si="15"/>
        <v>26.60880902794996</v>
      </c>
      <c r="AC81" s="2">
        <f t="shared" ca="1" si="15"/>
        <v>25.064518062591034</v>
      </c>
      <c r="AD81" s="2">
        <f t="shared" ca="1" si="15"/>
        <v>30.733692526459112</v>
      </c>
      <c r="AE81" s="2">
        <f t="shared" ca="1" si="15"/>
        <v>26.104355657999363</v>
      </c>
      <c r="AF81" s="2">
        <f t="shared" ca="1" si="15"/>
        <v>32.454556464720334</v>
      </c>
      <c r="AG81" s="2">
        <f t="shared" ca="1" si="15"/>
        <v>30.449245120276316</v>
      </c>
      <c r="AH81" s="2">
        <f t="shared" ca="1" si="15"/>
        <v>34.386796613147787</v>
      </c>
    </row>
    <row r="82" spans="1:34">
      <c r="A82" t="str">
        <f t="shared" si="17"/>
        <v>Milk</v>
      </c>
      <c r="B82" t="str">
        <f t="shared" si="18"/>
        <v>Amhara</v>
      </c>
      <c r="C82" s="2">
        <f t="shared" ca="1" si="16"/>
        <v>29.806858405695138</v>
      </c>
      <c r="D82" s="2">
        <f t="shared" ca="1" si="16"/>
        <v>34.699970097409107</v>
      </c>
      <c r="E82" s="2">
        <f t="shared" ca="1" si="16"/>
        <v>31.447988644490337</v>
      </c>
      <c r="F82" s="2">
        <f t="shared" ca="1" si="16"/>
        <v>29.635903863355971</v>
      </c>
      <c r="G82" s="2">
        <f t="shared" ca="1" si="16"/>
        <v>33.147688907742996</v>
      </c>
      <c r="H82" s="2">
        <f t="shared" ca="1" si="16"/>
        <v>32.30288451053228</v>
      </c>
      <c r="I82" s="2">
        <f t="shared" ca="1" si="16"/>
        <v>33.11510817719914</v>
      </c>
      <c r="J82" s="2">
        <f t="shared" ca="1" si="16"/>
        <v>25.412488157452529</v>
      </c>
      <c r="K82" s="2">
        <f t="shared" ca="1" si="16"/>
        <v>27.075445111045404</v>
      </c>
      <c r="L82" s="2">
        <f t="shared" ca="1" si="16"/>
        <v>26.743990383894484</v>
      </c>
      <c r="M82" s="2">
        <f t="shared" ca="1" si="16"/>
        <v>31.658520094797158</v>
      </c>
      <c r="N82" s="2">
        <f t="shared" ca="1" si="16"/>
        <v>29.89096151957407</v>
      </c>
      <c r="O82" s="2">
        <f t="shared" ca="1" si="16"/>
        <v>26.864495609350868</v>
      </c>
      <c r="P82" s="2">
        <f t="shared" ca="1" si="16"/>
        <v>31.175778831050678</v>
      </c>
      <c r="Q82" s="2">
        <f t="shared" ca="1" si="16"/>
        <v>27.192623521378593</v>
      </c>
      <c r="R82" s="2">
        <f t="shared" ca="1" si="15"/>
        <v>33.149348218931358</v>
      </c>
      <c r="S82" s="2">
        <f t="shared" ca="1" si="15"/>
        <v>30.825697280144212</v>
      </c>
      <c r="T82" s="2">
        <f t="shared" ca="1" si="15"/>
        <v>31.900538143877156</v>
      </c>
      <c r="U82" s="2">
        <f t="shared" ca="1" si="15"/>
        <v>27.953720287996564</v>
      </c>
      <c r="V82" s="2">
        <f t="shared" ca="1" si="15"/>
        <v>31.817736132580791</v>
      </c>
      <c r="W82" s="2">
        <f t="shared" ca="1" si="15"/>
        <v>34.459486636098944</v>
      </c>
      <c r="X82" s="2">
        <f t="shared" ca="1" si="15"/>
        <v>32.342870297589904</v>
      </c>
      <c r="Y82" s="2">
        <f t="shared" ca="1" si="15"/>
        <v>31.435038154269286</v>
      </c>
      <c r="Z82" s="2">
        <f t="shared" ca="1" si="15"/>
        <v>33.071664609271508</v>
      </c>
      <c r="AA82" s="2">
        <f t="shared" ca="1" si="15"/>
        <v>28.767243708405886</v>
      </c>
      <c r="AB82" s="2">
        <f t="shared" ca="1" si="15"/>
        <v>27.867648290656831</v>
      </c>
      <c r="AC82" s="2">
        <f t="shared" ca="1" si="15"/>
        <v>33.597198067888208</v>
      </c>
      <c r="AD82" s="2">
        <f t="shared" ca="1" si="15"/>
        <v>34.402107357393206</v>
      </c>
      <c r="AE82" s="2">
        <f t="shared" ca="1" si="15"/>
        <v>33.982499634256172</v>
      </c>
      <c r="AF82" s="2">
        <f t="shared" ca="1" si="15"/>
        <v>29.903842631820087</v>
      </c>
      <c r="AG82" s="2">
        <f t="shared" ca="1" si="15"/>
        <v>34.767339528250695</v>
      </c>
      <c r="AH82" s="2">
        <f t="shared" ca="1" si="15"/>
        <v>33.328016341439564</v>
      </c>
    </row>
    <row r="83" spans="1:34">
      <c r="A83" t="str">
        <f t="shared" si="17"/>
        <v>Milk</v>
      </c>
      <c r="B83" t="str">
        <f t="shared" si="18"/>
        <v>Gumuz</v>
      </c>
      <c r="C83" s="2">
        <f t="shared" ca="1" si="16"/>
        <v>32.706761382964572</v>
      </c>
      <c r="D83" s="2">
        <f t="shared" ca="1" si="16"/>
        <v>29.470104083461607</v>
      </c>
      <c r="E83" s="2">
        <f t="shared" ca="1" si="16"/>
        <v>32.132191788120473</v>
      </c>
      <c r="F83" s="2">
        <f t="shared" ca="1" si="16"/>
        <v>27.324093069642217</v>
      </c>
      <c r="G83" s="2">
        <f t="shared" ca="1" si="16"/>
        <v>27.710465122872357</v>
      </c>
      <c r="H83" s="2">
        <f t="shared" ca="1" si="16"/>
        <v>33.88464619073109</v>
      </c>
      <c r="I83" s="2">
        <f t="shared" ca="1" si="16"/>
        <v>26.907688405018476</v>
      </c>
      <c r="J83" s="2">
        <f t="shared" ca="1" si="16"/>
        <v>34.596896526812991</v>
      </c>
      <c r="K83" s="2">
        <f t="shared" ca="1" si="16"/>
        <v>25.965199734358002</v>
      </c>
      <c r="L83" s="2">
        <f t="shared" ca="1" si="16"/>
        <v>27.15586274491061</v>
      </c>
      <c r="M83" s="2">
        <f t="shared" ca="1" si="16"/>
        <v>25.177569011336658</v>
      </c>
      <c r="N83" s="2">
        <f t="shared" ca="1" si="16"/>
        <v>26.581378855912952</v>
      </c>
      <c r="O83" s="2">
        <f t="shared" ca="1" si="16"/>
        <v>26.390621349747363</v>
      </c>
      <c r="P83" s="2">
        <f t="shared" ca="1" si="16"/>
        <v>30.622516583813322</v>
      </c>
      <c r="Q83" s="2">
        <f t="shared" ca="1" si="16"/>
        <v>31.057223519490421</v>
      </c>
      <c r="R83" s="2">
        <f t="shared" ca="1" si="16"/>
        <v>32.583467026371522</v>
      </c>
      <c r="S83" s="2">
        <f t="shared" ref="S83:AH90" ca="1" si="19">(RAND()*1+2.5)*10</f>
        <v>27.595389030021945</v>
      </c>
      <c r="T83" s="2">
        <f t="shared" ca="1" si="19"/>
        <v>29.965030016731792</v>
      </c>
      <c r="U83" s="2">
        <f t="shared" ca="1" si="19"/>
        <v>25.092856464691444</v>
      </c>
      <c r="V83" s="2">
        <f t="shared" ca="1" si="19"/>
        <v>32.739738764223517</v>
      </c>
      <c r="W83" s="2">
        <f t="shared" ca="1" si="19"/>
        <v>31.348260558362725</v>
      </c>
      <c r="X83" s="2">
        <f t="shared" ca="1" si="19"/>
        <v>34.965434435969769</v>
      </c>
      <c r="Y83" s="2">
        <f t="shared" ca="1" si="19"/>
        <v>31.621867676060692</v>
      </c>
      <c r="Z83" s="2">
        <f t="shared" ca="1" si="19"/>
        <v>32.302116548943999</v>
      </c>
      <c r="AA83" s="2">
        <f t="shared" ca="1" si="19"/>
        <v>33.871021875732602</v>
      </c>
      <c r="AB83" s="2">
        <f t="shared" ca="1" si="19"/>
        <v>32.030706017541362</v>
      </c>
      <c r="AC83" s="2">
        <f t="shared" ca="1" si="19"/>
        <v>32.601107012616168</v>
      </c>
      <c r="AD83" s="2">
        <f t="shared" ca="1" si="19"/>
        <v>25.530699776190033</v>
      </c>
      <c r="AE83" s="2">
        <f t="shared" ca="1" si="19"/>
        <v>29.809638499635192</v>
      </c>
      <c r="AF83" s="2">
        <f t="shared" ca="1" si="19"/>
        <v>29.667162835450817</v>
      </c>
      <c r="AG83" s="2">
        <f t="shared" ca="1" si="19"/>
        <v>29.435829344810649</v>
      </c>
      <c r="AH83" s="2">
        <f t="shared" ca="1" si="19"/>
        <v>32.512259616351116</v>
      </c>
    </row>
    <row r="84" spans="1:34">
      <c r="A84" t="str">
        <f t="shared" si="17"/>
        <v>Milk</v>
      </c>
      <c r="B84" t="str">
        <f t="shared" si="18"/>
        <v>DireDawa</v>
      </c>
      <c r="C84" s="2">
        <f t="shared" ca="1" si="16"/>
        <v>33.243933985948573</v>
      </c>
      <c r="D84" s="2">
        <f t="shared" ca="1" si="16"/>
        <v>27.191069730970334</v>
      </c>
      <c r="E84" s="2">
        <f t="shared" ca="1" si="16"/>
        <v>29.806614340075605</v>
      </c>
      <c r="F84" s="2">
        <f t="shared" ca="1" si="16"/>
        <v>30.802872028131787</v>
      </c>
      <c r="G84" s="2">
        <f t="shared" ca="1" si="16"/>
        <v>34.974851770296524</v>
      </c>
      <c r="H84" s="2">
        <f t="shared" ca="1" si="16"/>
        <v>27.694353661856926</v>
      </c>
      <c r="I84" s="2">
        <f t="shared" ca="1" si="16"/>
        <v>28.398554134606492</v>
      </c>
      <c r="J84" s="2">
        <f t="shared" ca="1" si="16"/>
        <v>28.96588455541135</v>
      </c>
      <c r="K84" s="2">
        <f t="shared" ca="1" si="16"/>
        <v>33.152127150104285</v>
      </c>
      <c r="L84" s="2">
        <f t="shared" ca="1" si="16"/>
        <v>26.074113834287971</v>
      </c>
      <c r="M84" s="2">
        <f t="shared" ca="1" si="16"/>
        <v>27.604156493351027</v>
      </c>
      <c r="N84" s="2">
        <f t="shared" ca="1" si="16"/>
        <v>32.13897901190294</v>
      </c>
      <c r="O84" s="2">
        <f t="shared" ca="1" si="16"/>
        <v>32.755986959425549</v>
      </c>
      <c r="P84" s="2">
        <f t="shared" ca="1" si="16"/>
        <v>25.924998230378733</v>
      </c>
      <c r="Q84" s="2">
        <f t="shared" ca="1" si="16"/>
        <v>25.516705765637361</v>
      </c>
      <c r="R84" s="2">
        <f t="shared" ca="1" si="16"/>
        <v>30.643843808409482</v>
      </c>
      <c r="S84" s="2">
        <f t="shared" ca="1" si="19"/>
        <v>28.542573991968069</v>
      </c>
      <c r="T84" s="2">
        <f t="shared" ca="1" si="19"/>
        <v>25.616378253284608</v>
      </c>
      <c r="U84" s="2">
        <f t="shared" ca="1" si="19"/>
        <v>29.649853454795366</v>
      </c>
      <c r="V84" s="2">
        <f t="shared" ca="1" si="19"/>
        <v>26.153813567725194</v>
      </c>
      <c r="W84" s="2">
        <f t="shared" ca="1" si="19"/>
        <v>32.387219090000691</v>
      </c>
      <c r="X84" s="2">
        <f t="shared" ca="1" si="19"/>
        <v>28.486868054049591</v>
      </c>
      <c r="Y84" s="2">
        <f t="shared" ca="1" si="19"/>
        <v>30.221180317517767</v>
      </c>
      <c r="Z84" s="2">
        <f t="shared" ca="1" si="19"/>
        <v>28.710572907044369</v>
      </c>
      <c r="AA84" s="2">
        <f t="shared" ca="1" si="19"/>
        <v>33.070119622860183</v>
      </c>
      <c r="AB84" s="2">
        <f t="shared" ca="1" si="19"/>
        <v>31.296922516266122</v>
      </c>
      <c r="AC84" s="2">
        <f t="shared" ca="1" si="19"/>
        <v>29.471523708292715</v>
      </c>
      <c r="AD84" s="2">
        <f t="shared" ca="1" si="19"/>
        <v>28.591625743782206</v>
      </c>
      <c r="AE84" s="2">
        <f t="shared" ca="1" si="19"/>
        <v>30.730813518735975</v>
      </c>
      <c r="AF84" s="2">
        <f t="shared" ca="1" si="19"/>
        <v>29.204418914184664</v>
      </c>
      <c r="AG84" s="2">
        <f t="shared" ca="1" si="19"/>
        <v>25.109132384653282</v>
      </c>
      <c r="AH84" s="2">
        <f t="shared" ca="1" si="19"/>
        <v>31.623448636892348</v>
      </c>
    </row>
    <row r="85" spans="1:34">
      <c r="A85" t="str">
        <f t="shared" si="17"/>
        <v>Milk</v>
      </c>
      <c r="B85" t="str">
        <f t="shared" si="18"/>
        <v>Gambela</v>
      </c>
      <c r="C85" s="2">
        <f t="shared" ca="1" si="16"/>
        <v>28.843916034546922</v>
      </c>
      <c r="D85" s="2">
        <f t="shared" ca="1" si="16"/>
        <v>29.214126650245706</v>
      </c>
      <c r="E85" s="2">
        <f t="shared" ca="1" si="16"/>
        <v>32.838542356145268</v>
      </c>
      <c r="F85" s="2">
        <f t="shared" ca="1" si="16"/>
        <v>25.180678030330817</v>
      </c>
      <c r="G85" s="2">
        <f t="shared" ca="1" si="16"/>
        <v>31.83250499455907</v>
      </c>
      <c r="H85" s="2">
        <f t="shared" ca="1" si="16"/>
        <v>29.626489269733064</v>
      </c>
      <c r="I85" s="2">
        <f t="shared" ca="1" si="16"/>
        <v>25.76779435170706</v>
      </c>
      <c r="J85" s="2">
        <f t="shared" ca="1" si="16"/>
        <v>26.50792426504718</v>
      </c>
      <c r="K85" s="2">
        <f t="shared" ca="1" si="16"/>
        <v>34.214756770402516</v>
      </c>
      <c r="L85" s="2">
        <f t="shared" ca="1" si="16"/>
        <v>33.208493157847435</v>
      </c>
      <c r="M85" s="2">
        <f t="shared" ca="1" si="16"/>
        <v>33.710100466583121</v>
      </c>
      <c r="N85" s="2">
        <f t="shared" ca="1" si="16"/>
        <v>26.200794775396332</v>
      </c>
      <c r="O85" s="2">
        <f t="shared" ca="1" si="16"/>
        <v>31.549740952573671</v>
      </c>
      <c r="P85" s="2">
        <f t="shared" ref="P85:AE90" ca="1" si="20">(RAND()*1+2.5)*10</f>
        <v>30.922842967872413</v>
      </c>
      <c r="Q85" s="2">
        <f t="shared" ca="1" si="20"/>
        <v>32.494273090421551</v>
      </c>
      <c r="R85" s="2">
        <f t="shared" ca="1" si="20"/>
        <v>33.981898930979703</v>
      </c>
      <c r="S85" s="2">
        <f t="shared" ca="1" si="20"/>
        <v>33.625950317490435</v>
      </c>
      <c r="T85" s="2">
        <f t="shared" ca="1" si="20"/>
        <v>28.225925651582916</v>
      </c>
      <c r="U85" s="2">
        <f t="shared" ca="1" si="20"/>
        <v>29.745165283045012</v>
      </c>
      <c r="V85" s="2">
        <f t="shared" ca="1" si="20"/>
        <v>32.640974465841353</v>
      </c>
      <c r="W85" s="2">
        <f t="shared" ca="1" si="20"/>
        <v>28.419837461775252</v>
      </c>
      <c r="X85" s="2">
        <f t="shared" ca="1" si="20"/>
        <v>27.064273675949533</v>
      </c>
      <c r="Y85" s="2">
        <f t="shared" ca="1" si="20"/>
        <v>31.835793618215718</v>
      </c>
      <c r="Z85" s="2">
        <f t="shared" ca="1" si="20"/>
        <v>28.606262607966247</v>
      </c>
      <c r="AA85" s="2">
        <f t="shared" ca="1" si="20"/>
        <v>33.153426040909217</v>
      </c>
      <c r="AB85" s="2">
        <f t="shared" ca="1" si="20"/>
        <v>27.478054102701787</v>
      </c>
      <c r="AC85" s="2">
        <f t="shared" ca="1" si="20"/>
        <v>27.385631892906162</v>
      </c>
      <c r="AD85" s="2">
        <f t="shared" ca="1" si="20"/>
        <v>31.082428909415462</v>
      </c>
      <c r="AE85" s="2">
        <f t="shared" ca="1" si="20"/>
        <v>33.168516734248982</v>
      </c>
      <c r="AF85" s="2">
        <f t="shared" ca="1" si="19"/>
        <v>33.271131601688786</v>
      </c>
      <c r="AG85" s="2">
        <f t="shared" ca="1" si="19"/>
        <v>33.189128780967458</v>
      </c>
      <c r="AH85" s="2">
        <f t="shared" ca="1" si="19"/>
        <v>26.899820921590461</v>
      </c>
    </row>
    <row r="86" spans="1:34">
      <c r="A86" t="str">
        <f t="shared" si="17"/>
        <v>Milk</v>
      </c>
      <c r="B86" t="str">
        <f t="shared" si="18"/>
        <v>Harari</v>
      </c>
      <c r="C86" s="2">
        <f t="shared" ref="C86:Q90" ca="1" si="21">(RAND()*1+2.5)*10</f>
        <v>30.230801850724831</v>
      </c>
      <c r="D86" s="2">
        <f t="shared" ca="1" si="21"/>
        <v>30.722140463434933</v>
      </c>
      <c r="E86" s="2">
        <f t="shared" ca="1" si="21"/>
        <v>27.223543964870707</v>
      </c>
      <c r="F86" s="2">
        <f t="shared" ca="1" si="21"/>
        <v>33.181762652748155</v>
      </c>
      <c r="G86" s="2">
        <f t="shared" ca="1" si="21"/>
        <v>31.897430338277903</v>
      </c>
      <c r="H86" s="2">
        <f t="shared" ca="1" si="21"/>
        <v>27.171467539419893</v>
      </c>
      <c r="I86" s="2">
        <f t="shared" ca="1" si="21"/>
        <v>26.409583317992325</v>
      </c>
      <c r="J86" s="2">
        <f t="shared" ca="1" si="21"/>
        <v>25.019856570980977</v>
      </c>
      <c r="K86" s="2">
        <f t="shared" ca="1" si="21"/>
        <v>27.83148063827154</v>
      </c>
      <c r="L86" s="2">
        <f t="shared" ca="1" si="21"/>
        <v>29.350040009049678</v>
      </c>
      <c r="M86" s="2">
        <f t="shared" ca="1" si="21"/>
        <v>27.184518290158472</v>
      </c>
      <c r="N86" s="2">
        <f t="shared" ca="1" si="21"/>
        <v>27.162234634518157</v>
      </c>
      <c r="O86" s="2">
        <f t="shared" ca="1" si="21"/>
        <v>29.86774479188005</v>
      </c>
      <c r="P86" s="2">
        <f t="shared" ca="1" si="21"/>
        <v>32.475889867020662</v>
      </c>
      <c r="Q86" s="2">
        <f t="shared" ca="1" si="21"/>
        <v>34.851064813715041</v>
      </c>
      <c r="R86" s="2">
        <f t="shared" ca="1" si="20"/>
        <v>25.926712476052359</v>
      </c>
      <c r="S86" s="2">
        <f t="shared" ca="1" si="20"/>
        <v>27.212021499232364</v>
      </c>
      <c r="T86" s="2">
        <f t="shared" ca="1" si="20"/>
        <v>29.023656557832691</v>
      </c>
      <c r="U86" s="2">
        <f t="shared" ca="1" si="20"/>
        <v>34.400824510405535</v>
      </c>
      <c r="V86" s="2">
        <f t="shared" ca="1" si="20"/>
        <v>27.836817657469581</v>
      </c>
      <c r="W86" s="2">
        <f t="shared" ca="1" si="20"/>
        <v>32.934947642660745</v>
      </c>
      <c r="X86" s="2">
        <f t="shared" ca="1" si="20"/>
        <v>32.39729845436765</v>
      </c>
      <c r="Y86" s="2">
        <f t="shared" ca="1" si="20"/>
        <v>27.304485257649176</v>
      </c>
      <c r="Z86" s="2">
        <f t="shared" ca="1" si="20"/>
        <v>27.464858994242309</v>
      </c>
      <c r="AA86" s="2">
        <f t="shared" ca="1" si="20"/>
        <v>27.286213484802353</v>
      </c>
      <c r="AB86" s="2">
        <f t="shared" ca="1" si="20"/>
        <v>25.603405703894104</v>
      </c>
      <c r="AC86" s="2">
        <f t="shared" ca="1" si="20"/>
        <v>34.103106895578392</v>
      </c>
      <c r="AD86" s="2">
        <f t="shared" ca="1" si="20"/>
        <v>31.920511772308629</v>
      </c>
      <c r="AE86" s="2">
        <f t="shared" ca="1" si="20"/>
        <v>27.776993469535746</v>
      </c>
      <c r="AF86" s="2">
        <f t="shared" ca="1" si="19"/>
        <v>34.044268566167531</v>
      </c>
      <c r="AG86" s="2">
        <f t="shared" ca="1" si="19"/>
        <v>25.015591137866238</v>
      </c>
      <c r="AH86" s="2">
        <f t="shared" ca="1" si="19"/>
        <v>25.001120284586303</v>
      </c>
    </row>
    <row r="87" spans="1:34">
      <c r="A87" t="str">
        <f t="shared" si="17"/>
        <v>Milk</v>
      </c>
      <c r="B87" t="str">
        <f t="shared" si="18"/>
        <v>Oromia</v>
      </c>
      <c r="C87" s="2">
        <f t="shared" ca="1" si="21"/>
        <v>32.098602897026659</v>
      </c>
      <c r="D87" s="2">
        <f t="shared" ca="1" si="21"/>
        <v>33.612358167045159</v>
      </c>
      <c r="E87" s="2">
        <f t="shared" ca="1" si="21"/>
        <v>30.912690913142917</v>
      </c>
      <c r="F87" s="2">
        <f t="shared" ca="1" si="21"/>
        <v>28.603376100167957</v>
      </c>
      <c r="G87" s="2">
        <f t="shared" ca="1" si="21"/>
        <v>25.143101552301417</v>
      </c>
      <c r="H87" s="2">
        <f t="shared" ca="1" si="21"/>
        <v>25.124416311948856</v>
      </c>
      <c r="I87" s="2">
        <f t="shared" ca="1" si="21"/>
        <v>25.313102436133491</v>
      </c>
      <c r="J87" s="2">
        <f t="shared" ca="1" si="21"/>
        <v>33.649068148225474</v>
      </c>
      <c r="K87" s="2">
        <f t="shared" ca="1" si="21"/>
        <v>27.720354987295046</v>
      </c>
      <c r="L87" s="2">
        <f t="shared" ca="1" si="21"/>
        <v>33.410044100019455</v>
      </c>
      <c r="M87" s="2">
        <f t="shared" ca="1" si="21"/>
        <v>30.78224069638107</v>
      </c>
      <c r="N87" s="2">
        <f t="shared" ca="1" si="21"/>
        <v>28.685335906051211</v>
      </c>
      <c r="O87" s="2">
        <f t="shared" ca="1" si="21"/>
        <v>26.116384035138299</v>
      </c>
      <c r="P87" s="2">
        <f t="shared" ca="1" si="21"/>
        <v>30.566763374750316</v>
      </c>
      <c r="Q87" s="2">
        <f t="shared" ca="1" si="21"/>
        <v>25.503005977336962</v>
      </c>
      <c r="R87" s="2">
        <f t="shared" ca="1" si="20"/>
        <v>33.974426474133033</v>
      </c>
      <c r="S87" s="2">
        <f t="shared" ca="1" si="20"/>
        <v>27.220364310606175</v>
      </c>
      <c r="T87" s="2">
        <f t="shared" ca="1" si="20"/>
        <v>33.301154006723692</v>
      </c>
      <c r="U87" s="2">
        <f t="shared" ca="1" si="20"/>
        <v>34.605504375512659</v>
      </c>
      <c r="V87" s="2">
        <f t="shared" ca="1" si="20"/>
        <v>33.665587058018595</v>
      </c>
      <c r="W87" s="2">
        <f t="shared" ca="1" si="20"/>
        <v>27.855470331381674</v>
      </c>
      <c r="X87" s="2">
        <f t="shared" ca="1" si="20"/>
        <v>31.168468627740317</v>
      </c>
      <c r="Y87" s="2">
        <f t="shared" ca="1" si="20"/>
        <v>28.958235956542566</v>
      </c>
      <c r="Z87" s="2">
        <f t="shared" ca="1" si="20"/>
        <v>29.864974500866591</v>
      </c>
      <c r="AA87" s="2">
        <f t="shared" ca="1" si="20"/>
        <v>27.018895101455431</v>
      </c>
      <c r="AB87" s="2">
        <f t="shared" ca="1" si="20"/>
        <v>34.753980663535778</v>
      </c>
      <c r="AC87" s="2">
        <f t="shared" ca="1" si="20"/>
        <v>29.336141754074632</v>
      </c>
      <c r="AD87" s="2">
        <f t="shared" ca="1" si="20"/>
        <v>34.071781507600633</v>
      </c>
      <c r="AE87" s="2">
        <f t="shared" ca="1" si="20"/>
        <v>34.104430111666076</v>
      </c>
      <c r="AF87" s="2">
        <f t="shared" ca="1" si="19"/>
        <v>28.617731280469734</v>
      </c>
      <c r="AG87" s="2">
        <f t="shared" ca="1" si="19"/>
        <v>34.765798743907887</v>
      </c>
      <c r="AH87" s="2">
        <f t="shared" ca="1" si="19"/>
        <v>30.656146520493834</v>
      </c>
    </row>
    <row r="88" spans="1:34">
      <c r="A88" t="str">
        <f t="shared" si="17"/>
        <v>Milk</v>
      </c>
      <c r="B88" t="str">
        <f t="shared" si="18"/>
        <v>Somali</v>
      </c>
      <c r="C88" s="2">
        <f t="shared" ca="1" si="21"/>
        <v>28.704225555149954</v>
      </c>
      <c r="D88" s="2">
        <f t="shared" ca="1" si="21"/>
        <v>28.450657798766635</v>
      </c>
      <c r="E88" s="2">
        <f t="shared" ca="1" si="21"/>
        <v>25.957093520662603</v>
      </c>
      <c r="F88" s="2">
        <f t="shared" ca="1" si="21"/>
        <v>25.471926613117052</v>
      </c>
      <c r="G88" s="2">
        <f t="shared" ca="1" si="21"/>
        <v>28.236560596345349</v>
      </c>
      <c r="H88" s="2">
        <f t="shared" ca="1" si="21"/>
        <v>33.872831995064118</v>
      </c>
      <c r="I88" s="2">
        <f t="shared" ca="1" si="21"/>
        <v>33.070213238527252</v>
      </c>
      <c r="J88" s="2">
        <f t="shared" ca="1" si="21"/>
        <v>27.558071968206519</v>
      </c>
      <c r="K88" s="2">
        <f t="shared" ca="1" si="21"/>
        <v>29.856439866855418</v>
      </c>
      <c r="L88" s="2">
        <f t="shared" ca="1" si="21"/>
        <v>27.516101819945149</v>
      </c>
      <c r="M88" s="2">
        <f t="shared" ca="1" si="21"/>
        <v>28.627828527152861</v>
      </c>
      <c r="N88" s="2">
        <f t="shared" ca="1" si="21"/>
        <v>28.674686332753602</v>
      </c>
      <c r="O88" s="2">
        <f t="shared" ca="1" si="21"/>
        <v>25.060777274299376</v>
      </c>
      <c r="P88" s="2">
        <f t="shared" ca="1" si="21"/>
        <v>27.827749393420362</v>
      </c>
      <c r="Q88" s="2">
        <f t="shared" ca="1" si="21"/>
        <v>25.981506188103939</v>
      </c>
      <c r="R88" s="2">
        <f t="shared" ca="1" si="20"/>
        <v>27.401636109978128</v>
      </c>
      <c r="S88" s="2">
        <f t="shared" ca="1" si="20"/>
        <v>28.034537098167274</v>
      </c>
      <c r="T88" s="2">
        <f t="shared" ca="1" si="20"/>
        <v>33.433796538385572</v>
      </c>
      <c r="U88" s="2">
        <f t="shared" ca="1" si="20"/>
        <v>27.97845834962143</v>
      </c>
      <c r="V88" s="2">
        <f t="shared" ca="1" si="20"/>
        <v>34.219178966228242</v>
      </c>
      <c r="W88" s="2">
        <f t="shared" ca="1" si="20"/>
        <v>31.534127258663339</v>
      </c>
      <c r="X88" s="2">
        <f t="shared" ca="1" si="20"/>
        <v>31.684536146461035</v>
      </c>
      <c r="Y88" s="2">
        <f t="shared" ca="1" si="20"/>
        <v>33.501354521496765</v>
      </c>
      <c r="Z88" s="2">
        <f t="shared" ca="1" si="20"/>
        <v>34.310977154107611</v>
      </c>
      <c r="AA88" s="2">
        <f t="shared" ca="1" si="20"/>
        <v>34.893751506599749</v>
      </c>
      <c r="AB88" s="2">
        <f t="shared" ca="1" si="20"/>
        <v>28.119155373490941</v>
      </c>
      <c r="AC88" s="2">
        <f t="shared" ca="1" si="20"/>
        <v>27.917377745131851</v>
      </c>
      <c r="AD88" s="2">
        <f t="shared" ca="1" si="20"/>
        <v>28.826759681933858</v>
      </c>
      <c r="AE88" s="2">
        <f t="shared" ca="1" si="20"/>
        <v>33.69942392000597</v>
      </c>
      <c r="AF88" s="2">
        <f t="shared" ca="1" si="19"/>
        <v>34.694338090599729</v>
      </c>
      <c r="AG88" s="2">
        <f t="shared" ca="1" si="19"/>
        <v>34.337408903650093</v>
      </c>
      <c r="AH88" s="2">
        <f t="shared" ca="1" si="19"/>
        <v>29.10045796300798</v>
      </c>
    </row>
    <row r="89" spans="1:34">
      <c r="A89" t="str">
        <f t="shared" si="17"/>
        <v>Milk</v>
      </c>
      <c r="B89" t="str">
        <f t="shared" si="18"/>
        <v>SNNPR</v>
      </c>
      <c r="C89" s="2">
        <f t="shared" ca="1" si="21"/>
        <v>27.78772801379634</v>
      </c>
      <c r="D89" s="2">
        <f t="shared" ca="1" si="21"/>
        <v>25.790509861232714</v>
      </c>
      <c r="E89" s="2">
        <f t="shared" ca="1" si="21"/>
        <v>25.105438938743802</v>
      </c>
      <c r="F89" s="2">
        <f t="shared" ca="1" si="21"/>
        <v>28.572183964051248</v>
      </c>
      <c r="G89" s="2">
        <f t="shared" ca="1" si="21"/>
        <v>28.599485248017533</v>
      </c>
      <c r="H89" s="2">
        <f t="shared" ca="1" si="21"/>
        <v>34.962125999504458</v>
      </c>
      <c r="I89" s="2">
        <f t="shared" ca="1" si="21"/>
        <v>32.817729104384711</v>
      </c>
      <c r="J89" s="2">
        <f t="shared" ca="1" si="21"/>
        <v>29.437919030459572</v>
      </c>
      <c r="K89" s="2">
        <f t="shared" ca="1" si="21"/>
        <v>25.544702306387002</v>
      </c>
      <c r="L89" s="2">
        <f t="shared" ca="1" si="21"/>
        <v>27.554471554666534</v>
      </c>
      <c r="M89" s="2">
        <f t="shared" ca="1" si="21"/>
        <v>34.763978156762569</v>
      </c>
      <c r="N89" s="2">
        <f t="shared" ca="1" si="21"/>
        <v>27.89810834885084</v>
      </c>
      <c r="O89" s="2">
        <f t="shared" ca="1" si="21"/>
        <v>28.660816870213853</v>
      </c>
      <c r="P89" s="2">
        <f t="shared" ca="1" si="21"/>
        <v>25.803771020134381</v>
      </c>
      <c r="Q89" s="2">
        <f t="shared" ca="1" si="21"/>
        <v>34.790685027575037</v>
      </c>
      <c r="R89" s="2">
        <f t="shared" ca="1" si="20"/>
        <v>31.940764816059804</v>
      </c>
      <c r="S89" s="2">
        <f t="shared" ca="1" si="20"/>
        <v>34.137806694137673</v>
      </c>
      <c r="T89" s="2">
        <f t="shared" ca="1" si="20"/>
        <v>30.791504505776757</v>
      </c>
      <c r="U89" s="2">
        <f t="shared" ca="1" si="20"/>
        <v>29.775830229918295</v>
      </c>
      <c r="V89" s="2">
        <f t="shared" ca="1" si="20"/>
        <v>27.723870126392306</v>
      </c>
      <c r="W89" s="2">
        <f t="shared" ca="1" si="20"/>
        <v>26.911446733232363</v>
      </c>
      <c r="X89" s="2">
        <f t="shared" ca="1" si="20"/>
        <v>33.231370018953029</v>
      </c>
      <c r="Y89" s="2">
        <f t="shared" ca="1" si="20"/>
        <v>28.728888321104023</v>
      </c>
      <c r="Z89" s="2">
        <f t="shared" ca="1" si="20"/>
        <v>33.323936604596717</v>
      </c>
      <c r="AA89" s="2">
        <f t="shared" ca="1" si="20"/>
        <v>25.698621076884052</v>
      </c>
      <c r="AB89" s="2">
        <f t="shared" ca="1" si="20"/>
        <v>26.890081870875498</v>
      </c>
      <c r="AC89" s="2">
        <f t="shared" ca="1" si="20"/>
        <v>25.18899166345556</v>
      </c>
      <c r="AD89" s="2">
        <f t="shared" ca="1" si="20"/>
        <v>34.819831205775039</v>
      </c>
      <c r="AE89" s="2">
        <f t="shared" ca="1" si="20"/>
        <v>31.997299451574996</v>
      </c>
      <c r="AF89" s="2">
        <f t="shared" ca="1" si="19"/>
        <v>31.115454217112699</v>
      </c>
      <c r="AG89" s="2">
        <f t="shared" ca="1" si="19"/>
        <v>25.84458663605179</v>
      </c>
      <c r="AH89" s="2">
        <f t="shared" ca="1" si="19"/>
        <v>25.137203579601753</v>
      </c>
    </row>
    <row r="90" spans="1:34">
      <c r="A90" t="str">
        <f t="shared" si="17"/>
        <v>Milk</v>
      </c>
      <c r="B90" t="str">
        <f t="shared" si="18"/>
        <v>Tigray</v>
      </c>
      <c r="C90" s="2">
        <f t="shared" ca="1" si="21"/>
        <v>26.482176805550594</v>
      </c>
      <c r="D90" s="2">
        <f t="shared" ca="1" si="21"/>
        <v>27.181265636174544</v>
      </c>
      <c r="E90" s="2">
        <f t="shared" ca="1" si="21"/>
        <v>32.21053943122979</v>
      </c>
      <c r="F90" s="2">
        <f t="shared" ca="1" si="21"/>
        <v>32.31537057368444</v>
      </c>
      <c r="G90" s="2">
        <f t="shared" ca="1" si="21"/>
        <v>34.836787610677085</v>
      </c>
      <c r="H90" s="2">
        <f t="shared" ca="1" si="21"/>
        <v>33.663898248935368</v>
      </c>
      <c r="I90" s="2">
        <f t="shared" ca="1" si="21"/>
        <v>27.771663387914742</v>
      </c>
      <c r="J90" s="2">
        <f t="shared" ca="1" si="21"/>
        <v>26.019057861907839</v>
      </c>
      <c r="K90" s="2">
        <f t="shared" ca="1" si="21"/>
        <v>27.52595435081431</v>
      </c>
      <c r="L90" s="2">
        <f t="shared" ca="1" si="21"/>
        <v>31.262575432977062</v>
      </c>
      <c r="M90" s="2">
        <f t="shared" ca="1" si="21"/>
        <v>29.61456621912399</v>
      </c>
      <c r="N90" s="2">
        <f t="shared" ca="1" si="21"/>
        <v>30.721905554651027</v>
      </c>
      <c r="O90" s="2">
        <f t="shared" ca="1" si="21"/>
        <v>34.237116662273635</v>
      </c>
      <c r="P90" s="2">
        <f t="shared" ca="1" si="21"/>
        <v>25.206462572747945</v>
      </c>
      <c r="Q90" s="2">
        <f t="shared" ca="1" si="21"/>
        <v>30.099864552500023</v>
      </c>
      <c r="R90" s="2">
        <f t="shared" ca="1" si="20"/>
        <v>29.020802493180874</v>
      </c>
      <c r="S90" s="2">
        <f t="shared" ca="1" si="20"/>
        <v>27.221172430968508</v>
      </c>
      <c r="T90" s="2">
        <f t="shared" ca="1" si="20"/>
        <v>27.875226537057323</v>
      </c>
      <c r="U90" s="2">
        <f t="shared" ca="1" si="20"/>
        <v>30.41542824803291</v>
      </c>
      <c r="V90" s="2">
        <f t="shared" ca="1" si="20"/>
        <v>25.269023091067965</v>
      </c>
      <c r="W90" s="2">
        <f t="shared" ca="1" si="20"/>
        <v>28.679057234875298</v>
      </c>
      <c r="X90" s="2">
        <f t="shared" ca="1" si="20"/>
        <v>27.032792323529865</v>
      </c>
      <c r="Y90" s="2">
        <f t="shared" ca="1" si="20"/>
        <v>25.958551064282865</v>
      </c>
      <c r="Z90" s="2">
        <f t="shared" ca="1" si="20"/>
        <v>28.288652727666225</v>
      </c>
      <c r="AA90" s="2">
        <f t="shared" ca="1" si="20"/>
        <v>26.428166063611727</v>
      </c>
      <c r="AB90" s="2">
        <f t="shared" ca="1" si="20"/>
        <v>26.97757678696512</v>
      </c>
      <c r="AC90" s="2">
        <f t="shared" ca="1" si="20"/>
        <v>26.435972350819462</v>
      </c>
      <c r="AD90" s="2">
        <f t="shared" ca="1" si="20"/>
        <v>27.853596291731186</v>
      </c>
      <c r="AE90" s="2">
        <f t="shared" ca="1" si="20"/>
        <v>25.232271137747233</v>
      </c>
      <c r="AF90" s="2">
        <f t="shared" ca="1" si="19"/>
        <v>30.457542942736367</v>
      </c>
      <c r="AG90" s="2">
        <f t="shared" ca="1" si="19"/>
        <v>28.59114969901988</v>
      </c>
      <c r="AH90" s="2">
        <f t="shared" ca="1" si="19"/>
        <v>30.289883100962427</v>
      </c>
    </row>
  </sheetData>
  <pageMargins left="0.75" right="0.75" top="1" bottom="1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13"/>
  <sheetViews>
    <sheetView zoomScale="85" zoomScaleNormal="85" workbookViewId="0">
      <selection activeCell="B1" sqref="B1:AG2"/>
    </sheetView>
  </sheetViews>
  <sheetFormatPr defaultRowHeight="15.75"/>
  <cols>
    <col min="1" max="1" width="10.75" bestFit="1" customWidth="1"/>
  </cols>
  <sheetData>
    <row r="1" spans="1:33">
      <c r="B1" t="str">
        <f t="array" ref="B1:C1">TRANSPOSE(Seasons)</f>
        <v>Belg</v>
      </c>
      <c r="C1" t="str">
        <v>Kremt</v>
      </c>
      <c r="D1" t="str">
        <f>B1</f>
        <v>Belg</v>
      </c>
      <c r="E1" t="str">
        <f t="shared" ref="E1:AG1" si="0">C1</f>
        <v>Kremt</v>
      </c>
      <c r="F1" t="str">
        <f t="shared" si="0"/>
        <v>Belg</v>
      </c>
      <c r="G1" t="str">
        <f t="shared" si="0"/>
        <v>Kremt</v>
      </c>
      <c r="H1" t="str">
        <f t="shared" si="0"/>
        <v>Belg</v>
      </c>
      <c r="I1" t="str">
        <f t="shared" si="0"/>
        <v>Kremt</v>
      </c>
      <c r="J1" t="str">
        <f t="shared" si="0"/>
        <v>Belg</v>
      </c>
      <c r="K1" t="str">
        <f t="shared" si="0"/>
        <v>Kremt</v>
      </c>
      <c r="L1" t="str">
        <f t="shared" si="0"/>
        <v>Belg</v>
      </c>
      <c r="M1" t="str">
        <f t="shared" si="0"/>
        <v>Kremt</v>
      </c>
      <c r="N1" t="str">
        <f t="shared" si="0"/>
        <v>Belg</v>
      </c>
      <c r="O1" t="str">
        <f t="shared" si="0"/>
        <v>Kremt</v>
      </c>
      <c r="P1" t="str">
        <f t="shared" si="0"/>
        <v>Belg</v>
      </c>
      <c r="Q1" t="str">
        <f t="shared" si="0"/>
        <v>Kremt</v>
      </c>
      <c r="R1" t="str">
        <f t="shared" si="0"/>
        <v>Belg</v>
      </c>
      <c r="S1" t="str">
        <f t="shared" si="0"/>
        <v>Kremt</v>
      </c>
      <c r="T1" t="str">
        <f t="shared" si="0"/>
        <v>Belg</v>
      </c>
      <c r="U1" t="str">
        <f t="shared" si="0"/>
        <v>Kremt</v>
      </c>
      <c r="V1" t="str">
        <f t="shared" si="0"/>
        <v>Belg</v>
      </c>
      <c r="W1" t="str">
        <f t="shared" si="0"/>
        <v>Kremt</v>
      </c>
      <c r="X1" t="str">
        <f t="shared" si="0"/>
        <v>Belg</v>
      </c>
      <c r="Y1" t="str">
        <f t="shared" si="0"/>
        <v>Kremt</v>
      </c>
      <c r="Z1" t="str">
        <f t="shared" si="0"/>
        <v>Belg</v>
      </c>
      <c r="AA1" t="str">
        <f t="shared" si="0"/>
        <v>Kremt</v>
      </c>
      <c r="AB1" t="str">
        <f t="shared" si="0"/>
        <v>Belg</v>
      </c>
      <c r="AC1" t="str">
        <f t="shared" si="0"/>
        <v>Kremt</v>
      </c>
      <c r="AD1" t="str">
        <f t="shared" si="0"/>
        <v>Belg</v>
      </c>
      <c r="AE1" t="str">
        <f t="shared" si="0"/>
        <v>Kremt</v>
      </c>
      <c r="AF1" t="str">
        <f t="shared" si="0"/>
        <v>Belg</v>
      </c>
      <c r="AG1" t="str">
        <f t="shared" si="0"/>
        <v>Kremt</v>
      </c>
    </row>
    <row r="2" spans="1:33">
      <c r="B2">
        <v>2015</v>
      </c>
      <c r="C2">
        <v>2015</v>
      </c>
      <c r="D2">
        <f>B2+1</f>
        <v>2016</v>
      </c>
      <c r="E2">
        <f t="shared" ref="E2:AG2" si="1">C2+1</f>
        <v>2016</v>
      </c>
      <c r="F2">
        <f t="shared" si="1"/>
        <v>2017</v>
      </c>
      <c r="G2">
        <f t="shared" si="1"/>
        <v>2017</v>
      </c>
      <c r="H2">
        <f t="shared" si="1"/>
        <v>2018</v>
      </c>
      <c r="I2">
        <f t="shared" si="1"/>
        <v>2018</v>
      </c>
      <c r="J2">
        <f t="shared" si="1"/>
        <v>2019</v>
      </c>
      <c r="K2">
        <f t="shared" si="1"/>
        <v>2019</v>
      </c>
      <c r="L2">
        <f t="shared" si="1"/>
        <v>2020</v>
      </c>
      <c r="M2">
        <f t="shared" si="1"/>
        <v>2020</v>
      </c>
      <c r="N2">
        <f t="shared" si="1"/>
        <v>2021</v>
      </c>
      <c r="O2">
        <f t="shared" si="1"/>
        <v>2021</v>
      </c>
      <c r="P2">
        <f t="shared" si="1"/>
        <v>2022</v>
      </c>
      <c r="Q2">
        <f t="shared" si="1"/>
        <v>2022</v>
      </c>
      <c r="R2">
        <f t="shared" si="1"/>
        <v>2023</v>
      </c>
      <c r="S2">
        <f t="shared" si="1"/>
        <v>2023</v>
      </c>
      <c r="T2">
        <f t="shared" si="1"/>
        <v>2024</v>
      </c>
      <c r="U2">
        <f t="shared" si="1"/>
        <v>2024</v>
      </c>
      <c r="V2">
        <f t="shared" si="1"/>
        <v>2025</v>
      </c>
      <c r="W2">
        <f t="shared" si="1"/>
        <v>2025</v>
      </c>
      <c r="X2">
        <f t="shared" si="1"/>
        <v>2026</v>
      </c>
      <c r="Y2">
        <f t="shared" si="1"/>
        <v>2026</v>
      </c>
      <c r="Z2">
        <f t="shared" si="1"/>
        <v>2027</v>
      </c>
      <c r="AA2">
        <f t="shared" si="1"/>
        <v>2027</v>
      </c>
      <c r="AB2">
        <f t="shared" si="1"/>
        <v>2028</v>
      </c>
      <c r="AC2">
        <f t="shared" si="1"/>
        <v>2028</v>
      </c>
      <c r="AD2">
        <f t="shared" si="1"/>
        <v>2029</v>
      </c>
      <c r="AE2">
        <f t="shared" si="1"/>
        <v>2029</v>
      </c>
      <c r="AF2">
        <f t="shared" si="1"/>
        <v>2030</v>
      </c>
      <c r="AG2">
        <f t="shared" si="1"/>
        <v>2030</v>
      </c>
    </row>
    <row r="3" spans="1:33">
      <c r="A3" t="str">
        <f t="array" ref="A3:A13">Nodes</f>
        <v>AddisAbaba</v>
      </c>
      <c r="B3" s="2">
        <f ca="1">500+RAND()*20</f>
        <v>505.84291149557987</v>
      </c>
      <c r="C3" s="2">
        <f ca="1">400+RAND()*25</f>
        <v>407.26396395313253</v>
      </c>
      <c r="D3" s="2">
        <f ca="1">500+RAND()*20</f>
        <v>503.71866523500296</v>
      </c>
      <c r="E3" s="2">
        <f ca="1">400+RAND()*25</f>
        <v>424.66098685739212</v>
      </c>
      <c r="F3" s="2">
        <f ca="1">500+RAND()*20</f>
        <v>500.85253290779735</v>
      </c>
      <c r="G3" s="2">
        <f ca="1">400+RAND()*25</f>
        <v>423.72304600055503</v>
      </c>
      <c r="H3" s="2">
        <f ca="1">500+RAND()*20</f>
        <v>504.2040031697361</v>
      </c>
      <c r="I3" s="2">
        <f ca="1">400+RAND()*25</f>
        <v>415.49527988450643</v>
      </c>
      <c r="J3" s="2">
        <f ca="1">500+RAND()*20</f>
        <v>504.99296466103715</v>
      </c>
      <c r="K3" s="2">
        <f ca="1">400+RAND()*25</f>
        <v>423.12769703381383</v>
      </c>
      <c r="L3" s="2">
        <f ca="1">500+RAND()*20</f>
        <v>509.41418823978427</v>
      </c>
      <c r="M3" s="2">
        <f ca="1">400+RAND()*25</f>
        <v>422.84103476795474</v>
      </c>
      <c r="N3" s="2">
        <f ca="1">500+RAND()*20</f>
        <v>507.23662622422853</v>
      </c>
      <c r="O3" s="2">
        <f ca="1">400+RAND()*25</f>
        <v>403.44925069731414</v>
      </c>
      <c r="P3" s="2">
        <f ca="1">500+RAND()*20</f>
        <v>504.92987031715097</v>
      </c>
      <c r="Q3" s="2">
        <f ca="1">400+RAND()*25</f>
        <v>405.5560706141855</v>
      </c>
      <c r="R3" s="2">
        <f ca="1">500+RAND()*20</f>
        <v>506.6579842518538</v>
      </c>
      <c r="S3" s="2">
        <f ca="1">400+RAND()*25</f>
        <v>409.64677365192603</v>
      </c>
      <c r="T3" s="2">
        <f ca="1">500+RAND()*20</f>
        <v>500.64379178655577</v>
      </c>
      <c r="U3" s="2">
        <f ca="1">400+RAND()*25</f>
        <v>421.65908962042727</v>
      </c>
      <c r="V3" s="2">
        <f ca="1">500+RAND()*20</f>
        <v>505.19024216575565</v>
      </c>
      <c r="W3" s="2">
        <f ca="1">400+RAND()*25</f>
        <v>423.75370968900734</v>
      </c>
      <c r="X3" s="2">
        <f ca="1">500+RAND()*20</f>
        <v>518.27558756891187</v>
      </c>
      <c r="Y3" s="2">
        <f ca="1">400+RAND()*25</f>
        <v>420.52516468269118</v>
      </c>
      <c r="Z3" s="2">
        <f ca="1">500+RAND()*20</f>
        <v>507.79807948947973</v>
      </c>
      <c r="AA3" s="2">
        <f ca="1">400+RAND()*25</f>
        <v>408.98706556173914</v>
      </c>
      <c r="AB3" s="2">
        <f ca="1">500+RAND()*20</f>
        <v>509.51099993372645</v>
      </c>
      <c r="AC3" s="2">
        <f ca="1">400+RAND()*25</f>
        <v>421.12170020339329</v>
      </c>
      <c r="AD3" s="2">
        <f ca="1">500+RAND()*20</f>
        <v>514.21199427792885</v>
      </c>
      <c r="AE3" s="2">
        <f ca="1">400+RAND()*25</f>
        <v>417.78092206847151</v>
      </c>
      <c r="AF3" s="2">
        <f ca="1">500+RAND()*20</f>
        <v>516.87308072974429</v>
      </c>
      <c r="AG3" s="2">
        <f ca="1">400+RAND()*25</f>
        <v>422.30601301562245</v>
      </c>
    </row>
    <row r="4" spans="1:33">
      <c r="A4" t="str">
        <v>Afar</v>
      </c>
      <c r="B4" s="2">
        <f ca="1">50+RAND()*7</f>
        <v>53.902553312089452</v>
      </c>
      <c r="C4" s="2">
        <f ca="1">40+RAND()*5</f>
        <v>41.636461273626878</v>
      </c>
      <c r="D4" s="2">
        <f ca="1">50+RAND()*7</f>
        <v>55.812702522209449</v>
      </c>
      <c r="E4" s="2">
        <f ca="1">40+RAND()*5</f>
        <v>42.978406168262723</v>
      </c>
      <c r="F4" s="2">
        <f ca="1">50+RAND()*7</f>
        <v>56.950387138818414</v>
      </c>
      <c r="G4" s="2">
        <f ca="1">40+RAND()*5</f>
        <v>43.121784212401529</v>
      </c>
      <c r="H4" s="2">
        <f ca="1">50+RAND()*7</f>
        <v>52.438838714439292</v>
      </c>
      <c r="I4" s="2">
        <f ca="1">40+RAND()*5</f>
        <v>44.496341333286267</v>
      </c>
      <c r="J4" s="2">
        <f ca="1">50+RAND()*7</f>
        <v>56.69592047560996</v>
      </c>
      <c r="K4" s="2">
        <f ca="1">40+RAND()*5</f>
        <v>43.190920688022132</v>
      </c>
      <c r="L4" s="2">
        <f ca="1">50+RAND()*7</f>
        <v>54.366634521492784</v>
      </c>
      <c r="M4" s="2">
        <f ca="1">40+RAND()*5</f>
        <v>41.590143199594998</v>
      </c>
      <c r="N4" s="2">
        <f ca="1">50+RAND()*7</f>
        <v>54.365297809239273</v>
      </c>
      <c r="O4" s="2">
        <f ca="1">40+RAND()*5</f>
        <v>44.219733408296378</v>
      </c>
      <c r="P4" s="2">
        <f ca="1">50+RAND()*7</f>
        <v>51.881146581807954</v>
      </c>
      <c r="Q4" s="2">
        <f ca="1">40+RAND()*5</f>
        <v>44.619912335025539</v>
      </c>
      <c r="R4" s="2">
        <f ca="1">50+RAND()*7</f>
        <v>54.22312653524606</v>
      </c>
      <c r="S4" s="2">
        <f ca="1">40+RAND()*5</f>
        <v>42.362838329038716</v>
      </c>
      <c r="T4" s="2">
        <f ca="1">50+RAND()*7</f>
        <v>55.735163266577267</v>
      </c>
      <c r="U4" s="2">
        <f ca="1">40+RAND()*5</f>
        <v>44.596147872303106</v>
      </c>
      <c r="V4" s="2">
        <f ca="1">50+RAND()*7</f>
        <v>55.087105134552658</v>
      </c>
      <c r="W4" s="2">
        <f ca="1">40+RAND()*5</f>
        <v>41.752955127171006</v>
      </c>
      <c r="X4" s="2">
        <f ca="1">50+RAND()*7</f>
        <v>52.077158524390917</v>
      </c>
      <c r="Y4" s="2">
        <f ca="1">40+RAND()*5</f>
        <v>44.747295802519147</v>
      </c>
      <c r="Z4" s="2">
        <f ca="1">50+RAND()*7</f>
        <v>56.752946612897937</v>
      </c>
      <c r="AA4" s="2">
        <f ca="1">40+RAND()*5</f>
        <v>43.939299583531138</v>
      </c>
      <c r="AB4" s="2">
        <f ca="1">50+RAND()*7</f>
        <v>50.027045209785889</v>
      </c>
      <c r="AC4" s="2">
        <f ca="1">40+RAND()*5</f>
        <v>40.834679656383472</v>
      </c>
      <c r="AD4" s="2">
        <f ca="1">50+RAND()*7</f>
        <v>55.978587911227493</v>
      </c>
      <c r="AE4" s="2">
        <f ca="1">40+RAND()*5</f>
        <v>40.529060408371421</v>
      </c>
      <c r="AF4" s="2">
        <f ca="1">50+RAND()*7</f>
        <v>52.325953980904565</v>
      </c>
      <c r="AG4" s="2">
        <f ca="1">40+RAND()*5</f>
        <v>41.873662894611073</v>
      </c>
    </row>
    <row r="5" spans="1:33">
      <c r="A5" t="str">
        <v>Amhara</v>
      </c>
      <c r="B5" s="2">
        <f t="shared" ref="B5:B13" ca="1" si="2">50+RAND()*7</f>
        <v>51.219993913912184</v>
      </c>
      <c r="C5" s="2">
        <f t="shared" ref="C5:C13" ca="1" si="3">40+RAND()*5</f>
        <v>44.692225478789908</v>
      </c>
      <c r="D5" s="2">
        <f t="shared" ref="D5:D13" ca="1" si="4">50+RAND()*7</f>
        <v>56.183430827924738</v>
      </c>
      <c r="E5" s="2">
        <f t="shared" ref="E5:E13" ca="1" si="5">40+RAND()*5</f>
        <v>43.115170122396123</v>
      </c>
      <c r="F5" s="2">
        <f t="shared" ref="F5:F13" ca="1" si="6">50+RAND()*7</f>
        <v>51.680876316204809</v>
      </c>
      <c r="G5" s="2">
        <f t="shared" ref="G5:G13" ca="1" si="7">40+RAND()*5</f>
        <v>40.755234099042994</v>
      </c>
      <c r="H5" s="2">
        <f t="shared" ref="H5:H13" ca="1" si="8">50+RAND()*7</f>
        <v>56.191027342068608</v>
      </c>
      <c r="I5" s="2">
        <f t="shared" ref="I5:I13" ca="1" si="9">40+RAND()*5</f>
        <v>41.746775037529545</v>
      </c>
      <c r="J5" s="2">
        <f t="shared" ref="J5:J13" ca="1" si="10">50+RAND()*7</f>
        <v>53.814036887933234</v>
      </c>
      <c r="K5" s="2">
        <f t="shared" ref="K5:K13" ca="1" si="11">40+RAND()*5</f>
        <v>42.804407657426005</v>
      </c>
      <c r="L5" s="2">
        <f t="shared" ref="L5:L13" ca="1" si="12">50+RAND()*7</f>
        <v>50.11585166622713</v>
      </c>
      <c r="M5" s="2">
        <f t="shared" ref="M5:M13" ca="1" si="13">40+RAND()*5</f>
        <v>42.124601720215637</v>
      </c>
      <c r="N5" s="2">
        <f t="shared" ref="N5:N13" ca="1" si="14">50+RAND()*7</f>
        <v>54.189981149529736</v>
      </c>
      <c r="O5" s="2">
        <f t="shared" ref="O5:O13" ca="1" si="15">40+RAND()*5</f>
        <v>41.409186872891667</v>
      </c>
      <c r="P5" s="2">
        <f t="shared" ref="P5:P13" ca="1" si="16">50+RAND()*7</f>
        <v>55.537799681909974</v>
      </c>
      <c r="Q5" s="2">
        <f t="shared" ref="Q5:Q13" ca="1" si="17">40+RAND()*5</f>
        <v>42.671253489196886</v>
      </c>
      <c r="R5" s="2">
        <f t="shared" ref="R5:R13" ca="1" si="18">50+RAND()*7</f>
        <v>54.27776940436074</v>
      </c>
      <c r="S5" s="2">
        <f t="shared" ref="S5:S13" ca="1" si="19">40+RAND()*5</f>
        <v>42.044690261452438</v>
      </c>
      <c r="T5" s="2">
        <f t="shared" ref="T5:T13" ca="1" si="20">50+RAND()*7</f>
        <v>55.402415592745989</v>
      </c>
      <c r="U5" s="2">
        <f t="shared" ref="U5:U13" ca="1" si="21">40+RAND()*5</f>
        <v>43.364704612110856</v>
      </c>
      <c r="V5" s="2">
        <f t="shared" ref="V5:V13" ca="1" si="22">50+RAND()*7</f>
        <v>54.412735147304659</v>
      </c>
      <c r="W5" s="2">
        <f t="shared" ref="W5:W13" ca="1" si="23">40+RAND()*5</f>
        <v>40.736317463438482</v>
      </c>
      <c r="X5" s="2">
        <f t="shared" ref="X5:X13" ca="1" si="24">50+RAND()*7</f>
        <v>54.251688162405962</v>
      </c>
      <c r="Y5" s="2">
        <f t="shared" ref="Y5:Y13" ca="1" si="25">40+RAND()*5</f>
        <v>40.319068035060774</v>
      </c>
      <c r="Z5" s="2">
        <f t="shared" ref="Z5:Z13" ca="1" si="26">50+RAND()*7</f>
        <v>55.284536264334115</v>
      </c>
      <c r="AA5" s="2">
        <f t="shared" ref="AA5:AA13" ca="1" si="27">40+RAND()*5</f>
        <v>42.897650916418272</v>
      </c>
      <c r="AB5" s="2">
        <f t="shared" ref="AB5:AB13" ca="1" si="28">50+RAND()*7</f>
        <v>50.767172035030981</v>
      </c>
      <c r="AC5" s="2">
        <f t="shared" ref="AC5:AC13" ca="1" si="29">40+RAND()*5</f>
        <v>43.568798271078258</v>
      </c>
      <c r="AD5" s="2">
        <f t="shared" ref="AD5:AD13" ca="1" si="30">50+RAND()*7</f>
        <v>54.259010887485211</v>
      </c>
      <c r="AE5" s="2">
        <f t="shared" ref="AE5:AE13" ca="1" si="31">40+RAND()*5</f>
        <v>44.986975759435389</v>
      </c>
      <c r="AF5" s="2">
        <f t="shared" ref="AF5:AF13" ca="1" si="32">50+RAND()*7</f>
        <v>55.16586458601752</v>
      </c>
      <c r="AG5" s="2">
        <f t="shared" ref="AG5:AG13" ca="1" si="33">40+RAND()*5</f>
        <v>43.142556163072598</v>
      </c>
    </row>
    <row r="6" spans="1:33">
      <c r="A6" t="str">
        <v>Gumuz</v>
      </c>
      <c r="B6" s="2">
        <f t="shared" ca="1" si="2"/>
        <v>53.157145266659995</v>
      </c>
      <c r="C6" s="2">
        <f t="shared" ca="1" si="3"/>
        <v>43.252137092876126</v>
      </c>
      <c r="D6" s="2">
        <f t="shared" ca="1" si="4"/>
        <v>53.796620720587313</v>
      </c>
      <c r="E6" s="2">
        <f t="shared" ca="1" si="5"/>
        <v>41.243261500994926</v>
      </c>
      <c r="F6" s="2">
        <f t="shared" ca="1" si="6"/>
        <v>53.463154647265824</v>
      </c>
      <c r="G6" s="2">
        <f t="shared" ca="1" si="7"/>
        <v>44.295394814998261</v>
      </c>
      <c r="H6" s="2">
        <f t="shared" ca="1" si="8"/>
        <v>54.534515987410614</v>
      </c>
      <c r="I6" s="2">
        <f t="shared" ca="1" si="9"/>
        <v>42.463745232077514</v>
      </c>
      <c r="J6" s="2">
        <f t="shared" ca="1" si="10"/>
        <v>54.744757953548024</v>
      </c>
      <c r="K6" s="2">
        <f t="shared" ca="1" si="11"/>
        <v>42.334888796853157</v>
      </c>
      <c r="L6" s="2">
        <f t="shared" ca="1" si="12"/>
        <v>51.50020803828162</v>
      </c>
      <c r="M6" s="2">
        <f t="shared" ca="1" si="13"/>
        <v>43.807967625281108</v>
      </c>
      <c r="N6" s="2">
        <f t="shared" ca="1" si="14"/>
        <v>56.948509469450663</v>
      </c>
      <c r="O6" s="2">
        <f t="shared" ca="1" si="15"/>
        <v>43.758496391927444</v>
      </c>
      <c r="P6" s="2">
        <f t="shared" ca="1" si="16"/>
        <v>54.685572271847704</v>
      </c>
      <c r="Q6" s="2">
        <f t="shared" ca="1" si="17"/>
        <v>41.826160411368001</v>
      </c>
      <c r="R6" s="2">
        <f t="shared" ca="1" si="18"/>
        <v>56.918634156360596</v>
      </c>
      <c r="S6" s="2">
        <f t="shared" ca="1" si="19"/>
        <v>42.89635630062115</v>
      </c>
      <c r="T6" s="2">
        <f t="shared" ca="1" si="20"/>
        <v>55.625185146822098</v>
      </c>
      <c r="U6" s="2">
        <f t="shared" ca="1" si="21"/>
        <v>44.091001977459854</v>
      </c>
      <c r="V6" s="2">
        <f t="shared" ca="1" si="22"/>
        <v>53.257747950860697</v>
      </c>
      <c r="W6" s="2">
        <f t="shared" ca="1" si="23"/>
        <v>41.683427933271489</v>
      </c>
      <c r="X6" s="2">
        <f t="shared" ca="1" si="24"/>
        <v>51.265201292248499</v>
      </c>
      <c r="Y6" s="2">
        <f t="shared" ca="1" si="25"/>
        <v>40.548156683739059</v>
      </c>
      <c r="Z6" s="2">
        <f t="shared" ca="1" si="26"/>
        <v>56.375570176869488</v>
      </c>
      <c r="AA6" s="2">
        <f t="shared" ca="1" si="27"/>
        <v>42.504230871019281</v>
      </c>
      <c r="AB6" s="2">
        <f t="shared" ca="1" si="28"/>
        <v>50.435589955162264</v>
      </c>
      <c r="AC6" s="2">
        <f t="shared" ca="1" si="29"/>
        <v>44.001308962244707</v>
      </c>
      <c r="AD6" s="2">
        <f t="shared" ca="1" si="30"/>
        <v>51.922172973665312</v>
      </c>
      <c r="AE6" s="2">
        <f t="shared" ca="1" si="31"/>
        <v>44.918689466332637</v>
      </c>
      <c r="AF6" s="2">
        <f t="shared" ca="1" si="32"/>
        <v>52.175961925658896</v>
      </c>
      <c r="AG6" s="2">
        <f t="shared" ca="1" si="33"/>
        <v>42.701185599065305</v>
      </c>
    </row>
    <row r="7" spans="1:33">
      <c r="A7" t="str">
        <v>DireDawa</v>
      </c>
      <c r="B7" s="2">
        <f t="shared" ca="1" si="2"/>
        <v>50.534659938132087</v>
      </c>
      <c r="C7" s="2">
        <f t="shared" ca="1" si="3"/>
        <v>41.226346275611135</v>
      </c>
      <c r="D7" s="2">
        <f t="shared" ca="1" si="4"/>
        <v>50.003882178585613</v>
      </c>
      <c r="E7" s="2">
        <f t="shared" ca="1" si="5"/>
        <v>40.214017907986403</v>
      </c>
      <c r="F7" s="2">
        <f t="shared" ca="1" si="6"/>
        <v>51.142590919721066</v>
      </c>
      <c r="G7" s="2">
        <f t="shared" ca="1" si="7"/>
        <v>41.954164921683791</v>
      </c>
      <c r="H7" s="2">
        <f t="shared" ca="1" si="8"/>
        <v>55.899433188616818</v>
      </c>
      <c r="I7" s="2">
        <f t="shared" ca="1" si="9"/>
        <v>43.426399804125218</v>
      </c>
      <c r="J7" s="2">
        <f t="shared" ca="1" si="10"/>
        <v>53.097208244106319</v>
      </c>
      <c r="K7" s="2">
        <f t="shared" ca="1" si="11"/>
        <v>41.250141016525923</v>
      </c>
      <c r="L7" s="2">
        <f t="shared" ca="1" si="12"/>
        <v>55.374614609504732</v>
      </c>
      <c r="M7" s="2">
        <f t="shared" ca="1" si="13"/>
        <v>42.290753700823757</v>
      </c>
      <c r="N7" s="2">
        <f t="shared" ca="1" si="14"/>
        <v>56.752046848161989</v>
      </c>
      <c r="O7" s="2">
        <f t="shared" ca="1" si="15"/>
        <v>41.827818176366904</v>
      </c>
      <c r="P7" s="2">
        <f t="shared" ca="1" si="16"/>
        <v>54.54567759342806</v>
      </c>
      <c r="Q7" s="2">
        <f t="shared" ca="1" si="17"/>
        <v>43.209378735184622</v>
      </c>
      <c r="R7" s="2">
        <f t="shared" ca="1" si="18"/>
        <v>50.891013508975725</v>
      </c>
      <c r="S7" s="2">
        <f t="shared" ca="1" si="19"/>
        <v>40.784660779080646</v>
      </c>
      <c r="T7" s="2">
        <f t="shared" ca="1" si="20"/>
        <v>50.505772011109023</v>
      </c>
      <c r="U7" s="2">
        <f t="shared" ca="1" si="21"/>
        <v>43.147661291872019</v>
      </c>
      <c r="V7" s="2">
        <f t="shared" ca="1" si="22"/>
        <v>50.895313066156447</v>
      </c>
      <c r="W7" s="2">
        <f t="shared" ca="1" si="23"/>
        <v>40.03979429620744</v>
      </c>
      <c r="X7" s="2">
        <f t="shared" ca="1" si="24"/>
        <v>52.207382265358802</v>
      </c>
      <c r="Y7" s="2">
        <f t="shared" ca="1" si="25"/>
        <v>40.995767764372616</v>
      </c>
      <c r="Z7" s="2">
        <f t="shared" ca="1" si="26"/>
        <v>54.486154293439135</v>
      </c>
      <c r="AA7" s="2">
        <f t="shared" ca="1" si="27"/>
        <v>43.575621398678678</v>
      </c>
      <c r="AB7" s="2">
        <f t="shared" ca="1" si="28"/>
        <v>51.515369731653678</v>
      </c>
      <c r="AC7" s="2">
        <f t="shared" ca="1" si="29"/>
        <v>43.761952634772143</v>
      </c>
      <c r="AD7" s="2">
        <f t="shared" ca="1" si="30"/>
        <v>51.705412101240334</v>
      </c>
      <c r="AE7" s="2">
        <f t="shared" ca="1" si="31"/>
        <v>41.49279364167446</v>
      </c>
      <c r="AF7" s="2">
        <f t="shared" ca="1" si="32"/>
        <v>50.643840120927941</v>
      </c>
      <c r="AG7" s="2">
        <f t="shared" ca="1" si="33"/>
        <v>44.483687892592229</v>
      </c>
    </row>
    <row r="8" spans="1:33">
      <c r="A8" t="str">
        <v>Gambela</v>
      </c>
      <c r="B8" s="2">
        <f t="shared" ca="1" si="2"/>
        <v>56.088891418505391</v>
      </c>
      <c r="C8" s="2">
        <f t="shared" ca="1" si="3"/>
        <v>41.012063332300485</v>
      </c>
      <c r="D8" s="2">
        <f t="shared" ca="1" si="4"/>
        <v>56.867944126050958</v>
      </c>
      <c r="E8" s="2">
        <f t="shared" ca="1" si="5"/>
        <v>42.890988417619127</v>
      </c>
      <c r="F8" s="2">
        <f t="shared" ca="1" si="6"/>
        <v>55.330112827549776</v>
      </c>
      <c r="G8" s="2">
        <f t="shared" ca="1" si="7"/>
        <v>40.29517354799632</v>
      </c>
      <c r="H8" s="2">
        <f t="shared" ca="1" si="8"/>
        <v>51.398865999078147</v>
      </c>
      <c r="I8" s="2">
        <f t="shared" ca="1" si="9"/>
        <v>43.691404527952194</v>
      </c>
      <c r="J8" s="2">
        <f t="shared" ca="1" si="10"/>
        <v>53.936079004135763</v>
      </c>
      <c r="K8" s="2">
        <f t="shared" ca="1" si="11"/>
        <v>41.42866267954355</v>
      </c>
      <c r="L8" s="2">
        <f t="shared" ca="1" si="12"/>
        <v>52.912153166710141</v>
      </c>
      <c r="M8" s="2">
        <f t="shared" ca="1" si="13"/>
        <v>42.352836787529519</v>
      </c>
      <c r="N8" s="2">
        <f t="shared" ca="1" si="14"/>
        <v>51.081818510568809</v>
      </c>
      <c r="O8" s="2">
        <f t="shared" ca="1" si="15"/>
        <v>40.225026939088295</v>
      </c>
      <c r="P8" s="2">
        <f t="shared" ca="1" si="16"/>
        <v>56.259087468235016</v>
      </c>
      <c r="Q8" s="2">
        <f t="shared" ca="1" si="17"/>
        <v>43.803255900635705</v>
      </c>
      <c r="R8" s="2">
        <f t="shared" ca="1" si="18"/>
        <v>54.438476422155233</v>
      </c>
      <c r="S8" s="2">
        <f t="shared" ca="1" si="19"/>
        <v>40.773907409029398</v>
      </c>
      <c r="T8" s="2">
        <f t="shared" ca="1" si="20"/>
        <v>56.653762247122202</v>
      </c>
      <c r="U8" s="2">
        <f t="shared" ca="1" si="21"/>
        <v>41.954981136666554</v>
      </c>
      <c r="V8" s="2">
        <f t="shared" ca="1" si="22"/>
        <v>53.590039515757965</v>
      </c>
      <c r="W8" s="2">
        <f t="shared" ca="1" si="23"/>
        <v>43.372974883718427</v>
      </c>
      <c r="X8" s="2">
        <f t="shared" ca="1" si="24"/>
        <v>53.34848373370275</v>
      </c>
      <c r="Y8" s="2">
        <f t="shared" ca="1" si="25"/>
        <v>41.752038875662393</v>
      </c>
      <c r="Z8" s="2">
        <f t="shared" ca="1" si="26"/>
        <v>56.608113867140673</v>
      </c>
      <c r="AA8" s="2">
        <f t="shared" ca="1" si="27"/>
        <v>40.475826133567828</v>
      </c>
      <c r="AB8" s="2">
        <f t="shared" ca="1" si="28"/>
        <v>50.520275448678284</v>
      </c>
      <c r="AC8" s="2">
        <f t="shared" ca="1" si="29"/>
        <v>42.503927407643147</v>
      </c>
      <c r="AD8" s="2">
        <f t="shared" ca="1" si="30"/>
        <v>51.617309686003644</v>
      </c>
      <c r="AE8" s="2">
        <f t="shared" ca="1" si="31"/>
        <v>43.079163224646067</v>
      </c>
      <c r="AF8" s="2">
        <f t="shared" ca="1" si="32"/>
        <v>50.038606221854842</v>
      </c>
      <c r="AG8" s="2">
        <f t="shared" ca="1" si="33"/>
        <v>41.781659782256952</v>
      </c>
    </row>
    <row r="9" spans="1:33">
      <c r="A9" t="str">
        <v>Harari</v>
      </c>
      <c r="B9" s="2">
        <f t="shared" ca="1" si="2"/>
        <v>50.440214190852835</v>
      </c>
      <c r="C9" s="2">
        <f t="shared" ca="1" si="3"/>
        <v>44.807615431623411</v>
      </c>
      <c r="D9" s="2">
        <f t="shared" ca="1" si="4"/>
        <v>51.919776826738037</v>
      </c>
      <c r="E9" s="2">
        <f t="shared" ca="1" si="5"/>
        <v>42.13488628362294</v>
      </c>
      <c r="F9" s="2">
        <f t="shared" ca="1" si="6"/>
        <v>54.169633438377858</v>
      </c>
      <c r="G9" s="2">
        <f t="shared" ca="1" si="7"/>
        <v>44.093059840950062</v>
      </c>
      <c r="H9" s="2">
        <f t="shared" ca="1" si="8"/>
        <v>52.442911564607009</v>
      </c>
      <c r="I9" s="2">
        <f t="shared" ca="1" si="9"/>
        <v>43.724455768370355</v>
      </c>
      <c r="J9" s="2">
        <f t="shared" ca="1" si="10"/>
        <v>50.333496656110938</v>
      </c>
      <c r="K9" s="2">
        <f t="shared" ca="1" si="11"/>
        <v>41.54130871775822</v>
      </c>
      <c r="L9" s="2">
        <f t="shared" ca="1" si="12"/>
        <v>50.987620563691408</v>
      </c>
      <c r="M9" s="2">
        <f t="shared" ca="1" si="13"/>
        <v>44.061153891993776</v>
      </c>
      <c r="N9" s="2">
        <f t="shared" ca="1" si="14"/>
        <v>56.126340630411192</v>
      </c>
      <c r="O9" s="2">
        <f t="shared" ca="1" si="15"/>
        <v>43.496290555545137</v>
      </c>
      <c r="P9" s="2">
        <f t="shared" ca="1" si="16"/>
        <v>50.297335848678536</v>
      </c>
      <c r="Q9" s="2">
        <f t="shared" ca="1" si="17"/>
        <v>40.929820939314844</v>
      </c>
      <c r="R9" s="2">
        <f t="shared" ca="1" si="18"/>
        <v>50.553426859661748</v>
      </c>
      <c r="S9" s="2">
        <f t="shared" ca="1" si="19"/>
        <v>41.539215298084166</v>
      </c>
      <c r="T9" s="2">
        <f t="shared" ca="1" si="20"/>
        <v>50.440138343407988</v>
      </c>
      <c r="U9" s="2">
        <f t="shared" ca="1" si="21"/>
        <v>43.831258763590753</v>
      </c>
      <c r="V9" s="2">
        <f t="shared" ca="1" si="22"/>
        <v>55.368890732442694</v>
      </c>
      <c r="W9" s="2">
        <f t="shared" ca="1" si="23"/>
        <v>43.997416669539739</v>
      </c>
      <c r="X9" s="2">
        <f t="shared" ca="1" si="24"/>
        <v>56.970824336167546</v>
      </c>
      <c r="Y9" s="2">
        <f t="shared" ca="1" si="25"/>
        <v>44.005077539318854</v>
      </c>
      <c r="Z9" s="2">
        <f t="shared" ca="1" si="26"/>
        <v>52.547759541714058</v>
      </c>
      <c r="AA9" s="2">
        <f t="shared" ca="1" si="27"/>
        <v>44.282691359833919</v>
      </c>
      <c r="AB9" s="2">
        <f t="shared" ca="1" si="28"/>
        <v>53.427169642763801</v>
      </c>
      <c r="AC9" s="2">
        <f t="shared" ca="1" si="29"/>
        <v>44.077075420357353</v>
      </c>
      <c r="AD9" s="2">
        <f t="shared" ca="1" si="30"/>
        <v>50.180727364829856</v>
      </c>
      <c r="AE9" s="2">
        <f t="shared" ca="1" si="31"/>
        <v>40.280379311785509</v>
      </c>
      <c r="AF9" s="2">
        <f t="shared" ca="1" si="32"/>
        <v>50.628343028527169</v>
      </c>
      <c r="AG9" s="2">
        <f t="shared" ca="1" si="33"/>
        <v>42.782788840231319</v>
      </c>
    </row>
    <row r="10" spans="1:33">
      <c r="A10" t="str">
        <v>Oromia</v>
      </c>
      <c r="B10" s="2">
        <f t="shared" ca="1" si="2"/>
        <v>55.840349487050744</v>
      </c>
      <c r="C10" s="2">
        <f t="shared" ca="1" si="3"/>
        <v>41.904166602383931</v>
      </c>
      <c r="D10" s="2">
        <f t="shared" ca="1" si="4"/>
        <v>53.331680143289525</v>
      </c>
      <c r="E10" s="2">
        <f t="shared" ca="1" si="5"/>
        <v>44.506559455873827</v>
      </c>
      <c r="F10" s="2">
        <f t="shared" ca="1" si="6"/>
        <v>54.705122489035368</v>
      </c>
      <c r="G10" s="2">
        <f t="shared" ca="1" si="7"/>
        <v>41.899307786432111</v>
      </c>
      <c r="H10" s="2">
        <f t="shared" ca="1" si="8"/>
        <v>54.541793130370564</v>
      </c>
      <c r="I10" s="2">
        <f t="shared" ca="1" si="9"/>
        <v>42.391196007242243</v>
      </c>
      <c r="J10" s="2">
        <f t="shared" ca="1" si="10"/>
        <v>51.164717249749309</v>
      </c>
      <c r="K10" s="2">
        <f t="shared" ca="1" si="11"/>
        <v>43.142533467054278</v>
      </c>
      <c r="L10" s="2">
        <f t="shared" ca="1" si="12"/>
        <v>54.812908997791126</v>
      </c>
      <c r="M10" s="2">
        <f t="shared" ca="1" si="13"/>
        <v>44.080323083460442</v>
      </c>
      <c r="N10" s="2">
        <f t="shared" ca="1" si="14"/>
        <v>52.568836407843747</v>
      </c>
      <c r="O10" s="2">
        <f t="shared" ca="1" si="15"/>
        <v>43.138380120934215</v>
      </c>
      <c r="P10" s="2">
        <f t="shared" ca="1" si="16"/>
        <v>54.864158237518076</v>
      </c>
      <c r="Q10" s="2">
        <f t="shared" ca="1" si="17"/>
        <v>43.850385463244557</v>
      </c>
      <c r="R10" s="2">
        <f t="shared" ca="1" si="18"/>
        <v>56.374769768733223</v>
      </c>
      <c r="S10" s="2">
        <f t="shared" ca="1" si="19"/>
        <v>44.821281124741063</v>
      </c>
      <c r="T10" s="2">
        <f t="shared" ca="1" si="20"/>
        <v>52.947719660378851</v>
      </c>
      <c r="U10" s="2">
        <f t="shared" ca="1" si="21"/>
        <v>40.726183779739465</v>
      </c>
      <c r="V10" s="2">
        <f t="shared" ca="1" si="22"/>
        <v>55.113692490269685</v>
      </c>
      <c r="W10" s="2">
        <f t="shared" ca="1" si="23"/>
        <v>43.631278944451516</v>
      </c>
      <c r="X10" s="2">
        <f t="shared" ca="1" si="24"/>
        <v>50.583891777561291</v>
      </c>
      <c r="Y10" s="2">
        <f t="shared" ca="1" si="25"/>
        <v>43.76945725088742</v>
      </c>
      <c r="Z10" s="2">
        <f t="shared" ca="1" si="26"/>
        <v>52.502202064793487</v>
      </c>
      <c r="AA10" s="2">
        <f t="shared" ca="1" si="27"/>
        <v>43.493458427850285</v>
      </c>
      <c r="AB10" s="2">
        <f t="shared" ca="1" si="28"/>
        <v>50.760405133413641</v>
      </c>
      <c r="AC10" s="2">
        <f t="shared" ca="1" si="29"/>
        <v>41.821892860141062</v>
      </c>
      <c r="AD10" s="2">
        <f t="shared" ca="1" si="30"/>
        <v>56.644633790983903</v>
      </c>
      <c r="AE10" s="2">
        <f t="shared" ca="1" si="31"/>
        <v>41.333824996592817</v>
      </c>
      <c r="AF10" s="2">
        <f t="shared" ca="1" si="32"/>
        <v>52.617281395368536</v>
      </c>
      <c r="AG10" s="2">
        <f t="shared" ca="1" si="33"/>
        <v>42.51057796399089</v>
      </c>
    </row>
    <row r="11" spans="1:33">
      <c r="A11" t="str">
        <v>Somali</v>
      </c>
      <c r="B11" s="2">
        <f t="shared" ca="1" si="2"/>
        <v>51.687225540502908</v>
      </c>
      <c r="C11" s="2">
        <f t="shared" ca="1" si="3"/>
        <v>41.930319054474708</v>
      </c>
      <c r="D11" s="2">
        <f t="shared" ca="1" si="4"/>
        <v>54.098309966438165</v>
      </c>
      <c r="E11" s="2">
        <f t="shared" ca="1" si="5"/>
        <v>42.273598851274514</v>
      </c>
      <c r="F11" s="2">
        <f t="shared" ca="1" si="6"/>
        <v>53.378408350384476</v>
      </c>
      <c r="G11" s="2">
        <f t="shared" ca="1" si="7"/>
        <v>40.005199829124614</v>
      </c>
      <c r="H11" s="2">
        <f t="shared" ca="1" si="8"/>
        <v>55.854937829897807</v>
      </c>
      <c r="I11" s="2">
        <f t="shared" ca="1" si="9"/>
        <v>40.978006999675955</v>
      </c>
      <c r="J11" s="2">
        <f t="shared" ca="1" si="10"/>
        <v>50.38194150513435</v>
      </c>
      <c r="K11" s="2">
        <f t="shared" ca="1" si="11"/>
        <v>41.941279964046146</v>
      </c>
      <c r="L11" s="2">
        <f t="shared" ca="1" si="12"/>
        <v>56.580143065628043</v>
      </c>
      <c r="M11" s="2">
        <f t="shared" ca="1" si="13"/>
        <v>44.169696510839721</v>
      </c>
      <c r="N11" s="2">
        <f t="shared" ca="1" si="14"/>
        <v>52.401567783497342</v>
      </c>
      <c r="O11" s="2">
        <f t="shared" ca="1" si="15"/>
        <v>43.029792228991887</v>
      </c>
      <c r="P11" s="2">
        <f t="shared" ca="1" si="16"/>
        <v>51.542134269601178</v>
      </c>
      <c r="Q11" s="2">
        <f t="shared" ca="1" si="17"/>
        <v>44.561257439866196</v>
      </c>
      <c r="R11" s="2">
        <f t="shared" ca="1" si="18"/>
        <v>50.525655338311935</v>
      </c>
      <c r="S11" s="2">
        <f t="shared" ca="1" si="19"/>
        <v>40.870404211028465</v>
      </c>
      <c r="T11" s="2">
        <f t="shared" ca="1" si="20"/>
        <v>53.57255202219342</v>
      </c>
      <c r="U11" s="2">
        <f t="shared" ca="1" si="21"/>
        <v>43.103020126080438</v>
      </c>
      <c r="V11" s="2">
        <f t="shared" ca="1" si="22"/>
        <v>56.699212273088513</v>
      </c>
      <c r="W11" s="2">
        <f t="shared" ca="1" si="23"/>
        <v>40.677095468183452</v>
      </c>
      <c r="X11" s="2">
        <f t="shared" ca="1" si="24"/>
        <v>50.223137933963081</v>
      </c>
      <c r="Y11" s="2">
        <f t="shared" ca="1" si="25"/>
        <v>42.293714214131967</v>
      </c>
      <c r="Z11" s="2">
        <f t="shared" ca="1" si="26"/>
        <v>52.144112049011596</v>
      </c>
      <c r="AA11" s="2">
        <f t="shared" ca="1" si="27"/>
        <v>41.050107286758831</v>
      </c>
      <c r="AB11" s="2">
        <f t="shared" ca="1" si="28"/>
        <v>55.467377667618472</v>
      </c>
      <c r="AC11" s="2">
        <f t="shared" ca="1" si="29"/>
        <v>42.121341265842318</v>
      </c>
      <c r="AD11" s="2">
        <f t="shared" ca="1" si="30"/>
        <v>53.53390032560187</v>
      </c>
      <c r="AE11" s="2">
        <f t="shared" ca="1" si="31"/>
        <v>40.811204736891021</v>
      </c>
      <c r="AF11" s="2">
        <f t="shared" ca="1" si="32"/>
        <v>50.392757551546197</v>
      </c>
      <c r="AG11" s="2">
        <f t="shared" ca="1" si="33"/>
        <v>41.162525038414884</v>
      </c>
    </row>
    <row r="12" spans="1:33">
      <c r="A12" t="str">
        <v>SNNPR</v>
      </c>
      <c r="B12" s="2">
        <f t="shared" ca="1" si="2"/>
        <v>56.375288626151232</v>
      </c>
      <c r="C12" s="2">
        <f t="shared" ca="1" si="3"/>
        <v>41.952852606335171</v>
      </c>
      <c r="D12" s="2">
        <f t="shared" ca="1" si="4"/>
        <v>56.793512213505167</v>
      </c>
      <c r="E12" s="2">
        <f t="shared" ca="1" si="5"/>
        <v>42.920763800867761</v>
      </c>
      <c r="F12" s="2">
        <f t="shared" ca="1" si="6"/>
        <v>51.170130987186802</v>
      </c>
      <c r="G12" s="2">
        <f t="shared" ca="1" si="7"/>
        <v>41.164505401992365</v>
      </c>
      <c r="H12" s="2">
        <f t="shared" ca="1" si="8"/>
        <v>53.32247080838065</v>
      </c>
      <c r="I12" s="2">
        <f t="shared" ca="1" si="9"/>
        <v>40.745240519698385</v>
      </c>
      <c r="J12" s="2">
        <f t="shared" ca="1" si="10"/>
        <v>52.883502117428101</v>
      </c>
      <c r="K12" s="2">
        <f t="shared" ca="1" si="11"/>
        <v>44.151746944079314</v>
      </c>
      <c r="L12" s="2">
        <f t="shared" ca="1" si="12"/>
        <v>50.257500859030962</v>
      </c>
      <c r="M12" s="2">
        <f t="shared" ca="1" si="13"/>
        <v>40.956646748004808</v>
      </c>
      <c r="N12" s="2">
        <f t="shared" ca="1" si="14"/>
        <v>52.186385210147613</v>
      </c>
      <c r="O12" s="2">
        <f t="shared" ca="1" si="15"/>
        <v>44.814274794690945</v>
      </c>
      <c r="P12" s="2">
        <f t="shared" ca="1" si="16"/>
        <v>55.096892629571926</v>
      </c>
      <c r="Q12" s="2">
        <f t="shared" ca="1" si="17"/>
        <v>42.599758269198411</v>
      </c>
      <c r="R12" s="2">
        <f t="shared" ca="1" si="18"/>
        <v>50.221694141502489</v>
      </c>
      <c r="S12" s="2">
        <f t="shared" ca="1" si="19"/>
        <v>43.33268229386514</v>
      </c>
      <c r="T12" s="2">
        <f t="shared" ca="1" si="20"/>
        <v>52.2599745370362</v>
      </c>
      <c r="U12" s="2">
        <f t="shared" ca="1" si="21"/>
        <v>42.39188196067002</v>
      </c>
      <c r="V12" s="2">
        <f t="shared" ca="1" si="22"/>
        <v>56.129542672286334</v>
      </c>
      <c r="W12" s="2">
        <f t="shared" ca="1" si="23"/>
        <v>40.81251010852678</v>
      </c>
      <c r="X12" s="2">
        <f t="shared" ca="1" si="24"/>
        <v>53.036787190840478</v>
      </c>
      <c r="Y12" s="2">
        <f t="shared" ca="1" si="25"/>
        <v>44.681806526998933</v>
      </c>
      <c r="Z12" s="2">
        <f t="shared" ca="1" si="26"/>
        <v>53.783567358031881</v>
      </c>
      <c r="AA12" s="2">
        <f t="shared" ca="1" si="27"/>
        <v>40.333150507343369</v>
      </c>
      <c r="AB12" s="2">
        <f t="shared" ca="1" si="28"/>
        <v>52.168906058097065</v>
      </c>
      <c r="AC12" s="2">
        <f t="shared" ca="1" si="29"/>
        <v>42.753100275377896</v>
      </c>
      <c r="AD12" s="2">
        <f t="shared" ca="1" si="30"/>
        <v>55.93195142929541</v>
      </c>
      <c r="AE12" s="2">
        <f t="shared" ca="1" si="31"/>
        <v>43.37955363984026</v>
      </c>
      <c r="AF12" s="2">
        <f t="shared" ca="1" si="32"/>
        <v>54.974252191357543</v>
      </c>
      <c r="AG12" s="2">
        <f t="shared" ca="1" si="33"/>
        <v>40.945214056268469</v>
      </c>
    </row>
    <row r="13" spans="1:33">
      <c r="A13" t="str">
        <v>Tigray</v>
      </c>
      <c r="B13" s="2">
        <f t="shared" ca="1" si="2"/>
        <v>54.757526704893515</v>
      </c>
      <c r="C13" s="2">
        <f t="shared" ca="1" si="3"/>
        <v>43.012972919395068</v>
      </c>
      <c r="D13" s="2">
        <f t="shared" ca="1" si="4"/>
        <v>54.733027194753376</v>
      </c>
      <c r="E13" s="2">
        <f t="shared" ca="1" si="5"/>
        <v>40.182209176235915</v>
      </c>
      <c r="F13" s="2">
        <f t="shared" ca="1" si="6"/>
        <v>54.507659301320828</v>
      </c>
      <c r="G13" s="2">
        <f t="shared" ca="1" si="7"/>
        <v>44.266791282384943</v>
      </c>
      <c r="H13" s="2">
        <f t="shared" ca="1" si="8"/>
        <v>56.428026629948981</v>
      </c>
      <c r="I13" s="2">
        <f t="shared" ca="1" si="9"/>
        <v>43.413366674773307</v>
      </c>
      <c r="J13" s="2">
        <f t="shared" ca="1" si="10"/>
        <v>56.54112069703482</v>
      </c>
      <c r="K13" s="2">
        <f t="shared" ca="1" si="11"/>
        <v>43.170974506821857</v>
      </c>
      <c r="L13" s="2">
        <f t="shared" ca="1" si="12"/>
        <v>53.184928660308991</v>
      </c>
      <c r="M13" s="2">
        <f t="shared" ca="1" si="13"/>
        <v>42.584720808541448</v>
      </c>
      <c r="N13" s="2">
        <f t="shared" ca="1" si="14"/>
        <v>54.150670682464934</v>
      </c>
      <c r="O13" s="2">
        <f t="shared" ca="1" si="15"/>
        <v>41.156834784248574</v>
      </c>
      <c r="P13" s="2">
        <f t="shared" ca="1" si="16"/>
        <v>50.880882094325592</v>
      </c>
      <c r="Q13" s="2">
        <f t="shared" ca="1" si="17"/>
        <v>40.119546348585082</v>
      </c>
      <c r="R13" s="2">
        <f t="shared" ca="1" si="18"/>
        <v>54.584251073373274</v>
      </c>
      <c r="S13" s="2">
        <f t="shared" ca="1" si="19"/>
        <v>41.78725134474471</v>
      </c>
      <c r="T13" s="2">
        <f t="shared" ca="1" si="20"/>
        <v>56.928318816567852</v>
      </c>
      <c r="U13" s="2">
        <f t="shared" ca="1" si="21"/>
        <v>41.256129971009969</v>
      </c>
      <c r="V13" s="2">
        <f t="shared" ca="1" si="22"/>
        <v>54.093189702822514</v>
      </c>
      <c r="W13" s="2">
        <f t="shared" ca="1" si="23"/>
        <v>42.603276655084969</v>
      </c>
      <c r="X13" s="2">
        <f t="shared" ca="1" si="24"/>
        <v>55.514330451948346</v>
      </c>
      <c r="Y13" s="2">
        <f t="shared" ca="1" si="25"/>
        <v>42.380489303532443</v>
      </c>
      <c r="Z13" s="2">
        <f t="shared" ca="1" si="26"/>
        <v>56.21789774994501</v>
      </c>
      <c r="AA13" s="2">
        <f t="shared" ca="1" si="27"/>
        <v>40.935771992509324</v>
      </c>
      <c r="AB13" s="2">
        <f t="shared" ca="1" si="28"/>
        <v>54.031577015766956</v>
      </c>
      <c r="AC13" s="2">
        <f t="shared" ca="1" si="29"/>
        <v>40.873475018738603</v>
      </c>
      <c r="AD13" s="2">
        <f t="shared" ca="1" si="30"/>
        <v>50.493030918831117</v>
      </c>
      <c r="AE13" s="2">
        <f t="shared" ca="1" si="31"/>
        <v>42.13847783344805</v>
      </c>
      <c r="AF13" s="2">
        <f t="shared" ca="1" si="32"/>
        <v>54.063411695230002</v>
      </c>
      <c r="AG13" s="2">
        <f t="shared" ca="1" si="33"/>
        <v>41.584602568158552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index</vt:lpstr>
      <vt:lpstr>Cattle</vt:lpstr>
      <vt:lpstr>sets</vt:lpstr>
      <vt:lpstr>Roads</vt:lpstr>
      <vt:lpstr>ElecLine</vt:lpstr>
      <vt:lpstr>DiscFact</vt:lpstr>
      <vt:lpstr>Crop</vt:lpstr>
      <vt:lpstr>CYF</vt:lpstr>
      <vt:lpstr>aFAO</vt:lpstr>
      <vt:lpstr>DemInt</vt:lpstr>
      <vt:lpstr>DemSlope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2017-07-31T14:05:44Z</dcterms:modified>
</cp:coreProperties>
</file>