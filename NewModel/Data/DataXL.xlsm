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6"/>
  </bookViews>
  <sheets>
    <sheet name="index" sheetId="1" r:id="rId1"/>
    <sheet name="Explained" sheetId="16" r:id="rId2"/>
    <sheet name="Cattle" sheetId="8" r:id="rId3"/>
    <sheet name="sets" sheetId="3" r:id="rId4"/>
    <sheet name="Roads" sheetId="5" r:id="rId5"/>
    <sheet name="ElecLine" sheetId="10" r:id="rId6"/>
    <sheet name="DiscFact" sheetId="6" r:id="rId7"/>
    <sheet name="Crop" sheetId="7" r:id="rId8"/>
    <sheet name="CYF" sheetId="4" r:id="rId9"/>
    <sheet name="aFAO" sheetId="11" r:id="rId10"/>
    <sheet name="DemInt" sheetId="14" r:id="rId11"/>
    <sheet name="DemSlope" sheetId="15" r:id="rId12"/>
    <sheet name="DemElas" sheetId="17" r:id="rId13"/>
    <sheet name="Elec" sheetId="9" r:id="rId14"/>
  </sheets>
  <definedNames>
    <definedName name="_xlnm._FilterDatabase" localSheetId="5" hidden="1">ElecLine!$A$21:$B$86</definedName>
    <definedName name="_xlnm._FilterDatabase" localSheetId="0" hidden="1">index!$A$1:$E$29</definedName>
    <definedName name="_xlnm._FilterDatabase" localSheetId="4" hidden="1">Roads!$A$21:$B$86</definedName>
    <definedName name="_xlnm._FilterDatabase" localSheetId="3" hidden="1">sets!$F$2:$F$13</definedName>
    <definedName name="Crops">sets!$J$3:$J$62</definedName>
    <definedName name="Food">sets!$H$3:$H$62</definedName>
    <definedName name="Nodes">sets!$F$3:$F$62</definedName>
    <definedName name="RoadList" localSheetId="5">ElecLine!$A$21</definedName>
    <definedName name="RoadList">Roads!$A$21</definedName>
    <definedName name="Seasons">sets!$D$3:$D$62</definedName>
    <definedName name="Years">sets!$B$3:$B$62</definedName>
  </definedNames>
  <calcPr calcId="171027"/>
</workbook>
</file>

<file path=xl/calcChain.xml><?xml version="1.0" encoding="utf-8"?>
<calcChain xmlns="http://schemas.openxmlformats.org/spreadsheetml/2006/main">
  <c r="C4" i="14" l="1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C3" i="14"/>
  <c r="E4" i="7"/>
  <c r="G4" i="7" s="1"/>
  <c r="I4" i="7" s="1"/>
  <c r="K4" i="7" s="1"/>
  <c r="M4" i="7" s="1"/>
  <c r="O4" i="7" s="1"/>
  <c r="Q4" i="7" s="1"/>
  <c r="S4" i="7" s="1"/>
  <c r="U4" i="7" s="1"/>
  <c r="W4" i="7" s="1"/>
  <c r="Y4" i="7" s="1"/>
  <c r="AA4" i="7" s="1"/>
  <c r="AC4" i="7" s="1"/>
  <c r="AE4" i="7" s="1"/>
  <c r="AG4" i="7" s="1"/>
  <c r="F4" i="7"/>
  <c r="H4" i="7" s="1"/>
  <c r="J4" i="7" s="1"/>
  <c r="L4" i="7" s="1"/>
  <c r="N4" i="7" s="1"/>
  <c r="P4" i="7" s="1"/>
  <c r="R4" i="7" s="1"/>
  <c r="T4" i="7" s="1"/>
  <c r="V4" i="7" s="1"/>
  <c r="X4" i="7" s="1"/>
  <c r="Z4" i="7" s="1"/>
  <c r="AB4" i="7" s="1"/>
  <c r="AD4" i="7" s="1"/>
  <c r="AF4" i="7" s="1"/>
  <c r="AH4" i="7" s="1"/>
  <c r="E5" i="7"/>
  <c r="F5" i="7"/>
  <c r="G5" i="7"/>
  <c r="I5" i="7" s="1"/>
  <c r="K5" i="7" s="1"/>
  <c r="M5" i="7" s="1"/>
  <c r="O5" i="7" s="1"/>
  <c r="Q5" i="7" s="1"/>
  <c r="S5" i="7" s="1"/>
  <c r="U5" i="7" s="1"/>
  <c r="W5" i="7" s="1"/>
  <c r="Y5" i="7" s="1"/>
  <c r="AA5" i="7" s="1"/>
  <c r="AC5" i="7" s="1"/>
  <c r="AE5" i="7" s="1"/>
  <c r="AG5" i="7" s="1"/>
  <c r="H5" i="7"/>
  <c r="J5" i="7" s="1"/>
  <c r="L5" i="7" s="1"/>
  <c r="N5" i="7" s="1"/>
  <c r="P5" i="7" s="1"/>
  <c r="R5" i="7" s="1"/>
  <c r="T5" i="7" s="1"/>
  <c r="V5" i="7" s="1"/>
  <c r="X5" i="7" s="1"/>
  <c r="Z5" i="7" s="1"/>
  <c r="AB5" i="7" s="1"/>
  <c r="AD5" i="7" s="1"/>
  <c r="AF5" i="7" s="1"/>
  <c r="AH5" i="7" s="1"/>
  <c r="E6" i="7"/>
  <c r="G6" i="7" s="1"/>
  <c r="I6" i="7" s="1"/>
  <c r="K6" i="7" s="1"/>
  <c r="M6" i="7" s="1"/>
  <c r="O6" i="7" s="1"/>
  <c r="Q6" i="7" s="1"/>
  <c r="S6" i="7" s="1"/>
  <c r="U6" i="7" s="1"/>
  <c r="W6" i="7" s="1"/>
  <c r="Y6" i="7" s="1"/>
  <c r="AA6" i="7" s="1"/>
  <c r="AC6" i="7" s="1"/>
  <c r="AE6" i="7" s="1"/>
  <c r="AG6" i="7" s="1"/>
  <c r="F6" i="7"/>
  <c r="H6" i="7" s="1"/>
  <c r="J6" i="7" s="1"/>
  <c r="L6" i="7" s="1"/>
  <c r="N6" i="7" s="1"/>
  <c r="P6" i="7" s="1"/>
  <c r="R6" i="7" s="1"/>
  <c r="T6" i="7" s="1"/>
  <c r="V6" i="7" s="1"/>
  <c r="X6" i="7" s="1"/>
  <c r="Z6" i="7" s="1"/>
  <c r="AB6" i="7" s="1"/>
  <c r="AD6" i="7" s="1"/>
  <c r="AF6" i="7" s="1"/>
  <c r="AH6" i="7" s="1"/>
  <c r="E7" i="7"/>
  <c r="F7" i="7"/>
  <c r="H7" i="7" s="1"/>
  <c r="J7" i="7" s="1"/>
  <c r="L7" i="7" s="1"/>
  <c r="N7" i="7" s="1"/>
  <c r="P7" i="7" s="1"/>
  <c r="R7" i="7" s="1"/>
  <c r="T7" i="7" s="1"/>
  <c r="V7" i="7" s="1"/>
  <c r="X7" i="7" s="1"/>
  <c r="Z7" i="7" s="1"/>
  <c r="AB7" i="7" s="1"/>
  <c r="AD7" i="7" s="1"/>
  <c r="AF7" i="7" s="1"/>
  <c r="AH7" i="7" s="1"/>
  <c r="G7" i="7"/>
  <c r="I7" i="7" s="1"/>
  <c r="K7" i="7" s="1"/>
  <c r="M7" i="7" s="1"/>
  <c r="O7" i="7" s="1"/>
  <c r="Q7" i="7" s="1"/>
  <c r="S7" i="7" s="1"/>
  <c r="U7" i="7" s="1"/>
  <c r="W7" i="7" s="1"/>
  <c r="Y7" i="7" s="1"/>
  <c r="AA7" i="7" s="1"/>
  <c r="AC7" i="7" s="1"/>
  <c r="AE7" i="7" s="1"/>
  <c r="AG7" i="7" s="1"/>
  <c r="E8" i="7"/>
  <c r="G8" i="7" s="1"/>
  <c r="I8" i="7" s="1"/>
  <c r="K8" i="7" s="1"/>
  <c r="M8" i="7" s="1"/>
  <c r="O8" i="7" s="1"/>
  <c r="Q8" i="7" s="1"/>
  <c r="S8" i="7" s="1"/>
  <c r="U8" i="7" s="1"/>
  <c r="W8" i="7" s="1"/>
  <c r="Y8" i="7" s="1"/>
  <c r="AA8" i="7" s="1"/>
  <c r="AC8" i="7" s="1"/>
  <c r="AE8" i="7" s="1"/>
  <c r="AG8" i="7" s="1"/>
  <c r="F8" i="7"/>
  <c r="H8" i="7" s="1"/>
  <c r="J8" i="7" s="1"/>
  <c r="L8" i="7" s="1"/>
  <c r="N8" i="7" s="1"/>
  <c r="P8" i="7" s="1"/>
  <c r="R8" i="7" s="1"/>
  <c r="T8" i="7" s="1"/>
  <c r="V8" i="7" s="1"/>
  <c r="X8" i="7" s="1"/>
  <c r="Z8" i="7" s="1"/>
  <c r="AB8" i="7" s="1"/>
  <c r="AD8" i="7" s="1"/>
  <c r="AF8" i="7" s="1"/>
  <c r="AH8" i="7" s="1"/>
  <c r="E9" i="7"/>
  <c r="F9" i="7"/>
  <c r="G9" i="7"/>
  <c r="I9" i="7" s="1"/>
  <c r="K9" i="7" s="1"/>
  <c r="M9" i="7" s="1"/>
  <c r="O9" i="7" s="1"/>
  <c r="Q9" i="7" s="1"/>
  <c r="S9" i="7" s="1"/>
  <c r="U9" i="7" s="1"/>
  <c r="W9" i="7" s="1"/>
  <c r="Y9" i="7" s="1"/>
  <c r="AA9" i="7" s="1"/>
  <c r="AC9" i="7" s="1"/>
  <c r="AE9" i="7" s="1"/>
  <c r="AG9" i="7" s="1"/>
  <c r="H9" i="7"/>
  <c r="J9" i="7" s="1"/>
  <c r="L9" i="7" s="1"/>
  <c r="N9" i="7" s="1"/>
  <c r="P9" i="7" s="1"/>
  <c r="R9" i="7" s="1"/>
  <c r="T9" i="7" s="1"/>
  <c r="V9" i="7" s="1"/>
  <c r="X9" i="7" s="1"/>
  <c r="Z9" i="7" s="1"/>
  <c r="AB9" i="7" s="1"/>
  <c r="AD9" i="7" s="1"/>
  <c r="AF9" i="7" s="1"/>
  <c r="AH9" i="7" s="1"/>
  <c r="E10" i="7"/>
  <c r="G10" i="7" s="1"/>
  <c r="I10" i="7" s="1"/>
  <c r="K10" i="7" s="1"/>
  <c r="M10" i="7" s="1"/>
  <c r="O10" i="7" s="1"/>
  <c r="Q10" i="7" s="1"/>
  <c r="S10" i="7" s="1"/>
  <c r="U10" i="7" s="1"/>
  <c r="W10" i="7" s="1"/>
  <c r="Y10" i="7" s="1"/>
  <c r="AA10" i="7" s="1"/>
  <c r="AC10" i="7" s="1"/>
  <c r="AE10" i="7" s="1"/>
  <c r="AG10" i="7" s="1"/>
  <c r="F10" i="7"/>
  <c r="H10" i="7" s="1"/>
  <c r="J10" i="7" s="1"/>
  <c r="L10" i="7" s="1"/>
  <c r="N10" i="7" s="1"/>
  <c r="P10" i="7" s="1"/>
  <c r="R10" i="7" s="1"/>
  <c r="T10" i="7" s="1"/>
  <c r="V10" i="7" s="1"/>
  <c r="X10" i="7" s="1"/>
  <c r="Z10" i="7" s="1"/>
  <c r="AB10" i="7" s="1"/>
  <c r="AD10" i="7" s="1"/>
  <c r="AF10" i="7" s="1"/>
  <c r="AH10" i="7" s="1"/>
  <c r="E11" i="7"/>
  <c r="F11" i="7"/>
  <c r="H11" i="7" s="1"/>
  <c r="J11" i="7" s="1"/>
  <c r="L11" i="7" s="1"/>
  <c r="N11" i="7" s="1"/>
  <c r="P11" i="7" s="1"/>
  <c r="R11" i="7" s="1"/>
  <c r="T11" i="7" s="1"/>
  <c r="V11" i="7" s="1"/>
  <c r="X11" i="7" s="1"/>
  <c r="Z11" i="7" s="1"/>
  <c r="AB11" i="7" s="1"/>
  <c r="AD11" i="7" s="1"/>
  <c r="AF11" i="7" s="1"/>
  <c r="AH11" i="7" s="1"/>
  <c r="G11" i="7"/>
  <c r="I11" i="7" s="1"/>
  <c r="K11" i="7" s="1"/>
  <c r="M11" i="7" s="1"/>
  <c r="O11" i="7" s="1"/>
  <c r="Q11" i="7" s="1"/>
  <c r="S11" i="7" s="1"/>
  <c r="U11" i="7" s="1"/>
  <c r="W11" i="7" s="1"/>
  <c r="Y11" i="7" s="1"/>
  <c r="AA11" i="7" s="1"/>
  <c r="AC11" i="7" s="1"/>
  <c r="AE11" i="7" s="1"/>
  <c r="AG11" i="7" s="1"/>
  <c r="E12" i="7"/>
  <c r="G12" i="7" s="1"/>
  <c r="I12" i="7" s="1"/>
  <c r="K12" i="7" s="1"/>
  <c r="M12" i="7" s="1"/>
  <c r="O12" i="7" s="1"/>
  <c r="Q12" i="7" s="1"/>
  <c r="S12" i="7" s="1"/>
  <c r="U12" i="7" s="1"/>
  <c r="W12" i="7" s="1"/>
  <c r="Y12" i="7" s="1"/>
  <c r="AA12" i="7" s="1"/>
  <c r="AC12" i="7" s="1"/>
  <c r="AE12" i="7" s="1"/>
  <c r="AG12" i="7" s="1"/>
  <c r="F12" i="7"/>
  <c r="H12" i="7" s="1"/>
  <c r="J12" i="7" s="1"/>
  <c r="L12" i="7" s="1"/>
  <c r="N12" i="7" s="1"/>
  <c r="P12" i="7" s="1"/>
  <c r="R12" i="7" s="1"/>
  <c r="T12" i="7" s="1"/>
  <c r="V12" i="7" s="1"/>
  <c r="X12" i="7" s="1"/>
  <c r="Z12" i="7" s="1"/>
  <c r="AB12" i="7" s="1"/>
  <c r="AD12" i="7" s="1"/>
  <c r="AF12" i="7" s="1"/>
  <c r="AH12" i="7" s="1"/>
  <c r="E13" i="7"/>
  <c r="G13" i="7" s="1"/>
  <c r="I13" i="7" s="1"/>
  <c r="K13" i="7" s="1"/>
  <c r="M13" i="7" s="1"/>
  <c r="O13" i="7" s="1"/>
  <c r="Q13" i="7" s="1"/>
  <c r="S13" i="7" s="1"/>
  <c r="U13" i="7" s="1"/>
  <c r="W13" i="7" s="1"/>
  <c r="Y13" i="7" s="1"/>
  <c r="AA13" i="7" s="1"/>
  <c r="AC13" i="7" s="1"/>
  <c r="AE13" i="7" s="1"/>
  <c r="AG13" i="7" s="1"/>
  <c r="F13" i="7"/>
  <c r="H13" i="7"/>
  <c r="J13" i="7"/>
  <c r="L13" i="7" s="1"/>
  <c r="N13" i="7" s="1"/>
  <c r="P13" i="7" s="1"/>
  <c r="R13" i="7" s="1"/>
  <c r="T13" i="7" s="1"/>
  <c r="V13" i="7" s="1"/>
  <c r="X13" i="7" s="1"/>
  <c r="Z13" i="7" s="1"/>
  <c r="AB13" i="7" s="1"/>
  <c r="AD13" i="7" s="1"/>
  <c r="AF13" i="7" s="1"/>
  <c r="AH13" i="7" s="1"/>
  <c r="E14" i="7"/>
  <c r="G14" i="7" s="1"/>
  <c r="I14" i="7" s="1"/>
  <c r="K14" i="7" s="1"/>
  <c r="M14" i="7" s="1"/>
  <c r="O14" i="7" s="1"/>
  <c r="Q14" i="7" s="1"/>
  <c r="S14" i="7" s="1"/>
  <c r="U14" i="7" s="1"/>
  <c r="W14" i="7" s="1"/>
  <c r="Y14" i="7" s="1"/>
  <c r="AA14" i="7" s="1"/>
  <c r="AC14" i="7" s="1"/>
  <c r="AE14" i="7" s="1"/>
  <c r="AG14" i="7" s="1"/>
  <c r="F14" i="7"/>
  <c r="H14" i="7"/>
  <c r="J14" i="7"/>
  <c r="L14" i="7" s="1"/>
  <c r="N14" i="7" s="1"/>
  <c r="P14" i="7" s="1"/>
  <c r="R14" i="7" s="1"/>
  <c r="T14" i="7" s="1"/>
  <c r="V14" i="7" s="1"/>
  <c r="X14" i="7" s="1"/>
  <c r="Z14" i="7" s="1"/>
  <c r="AB14" i="7" s="1"/>
  <c r="AD14" i="7" s="1"/>
  <c r="AF14" i="7" s="1"/>
  <c r="AH14" i="7" s="1"/>
  <c r="E15" i="7"/>
  <c r="F15" i="7"/>
  <c r="H15" i="7" s="1"/>
  <c r="J15" i="7" s="1"/>
  <c r="L15" i="7" s="1"/>
  <c r="N15" i="7" s="1"/>
  <c r="P15" i="7" s="1"/>
  <c r="R15" i="7" s="1"/>
  <c r="T15" i="7" s="1"/>
  <c r="V15" i="7" s="1"/>
  <c r="X15" i="7" s="1"/>
  <c r="Z15" i="7" s="1"/>
  <c r="AB15" i="7" s="1"/>
  <c r="AD15" i="7" s="1"/>
  <c r="AF15" i="7" s="1"/>
  <c r="AH15" i="7" s="1"/>
  <c r="G15" i="7"/>
  <c r="I15" i="7" s="1"/>
  <c r="K15" i="7" s="1"/>
  <c r="M15" i="7" s="1"/>
  <c r="O15" i="7" s="1"/>
  <c r="Q15" i="7" s="1"/>
  <c r="S15" i="7" s="1"/>
  <c r="U15" i="7" s="1"/>
  <c r="W15" i="7" s="1"/>
  <c r="Y15" i="7" s="1"/>
  <c r="AA15" i="7" s="1"/>
  <c r="AC15" i="7" s="1"/>
  <c r="AE15" i="7" s="1"/>
  <c r="AG15" i="7" s="1"/>
  <c r="E16" i="7"/>
  <c r="G16" i="7" s="1"/>
  <c r="I16" i="7" s="1"/>
  <c r="K16" i="7" s="1"/>
  <c r="M16" i="7" s="1"/>
  <c r="O16" i="7" s="1"/>
  <c r="Q16" i="7" s="1"/>
  <c r="S16" i="7" s="1"/>
  <c r="U16" i="7" s="1"/>
  <c r="W16" i="7" s="1"/>
  <c r="Y16" i="7" s="1"/>
  <c r="AA16" i="7" s="1"/>
  <c r="AC16" i="7" s="1"/>
  <c r="AE16" i="7" s="1"/>
  <c r="AG16" i="7" s="1"/>
  <c r="F16" i="7"/>
  <c r="H16" i="7"/>
  <c r="J16" i="7" s="1"/>
  <c r="L16" i="7" s="1"/>
  <c r="N16" i="7" s="1"/>
  <c r="P16" i="7" s="1"/>
  <c r="R16" i="7" s="1"/>
  <c r="T16" i="7" s="1"/>
  <c r="V16" i="7" s="1"/>
  <c r="X16" i="7" s="1"/>
  <c r="Z16" i="7" s="1"/>
  <c r="AB16" i="7" s="1"/>
  <c r="AD16" i="7" s="1"/>
  <c r="AF16" i="7" s="1"/>
  <c r="AH16" i="7" s="1"/>
  <c r="E17" i="7"/>
  <c r="G17" i="7" s="1"/>
  <c r="I17" i="7" s="1"/>
  <c r="K17" i="7" s="1"/>
  <c r="M17" i="7" s="1"/>
  <c r="O17" i="7" s="1"/>
  <c r="Q17" i="7" s="1"/>
  <c r="S17" i="7" s="1"/>
  <c r="U17" i="7" s="1"/>
  <c r="W17" i="7" s="1"/>
  <c r="Y17" i="7" s="1"/>
  <c r="AA17" i="7" s="1"/>
  <c r="AC17" i="7" s="1"/>
  <c r="AE17" i="7" s="1"/>
  <c r="AG17" i="7" s="1"/>
  <c r="F17" i="7"/>
  <c r="H17" i="7"/>
  <c r="J17" i="7"/>
  <c r="L17" i="7" s="1"/>
  <c r="N17" i="7" s="1"/>
  <c r="P17" i="7" s="1"/>
  <c r="R17" i="7" s="1"/>
  <c r="T17" i="7" s="1"/>
  <c r="V17" i="7" s="1"/>
  <c r="X17" i="7" s="1"/>
  <c r="Z17" i="7" s="1"/>
  <c r="AB17" i="7" s="1"/>
  <c r="AD17" i="7" s="1"/>
  <c r="AF17" i="7" s="1"/>
  <c r="AH17" i="7" s="1"/>
  <c r="E18" i="7"/>
  <c r="G18" i="7" s="1"/>
  <c r="I18" i="7" s="1"/>
  <c r="K18" i="7" s="1"/>
  <c r="F18" i="7"/>
  <c r="H18" i="7" s="1"/>
  <c r="J18" i="7" s="1"/>
  <c r="L18" i="7" s="1"/>
  <c r="N18" i="7" s="1"/>
  <c r="P18" i="7" s="1"/>
  <c r="R18" i="7" s="1"/>
  <c r="T18" i="7" s="1"/>
  <c r="V18" i="7" s="1"/>
  <c r="X18" i="7" s="1"/>
  <c r="Z18" i="7" s="1"/>
  <c r="AB18" i="7" s="1"/>
  <c r="AD18" i="7" s="1"/>
  <c r="AF18" i="7" s="1"/>
  <c r="AH18" i="7" s="1"/>
  <c r="M18" i="7"/>
  <c r="O18" i="7" s="1"/>
  <c r="Q18" i="7" s="1"/>
  <c r="S18" i="7" s="1"/>
  <c r="U18" i="7"/>
  <c r="W18" i="7" s="1"/>
  <c r="Y18" i="7" s="1"/>
  <c r="AA18" i="7" s="1"/>
  <c r="AC18" i="7" s="1"/>
  <c r="AE18" i="7" s="1"/>
  <c r="AG18" i="7" s="1"/>
  <c r="E19" i="7"/>
  <c r="F19" i="7"/>
  <c r="H19" i="7" s="1"/>
  <c r="J19" i="7" s="1"/>
  <c r="G19" i="7"/>
  <c r="I19" i="7" s="1"/>
  <c r="K19" i="7" s="1"/>
  <c r="M19" i="7" s="1"/>
  <c r="L19" i="7"/>
  <c r="N19" i="7" s="1"/>
  <c r="P19" i="7" s="1"/>
  <c r="R19" i="7" s="1"/>
  <c r="T19" i="7" s="1"/>
  <c r="V19" i="7" s="1"/>
  <c r="X19" i="7" s="1"/>
  <c r="Z19" i="7" s="1"/>
  <c r="AB19" i="7" s="1"/>
  <c r="AD19" i="7" s="1"/>
  <c r="AF19" i="7" s="1"/>
  <c r="AH19" i="7" s="1"/>
  <c r="O19" i="7"/>
  <c r="Q19" i="7" s="1"/>
  <c r="S19" i="7" s="1"/>
  <c r="U19" i="7" s="1"/>
  <c r="W19" i="7" s="1"/>
  <c r="Y19" i="7" s="1"/>
  <c r="AA19" i="7" s="1"/>
  <c r="AC19" i="7" s="1"/>
  <c r="AE19" i="7"/>
  <c r="AG19" i="7" s="1"/>
  <c r="E20" i="7"/>
  <c r="G20" i="7" s="1"/>
  <c r="F20" i="7"/>
  <c r="H20" i="7" s="1"/>
  <c r="J20" i="7" s="1"/>
  <c r="L20" i="7" s="1"/>
  <c r="N20" i="7" s="1"/>
  <c r="P20" i="7" s="1"/>
  <c r="R20" i="7" s="1"/>
  <c r="T20" i="7" s="1"/>
  <c r="I20" i="7"/>
  <c r="K20" i="7" s="1"/>
  <c r="M20" i="7" s="1"/>
  <c r="O20" i="7" s="1"/>
  <c r="Q20" i="7" s="1"/>
  <c r="S20" i="7" s="1"/>
  <c r="U20" i="7" s="1"/>
  <c r="W20" i="7" s="1"/>
  <c r="Y20" i="7" s="1"/>
  <c r="AA20" i="7" s="1"/>
  <c r="AC20" i="7" s="1"/>
  <c r="AE20" i="7" s="1"/>
  <c r="AG20" i="7" s="1"/>
  <c r="V20" i="7"/>
  <c r="X20" i="7" s="1"/>
  <c r="Z20" i="7" s="1"/>
  <c r="AB20" i="7" s="1"/>
  <c r="AD20" i="7" s="1"/>
  <c r="AF20" i="7" s="1"/>
  <c r="AH20" i="7" s="1"/>
  <c r="E21" i="7"/>
  <c r="G21" i="7" s="1"/>
  <c r="I21" i="7" s="1"/>
  <c r="F21" i="7"/>
  <c r="H21" i="7"/>
  <c r="J21" i="7" s="1"/>
  <c r="L21" i="7" s="1"/>
  <c r="N21" i="7" s="1"/>
  <c r="P21" i="7" s="1"/>
  <c r="R21" i="7" s="1"/>
  <c r="T21" i="7" s="1"/>
  <c r="V21" i="7" s="1"/>
  <c r="X21" i="7" s="1"/>
  <c r="Z21" i="7" s="1"/>
  <c r="AB21" i="7" s="1"/>
  <c r="AD21" i="7" s="1"/>
  <c r="AF21" i="7" s="1"/>
  <c r="AH21" i="7" s="1"/>
  <c r="K21" i="7"/>
  <c r="M21" i="7" s="1"/>
  <c r="O21" i="7" s="1"/>
  <c r="Q21" i="7" s="1"/>
  <c r="S21" i="7" s="1"/>
  <c r="U21" i="7" s="1"/>
  <c r="W21" i="7" s="1"/>
  <c r="Y21" i="7" s="1"/>
  <c r="AA21" i="7" s="1"/>
  <c r="AC21" i="7" s="1"/>
  <c r="AE21" i="7" s="1"/>
  <c r="AG21" i="7" s="1"/>
  <c r="E22" i="7"/>
  <c r="G22" i="7" s="1"/>
  <c r="F22" i="7"/>
  <c r="H22" i="7" s="1"/>
  <c r="I22" i="7"/>
  <c r="K22" i="7" s="1"/>
  <c r="M22" i="7" s="1"/>
  <c r="O22" i="7" s="1"/>
  <c r="Q22" i="7" s="1"/>
  <c r="S22" i="7" s="1"/>
  <c r="U22" i="7" s="1"/>
  <c r="W22" i="7" s="1"/>
  <c r="Y22" i="7" s="1"/>
  <c r="AA22" i="7" s="1"/>
  <c r="AC22" i="7" s="1"/>
  <c r="AE22" i="7" s="1"/>
  <c r="AG22" i="7" s="1"/>
  <c r="J22" i="7"/>
  <c r="L22" i="7"/>
  <c r="N22" i="7"/>
  <c r="P22" i="7" s="1"/>
  <c r="R22" i="7" s="1"/>
  <c r="T22" i="7"/>
  <c r="V22" i="7" s="1"/>
  <c r="X22" i="7" s="1"/>
  <c r="Z22" i="7" s="1"/>
  <c r="AB22" i="7" s="1"/>
  <c r="AD22" i="7" s="1"/>
  <c r="AF22" i="7" s="1"/>
  <c r="AH22" i="7" s="1"/>
  <c r="E23" i="7"/>
  <c r="F23" i="7"/>
  <c r="H23" i="7" s="1"/>
  <c r="J23" i="7" s="1"/>
  <c r="L23" i="7" s="1"/>
  <c r="N23" i="7" s="1"/>
  <c r="P23" i="7" s="1"/>
  <c r="R23" i="7" s="1"/>
  <c r="G23" i="7"/>
  <c r="I23" i="7"/>
  <c r="K23" i="7" s="1"/>
  <c r="M23" i="7" s="1"/>
  <c r="O23" i="7" s="1"/>
  <c r="Q23" i="7" s="1"/>
  <c r="S23" i="7" s="1"/>
  <c r="U23" i="7" s="1"/>
  <c r="W23" i="7" s="1"/>
  <c r="Y23" i="7" s="1"/>
  <c r="AA23" i="7" s="1"/>
  <c r="AC23" i="7" s="1"/>
  <c r="T23" i="7"/>
  <c r="V23" i="7" s="1"/>
  <c r="X23" i="7" s="1"/>
  <c r="Z23" i="7" s="1"/>
  <c r="AB23" i="7" s="1"/>
  <c r="AD23" i="7" s="1"/>
  <c r="AF23" i="7" s="1"/>
  <c r="AH23" i="7" s="1"/>
  <c r="AE23" i="7"/>
  <c r="AG23" i="7" s="1"/>
  <c r="E24" i="7"/>
  <c r="G24" i="7" s="1"/>
  <c r="F24" i="7"/>
  <c r="H24" i="7" s="1"/>
  <c r="J24" i="7" s="1"/>
  <c r="L24" i="7" s="1"/>
  <c r="N24" i="7" s="1"/>
  <c r="P24" i="7" s="1"/>
  <c r="R24" i="7" s="1"/>
  <c r="T24" i="7" s="1"/>
  <c r="V24" i="7" s="1"/>
  <c r="X24" i="7" s="1"/>
  <c r="Z24" i="7" s="1"/>
  <c r="AB24" i="7" s="1"/>
  <c r="I24" i="7"/>
  <c r="K24" i="7"/>
  <c r="M24" i="7" s="1"/>
  <c r="O24" i="7" s="1"/>
  <c r="Q24" i="7" s="1"/>
  <c r="S24" i="7" s="1"/>
  <c r="U24" i="7"/>
  <c r="W24" i="7" s="1"/>
  <c r="Y24" i="7" s="1"/>
  <c r="AA24" i="7" s="1"/>
  <c r="AC24" i="7" s="1"/>
  <c r="AE24" i="7" s="1"/>
  <c r="AG24" i="7" s="1"/>
  <c r="AD24" i="7"/>
  <c r="AF24" i="7" s="1"/>
  <c r="AH24" i="7" s="1"/>
  <c r="E25" i="7"/>
  <c r="G25" i="7" s="1"/>
  <c r="I25" i="7" s="1"/>
  <c r="K25" i="7" s="1"/>
  <c r="M25" i="7" s="1"/>
  <c r="O25" i="7" s="1"/>
  <c r="Q25" i="7" s="1"/>
  <c r="S25" i="7" s="1"/>
  <c r="U25" i="7" s="1"/>
  <c r="W25" i="7" s="1"/>
  <c r="Y25" i="7" s="1"/>
  <c r="AA25" i="7" s="1"/>
  <c r="AC25" i="7" s="1"/>
  <c r="AE25" i="7" s="1"/>
  <c r="AG25" i="7" s="1"/>
  <c r="F25" i="7"/>
  <c r="H25" i="7" s="1"/>
  <c r="J25" i="7"/>
  <c r="L25" i="7" s="1"/>
  <c r="N25" i="7" s="1"/>
  <c r="P25" i="7" s="1"/>
  <c r="R25" i="7" s="1"/>
  <c r="T25" i="7" s="1"/>
  <c r="V25" i="7" s="1"/>
  <c r="X25" i="7" s="1"/>
  <c r="Z25" i="7" s="1"/>
  <c r="AB25" i="7" s="1"/>
  <c r="AD25" i="7" s="1"/>
  <c r="AF25" i="7" s="1"/>
  <c r="AH25" i="7" s="1"/>
  <c r="E26" i="7"/>
  <c r="F26" i="7"/>
  <c r="G26" i="7"/>
  <c r="I26" i="7" s="1"/>
  <c r="K26" i="7" s="1"/>
  <c r="M26" i="7" s="1"/>
  <c r="O26" i="7" s="1"/>
  <c r="Q26" i="7" s="1"/>
  <c r="S26" i="7" s="1"/>
  <c r="U26" i="7" s="1"/>
  <c r="W26" i="7" s="1"/>
  <c r="H26" i="7"/>
  <c r="J26" i="7" s="1"/>
  <c r="L26" i="7" s="1"/>
  <c r="N26" i="7" s="1"/>
  <c r="P26" i="7" s="1"/>
  <c r="R26" i="7" s="1"/>
  <c r="T26" i="7" s="1"/>
  <c r="V26" i="7" s="1"/>
  <c r="X26" i="7" s="1"/>
  <c r="Z26" i="7" s="1"/>
  <c r="AB26" i="7" s="1"/>
  <c r="AD26" i="7" s="1"/>
  <c r="AF26" i="7" s="1"/>
  <c r="AH26" i="7" s="1"/>
  <c r="Y26" i="7"/>
  <c r="AA26" i="7" s="1"/>
  <c r="AC26" i="7" s="1"/>
  <c r="AE26" i="7" s="1"/>
  <c r="AG26" i="7" s="1"/>
  <c r="E27" i="7"/>
  <c r="F27" i="7"/>
  <c r="H27" i="7" s="1"/>
  <c r="J27" i="7" s="1"/>
  <c r="G27" i="7"/>
  <c r="I27" i="7"/>
  <c r="K27" i="7" s="1"/>
  <c r="M27" i="7" s="1"/>
  <c r="O27" i="7" s="1"/>
  <c r="Q27" i="7" s="1"/>
  <c r="S27" i="7" s="1"/>
  <c r="U27" i="7" s="1"/>
  <c r="W27" i="7" s="1"/>
  <c r="Y27" i="7" s="1"/>
  <c r="AA27" i="7" s="1"/>
  <c r="AC27" i="7" s="1"/>
  <c r="L27" i="7"/>
  <c r="N27" i="7" s="1"/>
  <c r="P27" i="7" s="1"/>
  <c r="R27" i="7" s="1"/>
  <c r="T27" i="7" s="1"/>
  <c r="V27" i="7" s="1"/>
  <c r="X27" i="7" s="1"/>
  <c r="Z27" i="7" s="1"/>
  <c r="AB27" i="7" s="1"/>
  <c r="AD27" i="7" s="1"/>
  <c r="AF27" i="7" s="1"/>
  <c r="AH27" i="7" s="1"/>
  <c r="AE27" i="7"/>
  <c r="AG27" i="7" s="1"/>
  <c r="E28" i="7"/>
  <c r="G28" i="7" s="1"/>
  <c r="I28" i="7" s="1"/>
  <c r="K28" i="7" s="1"/>
  <c r="M28" i="7" s="1"/>
  <c r="O28" i="7" s="1"/>
  <c r="Q28" i="7" s="1"/>
  <c r="S28" i="7" s="1"/>
  <c r="U28" i="7" s="1"/>
  <c r="W28" i="7" s="1"/>
  <c r="Y28" i="7" s="1"/>
  <c r="AA28" i="7" s="1"/>
  <c r="AC28" i="7" s="1"/>
  <c r="AE28" i="7" s="1"/>
  <c r="AG28" i="7" s="1"/>
  <c r="F28" i="7"/>
  <c r="H28" i="7" s="1"/>
  <c r="J28" i="7"/>
  <c r="L28" i="7" s="1"/>
  <c r="N28" i="7" s="1"/>
  <c r="P28" i="7" s="1"/>
  <c r="R28" i="7"/>
  <c r="T28" i="7" s="1"/>
  <c r="V28" i="7" s="1"/>
  <c r="X28" i="7" s="1"/>
  <c r="Z28" i="7" s="1"/>
  <c r="AB28" i="7" s="1"/>
  <c r="AD28" i="7" s="1"/>
  <c r="AF28" i="7" s="1"/>
  <c r="AH28" i="7" s="1"/>
  <c r="E29" i="7"/>
  <c r="G29" i="7" s="1"/>
  <c r="I29" i="7" s="1"/>
  <c r="K29" i="7" s="1"/>
  <c r="M29" i="7" s="1"/>
  <c r="O29" i="7" s="1"/>
  <c r="Q29" i="7" s="1"/>
  <c r="S29" i="7" s="1"/>
  <c r="U29" i="7" s="1"/>
  <c r="W29" i="7" s="1"/>
  <c r="Y29" i="7" s="1"/>
  <c r="AA29" i="7" s="1"/>
  <c r="AC29" i="7" s="1"/>
  <c r="AE29" i="7" s="1"/>
  <c r="AG29" i="7" s="1"/>
  <c r="F29" i="7"/>
  <c r="H29" i="7" s="1"/>
  <c r="J29" i="7" s="1"/>
  <c r="L29" i="7" s="1"/>
  <c r="N29" i="7" s="1"/>
  <c r="P29" i="7" s="1"/>
  <c r="R29" i="7" s="1"/>
  <c r="T29" i="7" s="1"/>
  <c r="V29" i="7" s="1"/>
  <c r="X29" i="7" s="1"/>
  <c r="Z29" i="7" s="1"/>
  <c r="AB29" i="7" s="1"/>
  <c r="AD29" i="7" s="1"/>
  <c r="AF29" i="7" s="1"/>
  <c r="AH29" i="7" s="1"/>
  <c r="E30" i="7"/>
  <c r="F30" i="7"/>
  <c r="H30" i="7" s="1"/>
  <c r="J30" i="7" s="1"/>
  <c r="L30" i="7" s="1"/>
  <c r="G30" i="7"/>
  <c r="I30" i="7" s="1"/>
  <c r="K30" i="7" s="1"/>
  <c r="M30" i="7" s="1"/>
  <c r="O30" i="7" s="1"/>
  <c r="Q30" i="7" s="1"/>
  <c r="S30" i="7" s="1"/>
  <c r="U30" i="7" s="1"/>
  <c r="W30" i="7" s="1"/>
  <c r="Y30" i="7" s="1"/>
  <c r="AA30" i="7" s="1"/>
  <c r="AC30" i="7" s="1"/>
  <c r="AE30" i="7" s="1"/>
  <c r="AG30" i="7" s="1"/>
  <c r="N30" i="7"/>
  <c r="P30" i="7" s="1"/>
  <c r="R30" i="7" s="1"/>
  <c r="T30" i="7" s="1"/>
  <c r="V30" i="7"/>
  <c r="X30" i="7" s="1"/>
  <c r="Z30" i="7" s="1"/>
  <c r="AB30" i="7" s="1"/>
  <c r="AD30" i="7" s="1"/>
  <c r="AF30" i="7" s="1"/>
  <c r="AH30" i="7" s="1"/>
  <c r="E31" i="7"/>
  <c r="G31" i="7" s="1"/>
  <c r="I31" i="7" s="1"/>
  <c r="K31" i="7" s="1"/>
  <c r="M31" i="7" s="1"/>
  <c r="O31" i="7" s="1"/>
  <c r="Q31" i="7" s="1"/>
  <c r="S31" i="7" s="1"/>
  <c r="U31" i="7" s="1"/>
  <c r="W31" i="7" s="1"/>
  <c r="Y31" i="7" s="1"/>
  <c r="AA31" i="7" s="1"/>
  <c r="AC31" i="7" s="1"/>
  <c r="AE31" i="7" s="1"/>
  <c r="AG31" i="7" s="1"/>
  <c r="F31" i="7"/>
  <c r="H31" i="7"/>
  <c r="J31" i="7" s="1"/>
  <c r="L31" i="7" s="1"/>
  <c r="N31" i="7" s="1"/>
  <c r="P31" i="7" s="1"/>
  <c r="R31" i="7" s="1"/>
  <c r="T31" i="7" s="1"/>
  <c r="V31" i="7" s="1"/>
  <c r="X31" i="7" s="1"/>
  <c r="Z31" i="7" s="1"/>
  <c r="AB31" i="7" s="1"/>
  <c r="AD31" i="7" s="1"/>
  <c r="AF31" i="7" s="1"/>
  <c r="AH31" i="7" s="1"/>
  <c r="E32" i="7"/>
  <c r="F32" i="7"/>
  <c r="H32" i="7" s="1"/>
  <c r="J32" i="7" s="1"/>
  <c r="L32" i="7" s="1"/>
  <c r="N32" i="7" s="1"/>
  <c r="P32" i="7" s="1"/>
  <c r="G32" i="7"/>
  <c r="I32" i="7" s="1"/>
  <c r="K32" i="7" s="1"/>
  <c r="M32" i="7" s="1"/>
  <c r="O32" i="7" s="1"/>
  <c r="Q32" i="7" s="1"/>
  <c r="S32" i="7" s="1"/>
  <c r="U32" i="7" s="1"/>
  <c r="W32" i="7" s="1"/>
  <c r="Y32" i="7" s="1"/>
  <c r="AA32" i="7" s="1"/>
  <c r="AC32" i="7" s="1"/>
  <c r="AE32" i="7" s="1"/>
  <c r="AG32" i="7" s="1"/>
  <c r="R32" i="7"/>
  <c r="T32" i="7" s="1"/>
  <c r="V32" i="7" s="1"/>
  <c r="X32" i="7" s="1"/>
  <c r="Z32" i="7" s="1"/>
  <c r="AB32" i="7" s="1"/>
  <c r="AD32" i="7" s="1"/>
  <c r="AF32" i="7" s="1"/>
  <c r="AH32" i="7" s="1"/>
  <c r="E33" i="7"/>
  <c r="G33" i="7" s="1"/>
  <c r="I33" i="7" s="1"/>
  <c r="K33" i="7" s="1"/>
  <c r="M33" i="7" s="1"/>
  <c r="O33" i="7" s="1"/>
  <c r="Q33" i="7" s="1"/>
  <c r="S33" i="7" s="1"/>
  <c r="U33" i="7" s="1"/>
  <c r="W33" i="7" s="1"/>
  <c r="Y33" i="7" s="1"/>
  <c r="AA33" i="7" s="1"/>
  <c r="AC33" i="7" s="1"/>
  <c r="AE33" i="7" s="1"/>
  <c r="AG33" i="7" s="1"/>
  <c r="F33" i="7"/>
  <c r="H33" i="7" s="1"/>
  <c r="J33" i="7" s="1"/>
  <c r="L33" i="7" s="1"/>
  <c r="N33" i="7" s="1"/>
  <c r="P33" i="7" s="1"/>
  <c r="R33" i="7" s="1"/>
  <c r="T33" i="7" s="1"/>
  <c r="V33" i="7" s="1"/>
  <c r="X33" i="7" s="1"/>
  <c r="Z33" i="7" s="1"/>
  <c r="AB33" i="7" s="1"/>
  <c r="AD33" i="7" s="1"/>
  <c r="AF33" i="7" s="1"/>
  <c r="AH33" i="7" s="1"/>
  <c r="E34" i="7"/>
  <c r="F34" i="7"/>
  <c r="H34" i="7" s="1"/>
  <c r="J34" i="7" s="1"/>
  <c r="L34" i="7" s="1"/>
  <c r="G34" i="7"/>
  <c r="I34" i="7" s="1"/>
  <c r="K34" i="7" s="1"/>
  <c r="M34" i="7" s="1"/>
  <c r="O34" i="7" s="1"/>
  <c r="Q34" i="7" s="1"/>
  <c r="S34" i="7" s="1"/>
  <c r="U34" i="7" s="1"/>
  <c r="W34" i="7" s="1"/>
  <c r="Y34" i="7" s="1"/>
  <c r="AA34" i="7" s="1"/>
  <c r="AC34" i="7" s="1"/>
  <c r="AE34" i="7" s="1"/>
  <c r="AG34" i="7" s="1"/>
  <c r="N34" i="7"/>
  <c r="P34" i="7" s="1"/>
  <c r="R34" i="7" s="1"/>
  <c r="T34" i="7" s="1"/>
  <c r="V34" i="7" s="1"/>
  <c r="X34" i="7" s="1"/>
  <c r="Z34" i="7" s="1"/>
  <c r="AB34" i="7" s="1"/>
  <c r="AD34" i="7" s="1"/>
  <c r="AF34" i="7" s="1"/>
  <c r="AH34" i="7" s="1"/>
  <c r="E35" i="7"/>
  <c r="G35" i="7" s="1"/>
  <c r="I35" i="7" s="1"/>
  <c r="K35" i="7" s="1"/>
  <c r="M35" i="7" s="1"/>
  <c r="O35" i="7" s="1"/>
  <c r="Q35" i="7" s="1"/>
  <c r="S35" i="7" s="1"/>
  <c r="U35" i="7" s="1"/>
  <c r="W35" i="7" s="1"/>
  <c r="Y35" i="7" s="1"/>
  <c r="AA35" i="7" s="1"/>
  <c r="AC35" i="7" s="1"/>
  <c r="AE35" i="7" s="1"/>
  <c r="AG35" i="7" s="1"/>
  <c r="F35" i="7"/>
  <c r="H35" i="7"/>
  <c r="J35" i="7" s="1"/>
  <c r="L35" i="7" s="1"/>
  <c r="N35" i="7" s="1"/>
  <c r="P35" i="7" s="1"/>
  <c r="R35" i="7" s="1"/>
  <c r="T35" i="7" s="1"/>
  <c r="V35" i="7" s="1"/>
  <c r="X35" i="7" s="1"/>
  <c r="Z35" i="7" s="1"/>
  <c r="AB35" i="7" s="1"/>
  <c r="AD35" i="7" s="1"/>
  <c r="AF35" i="7" s="1"/>
  <c r="AH35" i="7" s="1"/>
  <c r="E36" i="7"/>
  <c r="F36" i="7"/>
  <c r="H36" i="7" s="1"/>
  <c r="J36" i="7" s="1"/>
  <c r="L36" i="7" s="1"/>
  <c r="N36" i="7" s="1"/>
  <c r="P36" i="7" s="1"/>
  <c r="G36" i="7"/>
  <c r="I36" i="7" s="1"/>
  <c r="K36" i="7" s="1"/>
  <c r="M36" i="7" s="1"/>
  <c r="O36" i="7" s="1"/>
  <c r="Q36" i="7" s="1"/>
  <c r="S36" i="7" s="1"/>
  <c r="U36" i="7" s="1"/>
  <c r="W36" i="7" s="1"/>
  <c r="Y36" i="7" s="1"/>
  <c r="AA36" i="7" s="1"/>
  <c r="AC36" i="7" s="1"/>
  <c r="AE36" i="7" s="1"/>
  <c r="AG36" i="7" s="1"/>
  <c r="R36" i="7"/>
  <c r="T36" i="7" s="1"/>
  <c r="V36" i="7" s="1"/>
  <c r="X36" i="7" s="1"/>
  <c r="Z36" i="7" s="1"/>
  <c r="AB36" i="7" s="1"/>
  <c r="AD36" i="7" s="1"/>
  <c r="AF36" i="7" s="1"/>
  <c r="AH36" i="7" s="1"/>
  <c r="E37" i="7"/>
  <c r="G37" i="7" s="1"/>
  <c r="I37" i="7" s="1"/>
  <c r="K37" i="7" s="1"/>
  <c r="M37" i="7" s="1"/>
  <c r="O37" i="7" s="1"/>
  <c r="Q37" i="7" s="1"/>
  <c r="S37" i="7" s="1"/>
  <c r="U37" i="7" s="1"/>
  <c r="W37" i="7" s="1"/>
  <c r="Y37" i="7" s="1"/>
  <c r="AA37" i="7" s="1"/>
  <c r="AC37" i="7" s="1"/>
  <c r="AE37" i="7" s="1"/>
  <c r="AG37" i="7" s="1"/>
  <c r="F37" i="7"/>
  <c r="H37" i="7" s="1"/>
  <c r="J37" i="7" s="1"/>
  <c r="L37" i="7" s="1"/>
  <c r="N37" i="7" s="1"/>
  <c r="P37" i="7" s="1"/>
  <c r="R37" i="7" s="1"/>
  <c r="T37" i="7" s="1"/>
  <c r="V37" i="7" s="1"/>
  <c r="X37" i="7" s="1"/>
  <c r="Z37" i="7" s="1"/>
  <c r="AB37" i="7" s="1"/>
  <c r="AD37" i="7" s="1"/>
  <c r="AF37" i="7" s="1"/>
  <c r="AH37" i="7" s="1"/>
  <c r="E38" i="7"/>
  <c r="F38" i="7"/>
  <c r="G38" i="7"/>
  <c r="I38" i="7" s="1"/>
  <c r="K38" i="7" s="1"/>
  <c r="M38" i="7" s="1"/>
  <c r="O38" i="7" s="1"/>
  <c r="Q38" i="7" s="1"/>
  <c r="S38" i="7" s="1"/>
  <c r="U38" i="7" s="1"/>
  <c r="W38" i="7" s="1"/>
  <c r="Y38" i="7" s="1"/>
  <c r="AA38" i="7" s="1"/>
  <c r="AC38" i="7" s="1"/>
  <c r="AE38" i="7" s="1"/>
  <c r="AG38" i="7" s="1"/>
  <c r="H38" i="7"/>
  <c r="J38" i="7"/>
  <c r="L38" i="7" s="1"/>
  <c r="N38" i="7" s="1"/>
  <c r="P38" i="7" s="1"/>
  <c r="R38" i="7" s="1"/>
  <c r="T38" i="7" s="1"/>
  <c r="V38" i="7" s="1"/>
  <c r="X38" i="7" s="1"/>
  <c r="Z38" i="7" s="1"/>
  <c r="AB38" i="7" s="1"/>
  <c r="AD38" i="7" s="1"/>
  <c r="AF38" i="7" s="1"/>
  <c r="AH38" i="7" s="1"/>
  <c r="E39" i="7"/>
  <c r="G39" i="7" s="1"/>
  <c r="I39" i="7" s="1"/>
  <c r="K39" i="7" s="1"/>
  <c r="F39" i="7"/>
  <c r="H39" i="7"/>
  <c r="J39" i="7"/>
  <c r="L39" i="7" s="1"/>
  <c r="N39" i="7" s="1"/>
  <c r="P39" i="7" s="1"/>
  <c r="R39" i="7" s="1"/>
  <c r="T39" i="7" s="1"/>
  <c r="V39" i="7" s="1"/>
  <c r="X39" i="7" s="1"/>
  <c r="Z39" i="7" s="1"/>
  <c r="AB39" i="7" s="1"/>
  <c r="AD39" i="7" s="1"/>
  <c r="AF39" i="7" s="1"/>
  <c r="AH39" i="7" s="1"/>
  <c r="M39" i="7"/>
  <c r="O39" i="7" s="1"/>
  <c r="Q39" i="7" s="1"/>
  <c r="S39" i="7" s="1"/>
  <c r="U39" i="7"/>
  <c r="W39" i="7" s="1"/>
  <c r="Y39" i="7" s="1"/>
  <c r="AA39" i="7" s="1"/>
  <c r="AC39" i="7" s="1"/>
  <c r="AE39" i="7" s="1"/>
  <c r="AG39" i="7" s="1"/>
  <c r="E40" i="7"/>
  <c r="F40" i="7"/>
  <c r="H40" i="7" s="1"/>
  <c r="J40" i="7" s="1"/>
  <c r="L40" i="7" s="1"/>
  <c r="N40" i="7" s="1"/>
  <c r="P40" i="7" s="1"/>
  <c r="R40" i="7" s="1"/>
  <c r="T40" i="7" s="1"/>
  <c r="V40" i="7" s="1"/>
  <c r="X40" i="7" s="1"/>
  <c r="Z40" i="7" s="1"/>
  <c r="AB40" i="7" s="1"/>
  <c r="AD40" i="7" s="1"/>
  <c r="AF40" i="7" s="1"/>
  <c r="AH40" i="7" s="1"/>
  <c r="G40" i="7"/>
  <c r="I40" i="7" s="1"/>
  <c r="K40" i="7" s="1"/>
  <c r="M40" i="7" s="1"/>
  <c r="O40" i="7" s="1"/>
  <c r="Q40" i="7" s="1"/>
  <c r="S40" i="7" s="1"/>
  <c r="U40" i="7" s="1"/>
  <c r="W40" i="7" s="1"/>
  <c r="Y40" i="7" s="1"/>
  <c r="AA40" i="7" s="1"/>
  <c r="AC40" i="7" s="1"/>
  <c r="AE40" i="7" s="1"/>
  <c r="AG40" i="7" s="1"/>
  <c r="E41" i="7"/>
  <c r="G41" i="7" s="1"/>
  <c r="F41" i="7"/>
  <c r="H41" i="7" s="1"/>
  <c r="J41" i="7" s="1"/>
  <c r="L41" i="7" s="1"/>
  <c r="N41" i="7" s="1"/>
  <c r="P41" i="7" s="1"/>
  <c r="R41" i="7" s="1"/>
  <c r="T41" i="7" s="1"/>
  <c r="V41" i="7" s="1"/>
  <c r="X41" i="7" s="1"/>
  <c r="Z41" i="7" s="1"/>
  <c r="AB41" i="7" s="1"/>
  <c r="AD41" i="7" s="1"/>
  <c r="AF41" i="7" s="1"/>
  <c r="AH41" i="7" s="1"/>
  <c r="I41" i="7"/>
  <c r="K41" i="7" s="1"/>
  <c r="M41" i="7" s="1"/>
  <c r="O41" i="7" s="1"/>
  <c r="Q41" i="7" s="1"/>
  <c r="S41" i="7" s="1"/>
  <c r="U41" i="7" s="1"/>
  <c r="W41" i="7" s="1"/>
  <c r="Y41" i="7" s="1"/>
  <c r="AA41" i="7" s="1"/>
  <c r="AC41" i="7" s="1"/>
  <c r="AE41" i="7" s="1"/>
  <c r="AG41" i="7" s="1"/>
  <c r="E42" i="7"/>
  <c r="F42" i="7"/>
  <c r="H42" i="7" s="1"/>
  <c r="J42" i="7" s="1"/>
  <c r="L42" i="7" s="1"/>
  <c r="N42" i="7" s="1"/>
  <c r="P42" i="7" s="1"/>
  <c r="R42" i="7" s="1"/>
  <c r="T42" i="7" s="1"/>
  <c r="V42" i="7" s="1"/>
  <c r="X42" i="7" s="1"/>
  <c r="Z42" i="7" s="1"/>
  <c r="AB42" i="7" s="1"/>
  <c r="AD42" i="7" s="1"/>
  <c r="AF42" i="7" s="1"/>
  <c r="G42" i="7"/>
  <c r="I42" i="7" s="1"/>
  <c r="K42" i="7"/>
  <c r="M42" i="7" s="1"/>
  <c r="O42" i="7" s="1"/>
  <c r="Q42" i="7" s="1"/>
  <c r="S42" i="7"/>
  <c r="U42" i="7" s="1"/>
  <c r="W42" i="7" s="1"/>
  <c r="Y42" i="7" s="1"/>
  <c r="AA42" i="7" s="1"/>
  <c r="AC42" i="7" s="1"/>
  <c r="AE42" i="7" s="1"/>
  <c r="AG42" i="7" s="1"/>
  <c r="AH42" i="7"/>
  <c r="E43" i="7"/>
  <c r="G43" i="7" s="1"/>
  <c r="I43" i="7" s="1"/>
  <c r="K43" i="7" s="1"/>
  <c r="F43" i="7"/>
  <c r="H43" i="7" s="1"/>
  <c r="J43" i="7" s="1"/>
  <c r="L43" i="7" s="1"/>
  <c r="N43" i="7" s="1"/>
  <c r="M43" i="7"/>
  <c r="O43" i="7" s="1"/>
  <c r="Q43" i="7" s="1"/>
  <c r="S43" i="7" s="1"/>
  <c r="P43" i="7"/>
  <c r="R43" i="7" s="1"/>
  <c r="T43" i="7" s="1"/>
  <c r="V43" i="7" s="1"/>
  <c r="X43" i="7" s="1"/>
  <c r="Z43" i="7" s="1"/>
  <c r="AB43" i="7" s="1"/>
  <c r="AD43" i="7" s="1"/>
  <c r="AF43" i="7" s="1"/>
  <c r="AH43" i="7" s="1"/>
  <c r="U43" i="7"/>
  <c r="W43" i="7" s="1"/>
  <c r="Y43" i="7" s="1"/>
  <c r="AA43" i="7" s="1"/>
  <c r="AC43" i="7"/>
  <c r="AE43" i="7" s="1"/>
  <c r="AG43" i="7" s="1"/>
  <c r="E44" i="7"/>
  <c r="F44" i="7"/>
  <c r="H44" i="7" s="1"/>
  <c r="J44" i="7" s="1"/>
  <c r="L44" i="7" s="1"/>
  <c r="N44" i="7" s="1"/>
  <c r="P44" i="7" s="1"/>
  <c r="R44" i="7" s="1"/>
  <c r="T44" i="7" s="1"/>
  <c r="V44" i="7" s="1"/>
  <c r="X44" i="7" s="1"/>
  <c r="Z44" i="7" s="1"/>
  <c r="AB44" i="7" s="1"/>
  <c r="AD44" i="7" s="1"/>
  <c r="AF44" i="7" s="1"/>
  <c r="AH44" i="7" s="1"/>
  <c r="G44" i="7"/>
  <c r="I44" i="7" s="1"/>
  <c r="K44" i="7" s="1"/>
  <c r="M44" i="7" s="1"/>
  <c r="O44" i="7" s="1"/>
  <c r="Q44" i="7" s="1"/>
  <c r="S44" i="7" s="1"/>
  <c r="U44" i="7" s="1"/>
  <c r="W44" i="7" s="1"/>
  <c r="Y44" i="7" s="1"/>
  <c r="AA44" i="7" s="1"/>
  <c r="AC44" i="7" s="1"/>
  <c r="AE44" i="7" s="1"/>
  <c r="AG44" i="7" s="1"/>
  <c r="E45" i="7"/>
  <c r="G45" i="7" s="1"/>
  <c r="I45" i="7" s="1"/>
  <c r="K45" i="7" s="1"/>
  <c r="M45" i="7" s="1"/>
  <c r="O45" i="7" s="1"/>
  <c r="F45" i="7"/>
  <c r="H45" i="7"/>
  <c r="J45" i="7" s="1"/>
  <c r="L45" i="7" s="1"/>
  <c r="N45" i="7" s="1"/>
  <c r="P45" i="7" s="1"/>
  <c r="R45" i="7" s="1"/>
  <c r="T45" i="7" s="1"/>
  <c r="V45" i="7" s="1"/>
  <c r="X45" i="7" s="1"/>
  <c r="Z45" i="7" s="1"/>
  <c r="AB45" i="7" s="1"/>
  <c r="Q45" i="7"/>
  <c r="S45" i="7" s="1"/>
  <c r="U45" i="7" s="1"/>
  <c r="W45" i="7" s="1"/>
  <c r="Y45" i="7" s="1"/>
  <c r="AA45" i="7" s="1"/>
  <c r="AC45" i="7" s="1"/>
  <c r="AE45" i="7" s="1"/>
  <c r="AG45" i="7" s="1"/>
  <c r="AD45" i="7"/>
  <c r="AF45" i="7" s="1"/>
  <c r="AH45" i="7" s="1"/>
  <c r="E46" i="7"/>
  <c r="F46" i="7"/>
  <c r="H46" i="7" s="1"/>
  <c r="G46" i="7"/>
  <c r="I46" i="7" s="1"/>
  <c r="K46" i="7" s="1"/>
  <c r="M46" i="7" s="1"/>
  <c r="O46" i="7" s="1"/>
  <c r="Q46" i="7" s="1"/>
  <c r="S46" i="7" s="1"/>
  <c r="U46" i="7" s="1"/>
  <c r="W46" i="7" s="1"/>
  <c r="Y46" i="7" s="1"/>
  <c r="AA46" i="7" s="1"/>
  <c r="AC46" i="7" s="1"/>
  <c r="AE46" i="7" s="1"/>
  <c r="AG46" i="7" s="1"/>
  <c r="J46" i="7"/>
  <c r="L46" i="7" s="1"/>
  <c r="N46" i="7" s="1"/>
  <c r="P46" i="7" s="1"/>
  <c r="R46" i="7" s="1"/>
  <c r="T46" i="7" s="1"/>
  <c r="V46" i="7"/>
  <c r="X46" i="7" s="1"/>
  <c r="Z46" i="7" s="1"/>
  <c r="AB46" i="7" s="1"/>
  <c r="AD46" i="7" s="1"/>
  <c r="AF46" i="7" s="1"/>
  <c r="AH46" i="7" s="1"/>
  <c r="E47" i="7"/>
  <c r="G47" i="7" s="1"/>
  <c r="I47" i="7" s="1"/>
  <c r="K47" i="7" s="1"/>
  <c r="M47" i="7" s="1"/>
  <c r="O47" i="7" s="1"/>
  <c r="Q47" i="7" s="1"/>
  <c r="S47" i="7" s="1"/>
  <c r="U47" i="7" s="1"/>
  <c r="W47" i="7" s="1"/>
  <c r="Y47" i="7" s="1"/>
  <c r="AA47" i="7" s="1"/>
  <c r="AC47" i="7" s="1"/>
  <c r="AE47" i="7" s="1"/>
  <c r="AG47" i="7" s="1"/>
  <c r="F47" i="7"/>
  <c r="H47" i="7"/>
  <c r="J47" i="7" s="1"/>
  <c r="L47" i="7" s="1"/>
  <c r="N47" i="7" s="1"/>
  <c r="P47" i="7" s="1"/>
  <c r="R47" i="7" s="1"/>
  <c r="T47" i="7" s="1"/>
  <c r="V47" i="7" s="1"/>
  <c r="X47" i="7" s="1"/>
  <c r="Z47" i="7" s="1"/>
  <c r="AB47" i="7" s="1"/>
  <c r="AD47" i="7" s="1"/>
  <c r="AF47" i="7" s="1"/>
  <c r="AH47" i="7" s="1"/>
  <c r="E48" i="7"/>
  <c r="F48" i="7"/>
  <c r="H48" i="7" s="1"/>
  <c r="J48" i="7" s="1"/>
  <c r="L48" i="7" s="1"/>
  <c r="N48" i="7" s="1"/>
  <c r="P48" i="7" s="1"/>
  <c r="R48" i="7" s="1"/>
  <c r="T48" i="7" s="1"/>
  <c r="V48" i="7" s="1"/>
  <c r="X48" i="7" s="1"/>
  <c r="Z48" i="7" s="1"/>
  <c r="AB48" i="7" s="1"/>
  <c r="AD48" i="7" s="1"/>
  <c r="AF48" i="7" s="1"/>
  <c r="AH48" i="7" s="1"/>
  <c r="G48" i="7"/>
  <c r="I48" i="7" s="1"/>
  <c r="K48" i="7" s="1"/>
  <c r="M48" i="7" s="1"/>
  <c r="O48" i="7" s="1"/>
  <c r="Q48" i="7" s="1"/>
  <c r="S48" i="7" s="1"/>
  <c r="U48" i="7" s="1"/>
  <c r="W48" i="7" s="1"/>
  <c r="Y48" i="7" s="1"/>
  <c r="AA48" i="7" s="1"/>
  <c r="AC48" i="7" s="1"/>
  <c r="AE48" i="7" s="1"/>
  <c r="AG48" i="7" s="1"/>
  <c r="E49" i="7"/>
  <c r="G49" i="7" s="1"/>
  <c r="F49" i="7"/>
  <c r="H49" i="7" s="1"/>
  <c r="J49" i="7" s="1"/>
  <c r="I49" i="7"/>
  <c r="K49" i="7" s="1"/>
  <c r="M49" i="7" s="1"/>
  <c r="O49" i="7" s="1"/>
  <c r="Q49" i="7" s="1"/>
  <c r="S49" i="7" s="1"/>
  <c r="U49" i="7" s="1"/>
  <c r="W49" i="7" s="1"/>
  <c r="Y49" i="7" s="1"/>
  <c r="AA49" i="7" s="1"/>
  <c r="AC49" i="7" s="1"/>
  <c r="AE49" i="7" s="1"/>
  <c r="AG49" i="7" s="1"/>
  <c r="L49" i="7"/>
  <c r="N49" i="7" s="1"/>
  <c r="P49" i="7" s="1"/>
  <c r="R49" i="7" s="1"/>
  <c r="T49" i="7" s="1"/>
  <c r="V49" i="7"/>
  <c r="X49" i="7" s="1"/>
  <c r="Z49" i="7" s="1"/>
  <c r="AB49" i="7" s="1"/>
  <c r="AD49" i="7" s="1"/>
  <c r="AF49" i="7" s="1"/>
  <c r="AH49" i="7" s="1"/>
  <c r="E50" i="7"/>
  <c r="F50" i="7"/>
  <c r="H50" i="7" s="1"/>
  <c r="J50" i="7" s="1"/>
  <c r="L50" i="7" s="1"/>
  <c r="N50" i="7" s="1"/>
  <c r="P50" i="7" s="1"/>
  <c r="R50" i="7" s="1"/>
  <c r="T50" i="7" s="1"/>
  <c r="V50" i="7" s="1"/>
  <c r="X50" i="7" s="1"/>
  <c r="Z50" i="7" s="1"/>
  <c r="AB50" i="7" s="1"/>
  <c r="AD50" i="7" s="1"/>
  <c r="AF50" i="7" s="1"/>
  <c r="AH50" i="7" s="1"/>
  <c r="G50" i="7"/>
  <c r="I50" i="7" s="1"/>
  <c r="K50" i="7" s="1"/>
  <c r="M50" i="7" s="1"/>
  <c r="O50" i="7" s="1"/>
  <c r="Q50" i="7" s="1"/>
  <c r="S50" i="7" s="1"/>
  <c r="U50" i="7" s="1"/>
  <c r="W50" i="7"/>
  <c r="Y50" i="7" s="1"/>
  <c r="AA50" i="7" s="1"/>
  <c r="AC50" i="7" s="1"/>
  <c r="AE50" i="7" s="1"/>
  <c r="AG50" i="7" s="1"/>
  <c r="E51" i="7"/>
  <c r="G51" i="7" s="1"/>
  <c r="F51" i="7"/>
  <c r="H51" i="7" s="1"/>
  <c r="J51" i="7" s="1"/>
  <c r="L51" i="7" s="1"/>
  <c r="I51" i="7"/>
  <c r="K51" i="7" s="1"/>
  <c r="M51" i="7" s="1"/>
  <c r="O51" i="7" s="1"/>
  <c r="Q51" i="7" s="1"/>
  <c r="S51" i="7" s="1"/>
  <c r="U51" i="7" s="1"/>
  <c r="W51" i="7" s="1"/>
  <c r="Y51" i="7" s="1"/>
  <c r="AA51" i="7" s="1"/>
  <c r="AC51" i="7" s="1"/>
  <c r="AE51" i="7" s="1"/>
  <c r="AG51" i="7" s="1"/>
  <c r="N51" i="7"/>
  <c r="P51" i="7" s="1"/>
  <c r="R51" i="7" s="1"/>
  <c r="T51" i="7" s="1"/>
  <c r="V51" i="7" s="1"/>
  <c r="X51" i="7" s="1"/>
  <c r="Z51" i="7" s="1"/>
  <c r="AB51" i="7" s="1"/>
  <c r="AD51" i="7" s="1"/>
  <c r="AF51" i="7" s="1"/>
  <c r="AH51" i="7" s="1"/>
  <c r="E52" i="7"/>
  <c r="F52" i="7"/>
  <c r="G52" i="7"/>
  <c r="I52" i="7" s="1"/>
  <c r="K52" i="7" s="1"/>
  <c r="M52" i="7" s="1"/>
  <c r="O52" i="7" s="1"/>
  <c r="Q52" i="7" s="1"/>
  <c r="S52" i="7" s="1"/>
  <c r="U52" i="7" s="1"/>
  <c r="W52" i="7" s="1"/>
  <c r="Y52" i="7" s="1"/>
  <c r="AA52" i="7" s="1"/>
  <c r="AC52" i="7" s="1"/>
  <c r="AE52" i="7" s="1"/>
  <c r="AG52" i="7" s="1"/>
  <c r="H52" i="7"/>
  <c r="J52" i="7" s="1"/>
  <c r="L52" i="7" s="1"/>
  <c r="N52" i="7" s="1"/>
  <c r="P52" i="7" s="1"/>
  <c r="R52" i="7" s="1"/>
  <c r="T52" i="7" s="1"/>
  <c r="V52" i="7" s="1"/>
  <c r="X52" i="7" s="1"/>
  <c r="Z52" i="7"/>
  <c r="AB52" i="7" s="1"/>
  <c r="AD52" i="7" s="1"/>
  <c r="AF52" i="7" s="1"/>
  <c r="AH52" i="7" s="1"/>
  <c r="E53" i="7"/>
  <c r="G53" i="7" s="1"/>
  <c r="F53" i="7"/>
  <c r="H53" i="7" s="1"/>
  <c r="J53" i="7" s="1"/>
  <c r="L53" i="7" s="1"/>
  <c r="N53" i="7" s="1"/>
  <c r="P53" i="7" s="1"/>
  <c r="R53" i="7" s="1"/>
  <c r="I53" i="7"/>
  <c r="K53" i="7" s="1"/>
  <c r="M53" i="7" s="1"/>
  <c r="O53" i="7" s="1"/>
  <c r="Q53" i="7"/>
  <c r="S53" i="7" s="1"/>
  <c r="U53" i="7" s="1"/>
  <c r="W53" i="7" s="1"/>
  <c r="Y53" i="7" s="1"/>
  <c r="AA53" i="7" s="1"/>
  <c r="AC53" i="7" s="1"/>
  <c r="AE53" i="7" s="1"/>
  <c r="AG53" i="7" s="1"/>
  <c r="T53" i="7"/>
  <c r="V53" i="7" s="1"/>
  <c r="X53" i="7" s="1"/>
  <c r="Z53" i="7" s="1"/>
  <c r="AB53" i="7"/>
  <c r="AD53" i="7" s="1"/>
  <c r="AF53" i="7" s="1"/>
  <c r="AH53" i="7" s="1"/>
  <c r="E54" i="7"/>
  <c r="F54" i="7"/>
  <c r="G54" i="7"/>
  <c r="I54" i="7" s="1"/>
  <c r="K54" i="7" s="1"/>
  <c r="M54" i="7" s="1"/>
  <c r="O54" i="7" s="1"/>
  <c r="Q54" i="7" s="1"/>
  <c r="S54" i="7" s="1"/>
  <c r="U54" i="7" s="1"/>
  <c r="W54" i="7" s="1"/>
  <c r="Y54" i="7" s="1"/>
  <c r="AA54" i="7" s="1"/>
  <c r="AC54" i="7" s="1"/>
  <c r="H54" i="7"/>
  <c r="J54" i="7"/>
  <c r="L54" i="7" s="1"/>
  <c r="N54" i="7" s="1"/>
  <c r="P54" i="7" s="1"/>
  <c r="R54" i="7" s="1"/>
  <c r="T54" i="7" s="1"/>
  <c r="V54" i="7" s="1"/>
  <c r="X54" i="7" s="1"/>
  <c r="Z54" i="7" s="1"/>
  <c r="AB54" i="7" s="1"/>
  <c r="AD54" i="7" s="1"/>
  <c r="AF54" i="7" s="1"/>
  <c r="AH54" i="7" s="1"/>
  <c r="AE54" i="7"/>
  <c r="AG54" i="7" s="1"/>
  <c r="E55" i="7"/>
  <c r="G55" i="7" s="1"/>
  <c r="F55" i="7"/>
  <c r="H55" i="7" s="1"/>
  <c r="J55" i="7" s="1"/>
  <c r="L55" i="7" s="1"/>
  <c r="N55" i="7" s="1"/>
  <c r="P55" i="7" s="1"/>
  <c r="R55" i="7" s="1"/>
  <c r="T55" i="7" s="1"/>
  <c r="V55" i="7" s="1"/>
  <c r="X55" i="7" s="1"/>
  <c r="Z55" i="7" s="1"/>
  <c r="AB55" i="7" s="1"/>
  <c r="AD55" i="7" s="1"/>
  <c r="AF55" i="7" s="1"/>
  <c r="AH55" i="7" s="1"/>
  <c r="I55" i="7"/>
  <c r="K55" i="7" s="1"/>
  <c r="M55" i="7" s="1"/>
  <c r="O55" i="7" s="1"/>
  <c r="Q55" i="7" s="1"/>
  <c r="S55" i="7" s="1"/>
  <c r="U55" i="7" s="1"/>
  <c r="W55" i="7" s="1"/>
  <c r="Y55" i="7" s="1"/>
  <c r="AA55" i="7" s="1"/>
  <c r="AC55" i="7" s="1"/>
  <c r="AE55" i="7" s="1"/>
  <c r="AG55" i="7"/>
  <c r="E56" i="7"/>
  <c r="F56" i="7"/>
  <c r="H56" i="7" s="1"/>
  <c r="G56" i="7"/>
  <c r="I56" i="7" s="1"/>
  <c r="K56" i="7" s="1"/>
  <c r="M56" i="7" s="1"/>
  <c r="O56" i="7" s="1"/>
  <c r="Q56" i="7" s="1"/>
  <c r="S56" i="7" s="1"/>
  <c r="U56" i="7" s="1"/>
  <c r="W56" i="7" s="1"/>
  <c r="Y56" i="7" s="1"/>
  <c r="AA56" i="7" s="1"/>
  <c r="AC56" i="7" s="1"/>
  <c r="AE56" i="7" s="1"/>
  <c r="AG56" i="7" s="1"/>
  <c r="J56" i="7"/>
  <c r="L56" i="7"/>
  <c r="N56" i="7" s="1"/>
  <c r="P56" i="7" s="1"/>
  <c r="R56" i="7" s="1"/>
  <c r="T56" i="7" s="1"/>
  <c r="V56" i="7" s="1"/>
  <c r="X56" i="7" s="1"/>
  <c r="Z56" i="7" s="1"/>
  <c r="AB56" i="7" s="1"/>
  <c r="AD56" i="7" s="1"/>
  <c r="AF56" i="7" s="1"/>
  <c r="AH56" i="7" s="1"/>
  <c r="E57" i="7"/>
  <c r="F57" i="7"/>
  <c r="H57" i="7" s="1"/>
  <c r="J57" i="7" s="1"/>
  <c r="L57" i="7" s="1"/>
  <c r="N57" i="7" s="1"/>
  <c r="P57" i="7" s="1"/>
  <c r="R57" i="7" s="1"/>
  <c r="T57" i="7" s="1"/>
  <c r="V57" i="7" s="1"/>
  <c r="X57" i="7" s="1"/>
  <c r="Z57" i="7" s="1"/>
  <c r="AB57" i="7" s="1"/>
  <c r="AD57" i="7" s="1"/>
  <c r="AF57" i="7" s="1"/>
  <c r="AH57" i="7" s="1"/>
  <c r="G57" i="7"/>
  <c r="I57" i="7"/>
  <c r="K57" i="7" s="1"/>
  <c r="M57" i="7" s="1"/>
  <c r="O57" i="7" s="1"/>
  <c r="Q57" i="7" s="1"/>
  <c r="S57" i="7" s="1"/>
  <c r="U57" i="7" s="1"/>
  <c r="W57" i="7" s="1"/>
  <c r="Y57" i="7" s="1"/>
  <c r="AA57" i="7" s="1"/>
  <c r="AC57" i="7" s="1"/>
  <c r="AE57" i="7" s="1"/>
  <c r="AG57" i="7" s="1"/>
  <c r="E58" i="7"/>
  <c r="G58" i="7" s="1"/>
  <c r="I58" i="7" s="1"/>
  <c r="K58" i="7" s="1"/>
  <c r="M58" i="7" s="1"/>
  <c r="O58" i="7" s="1"/>
  <c r="Q58" i="7" s="1"/>
  <c r="S58" i="7" s="1"/>
  <c r="U58" i="7" s="1"/>
  <c r="W58" i="7" s="1"/>
  <c r="Y58" i="7" s="1"/>
  <c r="AA58" i="7" s="1"/>
  <c r="AC58" i="7" s="1"/>
  <c r="AE58" i="7" s="1"/>
  <c r="AG58" i="7" s="1"/>
  <c r="F58" i="7"/>
  <c r="H58" i="7" s="1"/>
  <c r="J58" i="7" s="1"/>
  <c r="L58" i="7" s="1"/>
  <c r="N58" i="7" s="1"/>
  <c r="P58" i="7" s="1"/>
  <c r="R58" i="7" s="1"/>
  <c r="T58" i="7" s="1"/>
  <c r="V58" i="7" s="1"/>
  <c r="X58" i="7" s="1"/>
  <c r="Z58" i="7" s="1"/>
  <c r="AB58" i="7" s="1"/>
  <c r="AD58" i="7" s="1"/>
  <c r="AF58" i="7" s="1"/>
  <c r="AH58" i="7" s="1"/>
  <c r="E59" i="7"/>
  <c r="F59" i="7"/>
  <c r="G59" i="7"/>
  <c r="I59" i="7" s="1"/>
  <c r="K59" i="7" s="1"/>
  <c r="M59" i="7" s="1"/>
  <c r="O59" i="7" s="1"/>
  <c r="Q59" i="7" s="1"/>
  <c r="S59" i="7" s="1"/>
  <c r="U59" i="7" s="1"/>
  <c r="W59" i="7" s="1"/>
  <c r="Y59" i="7" s="1"/>
  <c r="AA59" i="7" s="1"/>
  <c r="AC59" i="7" s="1"/>
  <c r="AE59" i="7" s="1"/>
  <c r="AG59" i="7" s="1"/>
  <c r="H59" i="7"/>
  <c r="J59" i="7" s="1"/>
  <c r="L59" i="7" s="1"/>
  <c r="N59" i="7" s="1"/>
  <c r="P59" i="7"/>
  <c r="R59" i="7" s="1"/>
  <c r="T59" i="7" s="1"/>
  <c r="V59" i="7" s="1"/>
  <c r="X59" i="7" s="1"/>
  <c r="Z59" i="7" s="1"/>
  <c r="AB59" i="7" s="1"/>
  <c r="AD59" i="7" s="1"/>
  <c r="AF59" i="7" s="1"/>
  <c r="AH59" i="7" s="1"/>
  <c r="E60" i="7"/>
  <c r="F60" i="7"/>
  <c r="G60" i="7"/>
  <c r="I60" i="7" s="1"/>
  <c r="K60" i="7" s="1"/>
  <c r="M60" i="7" s="1"/>
  <c r="O60" i="7" s="1"/>
  <c r="Q60" i="7" s="1"/>
  <c r="S60" i="7" s="1"/>
  <c r="U60" i="7" s="1"/>
  <c r="W60" i="7" s="1"/>
  <c r="Y60" i="7" s="1"/>
  <c r="AA60" i="7" s="1"/>
  <c r="AC60" i="7" s="1"/>
  <c r="AE60" i="7" s="1"/>
  <c r="AG60" i="7" s="1"/>
  <c r="H60" i="7"/>
  <c r="J60" i="7"/>
  <c r="L60" i="7" s="1"/>
  <c r="N60" i="7" s="1"/>
  <c r="P60" i="7" s="1"/>
  <c r="R60" i="7" s="1"/>
  <c r="T60" i="7" s="1"/>
  <c r="V60" i="7" s="1"/>
  <c r="X60" i="7" s="1"/>
  <c r="Z60" i="7" s="1"/>
  <c r="AB60" i="7" s="1"/>
  <c r="AD60" i="7" s="1"/>
  <c r="AF60" i="7" s="1"/>
  <c r="AH60" i="7" s="1"/>
  <c r="E61" i="7"/>
  <c r="F61" i="7"/>
  <c r="H61" i="7" s="1"/>
  <c r="J61" i="7" s="1"/>
  <c r="G61" i="7"/>
  <c r="I61" i="7" s="1"/>
  <c r="K61" i="7" s="1"/>
  <c r="M61" i="7" s="1"/>
  <c r="O61" i="7" s="1"/>
  <c r="Q61" i="7" s="1"/>
  <c r="S61" i="7" s="1"/>
  <c r="U61" i="7" s="1"/>
  <c r="W61" i="7" s="1"/>
  <c r="Y61" i="7" s="1"/>
  <c r="AA61" i="7" s="1"/>
  <c r="AC61" i="7" s="1"/>
  <c r="AE61" i="7" s="1"/>
  <c r="AG61" i="7" s="1"/>
  <c r="L61" i="7"/>
  <c r="N61" i="7" s="1"/>
  <c r="P61" i="7" s="1"/>
  <c r="R61" i="7" s="1"/>
  <c r="T61" i="7" s="1"/>
  <c r="V61" i="7" s="1"/>
  <c r="X61" i="7" s="1"/>
  <c r="Z61" i="7" s="1"/>
  <c r="AB61" i="7" s="1"/>
  <c r="AD61" i="7" s="1"/>
  <c r="AF61" i="7" s="1"/>
  <c r="AH61" i="7" s="1"/>
  <c r="E62" i="7"/>
  <c r="G62" i="7" s="1"/>
  <c r="I62" i="7" s="1"/>
  <c r="K62" i="7" s="1"/>
  <c r="M62" i="7" s="1"/>
  <c r="O62" i="7" s="1"/>
  <c r="Q62" i="7" s="1"/>
  <c r="S62" i="7" s="1"/>
  <c r="U62" i="7" s="1"/>
  <c r="W62" i="7" s="1"/>
  <c r="Y62" i="7" s="1"/>
  <c r="AA62" i="7" s="1"/>
  <c r="AC62" i="7" s="1"/>
  <c r="AE62" i="7" s="1"/>
  <c r="AG62" i="7" s="1"/>
  <c r="F62" i="7"/>
  <c r="H62" i="7" s="1"/>
  <c r="J62" i="7" s="1"/>
  <c r="L62" i="7" s="1"/>
  <c r="N62" i="7" s="1"/>
  <c r="P62" i="7" s="1"/>
  <c r="R62" i="7" s="1"/>
  <c r="T62" i="7" s="1"/>
  <c r="V62" i="7" s="1"/>
  <c r="X62" i="7" s="1"/>
  <c r="Z62" i="7" s="1"/>
  <c r="AB62" i="7" s="1"/>
  <c r="AD62" i="7" s="1"/>
  <c r="AF62" i="7" s="1"/>
  <c r="AH62" i="7" s="1"/>
  <c r="E63" i="7"/>
  <c r="F63" i="7"/>
  <c r="G63" i="7"/>
  <c r="H63" i="7"/>
  <c r="J63" i="7" s="1"/>
  <c r="L63" i="7" s="1"/>
  <c r="N63" i="7" s="1"/>
  <c r="I63" i="7"/>
  <c r="K63" i="7" s="1"/>
  <c r="M63" i="7" s="1"/>
  <c r="O63" i="7" s="1"/>
  <c r="Q63" i="7" s="1"/>
  <c r="S63" i="7" s="1"/>
  <c r="U63" i="7" s="1"/>
  <c r="W63" i="7" s="1"/>
  <c r="Y63" i="7" s="1"/>
  <c r="AA63" i="7" s="1"/>
  <c r="AC63" i="7" s="1"/>
  <c r="AE63" i="7" s="1"/>
  <c r="AG63" i="7" s="1"/>
  <c r="P63" i="7"/>
  <c r="R63" i="7" s="1"/>
  <c r="T63" i="7" s="1"/>
  <c r="V63" i="7" s="1"/>
  <c r="X63" i="7" s="1"/>
  <c r="Z63" i="7" s="1"/>
  <c r="AB63" i="7" s="1"/>
  <c r="AD63" i="7" s="1"/>
  <c r="AF63" i="7" s="1"/>
  <c r="AH63" i="7" s="1"/>
  <c r="E64" i="7"/>
  <c r="G64" i="7" s="1"/>
  <c r="I64" i="7" s="1"/>
  <c r="K64" i="7" s="1"/>
  <c r="M64" i="7" s="1"/>
  <c r="O64" i="7" s="1"/>
  <c r="Q64" i="7" s="1"/>
  <c r="S64" i="7" s="1"/>
  <c r="U64" i="7" s="1"/>
  <c r="W64" i="7" s="1"/>
  <c r="Y64" i="7" s="1"/>
  <c r="AA64" i="7" s="1"/>
  <c r="AC64" i="7" s="1"/>
  <c r="AE64" i="7" s="1"/>
  <c r="AG64" i="7" s="1"/>
  <c r="F64" i="7"/>
  <c r="H64" i="7"/>
  <c r="J64" i="7"/>
  <c r="L64" i="7" s="1"/>
  <c r="N64" i="7" s="1"/>
  <c r="P64" i="7" s="1"/>
  <c r="R64" i="7" s="1"/>
  <c r="T64" i="7" s="1"/>
  <c r="V64" i="7" s="1"/>
  <c r="X64" i="7" s="1"/>
  <c r="Z64" i="7" s="1"/>
  <c r="AB64" i="7" s="1"/>
  <c r="AD64" i="7" s="1"/>
  <c r="AF64" i="7" s="1"/>
  <c r="AH64" i="7" s="1"/>
  <c r="E65" i="7"/>
  <c r="G65" i="7" s="1"/>
  <c r="I65" i="7" s="1"/>
  <c r="K65" i="7" s="1"/>
  <c r="M65" i="7" s="1"/>
  <c r="O65" i="7" s="1"/>
  <c r="Q65" i="7" s="1"/>
  <c r="S65" i="7" s="1"/>
  <c r="U65" i="7" s="1"/>
  <c r="W65" i="7" s="1"/>
  <c r="Y65" i="7" s="1"/>
  <c r="AA65" i="7" s="1"/>
  <c r="AC65" i="7" s="1"/>
  <c r="AE65" i="7" s="1"/>
  <c r="AG65" i="7" s="1"/>
  <c r="F65" i="7"/>
  <c r="H65" i="7" s="1"/>
  <c r="J65" i="7"/>
  <c r="L65" i="7"/>
  <c r="N65" i="7" s="1"/>
  <c r="P65" i="7" s="1"/>
  <c r="R65" i="7" s="1"/>
  <c r="T65" i="7" s="1"/>
  <c r="V65" i="7" s="1"/>
  <c r="X65" i="7" s="1"/>
  <c r="Z65" i="7" s="1"/>
  <c r="AB65" i="7" s="1"/>
  <c r="AD65" i="7" s="1"/>
  <c r="AF65" i="7" s="1"/>
  <c r="AH65" i="7" s="1"/>
  <c r="E66" i="7"/>
  <c r="F66" i="7"/>
  <c r="H66" i="7" s="1"/>
  <c r="J66" i="7" s="1"/>
  <c r="L66" i="7" s="1"/>
  <c r="N66" i="7" s="1"/>
  <c r="P66" i="7" s="1"/>
  <c r="R66" i="7" s="1"/>
  <c r="T66" i="7" s="1"/>
  <c r="V66" i="7" s="1"/>
  <c r="X66" i="7" s="1"/>
  <c r="Z66" i="7" s="1"/>
  <c r="AB66" i="7" s="1"/>
  <c r="AD66" i="7" s="1"/>
  <c r="AF66" i="7" s="1"/>
  <c r="AH66" i="7" s="1"/>
  <c r="G66" i="7"/>
  <c r="I66" i="7"/>
  <c r="K66" i="7" s="1"/>
  <c r="M66" i="7" s="1"/>
  <c r="O66" i="7" s="1"/>
  <c r="Q66" i="7" s="1"/>
  <c r="S66" i="7" s="1"/>
  <c r="U66" i="7" s="1"/>
  <c r="W66" i="7" s="1"/>
  <c r="Y66" i="7" s="1"/>
  <c r="AA66" i="7" s="1"/>
  <c r="AC66" i="7" s="1"/>
  <c r="AE66" i="7" s="1"/>
  <c r="AG66" i="7" s="1"/>
  <c r="E67" i="7"/>
  <c r="G67" i="7" s="1"/>
  <c r="I67" i="7" s="1"/>
  <c r="K67" i="7" s="1"/>
  <c r="M67" i="7" s="1"/>
  <c r="O67" i="7" s="1"/>
  <c r="Q67" i="7" s="1"/>
  <c r="S67" i="7" s="1"/>
  <c r="U67" i="7" s="1"/>
  <c r="W67" i="7" s="1"/>
  <c r="Y67" i="7" s="1"/>
  <c r="AA67" i="7" s="1"/>
  <c r="AC67" i="7" s="1"/>
  <c r="AE67" i="7" s="1"/>
  <c r="AG67" i="7" s="1"/>
  <c r="F67" i="7"/>
  <c r="H67" i="7" s="1"/>
  <c r="J67" i="7" s="1"/>
  <c r="L67" i="7" s="1"/>
  <c r="N67" i="7" s="1"/>
  <c r="P67" i="7" s="1"/>
  <c r="R67" i="7" s="1"/>
  <c r="T67" i="7" s="1"/>
  <c r="V67" i="7" s="1"/>
  <c r="X67" i="7" s="1"/>
  <c r="Z67" i="7" s="1"/>
  <c r="AB67" i="7" s="1"/>
  <c r="AD67" i="7" s="1"/>
  <c r="AF67" i="7" s="1"/>
  <c r="AH67" i="7" s="1"/>
  <c r="E68" i="7"/>
  <c r="F68" i="7"/>
  <c r="G68" i="7"/>
  <c r="I68" i="7" s="1"/>
  <c r="K68" i="7" s="1"/>
  <c r="M68" i="7" s="1"/>
  <c r="O68" i="7" s="1"/>
  <c r="Q68" i="7" s="1"/>
  <c r="S68" i="7" s="1"/>
  <c r="U68" i="7" s="1"/>
  <c r="W68" i="7" s="1"/>
  <c r="Y68" i="7" s="1"/>
  <c r="AA68" i="7" s="1"/>
  <c r="AC68" i="7" s="1"/>
  <c r="AE68" i="7" s="1"/>
  <c r="AG68" i="7" s="1"/>
  <c r="H68" i="7"/>
  <c r="J68" i="7"/>
  <c r="L68" i="7" s="1"/>
  <c r="N68" i="7" s="1"/>
  <c r="P68" i="7" s="1"/>
  <c r="R68" i="7" s="1"/>
  <c r="T68" i="7" s="1"/>
  <c r="V68" i="7" s="1"/>
  <c r="X68" i="7" s="1"/>
  <c r="Z68" i="7" s="1"/>
  <c r="AB68" i="7" s="1"/>
  <c r="AD68" i="7" s="1"/>
  <c r="AF68" i="7" s="1"/>
  <c r="AH68" i="7" s="1"/>
  <c r="F3" i="7"/>
  <c r="G3" i="7"/>
  <c r="H3" i="7"/>
  <c r="J3" i="7" s="1"/>
  <c r="L3" i="7" s="1"/>
  <c r="N3" i="7" s="1"/>
  <c r="P3" i="7" s="1"/>
  <c r="R3" i="7" s="1"/>
  <c r="T3" i="7" s="1"/>
  <c r="V3" i="7" s="1"/>
  <c r="X3" i="7" s="1"/>
  <c r="Z3" i="7" s="1"/>
  <c r="AB3" i="7" s="1"/>
  <c r="AD3" i="7" s="1"/>
  <c r="AF3" i="7" s="1"/>
  <c r="AH3" i="7" s="1"/>
  <c r="I3" i="7"/>
  <c r="K3" i="7"/>
  <c r="M3" i="7"/>
  <c r="O3" i="7" s="1"/>
  <c r="Q3" i="7" s="1"/>
  <c r="S3" i="7" s="1"/>
  <c r="U3" i="7" s="1"/>
  <c r="W3" i="7" s="1"/>
  <c r="Y3" i="7" s="1"/>
  <c r="AA3" i="7" s="1"/>
  <c r="AC3" i="7" s="1"/>
  <c r="AE3" i="7" s="1"/>
  <c r="AG3" i="7" s="1"/>
  <c r="E3" i="7"/>
  <c r="E4" i="11" l="1"/>
  <c r="G4" i="11" s="1"/>
  <c r="I4" i="11" s="1"/>
  <c r="K4" i="11" s="1"/>
  <c r="M4" i="11" s="1"/>
  <c r="O4" i="11" s="1"/>
  <c r="Q4" i="11" s="1"/>
  <c r="S4" i="11" s="1"/>
  <c r="U4" i="11" s="1"/>
  <c r="W4" i="11" s="1"/>
  <c r="Y4" i="11" s="1"/>
  <c r="AA4" i="11" s="1"/>
  <c r="AC4" i="11" s="1"/>
  <c r="AE4" i="11" s="1"/>
  <c r="AG4" i="11" s="1"/>
  <c r="F4" i="11"/>
  <c r="H4" i="11" s="1"/>
  <c r="J4" i="11" s="1"/>
  <c r="L4" i="11" s="1"/>
  <c r="N4" i="11" s="1"/>
  <c r="P4" i="11" s="1"/>
  <c r="R4" i="11" s="1"/>
  <c r="T4" i="11" s="1"/>
  <c r="V4" i="11" s="1"/>
  <c r="X4" i="11" s="1"/>
  <c r="Z4" i="11" s="1"/>
  <c r="AB4" i="11" s="1"/>
  <c r="AD4" i="11" s="1"/>
  <c r="AF4" i="11" s="1"/>
  <c r="AH4" i="11" s="1"/>
  <c r="E5" i="11"/>
  <c r="F5" i="11"/>
  <c r="H5" i="11" s="1"/>
  <c r="J5" i="11" s="1"/>
  <c r="L5" i="11" s="1"/>
  <c r="G5" i="11"/>
  <c r="I5" i="11" s="1"/>
  <c r="K5" i="11" s="1"/>
  <c r="M5" i="11" s="1"/>
  <c r="O5" i="11" s="1"/>
  <c r="Q5" i="11" s="1"/>
  <c r="S5" i="11" s="1"/>
  <c r="U5" i="11" s="1"/>
  <c r="W5" i="11" s="1"/>
  <c r="Y5" i="11" s="1"/>
  <c r="AA5" i="11" s="1"/>
  <c r="AC5" i="11" s="1"/>
  <c r="AE5" i="11" s="1"/>
  <c r="AG5" i="11" s="1"/>
  <c r="N5" i="11"/>
  <c r="P5" i="11" s="1"/>
  <c r="R5" i="11" s="1"/>
  <c r="T5" i="11" s="1"/>
  <c r="V5" i="11"/>
  <c r="X5" i="11" s="1"/>
  <c r="Z5" i="11" s="1"/>
  <c r="AB5" i="11" s="1"/>
  <c r="AD5" i="11" s="1"/>
  <c r="AF5" i="11" s="1"/>
  <c r="AH5" i="11" s="1"/>
  <c r="E6" i="11"/>
  <c r="G6" i="11" s="1"/>
  <c r="I6" i="11" s="1"/>
  <c r="K6" i="11" s="1"/>
  <c r="M6" i="11" s="1"/>
  <c r="O6" i="11" s="1"/>
  <c r="Q6" i="11" s="1"/>
  <c r="S6" i="11" s="1"/>
  <c r="U6" i="11" s="1"/>
  <c r="W6" i="11" s="1"/>
  <c r="Y6" i="11" s="1"/>
  <c r="AA6" i="11" s="1"/>
  <c r="AC6" i="11" s="1"/>
  <c r="AE6" i="11" s="1"/>
  <c r="AG6" i="11" s="1"/>
  <c r="F6" i="11"/>
  <c r="H6" i="11"/>
  <c r="J6" i="11" s="1"/>
  <c r="L6" i="11" s="1"/>
  <c r="N6" i="11" s="1"/>
  <c r="P6" i="11" s="1"/>
  <c r="R6" i="11" s="1"/>
  <c r="T6" i="11" s="1"/>
  <c r="V6" i="11" s="1"/>
  <c r="X6" i="11" s="1"/>
  <c r="Z6" i="11" s="1"/>
  <c r="AB6" i="11" s="1"/>
  <c r="AD6" i="11" s="1"/>
  <c r="AF6" i="11" s="1"/>
  <c r="AH6" i="11" s="1"/>
  <c r="E7" i="11"/>
  <c r="F7" i="11"/>
  <c r="G7" i="11"/>
  <c r="I7" i="11" s="1"/>
  <c r="K7" i="11" s="1"/>
  <c r="M7" i="11" s="1"/>
  <c r="O7" i="11" s="1"/>
  <c r="Q7" i="11" s="1"/>
  <c r="S7" i="11" s="1"/>
  <c r="U7" i="11" s="1"/>
  <c r="W7" i="11" s="1"/>
  <c r="Y7" i="11" s="1"/>
  <c r="AA7" i="11" s="1"/>
  <c r="AC7" i="11" s="1"/>
  <c r="AE7" i="11" s="1"/>
  <c r="AG7" i="11" s="1"/>
  <c r="H7" i="11"/>
  <c r="J7" i="11"/>
  <c r="L7" i="11" s="1"/>
  <c r="N7" i="11" s="1"/>
  <c r="P7" i="11" s="1"/>
  <c r="R7" i="11" s="1"/>
  <c r="T7" i="11" s="1"/>
  <c r="V7" i="11" s="1"/>
  <c r="X7" i="11" s="1"/>
  <c r="Z7" i="11" s="1"/>
  <c r="AB7" i="11" s="1"/>
  <c r="AD7" i="11" s="1"/>
  <c r="AF7" i="11" s="1"/>
  <c r="AH7" i="11" s="1"/>
  <c r="E8" i="11"/>
  <c r="G8" i="11" s="1"/>
  <c r="I8" i="11" s="1"/>
  <c r="K8" i="11" s="1"/>
  <c r="M8" i="11" s="1"/>
  <c r="O8" i="11" s="1"/>
  <c r="Q8" i="11" s="1"/>
  <c r="S8" i="11" s="1"/>
  <c r="U8" i="11" s="1"/>
  <c r="W8" i="11" s="1"/>
  <c r="Y8" i="11" s="1"/>
  <c r="AA8" i="11" s="1"/>
  <c r="AC8" i="11" s="1"/>
  <c r="AE8" i="11" s="1"/>
  <c r="AG8" i="11" s="1"/>
  <c r="F8" i="11"/>
  <c r="H8" i="11" s="1"/>
  <c r="J8" i="11" s="1"/>
  <c r="L8" i="11"/>
  <c r="N8" i="11" s="1"/>
  <c r="P8" i="11" s="1"/>
  <c r="R8" i="11" s="1"/>
  <c r="T8" i="11" s="1"/>
  <c r="V8" i="11" s="1"/>
  <c r="X8" i="11" s="1"/>
  <c r="Z8" i="11" s="1"/>
  <c r="AB8" i="11" s="1"/>
  <c r="AD8" i="11" s="1"/>
  <c r="AF8" i="11" s="1"/>
  <c r="AH8" i="11" s="1"/>
  <c r="E9" i="11"/>
  <c r="F9" i="11"/>
  <c r="H9" i="11" s="1"/>
  <c r="J9" i="11" s="1"/>
  <c r="L9" i="11" s="1"/>
  <c r="N9" i="11" s="1"/>
  <c r="P9" i="11" s="1"/>
  <c r="R9" i="11" s="1"/>
  <c r="T9" i="11" s="1"/>
  <c r="V9" i="11" s="1"/>
  <c r="X9" i="11" s="1"/>
  <c r="Z9" i="11" s="1"/>
  <c r="AB9" i="11" s="1"/>
  <c r="AD9" i="11" s="1"/>
  <c r="AF9" i="11" s="1"/>
  <c r="AH9" i="11" s="1"/>
  <c r="G9" i="11"/>
  <c r="I9" i="11" s="1"/>
  <c r="K9" i="11" s="1"/>
  <c r="M9" i="11" s="1"/>
  <c r="O9" i="11" s="1"/>
  <c r="Q9" i="11" s="1"/>
  <c r="S9" i="11" s="1"/>
  <c r="U9" i="11" s="1"/>
  <c r="W9" i="11" s="1"/>
  <c r="Y9" i="11" s="1"/>
  <c r="AA9" i="11" s="1"/>
  <c r="AC9" i="11" s="1"/>
  <c r="AE9" i="11" s="1"/>
  <c r="AG9" i="11" s="1"/>
  <c r="E10" i="11"/>
  <c r="G10" i="11" s="1"/>
  <c r="I10" i="11" s="1"/>
  <c r="K10" i="11" s="1"/>
  <c r="M10" i="11" s="1"/>
  <c r="O10" i="11" s="1"/>
  <c r="Q10" i="11" s="1"/>
  <c r="S10" i="11" s="1"/>
  <c r="U10" i="11" s="1"/>
  <c r="W10" i="11" s="1"/>
  <c r="Y10" i="11" s="1"/>
  <c r="AA10" i="11" s="1"/>
  <c r="AC10" i="11" s="1"/>
  <c r="AE10" i="11" s="1"/>
  <c r="AG10" i="11" s="1"/>
  <c r="F10" i="11"/>
  <c r="H10" i="11"/>
  <c r="J10" i="11" s="1"/>
  <c r="L10" i="11" s="1"/>
  <c r="N10" i="11" s="1"/>
  <c r="P10" i="11"/>
  <c r="R10" i="11" s="1"/>
  <c r="T10" i="11" s="1"/>
  <c r="V10" i="11" s="1"/>
  <c r="X10" i="11" s="1"/>
  <c r="Z10" i="11" s="1"/>
  <c r="AB10" i="11" s="1"/>
  <c r="AD10" i="11" s="1"/>
  <c r="AF10" i="11" s="1"/>
  <c r="AH10" i="11" s="1"/>
  <c r="E11" i="11"/>
  <c r="F11" i="11"/>
  <c r="G11" i="11"/>
  <c r="I11" i="11" s="1"/>
  <c r="K11" i="11" s="1"/>
  <c r="M11" i="11" s="1"/>
  <c r="O11" i="11" s="1"/>
  <c r="Q11" i="11" s="1"/>
  <c r="S11" i="11" s="1"/>
  <c r="U11" i="11" s="1"/>
  <c r="W11" i="11" s="1"/>
  <c r="Y11" i="11" s="1"/>
  <c r="AA11" i="11" s="1"/>
  <c r="AC11" i="11" s="1"/>
  <c r="AE11" i="11" s="1"/>
  <c r="AG11" i="11" s="1"/>
  <c r="H11" i="11"/>
  <c r="J11" i="11"/>
  <c r="L11" i="11" s="1"/>
  <c r="N11" i="11" s="1"/>
  <c r="P11" i="11" s="1"/>
  <c r="R11" i="11"/>
  <c r="T11" i="11" s="1"/>
  <c r="V11" i="11" s="1"/>
  <c r="X11" i="11" s="1"/>
  <c r="Z11" i="11" s="1"/>
  <c r="AB11" i="11" s="1"/>
  <c r="AD11" i="11" s="1"/>
  <c r="AF11" i="11" s="1"/>
  <c r="AH11" i="11" s="1"/>
  <c r="E12" i="11"/>
  <c r="G12" i="11" s="1"/>
  <c r="I12" i="11" s="1"/>
  <c r="K12" i="11" s="1"/>
  <c r="M12" i="11" s="1"/>
  <c r="O12" i="11" s="1"/>
  <c r="Q12" i="11" s="1"/>
  <c r="S12" i="11" s="1"/>
  <c r="U12" i="11" s="1"/>
  <c r="W12" i="11" s="1"/>
  <c r="Y12" i="11" s="1"/>
  <c r="AA12" i="11" s="1"/>
  <c r="AC12" i="11" s="1"/>
  <c r="AE12" i="11" s="1"/>
  <c r="AG12" i="11" s="1"/>
  <c r="F12" i="11"/>
  <c r="H12" i="11" s="1"/>
  <c r="J12" i="11" s="1"/>
  <c r="L12" i="11" s="1"/>
  <c r="N12" i="11" s="1"/>
  <c r="P12" i="11" s="1"/>
  <c r="R12" i="11" s="1"/>
  <c r="T12" i="11" s="1"/>
  <c r="V12" i="11" s="1"/>
  <c r="X12" i="11" s="1"/>
  <c r="Z12" i="11" s="1"/>
  <c r="AB12" i="11" s="1"/>
  <c r="AD12" i="11" s="1"/>
  <c r="AF12" i="11" s="1"/>
  <c r="AH12" i="11" s="1"/>
  <c r="E13" i="11"/>
  <c r="F13" i="11"/>
  <c r="H13" i="11" s="1"/>
  <c r="J13" i="11" s="1"/>
  <c r="L13" i="11" s="1"/>
  <c r="N13" i="11" s="1"/>
  <c r="P13" i="11" s="1"/>
  <c r="R13" i="11" s="1"/>
  <c r="T13" i="11" s="1"/>
  <c r="V13" i="11" s="1"/>
  <c r="X13" i="11" s="1"/>
  <c r="Z13" i="11" s="1"/>
  <c r="AB13" i="11" s="1"/>
  <c r="AD13" i="11" s="1"/>
  <c r="AF13" i="11" s="1"/>
  <c r="AH13" i="11" s="1"/>
  <c r="G13" i="11"/>
  <c r="I13" i="11" s="1"/>
  <c r="K13" i="11" s="1"/>
  <c r="M13" i="11" s="1"/>
  <c r="O13" i="11" s="1"/>
  <c r="Q13" i="11" s="1"/>
  <c r="S13" i="11" s="1"/>
  <c r="U13" i="11" s="1"/>
  <c r="W13" i="11" s="1"/>
  <c r="Y13" i="11" s="1"/>
  <c r="AA13" i="11" s="1"/>
  <c r="AC13" i="11" s="1"/>
  <c r="AE13" i="11" s="1"/>
  <c r="AG13" i="11" s="1"/>
  <c r="E14" i="11"/>
  <c r="G14" i="11" s="1"/>
  <c r="I14" i="11" s="1"/>
  <c r="K14" i="11" s="1"/>
  <c r="M14" i="11" s="1"/>
  <c r="O14" i="11" s="1"/>
  <c r="Q14" i="11" s="1"/>
  <c r="S14" i="11" s="1"/>
  <c r="U14" i="11" s="1"/>
  <c r="W14" i="11" s="1"/>
  <c r="Y14" i="11" s="1"/>
  <c r="AA14" i="11" s="1"/>
  <c r="AC14" i="11" s="1"/>
  <c r="AE14" i="11" s="1"/>
  <c r="AG14" i="11" s="1"/>
  <c r="F14" i="11"/>
  <c r="H14" i="11"/>
  <c r="J14" i="11" s="1"/>
  <c r="L14" i="11" s="1"/>
  <c r="N14" i="11" s="1"/>
  <c r="P14" i="11" s="1"/>
  <c r="R14" i="11" s="1"/>
  <c r="T14" i="11" s="1"/>
  <c r="V14" i="11" s="1"/>
  <c r="X14" i="11" s="1"/>
  <c r="Z14" i="11" s="1"/>
  <c r="AB14" i="11" s="1"/>
  <c r="AD14" i="11" s="1"/>
  <c r="AF14" i="11" s="1"/>
  <c r="AH14" i="11" s="1"/>
  <c r="E15" i="11"/>
  <c r="F15" i="11"/>
  <c r="H15" i="11" s="1"/>
  <c r="J15" i="11" s="1"/>
  <c r="L15" i="11" s="1"/>
  <c r="N15" i="11" s="1"/>
  <c r="P15" i="11" s="1"/>
  <c r="R15" i="11" s="1"/>
  <c r="T15" i="11" s="1"/>
  <c r="V15" i="11" s="1"/>
  <c r="X15" i="11" s="1"/>
  <c r="Z15" i="11" s="1"/>
  <c r="AB15" i="11" s="1"/>
  <c r="AD15" i="11" s="1"/>
  <c r="AF15" i="11" s="1"/>
  <c r="AH15" i="11" s="1"/>
  <c r="G15" i="11"/>
  <c r="I15" i="11" s="1"/>
  <c r="K15" i="11" s="1"/>
  <c r="M15" i="11" s="1"/>
  <c r="O15" i="11" s="1"/>
  <c r="Q15" i="11" s="1"/>
  <c r="S15" i="11" s="1"/>
  <c r="U15" i="11" s="1"/>
  <c r="W15" i="11" s="1"/>
  <c r="Y15" i="11" s="1"/>
  <c r="AA15" i="11" s="1"/>
  <c r="AC15" i="11" s="1"/>
  <c r="AE15" i="11" s="1"/>
  <c r="AG15" i="11" s="1"/>
  <c r="E16" i="11"/>
  <c r="G16" i="11" s="1"/>
  <c r="I16" i="11" s="1"/>
  <c r="K16" i="11" s="1"/>
  <c r="M16" i="11" s="1"/>
  <c r="O16" i="11" s="1"/>
  <c r="Q16" i="11" s="1"/>
  <c r="S16" i="11" s="1"/>
  <c r="U16" i="11" s="1"/>
  <c r="W16" i="11" s="1"/>
  <c r="Y16" i="11" s="1"/>
  <c r="AA16" i="11" s="1"/>
  <c r="AC16" i="11" s="1"/>
  <c r="AE16" i="11" s="1"/>
  <c r="AG16" i="11" s="1"/>
  <c r="F16" i="11"/>
  <c r="H16" i="11" s="1"/>
  <c r="J16" i="11" s="1"/>
  <c r="L16" i="11" s="1"/>
  <c r="N16" i="11" s="1"/>
  <c r="P16" i="11" s="1"/>
  <c r="R16" i="11" s="1"/>
  <c r="T16" i="11" s="1"/>
  <c r="V16" i="11" s="1"/>
  <c r="X16" i="11" s="1"/>
  <c r="Z16" i="11" s="1"/>
  <c r="AB16" i="11" s="1"/>
  <c r="AD16" i="11" s="1"/>
  <c r="AF16" i="11" s="1"/>
  <c r="AH16" i="11" s="1"/>
  <c r="E17" i="11"/>
  <c r="F17" i="11"/>
  <c r="H17" i="11" s="1"/>
  <c r="J17" i="11" s="1"/>
  <c r="L17" i="11" s="1"/>
  <c r="N17" i="11" s="1"/>
  <c r="P17" i="11" s="1"/>
  <c r="R17" i="11" s="1"/>
  <c r="T17" i="11" s="1"/>
  <c r="V17" i="11" s="1"/>
  <c r="X17" i="11" s="1"/>
  <c r="Z17" i="11" s="1"/>
  <c r="AB17" i="11" s="1"/>
  <c r="AD17" i="11" s="1"/>
  <c r="AF17" i="11" s="1"/>
  <c r="AH17" i="11" s="1"/>
  <c r="G17" i="11"/>
  <c r="I17" i="11" s="1"/>
  <c r="K17" i="11" s="1"/>
  <c r="M17" i="11" s="1"/>
  <c r="O17" i="11" s="1"/>
  <c r="Q17" i="11" s="1"/>
  <c r="S17" i="11" s="1"/>
  <c r="U17" i="11" s="1"/>
  <c r="W17" i="11" s="1"/>
  <c r="Y17" i="11" s="1"/>
  <c r="AA17" i="11" s="1"/>
  <c r="AC17" i="11" s="1"/>
  <c r="AE17" i="11" s="1"/>
  <c r="AG17" i="11" s="1"/>
  <c r="E18" i="11"/>
  <c r="G18" i="11" s="1"/>
  <c r="I18" i="11" s="1"/>
  <c r="K18" i="11" s="1"/>
  <c r="M18" i="11" s="1"/>
  <c r="O18" i="11" s="1"/>
  <c r="Q18" i="11" s="1"/>
  <c r="S18" i="11" s="1"/>
  <c r="U18" i="11" s="1"/>
  <c r="W18" i="11" s="1"/>
  <c r="Y18" i="11" s="1"/>
  <c r="AA18" i="11" s="1"/>
  <c r="AC18" i="11" s="1"/>
  <c r="AE18" i="11" s="1"/>
  <c r="AG18" i="11" s="1"/>
  <c r="F18" i="11"/>
  <c r="H18" i="11"/>
  <c r="J18" i="11" s="1"/>
  <c r="L18" i="11" s="1"/>
  <c r="N18" i="11" s="1"/>
  <c r="P18" i="11" s="1"/>
  <c r="R18" i="11" s="1"/>
  <c r="T18" i="11" s="1"/>
  <c r="V18" i="11" s="1"/>
  <c r="X18" i="11" s="1"/>
  <c r="Z18" i="11" s="1"/>
  <c r="AB18" i="11" s="1"/>
  <c r="AD18" i="11" s="1"/>
  <c r="AF18" i="11" s="1"/>
  <c r="AH18" i="11" s="1"/>
  <c r="E19" i="11"/>
  <c r="F19" i="11"/>
  <c r="H19" i="11" s="1"/>
  <c r="J19" i="11" s="1"/>
  <c r="L19" i="11" s="1"/>
  <c r="N19" i="11" s="1"/>
  <c r="P19" i="11" s="1"/>
  <c r="G19" i="11"/>
  <c r="I19" i="11" s="1"/>
  <c r="K19" i="11" s="1"/>
  <c r="M19" i="11" s="1"/>
  <c r="O19" i="11" s="1"/>
  <c r="Q19" i="11" s="1"/>
  <c r="S19" i="11" s="1"/>
  <c r="U19" i="11" s="1"/>
  <c r="W19" i="11" s="1"/>
  <c r="Y19" i="11" s="1"/>
  <c r="AA19" i="11" s="1"/>
  <c r="AC19" i="11" s="1"/>
  <c r="AE19" i="11" s="1"/>
  <c r="AG19" i="11" s="1"/>
  <c r="R19" i="11"/>
  <c r="T19" i="11" s="1"/>
  <c r="V19" i="11" s="1"/>
  <c r="X19" i="11" s="1"/>
  <c r="Z19" i="11" s="1"/>
  <c r="AB19" i="11" s="1"/>
  <c r="AD19" i="11" s="1"/>
  <c r="AF19" i="11" s="1"/>
  <c r="AH19" i="11" s="1"/>
  <c r="E20" i="11"/>
  <c r="G20" i="11" s="1"/>
  <c r="I20" i="11" s="1"/>
  <c r="K20" i="11" s="1"/>
  <c r="M20" i="11" s="1"/>
  <c r="O20" i="11" s="1"/>
  <c r="Q20" i="11" s="1"/>
  <c r="S20" i="11" s="1"/>
  <c r="U20" i="11" s="1"/>
  <c r="W20" i="11" s="1"/>
  <c r="Y20" i="11" s="1"/>
  <c r="AA20" i="11" s="1"/>
  <c r="AC20" i="11" s="1"/>
  <c r="AE20" i="11" s="1"/>
  <c r="AG20" i="11" s="1"/>
  <c r="F20" i="11"/>
  <c r="H20" i="11" s="1"/>
  <c r="J20" i="11" s="1"/>
  <c r="L20" i="11" s="1"/>
  <c r="N20" i="11" s="1"/>
  <c r="P20" i="11" s="1"/>
  <c r="R20" i="11" s="1"/>
  <c r="T20" i="11" s="1"/>
  <c r="V20" i="11" s="1"/>
  <c r="X20" i="11" s="1"/>
  <c r="Z20" i="11" s="1"/>
  <c r="AB20" i="11" s="1"/>
  <c r="AD20" i="11" s="1"/>
  <c r="AF20" i="11" s="1"/>
  <c r="AH20" i="11" s="1"/>
  <c r="E21" i="11"/>
  <c r="F21" i="11"/>
  <c r="H21" i="11" s="1"/>
  <c r="J21" i="11" s="1"/>
  <c r="L21" i="11" s="1"/>
  <c r="N21" i="11" s="1"/>
  <c r="P21" i="11" s="1"/>
  <c r="R21" i="11" s="1"/>
  <c r="T21" i="11" s="1"/>
  <c r="V21" i="11" s="1"/>
  <c r="X21" i="11" s="1"/>
  <c r="Z21" i="11" s="1"/>
  <c r="AB21" i="11" s="1"/>
  <c r="AD21" i="11" s="1"/>
  <c r="AF21" i="11" s="1"/>
  <c r="AH21" i="11" s="1"/>
  <c r="G21" i="11"/>
  <c r="I21" i="11" s="1"/>
  <c r="K21" i="11" s="1"/>
  <c r="M21" i="11" s="1"/>
  <c r="O21" i="11" s="1"/>
  <c r="Q21" i="11" s="1"/>
  <c r="S21" i="11" s="1"/>
  <c r="U21" i="11" s="1"/>
  <c r="W21" i="11" s="1"/>
  <c r="Y21" i="11" s="1"/>
  <c r="AA21" i="11" s="1"/>
  <c r="AC21" i="11" s="1"/>
  <c r="AE21" i="11" s="1"/>
  <c r="AG21" i="11" s="1"/>
  <c r="E22" i="11"/>
  <c r="G22" i="11" s="1"/>
  <c r="I22" i="11" s="1"/>
  <c r="K22" i="11" s="1"/>
  <c r="M22" i="11" s="1"/>
  <c r="O22" i="11" s="1"/>
  <c r="Q22" i="11" s="1"/>
  <c r="S22" i="11" s="1"/>
  <c r="U22" i="11" s="1"/>
  <c r="W22" i="11" s="1"/>
  <c r="Y22" i="11" s="1"/>
  <c r="AA22" i="11" s="1"/>
  <c r="AC22" i="11" s="1"/>
  <c r="AE22" i="11" s="1"/>
  <c r="AG22" i="11" s="1"/>
  <c r="F22" i="11"/>
  <c r="H22" i="11"/>
  <c r="J22" i="11" s="1"/>
  <c r="L22" i="11" s="1"/>
  <c r="N22" i="11" s="1"/>
  <c r="P22" i="11" s="1"/>
  <c r="R22" i="11" s="1"/>
  <c r="T22" i="11" s="1"/>
  <c r="V22" i="11" s="1"/>
  <c r="X22" i="11" s="1"/>
  <c r="Z22" i="11" s="1"/>
  <c r="AB22" i="11" s="1"/>
  <c r="AD22" i="11" s="1"/>
  <c r="AF22" i="11" s="1"/>
  <c r="AH22" i="11" s="1"/>
  <c r="E23" i="11"/>
  <c r="F23" i="11"/>
  <c r="H23" i="11" s="1"/>
  <c r="J23" i="11" s="1"/>
  <c r="L23" i="11" s="1"/>
  <c r="N23" i="11" s="1"/>
  <c r="P23" i="11" s="1"/>
  <c r="R23" i="11" s="1"/>
  <c r="G23" i="11"/>
  <c r="I23" i="11" s="1"/>
  <c r="K23" i="11" s="1"/>
  <c r="M23" i="11" s="1"/>
  <c r="O23" i="11" s="1"/>
  <c r="Q23" i="11" s="1"/>
  <c r="S23" i="11" s="1"/>
  <c r="U23" i="11" s="1"/>
  <c r="W23" i="11" s="1"/>
  <c r="Y23" i="11" s="1"/>
  <c r="AA23" i="11" s="1"/>
  <c r="AC23" i="11" s="1"/>
  <c r="AE23" i="11" s="1"/>
  <c r="AG23" i="11" s="1"/>
  <c r="T23" i="11"/>
  <c r="V23" i="11" s="1"/>
  <c r="X23" i="11" s="1"/>
  <c r="Z23" i="11" s="1"/>
  <c r="AB23" i="11" s="1"/>
  <c r="AD23" i="11" s="1"/>
  <c r="AF23" i="11" s="1"/>
  <c r="AH23" i="11" s="1"/>
  <c r="E24" i="11"/>
  <c r="G24" i="11" s="1"/>
  <c r="I24" i="11" s="1"/>
  <c r="K24" i="11" s="1"/>
  <c r="M24" i="11" s="1"/>
  <c r="O24" i="11" s="1"/>
  <c r="Q24" i="11" s="1"/>
  <c r="S24" i="11" s="1"/>
  <c r="U24" i="11" s="1"/>
  <c r="W24" i="11" s="1"/>
  <c r="Y24" i="11" s="1"/>
  <c r="AA24" i="11" s="1"/>
  <c r="AC24" i="11" s="1"/>
  <c r="AE24" i="11" s="1"/>
  <c r="AG24" i="11" s="1"/>
  <c r="F24" i="11"/>
  <c r="H24" i="11"/>
  <c r="J24" i="11" s="1"/>
  <c r="L24" i="11" s="1"/>
  <c r="N24" i="11" s="1"/>
  <c r="P24" i="11" s="1"/>
  <c r="R24" i="11" s="1"/>
  <c r="T24" i="11" s="1"/>
  <c r="V24" i="11" s="1"/>
  <c r="X24" i="11" s="1"/>
  <c r="Z24" i="11" s="1"/>
  <c r="AB24" i="11" s="1"/>
  <c r="AD24" i="11" s="1"/>
  <c r="AF24" i="11" s="1"/>
  <c r="AH24" i="11" s="1"/>
  <c r="E25" i="11"/>
  <c r="F25" i="11"/>
  <c r="H25" i="11" s="1"/>
  <c r="J25" i="11" s="1"/>
  <c r="L25" i="11" s="1"/>
  <c r="N25" i="11" s="1"/>
  <c r="P25" i="11" s="1"/>
  <c r="R25" i="11" s="1"/>
  <c r="T25" i="11" s="1"/>
  <c r="V25" i="11" s="1"/>
  <c r="X25" i="11" s="1"/>
  <c r="Z25" i="11" s="1"/>
  <c r="AB25" i="11" s="1"/>
  <c r="AD25" i="11" s="1"/>
  <c r="AF25" i="11" s="1"/>
  <c r="AH25" i="11" s="1"/>
  <c r="G25" i="11"/>
  <c r="I25" i="11" s="1"/>
  <c r="K25" i="11" s="1"/>
  <c r="M25" i="11" s="1"/>
  <c r="O25" i="11" s="1"/>
  <c r="Q25" i="11" s="1"/>
  <c r="S25" i="11" s="1"/>
  <c r="U25" i="11" s="1"/>
  <c r="W25" i="11" s="1"/>
  <c r="Y25" i="11" s="1"/>
  <c r="AA25" i="11" s="1"/>
  <c r="AC25" i="11" s="1"/>
  <c r="AE25" i="11" s="1"/>
  <c r="AG25" i="11" s="1"/>
  <c r="E26" i="11"/>
  <c r="G26" i="11" s="1"/>
  <c r="I26" i="11" s="1"/>
  <c r="K26" i="11" s="1"/>
  <c r="M26" i="11" s="1"/>
  <c r="O26" i="11" s="1"/>
  <c r="F26" i="11"/>
  <c r="H26" i="11"/>
  <c r="J26" i="11" s="1"/>
  <c r="L26" i="11" s="1"/>
  <c r="N26" i="11" s="1"/>
  <c r="P26" i="11" s="1"/>
  <c r="R26" i="11" s="1"/>
  <c r="T26" i="11" s="1"/>
  <c r="V26" i="11" s="1"/>
  <c r="X26" i="11" s="1"/>
  <c r="Q26" i="11"/>
  <c r="S26" i="11" s="1"/>
  <c r="U26" i="11" s="1"/>
  <c r="W26" i="11" s="1"/>
  <c r="Y26" i="11" s="1"/>
  <c r="AA26" i="11" s="1"/>
  <c r="AC26" i="11" s="1"/>
  <c r="AE26" i="11" s="1"/>
  <c r="AG26" i="11" s="1"/>
  <c r="Z26" i="11"/>
  <c r="AB26" i="11" s="1"/>
  <c r="AD26" i="11" s="1"/>
  <c r="AF26" i="11" s="1"/>
  <c r="AH26" i="11" s="1"/>
  <c r="E27" i="11"/>
  <c r="G27" i="11" s="1"/>
  <c r="I27" i="11" s="1"/>
  <c r="K27" i="11" s="1"/>
  <c r="M27" i="11" s="1"/>
  <c r="O27" i="11" s="1"/>
  <c r="Q27" i="11" s="1"/>
  <c r="S27" i="11" s="1"/>
  <c r="U27" i="11" s="1"/>
  <c r="W27" i="11" s="1"/>
  <c r="Y27" i="11" s="1"/>
  <c r="AA27" i="11" s="1"/>
  <c r="AC27" i="11" s="1"/>
  <c r="AE27" i="11" s="1"/>
  <c r="AG27" i="11" s="1"/>
  <c r="F27" i="11"/>
  <c r="H27" i="11" s="1"/>
  <c r="J27" i="11" s="1"/>
  <c r="L27" i="11" s="1"/>
  <c r="N27" i="11"/>
  <c r="P27" i="11" s="1"/>
  <c r="R27" i="11" s="1"/>
  <c r="T27" i="11" s="1"/>
  <c r="V27" i="11" s="1"/>
  <c r="X27" i="11" s="1"/>
  <c r="Z27" i="11" s="1"/>
  <c r="AB27" i="11" s="1"/>
  <c r="AD27" i="11" s="1"/>
  <c r="AF27" i="11" s="1"/>
  <c r="AH27" i="11" s="1"/>
  <c r="E28" i="11"/>
  <c r="G28" i="11" s="1"/>
  <c r="I28" i="11" s="1"/>
  <c r="K28" i="11" s="1"/>
  <c r="M28" i="11" s="1"/>
  <c r="O28" i="11" s="1"/>
  <c r="Q28" i="11" s="1"/>
  <c r="S28" i="11" s="1"/>
  <c r="U28" i="11" s="1"/>
  <c r="W28" i="11" s="1"/>
  <c r="Y28" i="11" s="1"/>
  <c r="AA28" i="11" s="1"/>
  <c r="AC28" i="11" s="1"/>
  <c r="AE28" i="11" s="1"/>
  <c r="AG28" i="11" s="1"/>
  <c r="F28" i="11"/>
  <c r="H28" i="11"/>
  <c r="J28" i="11" s="1"/>
  <c r="L28" i="11"/>
  <c r="N28" i="11" s="1"/>
  <c r="P28" i="11" s="1"/>
  <c r="R28" i="11" s="1"/>
  <c r="T28" i="11" s="1"/>
  <c r="V28" i="11" s="1"/>
  <c r="X28" i="11" s="1"/>
  <c r="Z28" i="11" s="1"/>
  <c r="AB28" i="11" s="1"/>
  <c r="AD28" i="11" s="1"/>
  <c r="AF28" i="11" s="1"/>
  <c r="AH28" i="11" s="1"/>
  <c r="E29" i="11"/>
  <c r="F29" i="11"/>
  <c r="H29" i="11" s="1"/>
  <c r="J29" i="11" s="1"/>
  <c r="L29" i="11" s="1"/>
  <c r="N29" i="11" s="1"/>
  <c r="P29" i="11" s="1"/>
  <c r="R29" i="11" s="1"/>
  <c r="T29" i="11" s="1"/>
  <c r="V29" i="11" s="1"/>
  <c r="X29" i="11" s="1"/>
  <c r="Z29" i="11" s="1"/>
  <c r="AB29" i="11" s="1"/>
  <c r="AD29" i="11" s="1"/>
  <c r="AF29" i="11" s="1"/>
  <c r="AH29" i="11" s="1"/>
  <c r="G29" i="11"/>
  <c r="I29" i="11" s="1"/>
  <c r="K29" i="11" s="1"/>
  <c r="M29" i="11" s="1"/>
  <c r="O29" i="11" s="1"/>
  <c r="Q29" i="11" s="1"/>
  <c r="S29" i="11" s="1"/>
  <c r="U29" i="11" s="1"/>
  <c r="W29" i="11" s="1"/>
  <c r="Y29" i="11" s="1"/>
  <c r="AA29" i="11" s="1"/>
  <c r="AC29" i="11" s="1"/>
  <c r="AE29" i="11" s="1"/>
  <c r="AG29" i="11" s="1"/>
  <c r="E30" i="11"/>
  <c r="G30" i="11" s="1"/>
  <c r="I30" i="11" s="1"/>
  <c r="K30" i="11" s="1"/>
  <c r="M30" i="11" s="1"/>
  <c r="O30" i="11" s="1"/>
  <c r="Q30" i="11" s="1"/>
  <c r="S30" i="11" s="1"/>
  <c r="U30" i="11" s="1"/>
  <c r="W30" i="11" s="1"/>
  <c r="Y30" i="11" s="1"/>
  <c r="AA30" i="11" s="1"/>
  <c r="AC30" i="11" s="1"/>
  <c r="AE30" i="11" s="1"/>
  <c r="AG30" i="11" s="1"/>
  <c r="F30" i="11"/>
  <c r="H30" i="11"/>
  <c r="J30" i="11" s="1"/>
  <c r="L30" i="11" s="1"/>
  <c r="N30" i="11" s="1"/>
  <c r="P30" i="11"/>
  <c r="R30" i="11" s="1"/>
  <c r="T30" i="11" s="1"/>
  <c r="V30" i="11" s="1"/>
  <c r="X30" i="11" s="1"/>
  <c r="Z30" i="11" s="1"/>
  <c r="AB30" i="11" s="1"/>
  <c r="AD30" i="11" s="1"/>
  <c r="AF30" i="11" s="1"/>
  <c r="AH30" i="11" s="1"/>
  <c r="E31" i="11"/>
  <c r="F31" i="11"/>
  <c r="H31" i="11" s="1"/>
  <c r="G31" i="11"/>
  <c r="I31" i="11" s="1"/>
  <c r="K31" i="11" s="1"/>
  <c r="M31" i="11" s="1"/>
  <c r="O31" i="11" s="1"/>
  <c r="Q31" i="11" s="1"/>
  <c r="S31" i="11" s="1"/>
  <c r="U31" i="11" s="1"/>
  <c r="W31" i="11" s="1"/>
  <c r="Y31" i="11" s="1"/>
  <c r="AA31" i="11" s="1"/>
  <c r="AC31" i="11" s="1"/>
  <c r="AE31" i="11" s="1"/>
  <c r="AG31" i="11" s="1"/>
  <c r="J31" i="11"/>
  <c r="L31" i="11" s="1"/>
  <c r="N31" i="11" s="1"/>
  <c r="P31" i="11" s="1"/>
  <c r="R31" i="11" s="1"/>
  <c r="T31" i="11" s="1"/>
  <c r="V31" i="11" s="1"/>
  <c r="X31" i="11" s="1"/>
  <c r="Z31" i="11" s="1"/>
  <c r="AB31" i="11" s="1"/>
  <c r="AD31" i="11" s="1"/>
  <c r="AF31" i="11" s="1"/>
  <c r="AH31" i="11" s="1"/>
  <c r="E32" i="11"/>
  <c r="G32" i="11" s="1"/>
  <c r="I32" i="11" s="1"/>
  <c r="K32" i="11" s="1"/>
  <c r="M32" i="11" s="1"/>
  <c r="O32" i="11" s="1"/>
  <c r="Q32" i="11" s="1"/>
  <c r="S32" i="11" s="1"/>
  <c r="U32" i="11" s="1"/>
  <c r="W32" i="11" s="1"/>
  <c r="Y32" i="11" s="1"/>
  <c r="AA32" i="11" s="1"/>
  <c r="AC32" i="11" s="1"/>
  <c r="AE32" i="11" s="1"/>
  <c r="AG32" i="11" s="1"/>
  <c r="F32" i="11"/>
  <c r="H32" i="11"/>
  <c r="J32" i="11" s="1"/>
  <c r="L32" i="11"/>
  <c r="N32" i="11" s="1"/>
  <c r="P32" i="11" s="1"/>
  <c r="R32" i="11" s="1"/>
  <c r="T32" i="11" s="1"/>
  <c r="V32" i="11" s="1"/>
  <c r="X32" i="11" s="1"/>
  <c r="Z32" i="11" s="1"/>
  <c r="AB32" i="11" s="1"/>
  <c r="AD32" i="11" s="1"/>
  <c r="AF32" i="11" s="1"/>
  <c r="AH32" i="11" s="1"/>
  <c r="E33" i="11"/>
  <c r="F33" i="11"/>
  <c r="H33" i="11" s="1"/>
  <c r="J33" i="11" s="1"/>
  <c r="L33" i="11" s="1"/>
  <c r="N33" i="11" s="1"/>
  <c r="P33" i="11" s="1"/>
  <c r="R33" i="11" s="1"/>
  <c r="T33" i="11" s="1"/>
  <c r="V33" i="11" s="1"/>
  <c r="X33" i="11" s="1"/>
  <c r="Z33" i="11" s="1"/>
  <c r="AB33" i="11" s="1"/>
  <c r="AD33" i="11" s="1"/>
  <c r="AF33" i="11" s="1"/>
  <c r="AH33" i="11" s="1"/>
  <c r="G33" i="11"/>
  <c r="I33" i="11" s="1"/>
  <c r="K33" i="11" s="1"/>
  <c r="M33" i="11" s="1"/>
  <c r="O33" i="11" s="1"/>
  <c r="Q33" i="11" s="1"/>
  <c r="S33" i="11" s="1"/>
  <c r="U33" i="11" s="1"/>
  <c r="W33" i="11" s="1"/>
  <c r="Y33" i="11" s="1"/>
  <c r="AA33" i="11" s="1"/>
  <c r="AC33" i="11" s="1"/>
  <c r="AE33" i="11" s="1"/>
  <c r="AG33" i="11" s="1"/>
  <c r="E34" i="11"/>
  <c r="G34" i="11" s="1"/>
  <c r="I34" i="11" s="1"/>
  <c r="K34" i="11" s="1"/>
  <c r="M34" i="11" s="1"/>
  <c r="O34" i="11" s="1"/>
  <c r="Q34" i="11" s="1"/>
  <c r="S34" i="11" s="1"/>
  <c r="U34" i="11" s="1"/>
  <c r="W34" i="11" s="1"/>
  <c r="Y34" i="11" s="1"/>
  <c r="AA34" i="11" s="1"/>
  <c r="AC34" i="11" s="1"/>
  <c r="AE34" i="11" s="1"/>
  <c r="AG34" i="11" s="1"/>
  <c r="F34" i="11"/>
  <c r="H34" i="11"/>
  <c r="J34" i="11"/>
  <c r="L34" i="11" s="1"/>
  <c r="N34" i="11" s="1"/>
  <c r="P34" i="11" s="1"/>
  <c r="R34" i="11" s="1"/>
  <c r="T34" i="11" s="1"/>
  <c r="V34" i="11" s="1"/>
  <c r="X34" i="11" s="1"/>
  <c r="Z34" i="11" s="1"/>
  <c r="AB34" i="11" s="1"/>
  <c r="AD34" i="11" s="1"/>
  <c r="AF34" i="11" s="1"/>
  <c r="AH34" i="11" s="1"/>
  <c r="E35" i="11"/>
  <c r="F35" i="11"/>
  <c r="H35" i="11" s="1"/>
  <c r="G35" i="11"/>
  <c r="I35" i="11" s="1"/>
  <c r="K35" i="11" s="1"/>
  <c r="M35" i="11" s="1"/>
  <c r="O35" i="11" s="1"/>
  <c r="Q35" i="11" s="1"/>
  <c r="S35" i="11" s="1"/>
  <c r="U35" i="11" s="1"/>
  <c r="W35" i="11" s="1"/>
  <c r="Y35" i="11" s="1"/>
  <c r="AA35" i="11" s="1"/>
  <c r="AC35" i="11" s="1"/>
  <c r="AE35" i="11" s="1"/>
  <c r="AG35" i="11" s="1"/>
  <c r="J35" i="11"/>
  <c r="L35" i="11" s="1"/>
  <c r="N35" i="11" s="1"/>
  <c r="P35" i="11" s="1"/>
  <c r="R35" i="11" s="1"/>
  <c r="T35" i="11" s="1"/>
  <c r="V35" i="11" s="1"/>
  <c r="X35" i="11" s="1"/>
  <c r="Z35" i="11" s="1"/>
  <c r="AB35" i="11" s="1"/>
  <c r="AD35" i="11" s="1"/>
  <c r="AF35" i="11" s="1"/>
  <c r="AH35" i="11" s="1"/>
  <c r="E36" i="11"/>
  <c r="G36" i="11" s="1"/>
  <c r="I36" i="11" s="1"/>
  <c r="K36" i="11" s="1"/>
  <c r="M36" i="11" s="1"/>
  <c r="O36" i="11" s="1"/>
  <c r="Q36" i="11" s="1"/>
  <c r="S36" i="11" s="1"/>
  <c r="U36" i="11" s="1"/>
  <c r="W36" i="11" s="1"/>
  <c r="Y36" i="11" s="1"/>
  <c r="AA36" i="11" s="1"/>
  <c r="AC36" i="11" s="1"/>
  <c r="AE36" i="11" s="1"/>
  <c r="AG36" i="11" s="1"/>
  <c r="F36" i="11"/>
  <c r="H36" i="11" s="1"/>
  <c r="J36" i="11" s="1"/>
  <c r="L36" i="11" s="1"/>
  <c r="N36" i="11" s="1"/>
  <c r="P36" i="11" s="1"/>
  <c r="R36" i="11" s="1"/>
  <c r="T36" i="11" s="1"/>
  <c r="V36" i="11" s="1"/>
  <c r="X36" i="11" s="1"/>
  <c r="Z36" i="11" s="1"/>
  <c r="AB36" i="11" s="1"/>
  <c r="AD36" i="11" s="1"/>
  <c r="AF36" i="11" s="1"/>
  <c r="AH36" i="11" s="1"/>
  <c r="E37" i="11"/>
  <c r="F37" i="11"/>
  <c r="H37" i="11" s="1"/>
  <c r="J37" i="11" s="1"/>
  <c r="L37" i="11" s="1"/>
  <c r="N37" i="11" s="1"/>
  <c r="P37" i="11" s="1"/>
  <c r="R37" i="11" s="1"/>
  <c r="T37" i="11" s="1"/>
  <c r="V37" i="11" s="1"/>
  <c r="X37" i="11" s="1"/>
  <c r="Z37" i="11" s="1"/>
  <c r="AB37" i="11" s="1"/>
  <c r="AD37" i="11" s="1"/>
  <c r="AF37" i="11" s="1"/>
  <c r="AH37" i="11" s="1"/>
  <c r="G37" i="11"/>
  <c r="I37" i="11" s="1"/>
  <c r="K37" i="11" s="1"/>
  <c r="M37" i="11" s="1"/>
  <c r="O37" i="11" s="1"/>
  <c r="Q37" i="11" s="1"/>
  <c r="S37" i="11" s="1"/>
  <c r="U37" i="11" s="1"/>
  <c r="W37" i="11" s="1"/>
  <c r="Y37" i="11" s="1"/>
  <c r="AA37" i="11" s="1"/>
  <c r="AC37" i="11" s="1"/>
  <c r="AE37" i="11" s="1"/>
  <c r="AG37" i="11" s="1"/>
  <c r="E38" i="11"/>
  <c r="G38" i="11" s="1"/>
  <c r="F38" i="11"/>
  <c r="H38" i="11" s="1"/>
  <c r="J38" i="11" s="1"/>
  <c r="L38" i="11" s="1"/>
  <c r="N38" i="11" s="1"/>
  <c r="P38" i="11" s="1"/>
  <c r="R38" i="11" s="1"/>
  <c r="T38" i="11" s="1"/>
  <c r="V38" i="11" s="1"/>
  <c r="X38" i="11" s="1"/>
  <c r="Z38" i="11" s="1"/>
  <c r="AB38" i="11" s="1"/>
  <c r="AD38" i="11" s="1"/>
  <c r="AF38" i="11" s="1"/>
  <c r="AH38" i="11" s="1"/>
  <c r="I38" i="11"/>
  <c r="K38" i="11" s="1"/>
  <c r="M38" i="11" s="1"/>
  <c r="O38" i="11" s="1"/>
  <c r="Q38" i="11" s="1"/>
  <c r="S38" i="11" s="1"/>
  <c r="U38" i="11" s="1"/>
  <c r="W38" i="11" s="1"/>
  <c r="Y38" i="11" s="1"/>
  <c r="AA38" i="11" s="1"/>
  <c r="AC38" i="11" s="1"/>
  <c r="AE38" i="11" s="1"/>
  <c r="AG38" i="11" s="1"/>
  <c r="E39" i="11"/>
  <c r="F39" i="11"/>
  <c r="G39" i="11"/>
  <c r="I39" i="11" s="1"/>
  <c r="H39" i="11"/>
  <c r="J39" i="11" s="1"/>
  <c r="L39" i="11" s="1"/>
  <c r="N39" i="11" s="1"/>
  <c r="P39" i="11" s="1"/>
  <c r="R39" i="11" s="1"/>
  <c r="T39" i="11" s="1"/>
  <c r="V39" i="11" s="1"/>
  <c r="X39" i="11" s="1"/>
  <c r="Z39" i="11" s="1"/>
  <c r="AB39" i="11" s="1"/>
  <c r="AD39" i="11" s="1"/>
  <c r="AF39" i="11" s="1"/>
  <c r="AH39" i="11" s="1"/>
  <c r="K39" i="11"/>
  <c r="M39" i="11" s="1"/>
  <c r="O39" i="11" s="1"/>
  <c r="Q39" i="11" s="1"/>
  <c r="S39" i="11" s="1"/>
  <c r="U39" i="11" s="1"/>
  <c r="W39" i="11" s="1"/>
  <c r="Y39" i="11" s="1"/>
  <c r="AA39" i="11" s="1"/>
  <c r="AC39" i="11" s="1"/>
  <c r="AE39" i="11" s="1"/>
  <c r="AG39" i="11" s="1"/>
  <c r="E40" i="11"/>
  <c r="G40" i="11" s="1"/>
  <c r="I40" i="11" s="1"/>
  <c r="K40" i="11" s="1"/>
  <c r="M40" i="11" s="1"/>
  <c r="O40" i="11" s="1"/>
  <c r="Q40" i="11" s="1"/>
  <c r="S40" i="11" s="1"/>
  <c r="U40" i="11" s="1"/>
  <c r="W40" i="11" s="1"/>
  <c r="Y40" i="11" s="1"/>
  <c r="AA40" i="11" s="1"/>
  <c r="AC40" i="11" s="1"/>
  <c r="AE40" i="11" s="1"/>
  <c r="AG40" i="11" s="1"/>
  <c r="F40" i="11"/>
  <c r="H40" i="11" s="1"/>
  <c r="J40" i="11" s="1"/>
  <c r="L40" i="11" s="1"/>
  <c r="N40" i="11" s="1"/>
  <c r="P40" i="11" s="1"/>
  <c r="R40" i="11" s="1"/>
  <c r="T40" i="11" s="1"/>
  <c r="V40" i="11" s="1"/>
  <c r="X40" i="11" s="1"/>
  <c r="Z40" i="11" s="1"/>
  <c r="AB40" i="11" s="1"/>
  <c r="AD40" i="11" s="1"/>
  <c r="AF40" i="11" s="1"/>
  <c r="AH40" i="11" s="1"/>
  <c r="E41" i="11"/>
  <c r="F41" i="11"/>
  <c r="H41" i="11" s="1"/>
  <c r="J41" i="11" s="1"/>
  <c r="L41" i="11" s="1"/>
  <c r="N41" i="11" s="1"/>
  <c r="P41" i="11" s="1"/>
  <c r="R41" i="11" s="1"/>
  <c r="T41" i="11" s="1"/>
  <c r="V41" i="11" s="1"/>
  <c r="X41" i="11" s="1"/>
  <c r="Z41" i="11" s="1"/>
  <c r="AB41" i="11" s="1"/>
  <c r="AD41" i="11" s="1"/>
  <c r="AF41" i="11" s="1"/>
  <c r="AH41" i="11" s="1"/>
  <c r="G41" i="11"/>
  <c r="I41" i="11" s="1"/>
  <c r="K41" i="11" s="1"/>
  <c r="M41" i="11" s="1"/>
  <c r="O41" i="11" s="1"/>
  <c r="Q41" i="11" s="1"/>
  <c r="S41" i="11" s="1"/>
  <c r="U41" i="11" s="1"/>
  <c r="W41" i="11" s="1"/>
  <c r="Y41" i="11" s="1"/>
  <c r="AA41" i="11" s="1"/>
  <c r="AC41" i="11" s="1"/>
  <c r="AE41" i="11" s="1"/>
  <c r="AG41" i="11" s="1"/>
  <c r="E42" i="11"/>
  <c r="G42" i="11" s="1"/>
  <c r="I42" i="11" s="1"/>
  <c r="K42" i="11" s="1"/>
  <c r="M42" i="11" s="1"/>
  <c r="O42" i="11" s="1"/>
  <c r="Q42" i="11" s="1"/>
  <c r="S42" i="11" s="1"/>
  <c r="U42" i="11" s="1"/>
  <c r="W42" i="11" s="1"/>
  <c r="Y42" i="11" s="1"/>
  <c r="AA42" i="11" s="1"/>
  <c r="AC42" i="11" s="1"/>
  <c r="AE42" i="11" s="1"/>
  <c r="AG42" i="11" s="1"/>
  <c r="F42" i="11"/>
  <c r="H42" i="11"/>
  <c r="J42" i="11" s="1"/>
  <c r="L42" i="11" s="1"/>
  <c r="N42" i="11" s="1"/>
  <c r="P42" i="11" s="1"/>
  <c r="R42" i="11" s="1"/>
  <c r="T42" i="11" s="1"/>
  <c r="V42" i="11" s="1"/>
  <c r="X42" i="11" s="1"/>
  <c r="Z42" i="11" s="1"/>
  <c r="AB42" i="11" s="1"/>
  <c r="AD42" i="11" s="1"/>
  <c r="AF42" i="11" s="1"/>
  <c r="AH42" i="11" s="1"/>
  <c r="E43" i="11"/>
  <c r="G43" i="11" s="1"/>
  <c r="I43" i="11" s="1"/>
  <c r="K43" i="11" s="1"/>
  <c r="M43" i="11" s="1"/>
  <c r="O43" i="11" s="1"/>
  <c r="Q43" i="11" s="1"/>
  <c r="S43" i="11" s="1"/>
  <c r="U43" i="11" s="1"/>
  <c r="W43" i="11" s="1"/>
  <c r="Y43" i="11" s="1"/>
  <c r="AA43" i="11" s="1"/>
  <c r="AC43" i="11" s="1"/>
  <c r="AE43" i="11" s="1"/>
  <c r="AG43" i="11" s="1"/>
  <c r="F43" i="11"/>
  <c r="H43" i="11" s="1"/>
  <c r="J43" i="11" s="1"/>
  <c r="L43" i="11" s="1"/>
  <c r="N43" i="11" s="1"/>
  <c r="P43" i="11" s="1"/>
  <c r="R43" i="11" s="1"/>
  <c r="T43" i="11" s="1"/>
  <c r="V43" i="11" s="1"/>
  <c r="X43" i="11" s="1"/>
  <c r="Z43" i="11" s="1"/>
  <c r="AB43" i="11" s="1"/>
  <c r="AD43" i="11" s="1"/>
  <c r="AF43" i="11" s="1"/>
  <c r="AH43" i="11" s="1"/>
  <c r="E44" i="11"/>
  <c r="G44" i="11" s="1"/>
  <c r="I44" i="11" s="1"/>
  <c r="K44" i="11" s="1"/>
  <c r="F44" i="11"/>
  <c r="H44" i="11" s="1"/>
  <c r="J44" i="11" s="1"/>
  <c r="L44" i="11" s="1"/>
  <c r="N44" i="11" s="1"/>
  <c r="P44" i="11" s="1"/>
  <c r="R44" i="11" s="1"/>
  <c r="T44" i="11" s="1"/>
  <c r="V44" i="11" s="1"/>
  <c r="X44" i="11" s="1"/>
  <c r="Z44" i="11" s="1"/>
  <c r="AB44" i="11" s="1"/>
  <c r="AD44" i="11" s="1"/>
  <c r="AF44" i="11" s="1"/>
  <c r="AH44" i="11" s="1"/>
  <c r="M44" i="11"/>
  <c r="O44" i="11" s="1"/>
  <c r="Q44" i="11" s="1"/>
  <c r="S44" i="11" s="1"/>
  <c r="U44" i="11" s="1"/>
  <c r="W44" i="11" s="1"/>
  <c r="Y44" i="11" s="1"/>
  <c r="AA44" i="11" s="1"/>
  <c r="AC44" i="11" s="1"/>
  <c r="AE44" i="11" s="1"/>
  <c r="AG44" i="11" s="1"/>
  <c r="E45" i="11"/>
  <c r="F45" i="11"/>
  <c r="G45" i="11"/>
  <c r="I45" i="11" s="1"/>
  <c r="K45" i="11" s="1"/>
  <c r="M45" i="11" s="1"/>
  <c r="O45" i="11" s="1"/>
  <c r="Q45" i="11" s="1"/>
  <c r="S45" i="11" s="1"/>
  <c r="U45" i="11" s="1"/>
  <c r="W45" i="11" s="1"/>
  <c r="Y45" i="11" s="1"/>
  <c r="AA45" i="11" s="1"/>
  <c r="AC45" i="11" s="1"/>
  <c r="AE45" i="11" s="1"/>
  <c r="AG45" i="11" s="1"/>
  <c r="H45" i="11"/>
  <c r="J45" i="11" s="1"/>
  <c r="L45" i="11" s="1"/>
  <c r="N45" i="11" s="1"/>
  <c r="P45" i="11" s="1"/>
  <c r="R45" i="11" s="1"/>
  <c r="T45" i="11" s="1"/>
  <c r="V45" i="11" s="1"/>
  <c r="X45" i="11" s="1"/>
  <c r="Z45" i="11" s="1"/>
  <c r="AB45" i="11" s="1"/>
  <c r="AD45" i="11" s="1"/>
  <c r="AF45" i="11" s="1"/>
  <c r="AH45" i="11" s="1"/>
  <c r="E46" i="11"/>
  <c r="G46" i="11" s="1"/>
  <c r="F46" i="11"/>
  <c r="H46" i="11" s="1"/>
  <c r="J46" i="11" s="1"/>
  <c r="L46" i="11" s="1"/>
  <c r="N46" i="11" s="1"/>
  <c r="P46" i="11" s="1"/>
  <c r="R46" i="11" s="1"/>
  <c r="T46" i="11" s="1"/>
  <c r="V46" i="11" s="1"/>
  <c r="X46" i="11" s="1"/>
  <c r="Z46" i="11" s="1"/>
  <c r="AB46" i="11" s="1"/>
  <c r="AD46" i="11" s="1"/>
  <c r="AF46" i="11" s="1"/>
  <c r="AH46" i="11" s="1"/>
  <c r="I46" i="11"/>
  <c r="K46" i="11"/>
  <c r="M46" i="11" s="1"/>
  <c r="O46" i="11" s="1"/>
  <c r="Q46" i="11" s="1"/>
  <c r="S46" i="11" s="1"/>
  <c r="U46" i="11" s="1"/>
  <c r="W46" i="11" s="1"/>
  <c r="Y46" i="11" s="1"/>
  <c r="AA46" i="11" s="1"/>
  <c r="AC46" i="11" s="1"/>
  <c r="AE46" i="11" s="1"/>
  <c r="AG46" i="11" s="1"/>
  <c r="E47" i="11"/>
  <c r="G47" i="11" s="1"/>
  <c r="I47" i="11" s="1"/>
  <c r="K47" i="11" s="1"/>
  <c r="M47" i="11" s="1"/>
  <c r="O47" i="11" s="1"/>
  <c r="Q47" i="11" s="1"/>
  <c r="S47" i="11" s="1"/>
  <c r="U47" i="11" s="1"/>
  <c r="W47" i="11" s="1"/>
  <c r="Y47" i="11" s="1"/>
  <c r="AA47" i="11" s="1"/>
  <c r="AC47" i="11" s="1"/>
  <c r="AE47" i="11" s="1"/>
  <c r="AG47" i="11" s="1"/>
  <c r="F47" i="11"/>
  <c r="H47" i="11"/>
  <c r="J47" i="11" s="1"/>
  <c r="L47" i="11" s="1"/>
  <c r="N47" i="11" s="1"/>
  <c r="P47" i="11" s="1"/>
  <c r="R47" i="11" s="1"/>
  <c r="T47" i="11" s="1"/>
  <c r="V47" i="11" s="1"/>
  <c r="X47" i="11" s="1"/>
  <c r="Z47" i="11" s="1"/>
  <c r="AB47" i="11" s="1"/>
  <c r="AD47" i="11" s="1"/>
  <c r="AF47" i="11" s="1"/>
  <c r="AH47" i="11" s="1"/>
  <c r="E48" i="11"/>
  <c r="G48" i="11" s="1"/>
  <c r="I48" i="11" s="1"/>
  <c r="K48" i="11" s="1"/>
  <c r="M48" i="11" s="1"/>
  <c r="O48" i="11" s="1"/>
  <c r="Q48" i="11" s="1"/>
  <c r="S48" i="11" s="1"/>
  <c r="U48" i="11" s="1"/>
  <c r="W48" i="11" s="1"/>
  <c r="Y48" i="11" s="1"/>
  <c r="AA48" i="11" s="1"/>
  <c r="AC48" i="11" s="1"/>
  <c r="AE48" i="11" s="1"/>
  <c r="AG48" i="11" s="1"/>
  <c r="F48" i="11"/>
  <c r="H48" i="11"/>
  <c r="J48" i="11" s="1"/>
  <c r="L48" i="11" s="1"/>
  <c r="N48" i="11" s="1"/>
  <c r="P48" i="11" s="1"/>
  <c r="R48" i="11" s="1"/>
  <c r="T48" i="11" s="1"/>
  <c r="V48" i="11" s="1"/>
  <c r="X48" i="11" s="1"/>
  <c r="Z48" i="11" s="1"/>
  <c r="AB48" i="11" s="1"/>
  <c r="AD48" i="11" s="1"/>
  <c r="AF48" i="11" s="1"/>
  <c r="AH48" i="11" s="1"/>
  <c r="E49" i="11"/>
  <c r="F49" i="11"/>
  <c r="H49" i="11" s="1"/>
  <c r="J49" i="11" s="1"/>
  <c r="L49" i="11" s="1"/>
  <c r="N49" i="11" s="1"/>
  <c r="P49" i="11" s="1"/>
  <c r="R49" i="11" s="1"/>
  <c r="T49" i="11" s="1"/>
  <c r="V49" i="11" s="1"/>
  <c r="X49" i="11" s="1"/>
  <c r="Z49" i="11" s="1"/>
  <c r="AB49" i="11" s="1"/>
  <c r="AD49" i="11" s="1"/>
  <c r="AF49" i="11" s="1"/>
  <c r="AH49" i="11" s="1"/>
  <c r="G49" i="11"/>
  <c r="I49" i="11"/>
  <c r="K49" i="11"/>
  <c r="M49" i="11" s="1"/>
  <c r="O49" i="11" s="1"/>
  <c r="Q49" i="11" s="1"/>
  <c r="S49" i="11" s="1"/>
  <c r="U49" i="11" s="1"/>
  <c r="W49" i="11" s="1"/>
  <c r="Y49" i="11" s="1"/>
  <c r="AA49" i="11" s="1"/>
  <c r="AC49" i="11" s="1"/>
  <c r="AE49" i="11" s="1"/>
  <c r="AG49" i="11" s="1"/>
  <c r="E50" i="11"/>
  <c r="G50" i="11" s="1"/>
  <c r="F50" i="11"/>
  <c r="H50" i="11" s="1"/>
  <c r="J50" i="11" s="1"/>
  <c r="L50" i="11" s="1"/>
  <c r="N50" i="11" s="1"/>
  <c r="P50" i="11" s="1"/>
  <c r="R50" i="11" s="1"/>
  <c r="T50" i="11" s="1"/>
  <c r="V50" i="11" s="1"/>
  <c r="X50" i="11" s="1"/>
  <c r="Z50" i="11" s="1"/>
  <c r="AB50" i="11" s="1"/>
  <c r="AD50" i="11" s="1"/>
  <c r="AF50" i="11" s="1"/>
  <c r="AH50" i="11" s="1"/>
  <c r="I50" i="11"/>
  <c r="K50" i="11" s="1"/>
  <c r="M50" i="11" s="1"/>
  <c r="O50" i="11" s="1"/>
  <c r="Q50" i="11" s="1"/>
  <c r="S50" i="11" s="1"/>
  <c r="U50" i="11" s="1"/>
  <c r="W50" i="11" s="1"/>
  <c r="Y50" i="11" s="1"/>
  <c r="AA50" i="11" s="1"/>
  <c r="AC50" i="11" s="1"/>
  <c r="AE50" i="11" s="1"/>
  <c r="AG50" i="11" s="1"/>
  <c r="E51" i="11"/>
  <c r="G51" i="11" s="1"/>
  <c r="I51" i="11" s="1"/>
  <c r="K51" i="11" s="1"/>
  <c r="M51" i="11" s="1"/>
  <c r="O51" i="11" s="1"/>
  <c r="Q51" i="11" s="1"/>
  <c r="S51" i="11" s="1"/>
  <c r="U51" i="11" s="1"/>
  <c r="W51" i="11" s="1"/>
  <c r="Y51" i="11" s="1"/>
  <c r="AA51" i="11" s="1"/>
  <c r="AC51" i="11" s="1"/>
  <c r="AE51" i="11" s="1"/>
  <c r="AG51" i="11" s="1"/>
  <c r="F51" i="11"/>
  <c r="H51" i="11" s="1"/>
  <c r="J51" i="11" s="1"/>
  <c r="L51" i="11" s="1"/>
  <c r="N51" i="11" s="1"/>
  <c r="P51" i="11" s="1"/>
  <c r="R51" i="11" s="1"/>
  <c r="T51" i="11" s="1"/>
  <c r="V51" i="11" s="1"/>
  <c r="X51" i="11" s="1"/>
  <c r="Z51" i="11" s="1"/>
  <c r="AB51" i="11" s="1"/>
  <c r="AD51" i="11" s="1"/>
  <c r="AF51" i="11" s="1"/>
  <c r="AH51" i="11" s="1"/>
  <c r="E52" i="11"/>
  <c r="G52" i="11" s="1"/>
  <c r="I52" i="11" s="1"/>
  <c r="K52" i="11" s="1"/>
  <c r="M52" i="11" s="1"/>
  <c r="O52" i="11" s="1"/>
  <c r="Q52" i="11" s="1"/>
  <c r="S52" i="11" s="1"/>
  <c r="U52" i="11" s="1"/>
  <c r="W52" i="11" s="1"/>
  <c r="Y52" i="11" s="1"/>
  <c r="AA52" i="11" s="1"/>
  <c r="AC52" i="11" s="1"/>
  <c r="AE52" i="11" s="1"/>
  <c r="AG52" i="11" s="1"/>
  <c r="F52" i="11"/>
  <c r="H52" i="11"/>
  <c r="J52" i="11" s="1"/>
  <c r="L52" i="11" s="1"/>
  <c r="N52" i="11" s="1"/>
  <c r="P52" i="11" s="1"/>
  <c r="R52" i="11" s="1"/>
  <c r="T52" i="11" s="1"/>
  <c r="V52" i="11" s="1"/>
  <c r="X52" i="11" s="1"/>
  <c r="Z52" i="11" s="1"/>
  <c r="AB52" i="11" s="1"/>
  <c r="AD52" i="11" s="1"/>
  <c r="AF52" i="11" s="1"/>
  <c r="AH52" i="11" s="1"/>
  <c r="E53" i="11"/>
  <c r="G53" i="11" s="1"/>
  <c r="I53" i="11" s="1"/>
  <c r="K53" i="11" s="1"/>
  <c r="M53" i="11" s="1"/>
  <c r="O53" i="11" s="1"/>
  <c r="Q53" i="11" s="1"/>
  <c r="S53" i="11" s="1"/>
  <c r="U53" i="11" s="1"/>
  <c r="W53" i="11" s="1"/>
  <c r="Y53" i="11" s="1"/>
  <c r="AA53" i="11" s="1"/>
  <c r="AC53" i="11" s="1"/>
  <c r="AE53" i="11" s="1"/>
  <c r="AG53" i="11" s="1"/>
  <c r="F53" i="11"/>
  <c r="H53" i="11"/>
  <c r="J53" i="11"/>
  <c r="L53" i="11" s="1"/>
  <c r="N53" i="11" s="1"/>
  <c r="P53" i="11" s="1"/>
  <c r="R53" i="11" s="1"/>
  <c r="T53" i="11" s="1"/>
  <c r="V53" i="11" s="1"/>
  <c r="X53" i="11" s="1"/>
  <c r="Z53" i="11" s="1"/>
  <c r="AB53" i="11" s="1"/>
  <c r="AD53" i="11" s="1"/>
  <c r="AF53" i="11" s="1"/>
  <c r="AH53" i="11" s="1"/>
  <c r="E54" i="11"/>
  <c r="F54" i="11"/>
  <c r="H54" i="11" s="1"/>
  <c r="J54" i="11" s="1"/>
  <c r="L54" i="11" s="1"/>
  <c r="N54" i="11" s="1"/>
  <c r="P54" i="11" s="1"/>
  <c r="R54" i="11" s="1"/>
  <c r="T54" i="11" s="1"/>
  <c r="V54" i="11" s="1"/>
  <c r="X54" i="11" s="1"/>
  <c r="Z54" i="11" s="1"/>
  <c r="AB54" i="11" s="1"/>
  <c r="AD54" i="11" s="1"/>
  <c r="AF54" i="11" s="1"/>
  <c r="AH54" i="11" s="1"/>
  <c r="G54" i="11"/>
  <c r="I54" i="11" s="1"/>
  <c r="K54" i="11" s="1"/>
  <c r="M54" i="11" s="1"/>
  <c r="O54" i="11" s="1"/>
  <c r="Q54" i="11" s="1"/>
  <c r="S54" i="11" s="1"/>
  <c r="U54" i="11" s="1"/>
  <c r="W54" i="11" s="1"/>
  <c r="Y54" i="11" s="1"/>
  <c r="AA54" i="11" s="1"/>
  <c r="AC54" i="11" s="1"/>
  <c r="AE54" i="11" s="1"/>
  <c r="AG54" i="11" s="1"/>
  <c r="E55" i="11"/>
  <c r="G55" i="11" s="1"/>
  <c r="I55" i="11" s="1"/>
  <c r="K55" i="11" s="1"/>
  <c r="M55" i="11" s="1"/>
  <c r="O55" i="11" s="1"/>
  <c r="Q55" i="11" s="1"/>
  <c r="S55" i="11" s="1"/>
  <c r="U55" i="11" s="1"/>
  <c r="W55" i="11" s="1"/>
  <c r="Y55" i="11" s="1"/>
  <c r="AA55" i="11" s="1"/>
  <c r="AC55" i="11" s="1"/>
  <c r="AE55" i="11" s="1"/>
  <c r="AG55" i="11" s="1"/>
  <c r="F55" i="11"/>
  <c r="H55" i="11" s="1"/>
  <c r="J55" i="11" s="1"/>
  <c r="L55" i="11" s="1"/>
  <c r="N55" i="11" s="1"/>
  <c r="P55" i="11" s="1"/>
  <c r="R55" i="11" s="1"/>
  <c r="T55" i="11" s="1"/>
  <c r="V55" i="11" s="1"/>
  <c r="X55" i="11" s="1"/>
  <c r="Z55" i="11" s="1"/>
  <c r="AB55" i="11" s="1"/>
  <c r="AD55" i="11" s="1"/>
  <c r="AF55" i="11" s="1"/>
  <c r="AH55" i="11" s="1"/>
  <c r="E56" i="11"/>
  <c r="G56" i="11" s="1"/>
  <c r="I56" i="11" s="1"/>
  <c r="K56" i="11" s="1"/>
  <c r="M56" i="11" s="1"/>
  <c r="O56" i="11" s="1"/>
  <c r="Q56" i="11" s="1"/>
  <c r="S56" i="11" s="1"/>
  <c r="U56" i="11" s="1"/>
  <c r="W56" i="11" s="1"/>
  <c r="Y56" i="11" s="1"/>
  <c r="AA56" i="11" s="1"/>
  <c r="AC56" i="11" s="1"/>
  <c r="AE56" i="11" s="1"/>
  <c r="AG56" i="11" s="1"/>
  <c r="F56" i="11"/>
  <c r="H56" i="11"/>
  <c r="J56" i="11" s="1"/>
  <c r="L56" i="11" s="1"/>
  <c r="N56" i="11" s="1"/>
  <c r="P56" i="11"/>
  <c r="R56" i="11" s="1"/>
  <c r="T56" i="11" s="1"/>
  <c r="V56" i="11" s="1"/>
  <c r="X56" i="11"/>
  <c r="Z56" i="11" s="1"/>
  <c r="AB56" i="11" s="1"/>
  <c r="AD56" i="11" s="1"/>
  <c r="AF56" i="11" s="1"/>
  <c r="AH56" i="11" s="1"/>
  <c r="E57" i="11"/>
  <c r="G57" i="11" s="1"/>
  <c r="I57" i="11" s="1"/>
  <c r="K57" i="11" s="1"/>
  <c r="M57" i="11" s="1"/>
  <c r="O57" i="11" s="1"/>
  <c r="Q57" i="11" s="1"/>
  <c r="S57" i="11" s="1"/>
  <c r="U57" i="11" s="1"/>
  <c r="W57" i="11" s="1"/>
  <c r="Y57" i="11" s="1"/>
  <c r="AA57" i="11" s="1"/>
  <c r="AC57" i="11" s="1"/>
  <c r="AE57" i="11" s="1"/>
  <c r="AG57" i="11" s="1"/>
  <c r="F57" i="11"/>
  <c r="H57" i="11"/>
  <c r="J57" i="11"/>
  <c r="L57" i="11" s="1"/>
  <c r="N57" i="11" s="1"/>
  <c r="P57" i="11" s="1"/>
  <c r="R57" i="11"/>
  <c r="T57" i="11" s="1"/>
  <c r="V57" i="11" s="1"/>
  <c r="X57" i="11" s="1"/>
  <c r="Z57" i="11"/>
  <c r="AB57" i="11" s="1"/>
  <c r="AD57" i="11" s="1"/>
  <c r="AF57" i="11" s="1"/>
  <c r="AH57" i="11"/>
  <c r="E58" i="11"/>
  <c r="F58" i="11"/>
  <c r="H58" i="11" s="1"/>
  <c r="J58" i="11" s="1"/>
  <c r="G58" i="11"/>
  <c r="I58" i="11" s="1"/>
  <c r="K58" i="11" s="1"/>
  <c r="M58" i="11" s="1"/>
  <c r="O58" i="11" s="1"/>
  <c r="Q58" i="11" s="1"/>
  <c r="S58" i="11" s="1"/>
  <c r="U58" i="11" s="1"/>
  <c r="W58" i="11" s="1"/>
  <c r="Y58" i="11" s="1"/>
  <c r="AA58" i="11" s="1"/>
  <c r="AC58" i="11" s="1"/>
  <c r="AE58" i="11" s="1"/>
  <c r="AG58" i="11" s="1"/>
  <c r="L58" i="11"/>
  <c r="N58" i="11" s="1"/>
  <c r="P58" i="11" s="1"/>
  <c r="R58" i="11" s="1"/>
  <c r="T58" i="11" s="1"/>
  <c r="V58" i="11" s="1"/>
  <c r="X58" i="11" s="1"/>
  <c r="Z58" i="11" s="1"/>
  <c r="AB58" i="11" s="1"/>
  <c r="AD58" i="11" s="1"/>
  <c r="AF58" i="11" s="1"/>
  <c r="AH58" i="11" s="1"/>
  <c r="E59" i="11"/>
  <c r="F59" i="11"/>
  <c r="G59" i="11"/>
  <c r="H59" i="11"/>
  <c r="J59" i="11" s="1"/>
  <c r="L59" i="11" s="1"/>
  <c r="I59" i="11"/>
  <c r="K59" i="11" s="1"/>
  <c r="M59" i="11" s="1"/>
  <c r="O59" i="11" s="1"/>
  <c r="Q59" i="11" s="1"/>
  <c r="S59" i="11" s="1"/>
  <c r="U59" i="11" s="1"/>
  <c r="W59" i="11" s="1"/>
  <c r="Y59" i="11" s="1"/>
  <c r="AA59" i="11" s="1"/>
  <c r="AC59" i="11" s="1"/>
  <c r="AE59" i="11" s="1"/>
  <c r="AG59" i="11" s="1"/>
  <c r="N59" i="11"/>
  <c r="P59" i="11"/>
  <c r="R59" i="11" s="1"/>
  <c r="T59" i="11" s="1"/>
  <c r="V59" i="11"/>
  <c r="X59" i="11" s="1"/>
  <c r="Z59" i="11" s="1"/>
  <c r="AB59" i="11" s="1"/>
  <c r="AD59" i="11" s="1"/>
  <c r="AF59" i="11" s="1"/>
  <c r="AH59" i="11" s="1"/>
  <c r="E60" i="11"/>
  <c r="G60" i="11" s="1"/>
  <c r="I60" i="11" s="1"/>
  <c r="K60" i="11" s="1"/>
  <c r="M60" i="11" s="1"/>
  <c r="O60" i="11" s="1"/>
  <c r="Q60" i="11" s="1"/>
  <c r="S60" i="11" s="1"/>
  <c r="U60" i="11" s="1"/>
  <c r="W60" i="11" s="1"/>
  <c r="Y60" i="11" s="1"/>
  <c r="AA60" i="11" s="1"/>
  <c r="AC60" i="11" s="1"/>
  <c r="AE60" i="11" s="1"/>
  <c r="AG60" i="11" s="1"/>
  <c r="F60" i="11"/>
  <c r="H60" i="11"/>
  <c r="J60" i="11"/>
  <c r="L60" i="11" s="1"/>
  <c r="N60" i="11" s="1"/>
  <c r="P60" i="11"/>
  <c r="R60" i="11" s="1"/>
  <c r="T60" i="11" s="1"/>
  <c r="V60" i="11" s="1"/>
  <c r="X60" i="11" s="1"/>
  <c r="Z60" i="11" s="1"/>
  <c r="AB60" i="11" s="1"/>
  <c r="AD60" i="11" s="1"/>
  <c r="AF60" i="11" s="1"/>
  <c r="AH60" i="11" s="1"/>
  <c r="E61" i="11"/>
  <c r="G61" i="11" s="1"/>
  <c r="I61" i="11" s="1"/>
  <c r="K61" i="11" s="1"/>
  <c r="F61" i="11"/>
  <c r="H61" i="11"/>
  <c r="J61" i="11"/>
  <c r="L61" i="11" s="1"/>
  <c r="N61" i="11" s="1"/>
  <c r="P61" i="11" s="1"/>
  <c r="R61" i="11" s="1"/>
  <c r="T61" i="11" s="1"/>
  <c r="V61" i="11" s="1"/>
  <c r="X61" i="11" s="1"/>
  <c r="Z61" i="11" s="1"/>
  <c r="AB61" i="11" s="1"/>
  <c r="AD61" i="11" s="1"/>
  <c r="AF61" i="11" s="1"/>
  <c r="AH61" i="11" s="1"/>
  <c r="M61" i="11"/>
  <c r="O61" i="11" s="1"/>
  <c r="Q61" i="11" s="1"/>
  <c r="S61" i="11" s="1"/>
  <c r="U61" i="11" s="1"/>
  <c r="W61" i="11" s="1"/>
  <c r="Y61" i="11" s="1"/>
  <c r="AA61" i="11" s="1"/>
  <c r="AC61" i="11" s="1"/>
  <c r="AE61" i="11" s="1"/>
  <c r="AG61" i="11" s="1"/>
  <c r="E62" i="11"/>
  <c r="G62" i="11" s="1"/>
  <c r="I62" i="11" s="1"/>
  <c r="K62" i="11" s="1"/>
  <c r="M62" i="11" s="1"/>
  <c r="O62" i="11" s="1"/>
  <c r="Q62" i="11" s="1"/>
  <c r="S62" i="11" s="1"/>
  <c r="U62" i="11" s="1"/>
  <c r="W62" i="11" s="1"/>
  <c r="Y62" i="11" s="1"/>
  <c r="AA62" i="11" s="1"/>
  <c r="AC62" i="11" s="1"/>
  <c r="AE62" i="11" s="1"/>
  <c r="AG62" i="11" s="1"/>
  <c r="F62" i="11"/>
  <c r="H62" i="11" s="1"/>
  <c r="J62" i="11" s="1"/>
  <c r="L62" i="11" s="1"/>
  <c r="N62" i="11" s="1"/>
  <c r="P62" i="11" s="1"/>
  <c r="R62" i="11" s="1"/>
  <c r="T62" i="11" s="1"/>
  <c r="V62" i="11" s="1"/>
  <c r="X62" i="11" s="1"/>
  <c r="Z62" i="11" s="1"/>
  <c r="AB62" i="11" s="1"/>
  <c r="AD62" i="11" s="1"/>
  <c r="AF62" i="11" s="1"/>
  <c r="AH62" i="11" s="1"/>
  <c r="E63" i="11"/>
  <c r="G63" i="11" s="1"/>
  <c r="I63" i="11" s="1"/>
  <c r="K63" i="11" s="1"/>
  <c r="M63" i="11" s="1"/>
  <c r="O63" i="11" s="1"/>
  <c r="Q63" i="11" s="1"/>
  <c r="S63" i="11" s="1"/>
  <c r="U63" i="11" s="1"/>
  <c r="W63" i="11" s="1"/>
  <c r="Y63" i="11" s="1"/>
  <c r="AA63" i="11" s="1"/>
  <c r="AC63" i="11" s="1"/>
  <c r="AE63" i="11" s="1"/>
  <c r="AG63" i="11" s="1"/>
  <c r="F63" i="11"/>
  <c r="H63" i="11" s="1"/>
  <c r="J63" i="11" s="1"/>
  <c r="L63" i="11" s="1"/>
  <c r="N63" i="11" s="1"/>
  <c r="P63" i="11" s="1"/>
  <c r="R63" i="11" s="1"/>
  <c r="T63" i="11" s="1"/>
  <c r="V63" i="11" s="1"/>
  <c r="X63" i="11" s="1"/>
  <c r="Z63" i="11" s="1"/>
  <c r="AB63" i="11" s="1"/>
  <c r="AD63" i="11" s="1"/>
  <c r="AF63" i="11" s="1"/>
  <c r="AH63" i="11" s="1"/>
  <c r="E64" i="11"/>
  <c r="F64" i="11"/>
  <c r="G64" i="11"/>
  <c r="I64" i="11" s="1"/>
  <c r="K64" i="11" s="1"/>
  <c r="M64" i="11" s="1"/>
  <c r="O64" i="11" s="1"/>
  <c r="Q64" i="11" s="1"/>
  <c r="S64" i="11" s="1"/>
  <c r="U64" i="11" s="1"/>
  <c r="W64" i="11" s="1"/>
  <c r="Y64" i="11" s="1"/>
  <c r="AA64" i="11" s="1"/>
  <c r="AC64" i="11" s="1"/>
  <c r="AE64" i="11" s="1"/>
  <c r="AG64" i="11" s="1"/>
  <c r="H64" i="11"/>
  <c r="J64" i="11" s="1"/>
  <c r="L64" i="11" s="1"/>
  <c r="N64" i="11" s="1"/>
  <c r="P64" i="11" s="1"/>
  <c r="R64" i="11" s="1"/>
  <c r="T64" i="11" s="1"/>
  <c r="V64" i="11" s="1"/>
  <c r="X64" i="11" s="1"/>
  <c r="Z64" i="11" s="1"/>
  <c r="AB64" i="11" s="1"/>
  <c r="AD64" i="11" s="1"/>
  <c r="AF64" i="11" s="1"/>
  <c r="AH64" i="11" s="1"/>
  <c r="E65" i="11"/>
  <c r="F65" i="11"/>
  <c r="G65" i="11"/>
  <c r="H65" i="11"/>
  <c r="J65" i="11" s="1"/>
  <c r="L65" i="11" s="1"/>
  <c r="N65" i="11" s="1"/>
  <c r="P65" i="11" s="1"/>
  <c r="R65" i="11" s="1"/>
  <c r="T65" i="11" s="1"/>
  <c r="V65" i="11" s="1"/>
  <c r="X65" i="11" s="1"/>
  <c r="Z65" i="11" s="1"/>
  <c r="AB65" i="11" s="1"/>
  <c r="AD65" i="11" s="1"/>
  <c r="AF65" i="11" s="1"/>
  <c r="AH65" i="11" s="1"/>
  <c r="I65" i="11"/>
  <c r="K65" i="11" s="1"/>
  <c r="M65" i="11" s="1"/>
  <c r="O65" i="11" s="1"/>
  <c r="Q65" i="11" s="1"/>
  <c r="S65" i="11" s="1"/>
  <c r="U65" i="11" s="1"/>
  <c r="W65" i="11" s="1"/>
  <c r="Y65" i="11" s="1"/>
  <c r="AA65" i="11" s="1"/>
  <c r="AC65" i="11" s="1"/>
  <c r="AE65" i="11" s="1"/>
  <c r="AG65" i="11" s="1"/>
  <c r="E66" i="11"/>
  <c r="G66" i="11" s="1"/>
  <c r="I66" i="11" s="1"/>
  <c r="K66" i="11" s="1"/>
  <c r="M66" i="11" s="1"/>
  <c r="O66" i="11" s="1"/>
  <c r="Q66" i="11" s="1"/>
  <c r="S66" i="11" s="1"/>
  <c r="U66" i="11" s="1"/>
  <c r="W66" i="11" s="1"/>
  <c r="Y66" i="11" s="1"/>
  <c r="AA66" i="11" s="1"/>
  <c r="AC66" i="11" s="1"/>
  <c r="AE66" i="11" s="1"/>
  <c r="AG66" i="11" s="1"/>
  <c r="F66" i="11"/>
  <c r="H66" i="11" s="1"/>
  <c r="J66" i="11" s="1"/>
  <c r="L66" i="11" s="1"/>
  <c r="N66" i="11" s="1"/>
  <c r="P66" i="11" s="1"/>
  <c r="R66" i="11" s="1"/>
  <c r="T66" i="11" s="1"/>
  <c r="V66" i="11" s="1"/>
  <c r="X66" i="11" s="1"/>
  <c r="Z66" i="11" s="1"/>
  <c r="AB66" i="11" s="1"/>
  <c r="AD66" i="11" s="1"/>
  <c r="AF66" i="11" s="1"/>
  <c r="AH66" i="11" s="1"/>
  <c r="E67" i="11"/>
  <c r="F67" i="11"/>
  <c r="G67" i="11"/>
  <c r="I67" i="11" s="1"/>
  <c r="K67" i="11" s="1"/>
  <c r="M67" i="11" s="1"/>
  <c r="O67" i="11" s="1"/>
  <c r="Q67" i="11" s="1"/>
  <c r="S67" i="11" s="1"/>
  <c r="U67" i="11" s="1"/>
  <c r="W67" i="11" s="1"/>
  <c r="Y67" i="11" s="1"/>
  <c r="AA67" i="11" s="1"/>
  <c r="AC67" i="11" s="1"/>
  <c r="AE67" i="11" s="1"/>
  <c r="AG67" i="11" s="1"/>
  <c r="H67" i="11"/>
  <c r="J67" i="11" s="1"/>
  <c r="L67" i="11" s="1"/>
  <c r="N67" i="11" s="1"/>
  <c r="P67" i="11" s="1"/>
  <c r="R67" i="11" s="1"/>
  <c r="T67" i="11" s="1"/>
  <c r="V67" i="11" s="1"/>
  <c r="X67" i="11" s="1"/>
  <c r="Z67" i="11" s="1"/>
  <c r="AB67" i="11" s="1"/>
  <c r="AD67" i="11" s="1"/>
  <c r="AF67" i="11" s="1"/>
  <c r="AH67" i="11" s="1"/>
  <c r="E68" i="11"/>
  <c r="F68" i="11"/>
  <c r="G68" i="11"/>
  <c r="H68" i="11"/>
  <c r="I68" i="11"/>
  <c r="K68" i="11" s="1"/>
  <c r="M68" i="11" s="1"/>
  <c r="O68" i="11" s="1"/>
  <c r="Q68" i="11" s="1"/>
  <c r="S68" i="11" s="1"/>
  <c r="U68" i="11" s="1"/>
  <c r="W68" i="11" s="1"/>
  <c r="Y68" i="11" s="1"/>
  <c r="AA68" i="11" s="1"/>
  <c r="AC68" i="11" s="1"/>
  <c r="AE68" i="11" s="1"/>
  <c r="AG68" i="11" s="1"/>
  <c r="J68" i="11"/>
  <c r="L68" i="11" s="1"/>
  <c r="N68" i="11" s="1"/>
  <c r="P68" i="11" s="1"/>
  <c r="R68" i="11" s="1"/>
  <c r="T68" i="11" s="1"/>
  <c r="V68" i="11" s="1"/>
  <c r="X68" i="11" s="1"/>
  <c r="Z68" i="11" s="1"/>
  <c r="AB68" i="11" s="1"/>
  <c r="AD68" i="11" s="1"/>
  <c r="AF68" i="11" s="1"/>
  <c r="AH68" i="11" s="1"/>
  <c r="F3" i="11"/>
  <c r="H3" i="11" s="1"/>
  <c r="J3" i="11" s="1"/>
  <c r="L3" i="11" s="1"/>
  <c r="N3" i="11" s="1"/>
  <c r="P3" i="11" s="1"/>
  <c r="R3" i="11" s="1"/>
  <c r="T3" i="11" s="1"/>
  <c r="V3" i="11" s="1"/>
  <c r="X3" i="11" s="1"/>
  <c r="Z3" i="11" s="1"/>
  <c r="AB3" i="11" s="1"/>
  <c r="AD3" i="11" s="1"/>
  <c r="AF3" i="11" s="1"/>
  <c r="AH3" i="11" s="1"/>
  <c r="G3" i="11"/>
  <c r="I3" i="11" s="1"/>
  <c r="K3" i="11" s="1"/>
  <c r="M3" i="11" s="1"/>
  <c r="O3" i="11" s="1"/>
  <c r="Q3" i="11" s="1"/>
  <c r="S3" i="11" s="1"/>
  <c r="U3" i="11" s="1"/>
  <c r="W3" i="11" s="1"/>
  <c r="Y3" i="11" s="1"/>
  <c r="AA3" i="11" s="1"/>
  <c r="AC3" i="11" s="1"/>
  <c r="AE3" i="11" s="1"/>
  <c r="AG3" i="11" s="1"/>
  <c r="E3" i="11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F3" i="4"/>
  <c r="E3" i="4"/>
  <c r="B43" i="9" l="1"/>
  <c r="B44" i="9"/>
  <c r="B45" i="9"/>
  <c r="B46" i="9"/>
  <c r="B47" i="9"/>
  <c r="B48" i="9"/>
  <c r="B49" i="9"/>
  <c r="B50" i="9"/>
  <c r="B51" i="9"/>
  <c r="B41" i="9"/>
  <c r="H3" i="4"/>
  <c r="J3" i="4"/>
  <c r="L3" i="4" s="1"/>
  <c r="N3" i="4" s="1"/>
  <c r="P3" i="4" s="1"/>
  <c r="R3" i="4" s="1"/>
  <c r="T3" i="4" s="1"/>
  <c r="V3" i="4" s="1"/>
  <c r="X3" i="4" s="1"/>
  <c r="Z3" i="4" s="1"/>
  <c r="AB3" i="4" s="1"/>
  <c r="AD3" i="4" s="1"/>
  <c r="AF3" i="4" s="1"/>
  <c r="AH3" i="4" s="1"/>
  <c r="H4" i="4"/>
  <c r="J4" i="4" s="1"/>
  <c r="L4" i="4"/>
  <c r="N4" i="4" s="1"/>
  <c r="P4" i="4" s="1"/>
  <c r="R4" i="4" s="1"/>
  <c r="T4" i="4" s="1"/>
  <c r="V4" i="4" s="1"/>
  <c r="X4" i="4" s="1"/>
  <c r="Z4" i="4" s="1"/>
  <c r="AB4" i="4" s="1"/>
  <c r="AD4" i="4" s="1"/>
  <c r="AF4" i="4" s="1"/>
  <c r="AH4" i="4" s="1"/>
  <c r="H5" i="4"/>
  <c r="J5" i="4" s="1"/>
  <c r="L5" i="4" s="1"/>
  <c r="N5" i="4" s="1"/>
  <c r="P5" i="4"/>
  <c r="R5" i="4" s="1"/>
  <c r="T5" i="4" s="1"/>
  <c r="V5" i="4" s="1"/>
  <c r="X5" i="4" s="1"/>
  <c r="Z5" i="4" s="1"/>
  <c r="AB5" i="4" s="1"/>
  <c r="AD5" i="4" s="1"/>
  <c r="AF5" i="4" s="1"/>
  <c r="AH5" i="4" s="1"/>
  <c r="H6" i="4"/>
  <c r="J6" i="4" s="1"/>
  <c r="L6" i="4" s="1"/>
  <c r="N6" i="4" s="1"/>
  <c r="P6" i="4" s="1"/>
  <c r="R6" i="4" s="1"/>
  <c r="T6" i="4" s="1"/>
  <c r="V6" i="4" s="1"/>
  <c r="X6" i="4" s="1"/>
  <c r="Z6" i="4" s="1"/>
  <c r="AB6" i="4" s="1"/>
  <c r="AD6" i="4" s="1"/>
  <c r="AF6" i="4" s="1"/>
  <c r="AH6" i="4" s="1"/>
  <c r="H7" i="4"/>
  <c r="J7" i="4"/>
  <c r="L7" i="4" s="1"/>
  <c r="N7" i="4" s="1"/>
  <c r="P7" i="4" s="1"/>
  <c r="R7" i="4" s="1"/>
  <c r="T7" i="4" s="1"/>
  <c r="V7" i="4" s="1"/>
  <c r="X7" i="4" s="1"/>
  <c r="Z7" i="4" s="1"/>
  <c r="AB7" i="4" s="1"/>
  <c r="AD7" i="4" s="1"/>
  <c r="AF7" i="4" s="1"/>
  <c r="AH7" i="4" s="1"/>
  <c r="H8" i="4"/>
  <c r="J8" i="4" s="1"/>
  <c r="L8" i="4" s="1"/>
  <c r="N8" i="4" s="1"/>
  <c r="P8" i="4" s="1"/>
  <c r="R8" i="4" s="1"/>
  <c r="T8" i="4" s="1"/>
  <c r="V8" i="4" s="1"/>
  <c r="X8" i="4" s="1"/>
  <c r="Z8" i="4" s="1"/>
  <c r="AB8" i="4" s="1"/>
  <c r="AD8" i="4" s="1"/>
  <c r="AF8" i="4" s="1"/>
  <c r="AH8" i="4" s="1"/>
  <c r="H9" i="4"/>
  <c r="J9" i="4" s="1"/>
  <c r="L9" i="4" s="1"/>
  <c r="N9" i="4" s="1"/>
  <c r="P9" i="4" s="1"/>
  <c r="R9" i="4" s="1"/>
  <c r="T9" i="4" s="1"/>
  <c r="V9" i="4" s="1"/>
  <c r="X9" i="4" s="1"/>
  <c r="Z9" i="4" s="1"/>
  <c r="AB9" i="4" s="1"/>
  <c r="AD9" i="4" s="1"/>
  <c r="AF9" i="4" s="1"/>
  <c r="AH9" i="4" s="1"/>
  <c r="H10" i="4"/>
  <c r="J10" i="4"/>
  <c r="L10" i="4" s="1"/>
  <c r="N10" i="4" s="1"/>
  <c r="P10" i="4" s="1"/>
  <c r="R10" i="4" s="1"/>
  <c r="T10" i="4" s="1"/>
  <c r="V10" i="4" s="1"/>
  <c r="X10" i="4" s="1"/>
  <c r="Z10" i="4" s="1"/>
  <c r="AB10" i="4" s="1"/>
  <c r="AD10" i="4" s="1"/>
  <c r="AF10" i="4" s="1"/>
  <c r="AH10" i="4" s="1"/>
  <c r="H11" i="4"/>
  <c r="J11" i="4" s="1"/>
  <c r="L11" i="4" s="1"/>
  <c r="N11" i="4" s="1"/>
  <c r="P11" i="4" s="1"/>
  <c r="R11" i="4" s="1"/>
  <c r="T11" i="4" s="1"/>
  <c r="V11" i="4" s="1"/>
  <c r="X11" i="4" s="1"/>
  <c r="Z11" i="4" s="1"/>
  <c r="AB11" i="4" s="1"/>
  <c r="AD11" i="4" s="1"/>
  <c r="AF11" i="4" s="1"/>
  <c r="AH11" i="4" s="1"/>
  <c r="H12" i="4"/>
  <c r="J12" i="4" s="1"/>
  <c r="L12" i="4"/>
  <c r="N12" i="4" s="1"/>
  <c r="P12" i="4" s="1"/>
  <c r="R12" i="4" s="1"/>
  <c r="T12" i="4"/>
  <c r="V12" i="4" s="1"/>
  <c r="X12" i="4" s="1"/>
  <c r="Z12" i="4" s="1"/>
  <c r="AB12" i="4" s="1"/>
  <c r="AD12" i="4" s="1"/>
  <c r="AF12" i="4" s="1"/>
  <c r="AH12" i="4" s="1"/>
  <c r="H13" i="4"/>
  <c r="J13" i="4" s="1"/>
  <c r="L13" i="4" s="1"/>
  <c r="N13" i="4" s="1"/>
  <c r="P13" i="4" s="1"/>
  <c r="R13" i="4" s="1"/>
  <c r="T13" i="4" s="1"/>
  <c r="V13" i="4" s="1"/>
  <c r="X13" i="4" s="1"/>
  <c r="Z13" i="4" s="1"/>
  <c r="AB13" i="4" s="1"/>
  <c r="AD13" i="4" s="1"/>
  <c r="AF13" i="4" s="1"/>
  <c r="AH13" i="4" s="1"/>
  <c r="H14" i="4"/>
  <c r="J14" i="4" s="1"/>
  <c r="L14" i="4" s="1"/>
  <c r="N14" i="4" s="1"/>
  <c r="P14" i="4" s="1"/>
  <c r="R14" i="4" s="1"/>
  <c r="T14" i="4" s="1"/>
  <c r="V14" i="4" s="1"/>
  <c r="X14" i="4" s="1"/>
  <c r="Z14" i="4" s="1"/>
  <c r="AB14" i="4" s="1"/>
  <c r="AD14" i="4" s="1"/>
  <c r="AF14" i="4" s="1"/>
  <c r="AH14" i="4" s="1"/>
  <c r="H15" i="4"/>
  <c r="J15" i="4"/>
  <c r="L15" i="4" s="1"/>
  <c r="N15" i="4" s="1"/>
  <c r="P15" i="4" s="1"/>
  <c r="R15" i="4" s="1"/>
  <c r="T15" i="4" s="1"/>
  <c r="V15" i="4" s="1"/>
  <c r="X15" i="4" s="1"/>
  <c r="Z15" i="4" s="1"/>
  <c r="AB15" i="4" s="1"/>
  <c r="AD15" i="4" s="1"/>
  <c r="AF15" i="4" s="1"/>
  <c r="AH15" i="4" s="1"/>
  <c r="H16" i="4"/>
  <c r="J16" i="4" s="1"/>
  <c r="L16" i="4" s="1"/>
  <c r="N16" i="4" s="1"/>
  <c r="P16" i="4"/>
  <c r="R16" i="4" s="1"/>
  <c r="T16" i="4" s="1"/>
  <c r="V16" i="4" s="1"/>
  <c r="X16" i="4" s="1"/>
  <c r="Z16" i="4" s="1"/>
  <c r="AB16" i="4" s="1"/>
  <c r="AD16" i="4" s="1"/>
  <c r="AF16" i="4" s="1"/>
  <c r="AH16" i="4" s="1"/>
  <c r="H17" i="4"/>
  <c r="J17" i="4" s="1"/>
  <c r="L17" i="4" s="1"/>
  <c r="N17" i="4" s="1"/>
  <c r="P17" i="4" s="1"/>
  <c r="R17" i="4" s="1"/>
  <c r="T17" i="4" s="1"/>
  <c r="V17" i="4" s="1"/>
  <c r="X17" i="4" s="1"/>
  <c r="Z17" i="4" s="1"/>
  <c r="AB17" i="4" s="1"/>
  <c r="AD17" i="4" s="1"/>
  <c r="AF17" i="4" s="1"/>
  <c r="AH17" i="4" s="1"/>
  <c r="H18" i="4"/>
  <c r="J18" i="4"/>
  <c r="L18" i="4" s="1"/>
  <c r="N18" i="4" s="1"/>
  <c r="P18" i="4" s="1"/>
  <c r="R18" i="4" s="1"/>
  <c r="T18" i="4" s="1"/>
  <c r="V18" i="4" s="1"/>
  <c r="X18" i="4" s="1"/>
  <c r="Z18" i="4" s="1"/>
  <c r="AB18" i="4" s="1"/>
  <c r="AD18" i="4" s="1"/>
  <c r="AF18" i="4" s="1"/>
  <c r="AH18" i="4" s="1"/>
  <c r="H19" i="4"/>
  <c r="J19" i="4"/>
  <c r="L19" i="4" s="1"/>
  <c r="N19" i="4" s="1"/>
  <c r="P19" i="4" s="1"/>
  <c r="R19" i="4" s="1"/>
  <c r="T19" i="4" s="1"/>
  <c r="V19" i="4" s="1"/>
  <c r="X19" i="4" s="1"/>
  <c r="Z19" i="4" s="1"/>
  <c r="AB19" i="4" s="1"/>
  <c r="AD19" i="4" s="1"/>
  <c r="AF19" i="4" s="1"/>
  <c r="AH19" i="4" s="1"/>
  <c r="H20" i="4"/>
  <c r="J20" i="4" s="1"/>
  <c r="I20" i="4"/>
  <c r="K20" i="4" s="1"/>
  <c r="M20" i="4" s="1"/>
  <c r="O20" i="4" s="1"/>
  <c r="Q20" i="4" s="1"/>
  <c r="S20" i="4" s="1"/>
  <c r="U20" i="4" s="1"/>
  <c r="W20" i="4" s="1"/>
  <c r="Y20" i="4" s="1"/>
  <c r="AA20" i="4" s="1"/>
  <c r="AC20" i="4" s="1"/>
  <c r="AE20" i="4" s="1"/>
  <c r="AG20" i="4" s="1"/>
  <c r="L20" i="4"/>
  <c r="N20" i="4" s="1"/>
  <c r="P20" i="4" s="1"/>
  <c r="R20" i="4" s="1"/>
  <c r="T20" i="4" s="1"/>
  <c r="V20" i="4" s="1"/>
  <c r="X20" i="4" s="1"/>
  <c r="Z20" i="4" s="1"/>
  <c r="AB20" i="4"/>
  <c r="AD20" i="4" s="1"/>
  <c r="AF20" i="4" s="1"/>
  <c r="AH20" i="4" s="1"/>
  <c r="H21" i="4"/>
  <c r="J21" i="4" s="1"/>
  <c r="L21" i="4" s="1"/>
  <c r="N21" i="4" s="1"/>
  <c r="P21" i="4" s="1"/>
  <c r="R21" i="4" s="1"/>
  <c r="T21" i="4" s="1"/>
  <c r="V21" i="4" s="1"/>
  <c r="X21" i="4" s="1"/>
  <c r="Z21" i="4" s="1"/>
  <c r="AB21" i="4" s="1"/>
  <c r="AD21" i="4" s="1"/>
  <c r="AF21" i="4" s="1"/>
  <c r="AH21" i="4" s="1"/>
  <c r="H22" i="4"/>
  <c r="I22" i="4"/>
  <c r="K22" i="4" s="1"/>
  <c r="M22" i="4" s="1"/>
  <c r="O22" i="4" s="1"/>
  <c r="Q22" i="4" s="1"/>
  <c r="S22" i="4" s="1"/>
  <c r="U22" i="4" s="1"/>
  <c r="W22" i="4" s="1"/>
  <c r="Y22" i="4" s="1"/>
  <c r="AA22" i="4" s="1"/>
  <c r="AC22" i="4" s="1"/>
  <c r="AE22" i="4" s="1"/>
  <c r="AG22" i="4" s="1"/>
  <c r="J22" i="4"/>
  <c r="L22" i="4" s="1"/>
  <c r="N22" i="4" s="1"/>
  <c r="P22" i="4" s="1"/>
  <c r="R22" i="4" s="1"/>
  <c r="T22" i="4" s="1"/>
  <c r="V22" i="4"/>
  <c r="X22" i="4" s="1"/>
  <c r="Z22" i="4" s="1"/>
  <c r="AB22" i="4" s="1"/>
  <c r="AD22" i="4" s="1"/>
  <c r="AF22" i="4" s="1"/>
  <c r="AH22" i="4" s="1"/>
  <c r="H23" i="4"/>
  <c r="J23" i="4"/>
  <c r="L23" i="4" s="1"/>
  <c r="N23" i="4" s="1"/>
  <c r="P23" i="4" s="1"/>
  <c r="R23" i="4" s="1"/>
  <c r="T23" i="4" s="1"/>
  <c r="V23" i="4" s="1"/>
  <c r="X23" i="4" s="1"/>
  <c r="Z23" i="4"/>
  <c r="AB23" i="4" s="1"/>
  <c r="AD23" i="4" s="1"/>
  <c r="AF23" i="4" s="1"/>
  <c r="AH23" i="4" s="1"/>
  <c r="H24" i="4"/>
  <c r="J24" i="4" s="1"/>
  <c r="L24" i="4" s="1"/>
  <c r="N24" i="4" s="1"/>
  <c r="P24" i="4" s="1"/>
  <c r="R24" i="4" s="1"/>
  <c r="T24" i="4" s="1"/>
  <c r="V24" i="4" s="1"/>
  <c r="X24" i="4" s="1"/>
  <c r="Z24" i="4" s="1"/>
  <c r="AB24" i="4" s="1"/>
  <c r="AD24" i="4" s="1"/>
  <c r="AF24" i="4" s="1"/>
  <c r="AH24" i="4" s="1"/>
  <c r="H25" i="4"/>
  <c r="J25" i="4" s="1"/>
  <c r="L25" i="4" s="1"/>
  <c r="N25" i="4" s="1"/>
  <c r="P25" i="4" s="1"/>
  <c r="R25" i="4" s="1"/>
  <c r="T25" i="4" s="1"/>
  <c r="V25" i="4" s="1"/>
  <c r="X25" i="4" s="1"/>
  <c r="Z25" i="4" s="1"/>
  <c r="AB25" i="4" s="1"/>
  <c r="AD25" i="4" s="1"/>
  <c r="AF25" i="4" s="1"/>
  <c r="AH25" i="4" s="1"/>
  <c r="H26" i="4"/>
  <c r="J26" i="4" s="1"/>
  <c r="L26" i="4" s="1"/>
  <c r="N26" i="4" s="1"/>
  <c r="P26" i="4" s="1"/>
  <c r="R26" i="4" s="1"/>
  <c r="T26" i="4" s="1"/>
  <c r="V26" i="4" s="1"/>
  <c r="X26" i="4" s="1"/>
  <c r="Z26" i="4" s="1"/>
  <c r="AB26" i="4" s="1"/>
  <c r="AD26" i="4" s="1"/>
  <c r="AF26" i="4" s="1"/>
  <c r="AH26" i="4" s="1"/>
  <c r="H27" i="4"/>
  <c r="J27" i="4" s="1"/>
  <c r="L27" i="4" s="1"/>
  <c r="N27" i="4" s="1"/>
  <c r="P27" i="4" s="1"/>
  <c r="R27" i="4" s="1"/>
  <c r="T27" i="4" s="1"/>
  <c r="V27" i="4" s="1"/>
  <c r="X27" i="4" s="1"/>
  <c r="Z27" i="4" s="1"/>
  <c r="AB27" i="4" s="1"/>
  <c r="AD27" i="4" s="1"/>
  <c r="AF27" i="4" s="1"/>
  <c r="AH27" i="4" s="1"/>
  <c r="H28" i="4"/>
  <c r="J28" i="4" s="1"/>
  <c r="L28" i="4" s="1"/>
  <c r="N28" i="4" s="1"/>
  <c r="P28" i="4" s="1"/>
  <c r="R28" i="4" s="1"/>
  <c r="T28" i="4" s="1"/>
  <c r="V28" i="4" s="1"/>
  <c r="X28" i="4"/>
  <c r="Z28" i="4" s="1"/>
  <c r="AB28" i="4" s="1"/>
  <c r="AD28" i="4" s="1"/>
  <c r="AF28" i="4" s="1"/>
  <c r="AH28" i="4" s="1"/>
  <c r="H29" i="4"/>
  <c r="J29" i="4" s="1"/>
  <c r="L29" i="4"/>
  <c r="N29" i="4" s="1"/>
  <c r="P29" i="4" s="1"/>
  <c r="R29" i="4" s="1"/>
  <c r="T29" i="4" s="1"/>
  <c r="V29" i="4" s="1"/>
  <c r="X29" i="4" s="1"/>
  <c r="Z29" i="4" s="1"/>
  <c r="AB29" i="4" s="1"/>
  <c r="AD29" i="4" s="1"/>
  <c r="AF29" i="4" s="1"/>
  <c r="AH29" i="4" s="1"/>
  <c r="H30" i="4"/>
  <c r="J30" i="4" s="1"/>
  <c r="L30" i="4" s="1"/>
  <c r="N30" i="4" s="1"/>
  <c r="P30" i="4" s="1"/>
  <c r="R30" i="4" s="1"/>
  <c r="T30" i="4" s="1"/>
  <c r="V30" i="4" s="1"/>
  <c r="X30" i="4" s="1"/>
  <c r="Z30" i="4" s="1"/>
  <c r="AB30" i="4" s="1"/>
  <c r="AD30" i="4" s="1"/>
  <c r="AF30" i="4" s="1"/>
  <c r="AH30" i="4" s="1"/>
  <c r="H31" i="4"/>
  <c r="J31" i="4" s="1"/>
  <c r="L31" i="4" s="1"/>
  <c r="N31" i="4" s="1"/>
  <c r="P31" i="4" s="1"/>
  <c r="R31" i="4" s="1"/>
  <c r="T31" i="4" s="1"/>
  <c r="V31" i="4" s="1"/>
  <c r="X31" i="4" s="1"/>
  <c r="Z31" i="4" s="1"/>
  <c r="AB31" i="4" s="1"/>
  <c r="AD31" i="4" s="1"/>
  <c r="AF31" i="4" s="1"/>
  <c r="AH31" i="4" s="1"/>
  <c r="H32" i="4"/>
  <c r="J32" i="4" s="1"/>
  <c r="L32" i="4" s="1"/>
  <c r="N32" i="4" s="1"/>
  <c r="P32" i="4" s="1"/>
  <c r="R32" i="4" s="1"/>
  <c r="T32" i="4" s="1"/>
  <c r="V32" i="4" s="1"/>
  <c r="X32" i="4" s="1"/>
  <c r="Z32" i="4" s="1"/>
  <c r="AB32" i="4" s="1"/>
  <c r="AD32" i="4" s="1"/>
  <c r="AF32" i="4" s="1"/>
  <c r="AH32" i="4" s="1"/>
  <c r="H33" i="4"/>
  <c r="J33" i="4"/>
  <c r="L33" i="4" s="1"/>
  <c r="N33" i="4" s="1"/>
  <c r="P33" i="4" s="1"/>
  <c r="R33" i="4" s="1"/>
  <c r="T33" i="4" s="1"/>
  <c r="V33" i="4" s="1"/>
  <c r="X33" i="4" s="1"/>
  <c r="Z33" i="4" s="1"/>
  <c r="AB33" i="4" s="1"/>
  <c r="AD33" i="4" s="1"/>
  <c r="AF33" i="4" s="1"/>
  <c r="AH33" i="4" s="1"/>
  <c r="H34" i="4"/>
  <c r="J34" i="4" s="1"/>
  <c r="L34" i="4" s="1"/>
  <c r="N34" i="4" s="1"/>
  <c r="P34" i="4" s="1"/>
  <c r="R34" i="4" s="1"/>
  <c r="T34" i="4" s="1"/>
  <c r="V34" i="4" s="1"/>
  <c r="X34" i="4" s="1"/>
  <c r="Z34" i="4" s="1"/>
  <c r="AB34" i="4" s="1"/>
  <c r="AD34" i="4" s="1"/>
  <c r="AF34" i="4" s="1"/>
  <c r="AH34" i="4" s="1"/>
  <c r="H35" i="4"/>
  <c r="J35" i="4" s="1"/>
  <c r="L35" i="4" s="1"/>
  <c r="N35" i="4" s="1"/>
  <c r="P35" i="4" s="1"/>
  <c r="R35" i="4" s="1"/>
  <c r="T35" i="4" s="1"/>
  <c r="V35" i="4" s="1"/>
  <c r="X35" i="4" s="1"/>
  <c r="Z35" i="4" s="1"/>
  <c r="AB35" i="4" s="1"/>
  <c r="AD35" i="4" s="1"/>
  <c r="AF35" i="4" s="1"/>
  <c r="AH35" i="4" s="1"/>
  <c r="H36" i="4"/>
  <c r="J36" i="4"/>
  <c r="L36" i="4" s="1"/>
  <c r="N36" i="4" s="1"/>
  <c r="P36" i="4" s="1"/>
  <c r="R36" i="4" s="1"/>
  <c r="T36" i="4" s="1"/>
  <c r="V36" i="4" s="1"/>
  <c r="X36" i="4" s="1"/>
  <c r="Z36" i="4" s="1"/>
  <c r="AB36" i="4" s="1"/>
  <c r="AD36" i="4" s="1"/>
  <c r="AF36" i="4" s="1"/>
  <c r="AH36" i="4" s="1"/>
  <c r="H37" i="4"/>
  <c r="J37" i="4"/>
  <c r="L37" i="4" s="1"/>
  <c r="N37" i="4"/>
  <c r="P37" i="4" s="1"/>
  <c r="R37" i="4" s="1"/>
  <c r="T37" i="4" s="1"/>
  <c r="V37" i="4" s="1"/>
  <c r="X37" i="4" s="1"/>
  <c r="Z37" i="4" s="1"/>
  <c r="AB37" i="4" s="1"/>
  <c r="AD37" i="4" s="1"/>
  <c r="AF37" i="4" s="1"/>
  <c r="AH37" i="4" s="1"/>
  <c r="H38" i="4"/>
  <c r="J38" i="4" s="1"/>
  <c r="L38" i="4" s="1"/>
  <c r="N38" i="4" s="1"/>
  <c r="P38" i="4" s="1"/>
  <c r="R38" i="4" s="1"/>
  <c r="T38" i="4" s="1"/>
  <c r="V38" i="4" s="1"/>
  <c r="X38" i="4" s="1"/>
  <c r="Z38" i="4" s="1"/>
  <c r="AB38" i="4" s="1"/>
  <c r="AD38" i="4" s="1"/>
  <c r="AF38" i="4" s="1"/>
  <c r="AH38" i="4" s="1"/>
  <c r="H39" i="4"/>
  <c r="J39" i="4" s="1"/>
  <c r="L39" i="4" s="1"/>
  <c r="N39" i="4" s="1"/>
  <c r="P39" i="4" s="1"/>
  <c r="R39" i="4" s="1"/>
  <c r="T39" i="4" s="1"/>
  <c r="V39" i="4" s="1"/>
  <c r="X39" i="4" s="1"/>
  <c r="Z39" i="4" s="1"/>
  <c r="AB39" i="4" s="1"/>
  <c r="AD39" i="4" s="1"/>
  <c r="AF39" i="4" s="1"/>
  <c r="AH39" i="4" s="1"/>
  <c r="H40" i="4"/>
  <c r="J40" i="4" s="1"/>
  <c r="L40" i="4" s="1"/>
  <c r="N40" i="4" s="1"/>
  <c r="P40" i="4" s="1"/>
  <c r="R40" i="4" s="1"/>
  <c r="T40" i="4" s="1"/>
  <c r="V40" i="4" s="1"/>
  <c r="X40" i="4" s="1"/>
  <c r="Z40" i="4" s="1"/>
  <c r="AB40" i="4" s="1"/>
  <c r="AD40" i="4" s="1"/>
  <c r="AF40" i="4" s="1"/>
  <c r="AH40" i="4" s="1"/>
  <c r="H41" i="4"/>
  <c r="J41" i="4" s="1"/>
  <c r="L41" i="4" s="1"/>
  <c r="N41" i="4" s="1"/>
  <c r="P41" i="4" s="1"/>
  <c r="R41" i="4" s="1"/>
  <c r="T41" i="4" s="1"/>
  <c r="V41" i="4" s="1"/>
  <c r="X41" i="4" s="1"/>
  <c r="Z41" i="4" s="1"/>
  <c r="AB41" i="4" s="1"/>
  <c r="AD41" i="4" s="1"/>
  <c r="AF41" i="4" s="1"/>
  <c r="AH41" i="4" s="1"/>
  <c r="H42" i="4"/>
  <c r="J42" i="4" s="1"/>
  <c r="L42" i="4" s="1"/>
  <c r="N42" i="4" s="1"/>
  <c r="P42" i="4" s="1"/>
  <c r="R42" i="4" s="1"/>
  <c r="T42" i="4" s="1"/>
  <c r="V42" i="4" s="1"/>
  <c r="X42" i="4" s="1"/>
  <c r="Z42" i="4" s="1"/>
  <c r="AB42" i="4" s="1"/>
  <c r="AD42" i="4" s="1"/>
  <c r="AF42" i="4" s="1"/>
  <c r="AH42" i="4" s="1"/>
  <c r="H43" i="4"/>
  <c r="J43" i="4" s="1"/>
  <c r="L43" i="4" s="1"/>
  <c r="N43" i="4" s="1"/>
  <c r="P43" i="4" s="1"/>
  <c r="R43" i="4" s="1"/>
  <c r="T43" i="4" s="1"/>
  <c r="V43" i="4" s="1"/>
  <c r="X43" i="4" s="1"/>
  <c r="Z43" i="4" s="1"/>
  <c r="AB43" i="4" s="1"/>
  <c r="AD43" i="4" s="1"/>
  <c r="AF43" i="4" s="1"/>
  <c r="AH43" i="4" s="1"/>
  <c r="H44" i="4"/>
  <c r="J44" i="4" s="1"/>
  <c r="L44" i="4" s="1"/>
  <c r="N44" i="4" s="1"/>
  <c r="P44" i="4" s="1"/>
  <c r="R44" i="4" s="1"/>
  <c r="T44" i="4" s="1"/>
  <c r="V44" i="4" s="1"/>
  <c r="X44" i="4" s="1"/>
  <c r="Z44" i="4" s="1"/>
  <c r="AB44" i="4" s="1"/>
  <c r="AD44" i="4" s="1"/>
  <c r="AF44" i="4" s="1"/>
  <c r="AH44" i="4" s="1"/>
  <c r="H45" i="4"/>
  <c r="J45" i="4" s="1"/>
  <c r="L45" i="4" s="1"/>
  <c r="N45" i="4" s="1"/>
  <c r="P45" i="4" s="1"/>
  <c r="R45" i="4" s="1"/>
  <c r="T45" i="4" s="1"/>
  <c r="V45" i="4" s="1"/>
  <c r="X45" i="4" s="1"/>
  <c r="Z45" i="4" s="1"/>
  <c r="AB45" i="4" s="1"/>
  <c r="AD45" i="4" s="1"/>
  <c r="AF45" i="4" s="1"/>
  <c r="AH45" i="4" s="1"/>
  <c r="I45" i="4"/>
  <c r="K45" i="4" s="1"/>
  <c r="M45" i="4" s="1"/>
  <c r="O45" i="4" s="1"/>
  <c r="Q45" i="4" s="1"/>
  <c r="S45" i="4" s="1"/>
  <c r="U45" i="4" s="1"/>
  <c r="W45" i="4" s="1"/>
  <c r="Y45" i="4" s="1"/>
  <c r="AA45" i="4" s="1"/>
  <c r="AC45" i="4" s="1"/>
  <c r="AE45" i="4" s="1"/>
  <c r="AG45" i="4" s="1"/>
  <c r="H46" i="4"/>
  <c r="J46" i="4" s="1"/>
  <c r="L46" i="4" s="1"/>
  <c r="N46" i="4" s="1"/>
  <c r="P46" i="4" s="1"/>
  <c r="R46" i="4" s="1"/>
  <c r="T46" i="4" s="1"/>
  <c r="V46" i="4" s="1"/>
  <c r="X46" i="4" s="1"/>
  <c r="Z46" i="4" s="1"/>
  <c r="AB46" i="4" s="1"/>
  <c r="AD46" i="4" s="1"/>
  <c r="AF46" i="4" s="1"/>
  <c r="AH46" i="4" s="1"/>
  <c r="H47" i="4"/>
  <c r="J47" i="4" s="1"/>
  <c r="L47" i="4" s="1"/>
  <c r="N47" i="4" s="1"/>
  <c r="P47" i="4" s="1"/>
  <c r="R47" i="4" s="1"/>
  <c r="T47" i="4" s="1"/>
  <c r="V47" i="4" s="1"/>
  <c r="X47" i="4" s="1"/>
  <c r="Z47" i="4" s="1"/>
  <c r="AB47" i="4" s="1"/>
  <c r="AD47" i="4" s="1"/>
  <c r="AF47" i="4" s="1"/>
  <c r="AH47" i="4" s="1"/>
  <c r="H48" i="4"/>
  <c r="J48" i="4" s="1"/>
  <c r="L48" i="4" s="1"/>
  <c r="N48" i="4" s="1"/>
  <c r="P48" i="4" s="1"/>
  <c r="R48" i="4"/>
  <c r="T48" i="4" s="1"/>
  <c r="V48" i="4" s="1"/>
  <c r="X48" i="4" s="1"/>
  <c r="Z48" i="4" s="1"/>
  <c r="AB48" i="4" s="1"/>
  <c r="AD48" i="4" s="1"/>
  <c r="AF48" i="4" s="1"/>
  <c r="AH48" i="4" s="1"/>
  <c r="H49" i="4"/>
  <c r="J49" i="4" s="1"/>
  <c r="L49" i="4" s="1"/>
  <c r="N49" i="4" s="1"/>
  <c r="P49" i="4" s="1"/>
  <c r="R49" i="4" s="1"/>
  <c r="T49" i="4" s="1"/>
  <c r="V49" i="4" s="1"/>
  <c r="X49" i="4" s="1"/>
  <c r="Z49" i="4" s="1"/>
  <c r="AB49" i="4" s="1"/>
  <c r="AD49" i="4" s="1"/>
  <c r="AF49" i="4" s="1"/>
  <c r="AH49" i="4" s="1"/>
  <c r="H50" i="4"/>
  <c r="J50" i="4"/>
  <c r="L50" i="4" s="1"/>
  <c r="N50" i="4" s="1"/>
  <c r="P50" i="4" s="1"/>
  <c r="R50" i="4" s="1"/>
  <c r="T50" i="4"/>
  <c r="V50" i="4" s="1"/>
  <c r="X50" i="4" s="1"/>
  <c r="Z50" i="4" s="1"/>
  <c r="AB50" i="4" s="1"/>
  <c r="AD50" i="4" s="1"/>
  <c r="AF50" i="4" s="1"/>
  <c r="AH50" i="4" s="1"/>
  <c r="H51" i="4"/>
  <c r="J51" i="4" s="1"/>
  <c r="L51" i="4" s="1"/>
  <c r="N51" i="4" s="1"/>
  <c r="P51" i="4" s="1"/>
  <c r="R51" i="4" s="1"/>
  <c r="T51" i="4" s="1"/>
  <c r="V51" i="4" s="1"/>
  <c r="X51" i="4" s="1"/>
  <c r="Z51" i="4" s="1"/>
  <c r="AB51" i="4" s="1"/>
  <c r="AD51" i="4" s="1"/>
  <c r="AF51" i="4" s="1"/>
  <c r="AH51" i="4" s="1"/>
  <c r="H52" i="4"/>
  <c r="J52" i="4" s="1"/>
  <c r="L52" i="4" s="1"/>
  <c r="N52" i="4" s="1"/>
  <c r="P52" i="4" s="1"/>
  <c r="R52" i="4" s="1"/>
  <c r="T52" i="4" s="1"/>
  <c r="V52" i="4" s="1"/>
  <c r="X52" i="4" s="1"/>
  <c r="Z52" i="4" s="1"/>
  <c r="AB52" i="4" s="1"/>
  <c r="AD52" i="4" s="1"/>
  <c r="AF52" i="4" s="1"/>
  <c r="AH52" i="4" s="1"/>
  <c r="I52" i="4"/>
  <c r="K52" i="4" s="1"/>
  <c r="M52" i="4" s="1"/>
  <c r="O52" i="4" s="1"/>
  <c r="Q52" i="4" s="1"/>
  <c r="S52" i="4" s="1"/>
  <c r="U52" i="4" s="1"/>
  <c r="W52" i="4" s="1"/>
  <c r="Y52" i="4" s="1"/>
  <c r="AA52" i="4" s="1"/>
  <c r="AC52" i="4" s="1"/>
  <c r="AE52" i="4" s="1"/>
  <c r="AG52" i="4" s="1"/>
  <c r="H53" i="4"/>
  <c r="J53" i="4" s="1"/>
  <c r="L53" i="4" s="1"/>
  <c r="N53" i="4"/>
  <c r="P53" i="4" s="1"/>
  <c r="R53" i="4" s="1"/>
  <c r="T53" i="4" s="1"/>
  <c r="V53" i="4" s="1"/>
  <c r="X53" i="4" s="1"/>
  <c r="Z53" i="4" s="1"/>
  <c r="AB53" i="4" s="1"/>
  <c r="AD53" i="4" s="1"/>
  <c r="AF53" i="4" s="1"/>
  <c r="AH53" i="4" s="1"/>
  <c r="H54" i="4"/>
  <c r="J54" i="4" s="1"/>
  <c r="L54" i="4" s="1"/>
  <c r="N54" i="4" s="1"/>
  <c r="P54" i="4" s="1"/>
  <c r="R54" i="4" s="1"/>
  <c r="T54" i="4" s="1"/>
  <c r="V54" i="4" s="1"/>
  <c r="X54" i="4" s="1"/>
  <c r="Z54" i="4" s="1"/>
  <c r="AB54" i="4" s="1"/>
  <c r="AD54" i="4" s="1"/>
  <c r="AF54" i="4" s="1"/>
  <c r="AH54" i="4" s="1"/>
  <c r="H55" i="4"/>
  <c r="J55" i="4" s="1"/>
  <c r="L55" i="4" s="1"/>
  <c r="N55" i="4" s="1"/>
  <c r="P55" i="4" s="1"/>
  <c r="R55" i="4" s="1"/>
  <c r="T55" i="4" s="1"/>
  <c r="V55" i="4" s="1"/>
  <c r="X55" i="4" s="1"/>
  <c r="Z55" i="4" s="1"/>
  <c r="AB55" i="4" s="1"/>
  <c r="AD55" i="4" s="1"/>
  <c r="AF55" i="4" s="1"/>
  <c r="AH55" i="4" s="1"/>
  <c r="I55" i="4"/>
  <c r="K55" i="4" s="1"/>
  <c r="M55" i="4" s="1"/>
  <c r="O55" i="4" s="1"/>
  <c r="Q55" i="4" s="1"/>
  <c r="S55" i="4" s="1"/>
  <c r="U55" i="4" s="1"/>
  <c r="W55" i="4" s="1"/>
  <c r="Y55" i="4" s="1"/>
  <c r="AA55" i="4" s="1"/>
  <c r="AC55" i="4" s="1"/>
  <c r="AE55" i="4" s="1"/>
  <c r="AG55" i="4" s="1"/>
  <c r="H56" i="4"/>
  <c r="J56" i="4" s="1"/>
  <c r="L56" i="4" s="1"/>
  <c r="N56" i="4" s="1"/>
  <c r="P56" i="4" s="1"/>
  <c r="R56" i="4" s="1"/>
  <c r="T56" i="4" s="1"/>
  <c r="V56" i="4" s="1"/>
  <c r="X56" i="4" s="1"/>
  <c r="Z56" i="4" s="1"/>
  <c r="AB56" i="4" s="1"/>
  <c r="AD56" i="4" s="1"/>
  <c r="AF56" i="4" s="1"/>
  <c r="AH56" i="4" s="1"/>
  <c r="H57" i="4"/>
  <c r="J57" i="4"/>
  <c r="L57" i="4" s="1"/>
  <c r="N57" i="4" s="1"/>
  <c r="P57" i="4" s="1"/>
  <c r="R57" i="4" s="1"/>
  <c r="T57" i="4" s="1"/>
  <c r="V57" i="4" s="1"/>
  <c r="X57" i="4" s="1"/>
  <c r="Z57" i="4" s="1"/>
  <c r="AB57" i="4" s="1"/>
  <c r="AD57" i="4" s="1"/>
  <c r="AF57" i="4" s="1"/>
  <c r="AH57" i="4" s="1"/>
  <c r="H58" i="4"/>
  <c r="J58" i="4" s="1"/>
  <c r="L58" i="4" s="1"/>
  <c r="N58" i="4" s="1"/>
  <c r="P58" i="4" s="1"/>
  <c r="R58" i="4" s="1"/>
  <c r="T58" i="4" s="1"/>
  <c r="V58" i="4" s="1"/>
  <c r="X58" i="4" s="1"/>
  <c r="Z58" i="4" s="1"/>
  <c r="AB58" i="4" s="1"/>
  <c r="AD58" i="4" s="1"/>
  <c r="AF58" i="4" s="1"/>
  <c r="AH58" i="4" s="1"/>
  <c r="H59" i="4"/>
  <c r="J59" i="4" s="1"/>
  <c r="L59" i="4" s="1"/>
  <c r="N59" i="4" s="1"/>
  <c r="P59" i="4" s="1"/>
  <c r="R59" i="4" s="1"/>
  <c r="T59" i="4" s="1"/>
  <c r="V59" i="4" s="1"/>
  <c r="X59" i="4" s="1"/>
  <c r="Z59" i="4" s="1"/>
  <c r="AB59" i="4" s="1"/>
  <c r="AD59" i="4" s="1"/>
  <c r="AF59" i="4" s="1"/>
  <c r="AH59" i="4" s="1"/>
  <c r="H60" i="4"/>
  <c r="J60" i="4"/>
  <c r="L60" i="4" s="1"/>
  <c r="N60" i="4" s="1"/>
  <c r="P60" i="4" s="1"/>
  <c r="R60" i="4" s="1"/>
  <c r="T60" i="4" s="1"/>
  <c r="V60" i="4" s="1"/>
  <c r="X60" i="4" s="1"/>
  <c r="Z60" i="4" s="1"/>
  <c r="AB60" i="4" s="1"/>
  <c r="AD60" i="4" s="1"/>
  <c r="AF60" i="4" s="1"/>
  <c r="AH60" i="4" s="1"/>
  <c r="H61" i="4"/>
  <c r="J61" i="4" s="1"/>
  <c r="L61" i="4" s="1"/>
  <c r="N61" i="4" s="1"/>
  <c r="P61" i="4" s="1"/>
  <c r="R61" i="4" s="1"/>
  <c r="T61" i="4" s="1"/>
  <c r="V61" i="4" s="1"/>
  <c r="X61" i="4" s="1"/>
  <c r="Z61" i="4" s="1"/>
  <c r="AB61" i="4" s="1"/>
  <c r="AD61" i="4" s="1"/>
  <c r="AF61" i="4" s="1"/>
  <c r="AH61" i="4" s="1"/>
  <c r="I61" i="4"/>
  <c r="K61" i="4" s="1"/>
  <c r="M61" i="4" s="1"/>
  <c r="O61" i="4" s="1"/>
  <c r="Q61" i="4" s="1"/>
  <c r="S61" i="4" s="1"/>
  <c r="U61" i="4" s="1"/>
  <c r="W61" i="4" s="1"/>
  <c r="Y61" i="4" s="1"/>
  <c r="AA61" i="4" s="1"/>
  <c r="AC61" i="4" s="1"/>
  <c r="AE61" i="4" s="1"/>
  <c r="AG61" i="4" s="1"/>
  <c r="H62" i="4"/>
  <c r="J62" i="4" s="1"/>
  <c r="L62" i="4" s="1"/>
  <c r="N62" i="4" s="1"/>
  <c r="P62" i="4" s="1"/>
  <c r="R62" i="4" s="1"/>
  <c r="T62" i="4" s="1"/>
  <c r="V62" i="4" s="1"/>
  <c r="X62" i="4" s="1"/>
  <c r="Z62" i="4" s="1"/>
  <c r="AB62" i="4" s="1"/>
  <c r="AD62" i="4" s="1"/>
  <c r="AF62" i="4" s="1"/>
  <c r="AH62" i="4" s="1"/>
  <c r="H63" i="4"/>
  <c r="J63" i="4" s="1"/>
  <c r="L63" i="4" s="1"/>
  <c r="N63" i="4" s="1"/>
  <c r="P63" i="4" s="1"/>
  <c r="R63" i="4" s="1"/>
  <c r="T63" i="4" s="1"/>
  <c r="V63" i="4" s="1"/>
  <c r="X63" i="4" s="1"/>
  <c r="Z63" i="4" s="1"/>
  <c r="AB63" i="4" s="1"/>
  <c r="AD63" i="4" s="1"/>
  <c r="AF63" i="4" s="1"/>
  <c r="AH63" i="4" s="1"/>
  <c r="H64" i="4"/>
  <c r="J64" i="4" s="1"/>
  <c r="L64" i="4" s="1"/>
  <c r="N64" i="4" s="1"/>
  <c r="P64" i="4" s="1"/>
  <c r="R64" i="4" s="1"/>
  <c r="T64" i="4" s="1"/>
  <c r="V64" i="4" s="1"/>
  <c r="X64" i="4" s="1"/>
  <c r="Z64" i="4" s="1"/>
  <c r="AB64" i="4" s="1"/>
  <c r="AD64" i="4" s="1"/>
  <c r="AF64" i="4" s="1"/>
  <c r="AH64" i="4" s="1"/>
  <c r="H65" i="4"/>
  <c r="J65" i="4" s="1"/>
  <c r="L65" i="4" s="1"/>
  <c r="N65" i="4" s="1"/>
  <c r="P65" i="4" s="1"/>
  <c r="R65" i="4" s="1"/>
  <c r="T65" i="4" s="1"/>
  <c r="V65" i="4" s="1"/>
  <c r="X65" i="4" s="1"/>
  <c r="Z65" i="4" s="1"/>
  <c r="AB65" i="4" s="1"/>
  <c r="AD65" i="4" s="1"/>
  <c r="AF65" i="4" s="1"/>
  <c r="AH65" i="4" s="1"/>
  <c r="H66" i="4"/>
  <c r="I66" i="4"/>
  <c r="K66" i="4" s="1"/>
  <c r="M66" i="4" s="1"/>
  <c r="O66" i="4" s="1"/>
  <c r="Q66" i="4" s="1"/>
  <c r="S66" i="4" s="1"/>
  <c r="U66" i="4" s="1"/>
  <c r="W66" i="4" s="1"/>
  <c r="Y66" i="4" s="1"/>
  <c r="AA66" i="4" s="1"/>
  <c r="AC66" i="4" s="1"/>
  <c r="AE66" i="4" s="1"/>
  <c r="AG66" i="4" s="1"/>
  <c r="J66" i="4"/>
  <c r="L66" i="4" s="1"/>
  <c r="N66" i="4" s="1"/>
  <c r="P66" i="4" s="1"/>
  <c r="R66" i="4" s="1"/>
  <c r="T66" i="4" s="1"/>
  <c r="V66" i="4" s="1"/>
  <c r="X66" i="4" s="1"/>
  <c r="Z66" i="4" s="1"/>
  <c r="AB66" i="4" s="1"/>
  <c r="AD66" i="4" s="1"/>
  <c r="AF66" i="4" s="1"/>
  <c r="AH66" i="4" s="1"/>
  <c r="H67" i="4"/>
  <c r="J67" i="4"/>
  <c r="L67" i="4" s="1"/>
  <c r="N67" i="4" s="1"/>
  <c r="P67" i="4" s="1"/>
  <c r="R67" i="4" s="1"/>
  <c r="T67" i="4" s="1"/>
  <c r="V67" i="4" s="1"/>
  <c r="X67" i="4" s="1"/>
  <c r="Z67" i="4" s="1"/>
  <c r="AB67" i="4" s="1"/>
  <c r="AD67" i="4" s="1"/>
  <c r="AF67" i="4" s="1"/>
  <c r="AH67" i="4" s="1"/>
  <c r="H68" i="4"/>
  <c r="J68" i="4" s="1"/>
  <c r="L68" i="4" s="1"/>
  <c r="N68" i="4" s="1"/>
  <c r="P68" i="4" s="1"/>
  <c r="R68" i="4" s="1"/>
  <c r="T68" i="4" s="1"/>
  <c r="V68" i="4" s="1"/>
  <c r="X68" i="4" s="1"/>
  <c r="Z68" i="4" s="1"/>
  <c r="AB68" i="4" s="1"/>
  <c r="AD68" i="4" s="1"/>
  <c r="AF68" i="4" s="1"/>
  <c r="AH68" i="4" s="1"/>
  <c r="G4" i="4"/>
  <c r="I4" i="4" s="1"/>
  <c r="K4" i="4" s="1"/>
  <c r="M4" i="4" s="1"/>
  <c r="O4" i="4" s="1"/>
  <c r="Q4" i="4" s="1"/>
  <c r="S4" i="4" s="1"/>
  <c r="U4" i="4" s="1"/>
  <c r="W4" i="4" s="1"/>
  <c r="Y4" i="4" s="1"/>
  <c r="AA4" i="4" s="1"/>
  <c r="AC4" i="4" s="1"/>
  <c r="AE4" i="4" s="1"/>
  <c r="AG4" i="4" s="1"/>
  <c r="G5" i="4"/>
  <c r="I5" i="4" s="1"/>
  <c r="K5" i="4" s="1"/>
  <c r="M5" i="4" s="1"/>
  <c r="O5" i="4" s="1"/>
  <c r="Q5" i="4" s="1"/>
  <c r="S5" i="4" s="1"/>
  <c r="U5" i="4" s="1"/>
  <c r="W5" i="4" s="1"/>
  <c r="Y5" i="4" s="1"/>
  <c r="AA5" i="4" s="1"/>
  <c r="AC5" i="4" s="1"/>
  <c r="AE5" i="4" s="1"/>
  <c r="AG5" i="4" s="1"/>
  <c r="G6" i="4"/>
  <c r="I6" i="4" s="1"/>
  <c r="K6" i="4" s="1"/>
  <c r="M6" i="4" s="1"/>
  <c r="O6" i="4" s="1"/>
  <c r="Q6" i="4" s="1"/>
  <c r="S6" i="4" s="1"/>
  <c r="U6" i="4" s="1"/>
  <c r="W6" i="4" s="1"/>
  <c r="Y6" i="4" s="1"/>
  <c r="AA6" i="4" s="1"/>
  <c r="AC6" i="4" s="1"/>
  <c r="AE6" i="4" s="1"/>
  <c r="AG6" i="4" s="1"/>
  <c r="G7" i="4"/>
  <c r="I7" i="4" s="1"/>
  <c r="K7" i="4" s="1"/>
  <c r="M7" i="4" s="1"/>
  <c r="O7" i="4" s="1"/>
  <c r="Q7" i="4" s="1"/>
  <c r="S7" i="4" s="1"/>
  <c r="U7" i="4" s="1"/>
  <c r="W7" i="4" s="1"/>
  <c r="Y7" i="4" s="1"/>
  <c r="AA7" i="4" s="1"/>
  <c r="AC7" i="4" s="1"/>
  <c r="AE7" i="4" s="1"/>
  <c r="AG7" i="4" s="1"/>
  <c r="G8" i="4"/>
  <c r="I8" i="4" s="1"/>
  <c r="K8" i="4" s="1"/>
  <c r="M8" i="4" s="1"/>
  <c r="O8" i="4" s="1"/>
  <c r="Q8" i="4" s="1"/>
  <c r="S8" i="4" s="1"/>
  <c r="U8" i="4" s="1"/>
  <c r="W8" i="4" s="1"/>
  <c r="Y8" i="4" s="1"/>
  <c r="AA8" i="4" s="1"/>
  <c r="AC8" i="4" s="1"/>
  <c r="AE8" i="4" s="1"/>
  <c r="AG8" i="4" s="1"/>
  <c r="G9" i="4"/>
  <c r="I9" i="4" s="1"/>
  <c r="K9" i="4" s="1"/>
  <c r="M9" i="4" s="1"/>
  <c r="O9" i="4" s="1"/>
  <c r="Q9" i="4" s="1"/>
  <c r="S9" i="4" s="1"/>
  <c r="U9" i="4" s="1"/>
  <c r="W9" i="4" s="1"/>
  <c r="Y9" i="4" s="1"/>
  <c r="AA9" i="4" s="1"/>
  <c r="AC9" i="4" s="1"/>
  <c r="AE9" i="4" s="1"/>
  <c r="AG9" i="4" s="1"/>
  <c r="G10" i="4"/>
  <c r="I10" i="4" s="1"/>
  <c r="K10" i="4" s="1"/>
  <c r="M10" i="4" s="1"/>
  <c r="O10" i="4" s="1"/>
  <c r="Q10" i="4" s="1"/>
  <c r="S10" i="4" s="1"/>
  <c r="U10" i="4" s="1"/>
  <c r="W10" i="4" s="1"/>
  <c r="Y10" i="4" s="1"/>
  <c r="AA10" i="4" s="1"/>
  <c r="AC10" i="4" s="1"/>
  <c r="AE10" i="4" s="1"/>
  <c r="AG10" i="4" s="1"/>
  <c r="G11" i="4"/>
  <c r="I11" i="4" s="1"/>
  <c r="K11" i="4" s="1"/>
  <c r="M11" i="4" s="1"/>
  <c r="O11" i="4" s="1"/>
  <c r="Q11" i="4" s="1"/>
  <c r="S11" i="4" s="1"/>
  <c r="U11" i="4" s="1"/>
  <c r="W11" i="4" s="1"/>
  <c r="Y11" i="4" s="1"/>
  <c r="AA11" i="4" s="1"/>
  <c r="AC11" i="4" s="1"/>
  <c r="AE11" i="4" s="1"/>
  <c r="AG11" i="4" s="1"/>
  <c r="G12" i="4"/>
  <c r="I12" i="4" s="1"/>
  <c r="K12" i="4" s="1"/>
  <c r="M12" i="4" s="1"/>
  <c r="O12" i="4" s="1"/>
  <c r="Q12" i="4" s="1"/>
  <c r="S12" i="4" s="1"/>
  <c r="U12" i="4" s="1"/>
  <c r="W12" i="4" s="1"/>
  <c r="Y12" i="4" s="1"/>
  <c r="AA12" i="4" s="1"/>
  <c r="AC12" i="4" s="1"/>
  <c r="AE12" i="4" s="1"/>
  <c r="AG12" i="4" s="1"/>
  <c r="G13" i="4"/>
  <c r="I13" i="4" s="1"/>
  <c r="K13" i="4" s="1"/>
  <c r="M13" i="4" s="1"/>
  <c r="O13" i="4" s="1"/>
  <c r="Q13" i="4" s="1"/>
  <c r="S13" i="4" s="1"/>
  <c r="U13" i="4" s="1"/>
  <c r="W13" i="4" s="1"/>
  <c r="Y13" i="4" s="1"/>
  <c r="AA13" i="4" s="1"/>
  <c r="AC13" i="4" s="1"/>
  <c r="AE13" i="4" s="1"/>
  <c r="AG13" i="4" s="1"/>
  <c r="G14" i="4"/>
  <c r="I14" i="4" s="1"/>
  <c r="K14" i="4" s="1"/>
  <c r="M14" i="4" s="1"/>
  <c r="O14" i="4" s="1"/>
  <c r="Q14" i="4" s="1"/>
  <c r="S14" i="4" s="1"/>
  <c r="U14" i="4" s="1"/>
  <c r="W14" i="4" s="1"/>
  <c r="Y14" i="4" s="1"/>
  <c r="AA14" i="4" s="1"/>
  <c r="AC14" i="4" s="1"/>
  <c r="AE14" i="4" s="1"/>
  <c r="AG14" i="4" s="1"/>
  <c r="G15" i="4"/>
  <c r="I15" i="4" s="1"/>
  <c r="K15" i="4" s="1"/>
  <c r="M15" i="4" s="1"/>
  <c r="O15" i="4" s="1"/>
  <c r="Q15" i="4" s="1"/>
  <c r="S15" i="4" s="1"/>
  <c r="U15" i="4" s="1"/>
  <c r="W15" i="4" s="1"/>
  <c r="Y15" i="4" s="1"/>
  <c r="AA15" i="4" s="1"/>
  <c r="AC15" i="4" s="1"/>
  <c r="AE15" i="4" s="1"/>
  <c r="AG15" i="4" s="1"/>
  <c r="G16" i="4"/>
  <c r="I16" i="4" s="1"/>
  <c r="K16" i="4" s="1"/>
  <c r="M16" i="4" s="1"/>
  <c r="O16" i="4" s="1"/>
  <c r="Q16" i="4" s="1"/>
  <c r="S16" i="4" s="1"/>
  <c r="U16" i="4" s="1"/>
  <c r="W16" i="4" s="1"/>
  <c r="Y16" i="4" s="1"/>
  <c r="AA16" i="4" s="1"/>
  <c r="AC16" i="4" s="1"/>
  <c r="AE16" i="4" s="1"/>
  <c r="AG16" i="4" s="1"/>
  <c r="G17" i="4"/>
  <c r="I17" i="4" s="1"/>
  <c r="K17" i="4" s="1"/>
  <c r="M17" i="4" s="1"/>
  <c r="O17" i="4" s="1"/>
  <c r="Q17" i="4" s="1"/>
  <c r="S17" i="4" s="1"/>
  <c r="U17" i="4" s="1"/>
  <c r="W17" i="4" s="1"/>
  <c r="Y17" i="4" s="1"/>
  <c r="AA17" i="4" s="1"/>
  <c r="AC17" i="4" s="1"/>
  <c r="AE17" i="4" s="1"/>
  <c r="AG17" i="4" s="1"/>
  <c r="G18" i="4"/>
  <c r="I18" i="4" s="1"/>
  <c r="K18" i="4" s="1"/>
  <c r="M18" i="4" s="1"/>
  <c r="O18" i="4" s="1"/>
  <c r="Q18" i="4" s="1"/>
  <c r="S18" i="4" s="1"/>
  <c r="U18" i="4" s="1"/>
  <c r="W18" i="4" s="1"/>
  <c r="Y18" i="4" s="1"/>
  <c r="AA18" i="4" s="1"/>
  <c r="AC18" i="4" s="1"/>
  <c r="AE18" i="4" s="1"/>
  <c r="AG18" i="4" s="1"/>
  <c r="G19" i="4"/>
  <c r="I19" i="4" s="1"/>
  <c r="K19" i="4" s="1"/>
  <c r="M19" i="4" s="1"/>
  <c r="O19" i="4" s="1"/>
  <c r="Q19" i="4" s="1"/>
  <c r="S19" i="4" s="1"/>
  <c r="U19" i="4" s="1"/>
  <c r="W19" i="4" s="1"/>
  <c r="Y19" i="4" s="1"/>
  <c r="AA19" i="4" s="1"/>
  <c r="AC19" i="4" s="1"/>
  <c r="AE19" i="4" s="1"/>
  <c r="AG19" i="4" s="1"/>
  <c r="G20" i="4"/>
  <c r="G21" i="4"/>
  <c r="I21" i="4" s="1"/>
  <c r="K21" i="4" s="1"/>
  <c r="M21" i="4" s="1"/>
  <c r="O21" i="4" s="1"/>
  <c r="Q21" i="4" s="1"/>
  <c r="S21" i="4" s="1"/>
  <c r="U21" i="4" s="1"/>
  <c r="W21" i="4" s="1"/>
  <c r="Y21" i="4" s="1"/>
  <c r="AA21" i="4" s="1"/>
  <c r="AC21" i="4" s="1"/>
  <c r="AE21" i="4" s="1"/>
  <c r="AG21" i="4" s="1"/>
  <c r="G22" i="4"/>
  <c r="G23" i="4"/>
  <c r="I23" i="4" s="1"/>
  <c r="K23" i="4" s="1"/>
  <c r="M23" i="4" s="1"/>
  <c r="O23" i="4" s="1"/>
  <c r="Q23" i="4" s="1"/>
  <c r="S23" i="4" s="1"/>
  <c r="U23" i="4" s="1"/>
  <c r="W23" i="4" s="1"/>
  <c r="Y23" i="4" s="1"/>
  <c r="AA23" i="4" s="1"/>
  <c r="AC23" i="4" s="1"/>
  <c r="AE23" i="4" s="1"/>
  <c r="AG23" i="4" s="1"/>
  <c r="G24" i="4"/>
  <c r="I24" i="4" s="1"/>
  <c r="K24" i="4" s="1"/>
  <c r="M24" i="4" s="1"/>
  <c r="O24" i="4" s="1"/>
  <c r="Q24" i="4" s="1"/>
  <c r="S24" i="4" s="1"/>
  <c r="U24" i="4" s="1"/>
  <c r="W24" i="4" s="1"/>
  <c r="Y24" i="4" s="1"/>
  <c r="AA24" i="4" s="1"/>
  <c r="AC24" i="4" s="1"/>
  <c r="AE24" i="4" s="1"/>
  <c r="AG24" i="4" s="1"/>
  <c r="G25" i="4"/>
  <c r="I25" i="4" s="1"/>
  <c r="K25" i="4" s="1"/>
  <c r="M25" i="4" s="1"/>
  <c r="O25" i="4" s="1"/>
  <c r="Q25" i="4" s="1"/>
  <c r="S25" i="4" s="1"/>
  <c r="U25" i="4" s="1"/>
  <c r="W25" i="4" s="1"/>
  <c r="Y25" i="4" s="1"/>
  <c r="AA25" i="4" s="1"/>
  <c r="AC25" i="4" s="1"/>
  <c r="AE25" i="4" s="1"/>
  <c r="AG25" i="4" s="1"/>
  <c r="G26" i="4"/>
  <c r="I26" i="4" s="1"/>
  <c r="K26" i="4" s="1"/>
  <c r="M26" i="4" s="1"/>
  <c r="O26" i="4" s="1"/>
  <c r="Q26" i="4" s="1"/>
  <c r="S26" i="4" s="1"/>
  <c r="U26" i="4" s="1"/>
  <c r="W26" i="4" s="1"/>
  <c r="Y26" i="4" s="1"/>
  <c r="AA26" i="4" s="1"/>
  <c r="AC26" i="4" s="1"/>
  <c r="AE26" i="4" s="1"/>
  <c r="AG26" i="4" s="1"/>
  <c r="G27" i="4"/>
  <c r="I27" i="4" s="1"/>
  <c r="K27" i="4" s="1"/>
  <c r="M27" i="4" s="1"/>
  <c r="O27" i="4" s="1"/>
  <c r="Q27" i="4" s="1"/>
  <c r="S27" i="4" s="1"/>
  <c r="U27" i="4" s="1"/>
  <c r="W27" i="4" s="1"/>
  <c r="Y27" i="4" s="1"/>
  <c r="AA27" i="4" s="1"/>
  <c r="AC27" i="4" s="1"/>
  <c r="AE27" i="4" s="1"/>
  <c r="AG27" i="4" s="1"/>
  <c r="G28" i="4"/>
  <c r="I28" i="4" s="1"/>
  <c r="K28" i="4" s="1"/>
  <c r="M28" i="4" s="1"/>
  <c r="O28" i="4" s="1"/>
  <c r="Q28" i="4" s="1"/>
  <c r="S28" i="4" s="1"/>
  <c r="U28" i="4" s="1"/>
  <c r="W28" i="4" s="1"/>
  <c r="Y28" i="4" s="1"/>
  <c r="AA28" i="4" s="1"/>
  <c r="AC28" i="4" s="1"/>
  <c r="AE28" i="4" s="1"/>
  <c r="AG28" i="4" s="1"/>
  <c r="G29" i="4"/>
  <c r="I29" i="4" s="1"/>
  <c r="K29" i="4" s="1"/>
  <c r="M29" i="4" s="1"/>
  <c r="O29" i="4" s="1"/>
  <c r="Q29" i="4" s="1"/>
  <c r="S29" i="4" s="1"/>
  <c r="U29" i="4" s="1"/>
  <c r="W29" i="4" s="1"/>
  <c r="Y29" i="4" s="1"/>
  <c r="AA29" i="4" s="1"/>
  <c r="AC29" i="4" s="1"/>
  <c r="AE29" i="4" s="1"/>
  <c r="AG29" i="4" s="1"/>
  <c r="G30" i="4"/>
  <c r="I30" i="4" s="1"/>
  <c r="K30" i="4" s="1"/>
  <c r="M30" i="4" s="1"/>
  <c r="O30" i="4" s="1"/>
  <c r="Q30" i="4" s="1"/>
  <c r="S30" i="4" s="1"/>
  <c r="U30" i="4" s="1"/>
  <c r="W30" i="4" s="1"/>
  <c r="Y30" i="4" s="1"/>
  <c r="AA30" i="4" s="1"/>
  <c r="AC30" i="4" s="1"/>
  <c r="AE30" i="4" s="1"/>
  <c r="AG30" i="4" s="1"/>
  <c r="G31" i="4"/>
  <c r="I31" i="4" s="1"/>
  <c r="K31" i="4" s="1"/>
  <c r="M31" i="4" s="1"/>
  <c r="O31" i="4" s="1"/>
  <c r="Q31" i="4" s="1"/>
  <c r="S31" i="4" s="1"/>
  <c r="U31" i="4" s="1"/>
  <c r="W31" i="4" s="1"/>
  <c r="Y31" i="4" s="1"/>
  <c r="AA31" i="4" s="1"/>
  <c r="AC31" i="4" s="1"/>
  <c r="AE31" i="4" s="1"/>
  <c r="AG31" i="4" s="1"/>
  <c r="G32" i="4"/>
  <c r="I32" i="4" s="1"/>
  <c r="K32" i="4" s="1"/>
  <c r="M32" i="4" s="1"/>
  <c r="O32" i="4" s="1"/>
  <c r="Q32" i="4" s="1"/>
  <c r="S32" i="4" s="1"/>
  <c r="U32" i="4" s="1"/>
  <c r="W32" i="4" s="1"/>
  <c r="Y32" i="4" s="1"/>
  <c r="AA32" i="4" s="1"/>
  <c r="AC32" i="4" s="1"/>
  <c r="AE32" i="4" s="1"/>
  <c r="AG32" i="4" s="1"/>
  <c r="G33" i="4"/>
  <c r="I33" i="4" s="1"/>
  <c r="K33" i="4" s="1"/>
  <c r="M33" i="4" s="1"/>
  <c r="O33" i="4" s="1"/>
  <c r="Q33" i="4" s="1"/>
  <c r="S33" i="4" s="1"/>
  <c r="U33" i="4" s="1"/>
  <c r="W33" i="4" s="1"/>
  <c r="Y33" i="4" s="1"/>
  <c r="AA33" i="4" s="1"/>
  <c r="AC33" i="4" s="1"/>
  <c r="AE33" i="4" s="1"/>
  <c r="AG33" i="4" s="1"/>
  <c r="G34" i="4"/>
  <c r="I34" i="4" s="1"/>
  <c r="K34" i="4" s="1"/>
  <c r="M34" i="4" s="1"/>
  <c r="O34" i="4" s="1"/>
  <c r="Q34" i="4" s="1"/>
  <c r="S34" i="4" s="1"/>
  <c r="U34" i="4" s="1"/>
  <c r="W34" i="4" s="1"/>
  <c r="Y34" i="4" s="1"/>
  <c r="AA34" i="4" s="1"/>
  <c r="AC34" i="4" s="1"/>
  <c r="AE34" i="4" s="1"/>
  <c r="AG34" i="4" s="1"/>
  <c r="G35" i="4"/>
  <c r="I35" i="4" s="1"/>
  <c r="K35" i="4" s="1"/>
  <c r="M35" i="4" s="1"/>
  <c r="O35" i="4" s="1"/>
  <c r="Q35" i="4" s="1"/>
  <c r="S35" i="4" s="1"/>
  <c r="U35" i="4" s="1"/>
  <c r="W35" i="4" s="1"/>
  <c r="Y35" i="4" s="1"/>
  <c r="AA35" i="4" s="1"/>
  <c r="AC35" i="4" s="1"/>
  <c r="AE35" i="4" s="1"/>
  <c r="AG35" i="4" s="1"/>
  <c r="G36" i="4"/>
  <c r="I36" i="4" s="1"/>
  <c r="K36" i="4" s="1"/>
  <c r="M36" i="4" s="1"/>
  <c r="O36" i="4" s="1"/>
  <c r="Q36" i="4" s="1"/>
  <c r="S36" i="4" s="1"/>
  <c r="U36" i="4" s="1"/>
  <c r="W36" i="4" s="1"/>
  <c r="Y36" i="4" s="1"/>
  <c r="AA36" i="4" s="1"/>
  <c r="AC36" i="4" s="1"/>
  <c r="AE36" i="4" s="1"/>
  <c r="AG36" i="4" s="1"/>
  <c r="G37" i="4"/>
  <c r="I37" i="4" s="1"/>
  <c r="K37" i="4" s="1"/>
  <c r="M37" i="4" s="1"/>
  <c r="O37" i="4" s="1"/>
  <c r="Q37" i="4" s="1"/>
  <c r="S37" i="4" s="1"/>
  <c r="U37" i="4" s="1"/>
  <c r="W37" i="4" s="1"/>
  <c r="Y37" i="4" s="1"/>
  <c r="AA37" i="4" s="1"/>
  <c r="AC37" i="4" s="1"/>
  <c r="AE37" i="4" s="1"/>
  <c r="AG37" i="4" s="1"/>
  <c r="G38" i="4"/>
  <c r="I38" i="4" s="1"/>
  <c r="K38" i="4" s="1"/>
  <c r="M38" i="4" s="1"/>
  <c r="O38" i="4" s="1"/>
  <c r="Q38" i="4" s="1"/>
  <c r="S38" i="4" s="1"/>
  <c r="U38" i="4" s="1"/>
  <c r="W38" i="4" s="1"/>
  <c r="Y38" i="4" s="1"/>
  <c r="AA38" i="4" s="1"/>
  <c r="AC38" i="4" s="1"/>
  <c r="AE38" i="4" s="1"/>
  <c r="AG38" i="4" s="1"/>
  <c r="G39" i="4"/>
  <c r="I39" i="4" s="1"/>
  <c r="K39" i="4" s="1"/>
  <c r="M39" i="4" s="1"/>
  <c r="O39" i="4" s="1"/>
  <c r="Q39" i="4" s="1"/>
  <c r="S39" i="4" s="1"/>
  <c r="U39" i="4" s="1"/>
  <c r="W39" i="4" s="1"/>
  <c r="Y39" i="4" s="1"/>
  <c r="AA39" i="4" s="1"/>
  <c r="AC39" i="4" s="1"/>
  <c r="AE39" i="4" s="1"/>
  <c r="AG39" i="4" s="1"/>
  <c r="G40" i="4"/>
  <c r="I40" i="4" s="1"/>
  <c r="K40" i="4" s="1"/>
  <c r="M40" i="4" s="1"/>
  <c r="O40" i="4" s="1"/>
  <c r="Q40" i="4" s="1"/>
  <c r="S40" i="4" s="1"/>
  <c r="U40" i="4" s="1"/>
  <c r="W40" i="4" s="1"/>
  <c r="Y40" i="4" s="1"/>
  <c r="AA40" i="4" s="1"/>
  <c r="AC40" i="4" s="1"/>
  <c r="AE40" i="4" s="1"/>
  <c r="AG40" i="4" s="1"/>
  <c r="G41" i="4"/>
  <c r="I41" i="4" s="1"/>
  <c r="K41" i="4" s="1"/>
  <c r="M41" i="4" s="1"/>
  <c r="O41" i="4" s="1"/>
  <c r="Q41" i="4" s="1"/>
  <c r="S41" i="4" s="1"/>
  <c r="U41" i="4" s="1"/>
  <c r="W41" i="4" s="1"/>
  <c r="Y41" i="4" s="1"/>
  <c r="AA41" i="4" s="1"/>
  <c r="AC41" i="4" s="1"/>
  <c r="AE41" i="4" s="1"/>
  <c r="AG41" i="4" s="1"/>
  <c r="G42" i="4"/>
  <c r="I42" i="4" s="1"/>
  <c r="K42" i="4" s="1"/>
  <c r="M42" i="4" s="1"/>
  <c r="O42" i="4" s="1"/>
  <c r="Q42" i="4" s="1"/>
  <c r="S42" i="4" s="1"/>
  <c r="U42" i="4" s="1"/>
  <c r="W42" i="4" s="1"/>
  <c r="Y42" i="4" s="1"/>
  <c r="AA42" i="4" s="1"/>
  <c r="AC42" i="4" s="1"/>
  <c r="AE42" i="4" s="1"/>
  <c r="AG42" i="4" s="1"/>
  <c r="G43" i="4"/>
  <c r="I43" i="4" s="1"/>
  <c r="K43" i="4" s="1"/>
  <c r="M43" i="4" s="1"/>
  <c r="O43" i="4" s="1"/>
  <c r="Q43" i="4" s="1"/>
  <c r="S43" i="4" s="1"/>
  <c r="U43" i="4" s="1"/>
  <c r="W43" i="4" s="1"/>
  <c r="Y43" i="4" s="1"/>
  <c r="AA43" i="4" s="1"/>
  <c r="AC43" i="4" s="1"/>
  <c r="AE43" i="4" s="1"/>
  <c r="AG43" i="4" s="1"/>
  <c r="G44" i="4"/>
  <c r="I44" i="4" s="1"/>
  <c r="K44" i="4" s="1"/>
  <c r="M44" i="4" s="1"/>
  <c r="O44" i="4" s="1"/>
  <c r="Q44" i="4" s="1"/>
  <c r="S44" i="4" s="1"/>
  <c r="U44" i="4" s="1"/>
  <c r="W44" i="4" s="1"/>
  <c r="Y44" i="4" s="1"/>
  <c r="AA44" i="4" s="1"/>
  <c r="AC44" i="4" s="1"/>
  <c r="AE44" i="4" s="1"/>
  <c r="AG44" i="4" s="1"/>
  <c r="G45" i="4"/>
  <c r="G46" i="4"/>
  <c r="I46" i="4" s="1"/>
  <c r="K46" i="4" s="1"/>
  <c r="M46" i="4" s="1"/>
  <c r="O46" i="4" s="1"/>
  <c r="Q46" i="4" s="1"/>
  <c r="S46" i="4" s="1"/>
  <c r="U46" i="4" s="1"/>
  <c r="W46" i="4" s="1"/>
  <c r="Y46" i="4" s="1"/>
  <c r="AA46" i="4" s="1"/>
  <c r="AC46" i="4" s="1"/>
  <c r="AE46" i="4" s="1"/>
  <c r="AG46" i="4" s="1"/>
  <c r="G47" i="4"/>
  <c r="I47" i="4" s="1"/>
  <c r="K47" i="4" s="1"/>
  <c r="M47" i="4" s="1"/>
  <c r="O47" i="4" s="1"/>
  <c r="Q47" i="4" s="1"/>
  <c r="S47" i="4" s="1"/>
  <c r="U47" i="4" s="1"/>
  <c r="W47" i="4" s="1"/>
  <c r="Y47" i="4" s="1"/>
  <c r="AA47" i="4" s="1"/>
  <c r="AC47" i="4" s="1"/>
  <c r="AE47" i="4" s="1"/>
  <c r="AG47" i="4" s="1"/>
  <c r="G48" i="4"/>
  <c r="I48" i="4" s="1"/>
  <c r="K48" i="4" s="1"/>
  <c r="M48" i="4" s="1"/>
  <c r="O48" i="4" s="1"/>
  <c r="Q48" i="4" s="1"/>
  <c r="S48" i="4" s="1"/>
  <c r="U48" i="4" s="1"/>
  <c r="W48" i="4" s="1"/>
  <c r="Y48" i="4" s="1"/>
  <c r="AA48" i="4" s="1"/>
  <c r="AC48" i="4" s="1"/>
  <c r="AE48" i="4" s="1"/>
  <c r="AG48" i="4" s="1"/>
  <c r="G49" i="4"/>
  <c r="I49" i="4" s="1"/>
  <c r="K49" i="4" s="1"/>
  <c r="M49" i="4" s="1"/>
  <c r="O49" i="4" s="1"/>
  <c r="Q49" i="4" s="1"/>
  <c r="S49" i="4" s="1"/>
  <c r="U49" i="4" s="1"/>
  <c r="W49" i="4" s="1"/>
  <c r="Y49" i="4" s="1"/>
  <c r="AA49" i="4" s="1"/>
  <c r="AC49" i="4" s="1"/>
  <c r="AE49" i="4" s="1"/>
  <c r="AG49" i="4" s="1"/>
  <c r="G50" i="4"/>
  <c r="I50" i="4" s="1"/>
  <c r="K50" i="4" s="1"/>
  <c r="M50" i="4" s="1"/>
  <c r="O50" i="4" s="1"/>
  <c r="Q50" i="4" s="1"/>
  <c r="S50" i="4" s="1"/>
  <c r="U50" i="4" s="1"/>
  <c r="W50" i="4" s="1"/>
  <c r="Y50" i="4" s="1"/>
  <c r="AA50" i="4" s="1"/>
  <c r="AC50" i="4" s="1"/>
  <c r="AE50" i="4" s="1"/>
  <c r="AG50" i="4" s="1"/>
  <c r="G51" i="4"/>
  <c r="I51" i="4" s="1"/>
  <c r="K51" i="4" s="1"/>
  <c r="M51" i="4" s="1"/>
  <c r="O51" i="4" s="1"/>
  <c r="Q51" i="4" s="1"/>
  <c r="S51" i="4" s="1"/>
  <c r="U51" i="4" s="1"/>
  <c r="W51" i="4" s="1"/>
  <c r="Y51" i="4" s="1"/>
  <c r="AA51" i="4" s="1"/>
  <c r="AC51" i="4" s="1"/>
  <c r="AE51" i="4" s="1"/>
  <c r="AG51" i="4" s="1"/>
  <c r="G52" i="4"/>
  <c r="G53" i="4"/>
  <c r="I53" i="4" s="1"/>
  <c r="K53" i="4" s="1"/>
  <c r="M53" i="4" s="1"/>
  <c r="O53" i="4" s="1"/>
  <c r="Q53" i="4" s="1"/>
  <c r="S53" i="4" s="1"/>
  <c r="U53" i="4" s="1"/>
  <c r="W53" i="4" s="1"/>
  <c r="Y53" i="4" s="1"/>
  <c r="AA53" i="4" s="1"/>
  <c r="AC53" i="4" s="1"/>
  <c r="AE53" i="4" s="1"/>
  <c r="AG53" i="4" s="1"/>
  <c r="G54" i="4"/>
  <c r="I54" i="4" s="1"/>
  <c r="K54" i="4" s="1"/>
  <c r="M54" i="4" s="1"/>
  <c r="O54" i="4" s="1"/>
  <c r="Q54" i="4" s="1"/>
  <c r="S54" i="4" s="1"/>
  <c r="U54" i="4" s="1"/>
  <c r="W54" i="4" s="1"/>
  <c r="Y54" i="4" s="1"/>
  <c r="AA54" i="4" s="1"/>
  <c r="AC54" i="4" s="1"/>
  <c r="AE54" i="4" s="1"/>
  <c r="AG54" i="4" s="1"/>
  <c r="G55" i="4"/>
  <c r="G56" i="4"/>
  <c r="I56" i="4" s="1"/>
  <c r="K56" i="4" s="1"/>
  <c r="M56" i="4" s="1"/>
  <c r="O56" i="4" s="1"/>
  <c r="Q56" i="4" s="1"/>
  <c r="S56" i="4" s="1"/>
  <c r="U56" i="4" s="1"/>
  <c r="W56" i="4" s="1"/>
  <c r="Y56" i="4" s="1"/>
  <c r="AA56" i="4" s="1"/>
  <c r="AC56" i="4" s="1"/>
  <c r="AE56" i="4" s="1"/>
  <c r="AG56" i="4" s="1"/>
  <c r="G57" i="4"/>
  <c r="I57" i="4" s="1"/>
  <c r="K57" i="4" s="1"/>
  <c r="M57" i="4" s="1"/>
  <c r="O57" i="4" s="1"/>
  <c r="Q57" i="4" s="1"/>
  <c r="S57" i="4" s="1"/>
  <c r="U57" i="4" s="1"/>
  <c r="W57" i="4" s="1"/>
  <c r="Y57" i="4" s="1"/>
  <c r="AA57" i="4" s="1"/>
  <c r="AC57" i="4" s="1"/>
  <c r="AE57" i="4" s="1"/>
  <c r="AG57" i="4" s="1"/>
  <c r="G58" i="4"/>
  <c r="I58" i="4" s="1"/>
  <c r="K58" i="4" s="1"/>
  <c r="M58" i="4" s="1"/>
  <c r="O58" i="4" s="1"/>
  <c r="Q58" i="4" s="1"/>
  <c r="S58" i="4" s="1"/>
  <c r="U58" i="4" s="1"/>
  <c r="W58" i="4" s="1"/>
  <c r="Y58" i="4" s="1"/>
  <c r="AA58" i="4" s="1"/>
  <c r="AC58" i="4" s="1"/>
  <c r="AE58" i="4" s="1"/>
  <c r="AG58" i="4" s="1"/>
  <c r="G59" i="4"/>
  <c r="I59" i="4" s="1"/>
  <c r="K59" i="4" s="1"/>
  <c r="M59" i="4" s="1"/>
  <c r="O59" i="4" s="1"/>
  <c r="Q59" i="4" s="1"/>
  <c r="S59" i="4" s="1"/>
  <c r="U59" i="4" s="1"/>
  <c r="W59" i="4" s="1"/>
  <c r="Y59" i="4" s="1"/>
  <c r="AA59" i="4" s="1"/>
  <c r="AC59" i="4" s="1"/>
  <c r="AE59" i="4" s="1"/>
  <c r="AG59" i="4" s="1"/>
  <c r="G60" i="4"/>
  <c r="I60" i="4" s="1"/>
  <c r="K60" i="4" s="1"/>
  <c r="M60" i="4" s="1"/>
  <c r="O60" i="4" s="1"/>
  <c r="Q60" i="4" s="1"/>
  <c r="S60" i="4" s="1"/>
  <c r="U60" i="4" s="1"/>
  <c r="W60" i="4" s="1"/>
  <c r="Y60" i="4" s="1"/>
  <c r="AA60" i="4" s="1"/>
  <c r="AC60" i="4" s="1"/>
  <c r="AE60" i="4" s="1"/>
  <c r="AG60" i="4" s="1"/>
  <c r="G61" i="4"/>
  <c r="G62" i="4"/>
  <c r="I62" i="4" s="1"/>
  <c r="K62" i="4" s="1"/>
  <c r="M62" i="4" s="1"/>
  <c r="O62" i="4" s="1"/>
  <c r="Q62" i="4" s="1"/>
  <c r="S62" i="4" s="1"/>
  <c r="U62" i="4" s="1"/>
  <c r="W62" i="4" s="1"/>
  <c r="Y62" i="4" s="1"/>
  <c r="AA62" i="4" s="1"/>
  <c r="AC62" i="4" s="1"/>
  <c r="AE62" i="4" s="1"/>
  <c r="AG62" i="4" s="1"/>
  <c r="G63" i="4"/>
  <c r="I63" i="4" s="1"/>
  <c r="K63" i="4" s="1"/>
  <c r="M63" i="4" s="1"/>
  <c r="O63" i="4" s="1"/>
  <c r="Q63" i="4" s="1"/>
  <c r="S63" i="4" s="1"/>
  <c r="U63" i="4" s="1"/>
  <c r="W63" i="4" s="1"/>
  <c r="Y63" i="4" s="1"/>
  <c r="AA63" i="4" s="1"/>
  <c r="AC63" i="4" s="1"/>
  <c r="AE63" i="4" s="1"/>
  <c r="AG63" i="4" s="1"/>
  <c r="G64" i="4"/>
  <c r="I64" i="4" s="1"/>
  <c r="K64" i="4" s="1"/>
  <c r="M64" i="4" s="1"/>
  <c r="O64" i="4" s="1"/>
  <c r="Q64" i="4" s="1"/>
  <c r="S64" i="4" s="1"/>
  <c r="U64" i="4" s="1"/>
  <c r="W64" i="4" s="1"/>
  <c r="Y64" i="4" s="1"/>
  <c r="AA64" i="4" s="1"/>
  <c r="AC64" i="4" s="1"/>
  <c r="AE64" i="4" s="1"/>
  <c r="AG64" i="4" s="1"/>
  <c r="G65" i="4"/>
  <c r="I65" i="4" s="1"/>
  <c r="K65" i="4" s="1"/>
  <c r="M65" i="4" s="1"/>
  <c r="O65" i="4" s="1"/>
  <c r="Q65" i="4" s="1"/>
  <c r="S65" i="4" s="1"/>
  <c r="U65" i="4" s="1"/>
  <c r="W65" i="4" s="1"/>
  <c r="Y65" i="4" s="1"/>
  <c r="AA65" i="4" s="1"/>
  <c r="AC65" i="4" s="1"/>
  <c r="AE65" i="4" s="1"/>
  <c r="AG65" i="4" s="1"/>
  <c r="G66" i="4"/>
  <c r="G67" i="4"/>
  <c r="I67" i="4" s="1"/>
  <c r="K67" i="4" s="1"/>
  <c r="M67" i="4" s="1"/>
  <c r="O67" i="4" s="1"/>
  <c r="Q67" i="4" s="1"/>
  <c r="S67" i="4" s="1"/>
  <c r="U67" i="4" s="1"/>
  <c r="W67" i="4" s="1"/>
  <c r="Y67" i="4" s="1"/>
  <c r="AA67" i="4" s="1"/>
  <c r="AC67" i="4" s="1"/>
  <c r="AE67" i="4" s="1"/>
  <c r="AG67" i="4" s="1"/>
  <c r="G68" i="4"/>
  <c r="I68" i="4" s="1"/>
  <c r="K68" i="4" s="1"/>
  <c r="M68" i="4" s="1"/>
  <c r="O68" i="4" s="1"/>
  <c r="Q68" i="4" s="1"/>
  <c r="S68" i="4" s="1"/>
  <c r="U68" i="4" s="1"/>
  <c r="W68" i="4" s="1"/>
  <c r="Y68" i="4" s="1"/>
  <c r="AA68" i="4" s="1"/>
  <c r="AC68" i="4" s="1"/>
  <c r="AE68" i="4" s="1"/>
  <c r="AG68" i="4" s="1"/>
  <c r="G3" i="4"/>
  <c r="I3" i="4" s="1"/>
  <c r="K3" i="4" s="1"/>
  <c r="M3" i="4" s="1"/>
  <c r="O3" i="4" s="1"/>
  <c r="Q3" i="4" s="1"/>
  <c r="S3" i="4" s="1"/>
  <c r="U3" i="4" s="1"/>
  <c r="W3" i="4" s="1"/>
  <c r="Y3" i="4" s="1"/>
  <c r="AA3" i="4" s="1"/>
  <c r="AC3" i="4" s="1"/>
  <c r="AE3" i="4" s="1"/>
  <c r="AG3" i="4" s="1"/>
  <c r="C64" i="11" l="1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C33" i="11"/>
  <c r="D33" i="11"/>
  <c r="C34" i="11"/>
  <c r="D34" i="11"/>
  <c r="C35" i="11"/>
  <c r="D35" i="11"/>
  <c r="C36" i="11"/>
  <c r="D36" i="11"/>
  <c r="C37" i="11"/>
  <c r="D37" i="11"/>
  <c r="C38" i="11"/>
  <c r="D38" i="11"/>
  <c r="C39" i="11"/>
  <c r="D39" i="11"/>
  <c r="C40" i="11"/>
  <c r="D40" i="11"/>
  <c r="C41" i="11"/>
  <c r="D41" i="11"/>
  <c r="C42" i="11"/>
  <c r="D42" i="11"/>
  <c r="C43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C50" i="11"/>
  <c r="D50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D64" i="11"/>
  <c r="C65" i="11"/>
  <c r="D65" i="11"/>
  <c r="C66" i="11"/>
  <c r="D66" i="11"/>
  <c r="C67" i="11"/>
  <c r="D67" i="11"/>
  <c r="C68" i="11"/>
  <c r="D68" i="11"/>
  <c r="D3" i="11"/>
  <c r="C3" i="11"/>
  <c r="C101" i="11" a="1"/>
  <c r="D101" i="11" s="1"/>
  <c r="B146" i="11"/>
  <c r="B157" i="11" s="1"/>
  <c r="B168" i="11" s="1"/>
  <c r="B142" i="11"/>
  <c r="B153" i="11" s="1"/>
  <c r="B164" i="11" s="1"/>
  <c r="B138" i="11"/>
  <c r="B149" i="11" s="1"/>
  <c r="B160" i="11" s="1"/>
  <c r="B135" i="11"/>
  <c r="A135" i="11"/>
  <c r="A146" i="11" s="1"/>
  <c r="A157" i="11" s="1"/>
  <c r="A168" i="11" s="1"/>
  <c r="B134" i="11"/>
  <c r="B145" i="11" s="1"/>
  <c r="B156" i="11" s="1"/>
  <c r="B167" i="11" s="1"/>
  <c r="A133" i="11"/>
  <c r="A144" i="11" s="1"/>
  <c r="A155" i="11" s="1"/>
  <c r="A166" i="11" s="1"/>
  <c r="B131" i="11"/>
  <c r="A131" i="11"/>
  <c r="A142" i="11" s="1"/>
  <c r="A153" i="11" s="1"/>
  <c r="A164" i="11" s="1"/>
  <c r="B130" i="11"/>
  <c r="B141" i="11" s="1"/>
  <c r="B152" i="11" s="1"/>
  <c r="B163" i="11" s="1"/>
  <c r="A129" i="11"/>
  <c r="A140" i="11" s="1"/>
  <c r="A151" i="11" s="1"/>
  <c r="A162" i="11" s="1"/>
  <c r="B127" i="11"/>
  <c r="A127" i="11"/>
  <c r="A138" i="11" s="1"/>
  <c r="A149" i="11" s="1"/>
  <c r="A160" i="11" s="1"/>
  <c r="B126" i="11"/>
  <c r="B137" i="11" s="1"/>
  <c r="B148" i="11" s="1"/>
  <c r="B159" i="11" s="1"/>
  <c r="A125" i="11"/>
  <c r="A136" i="11" s="1"/>
  <c r="A147" i="11" s="1"/>
  <c r="A158" i="11" s="1"/>
  <c r="B124" i="11"/>
  <c r="A124" i="11"/>
  <c r="B123" i="11"/>
  <c r="A123" i="11"/>
  <c r="A134" i="11" s="1"/>
  <c r="A145" i="11" s="1"/>
  <c r="A156" i="11" s="1"/>
  <c r="A167" i="11" s="1"/>
  <c r="B122" i="11"/>
  <c r="B133" i="11" s="1"/>
  <c r="B144" i="11" s="1"/>
  <c r="B155" i="11" s="1"/>
  <c r="B166" i="11" s="1"/>
  <c r="A122" i="11"/>
  <c r="B121" i="11"/>
  <c r="B132" i="11" s="1"/>
  <c r="B143" i="11" s="1"/>
  <c r="B154" i="11" s="1"/>
  <c r="B165" i="11" s="1"/>
  <c r="A121" i="11"/>
  <c r="A132" i="11" s="1"/>
  <c r="A143" i="11" s="1"/>
  <c r="A154" i="11" s="1"/>
  <c r="A165" i="11" s="1"/>
  <c r="B120" i="11"/>
  <c r="A120" i="11"/>
  <c r="B119" i="11"/>
  <c r="A119" i="11"/>
  <c r="A130" i="11" s="1"/>
  <c r="A141" i="11" s="1"/>
  <c r="A152" i="11" s="1"/>
  <c r="A163" i="11" s="1"/>
  <c r="B118" i="11"/>
  <c r="B129" i="11" s="1"/>
  <c r="B140" i="11" s="1"/>
  <c r="B151" i="11" s="1"/>
  <c r="B162" i="11" s="1"/>
  <c r="A118" i="11"/>
  <c r="B117" i="11"/>
  <c r="B128" i="11" s="1"/>
  <c r="B139" i="11" s="1"/>
  <c r="B150" i="11" s="1"/>
  <c r="B161" i="11" s="1"/>
  <c r="A117" i="11"/>
  <c r="A128" i="11" s="1"/>
  <c r="A139" i="11" s="1"/>
  <c r="A150" i="11" s="1"/>
  <c r="A161" i="11" s="1"/>
  <c r="B116" i="11"/>
  <c r="A116" i="11"/>
  <c r="B115" i="11"/>
  <c r="A115" i="11"/>
  <c r="A126" i="11" s="1"/>
  <c r="A137" i="11" s="1"/>
  <c r="A148" i="11" s="1"/>
  <c r="A159" i="11" s="1"/>
  <c r="B114" i="11"/>
  <c r="B125" i="11" s="1"/>
  <c r="B136" i="11" s="1"/>
  <c r="B147" i="11" s="1"/>
  <c r="B158" i="11" s="1"/>
  <c r="A114" i="11"/>
  <c r="A113" i="11"/>
  <c r="A112" i="11"/>
  <c r="A111" i="11"/>
  <c r="A110" i="11"/>
  <c r="A109" i="11"/>
  <c r="A108" i="11"/>
  <c r="A107" i="11"/>
  <c r="A106" i="11"/>
  <c r="A105" i="11"/>
  <c r="A104" i="11"/>
  <c r="B113" i="11"/>
  <c r="B112" i="11"/>
  <c r="B111" i="11"/>
  <c r="B110" i="11"/>
  <c r="B109" i="11"/>
  <c r="B108" i="11"/>
  <c r="B107" i="11"/>
  <c r="B106" i="11"/>
  <c r="B105" i="11"/>
  <c r="B104" i="11"/>
  <c r="B103" i="11"/>
  <c r="B103" i="11" a="1"/>
  <c r="A103" i="11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B10" i="9"/>
  <c r="B3" i="9"/>
  <c r="B5" i="9"/>
  <c r="B4" i="9"/>
  <c r="B6" i="9"/>
  <c r="B7" i="9"/>
  <c r="B8" i="9"/>
  <c r="B9" i="9"/>
  <c r="B11" i="9"/>
  <c r="B12" i="9"/>
  <c r="B13" i="9"/>
  <c r="C101" i="11" l="1"/>
  <c r="B181" i="7" l="1" a="1"/>
  <c r="B181" i="7"/>
  <c r="C181" i="7"/>
  <c r="D181" i="7"/>
  <c r="E181" i="7"/>
  <c r="F181" i="7"/>
  <c r="G181" i="7"/>
  <c r="A182" i="7" a="1"/>
  <c r="A182" i="7"/>
  <c r="A183" i="7"/>
  <c r="A184" i="7"/>
  <c r="A185" i="7"/>
  <c r="A186" i="7"/>
  <c r="A187" i="7"/>
  <c r="A188" i="7"/>
  <c r="A189" i="7"/>
  <c r="A190" i="7"/>
  <c r="A191" i="7"/>
  <c r="A192" i="7"/>
  <c r="B146" i="7"/>
  <c r="L167" i="7"/>
  <c r="R41" i="9" a="1"/>
  <c r="R41" i="9"/>
  <c r="R42" i="9"/>
  <c r="R43" i="9"/>
  <c r="R44" i="9"/>
  <c r="R45" i="9"/>
  <c r="R46" i="9"/>
  <c r="R47" i="9"/>
  <c r="R48" i="9"/>
  <c r="R49" i="9"/>
  <c r="R50" i="9"/>
  <c r="R51" i="9"/>
  <c r="O2" i="5"/>
  <c r="AB2" i="5" s="1"/>
  <c r="Y12" i="5"/>
  <c r="X12" i="5"/>
  <c r="W12" i="5"/>
  <c r="V12" i="5"/>
  <c r="U12" i="5"/>
  <c r="T12" i="5"/>
  <c r="S12" i="5"/>
  <c r="I35" i="5" a="1"/>
  <c r="I35" i="5"/>
  <c r="I36" i="5" a="1"/>
  <c r="I36" i="5"/>
  <c r="I37" i="5" a="1"/>
  <c r="I38" i="5" a="1"/>
  <c r="I37" i="5"/>
  <c r="I38" i="5"/>
  <c r="E12" i="5"/>
  <c r="R12" i="5"/>
  <c r="Q12" i="5"/>
  <c r="P12" i="5"/>
  <c r="O12" i="5"/>
  <c r="Y11" i="5"/>
  <c r="X11" i="5"/>
  <c r="W11" i="5"/>
  <c r="V11" i="5"/>
  <c r="U11" i="5"/>
  <c r="T11" i="5"/>
  <c r="S11" i="5"/>
  <c r="E11" i="5"/>
  <c r="R11" i="5"/>
  <c r="Q11" i="5"/>
  <c r="P11" i="5"/>
  <c r="O11" i="5"/>
  <c r="Y10" i="5"/>
  <c r="X10" i="5"/>
  <c r="W10" i="5"/>
  <c r="V10" i="5"/>
  <c r="U10" i="5"/>
  <c r="T10" i="5"/>
  <c r="S10" i="5"/>
  <c r="E10" i="5"/>
  <c r="R10" i="5"/>
  <c r="Q10" i="5"/>
  <c r="P10" i="5"/>
  <c r="O10" i="5"/>
  <c r="Y9" i="5"/>
  <c r="X9" i="5"/>
  <c r="W9" i="5"/>
  <c r="V9" i="5"/>
  <c r="U9" i="5"/>
  <c r="T9" i="5"/>
  <c r="S9" i="5"/>
  <c r="E9" i="5"/>
  <c r="R9" i="5"/>
  <c r="Q9" i="5"/>
  <c r="P9" i="5"/>
  <c r="O9" i="5"/>
  <c r="Y8" i="5"/>
  <c r="X8" i="5"/>
  <c r="W8" i="5"/>
  <c r="V8" i="5"/>
  <c r="U8" i="5"/>
  <c r="T8" i="5"/>
  <c r="S8" i="5"/>
  <c r="E8" i="5"/>
  <c r="R8" i="5"/>
  <c r="Q8" i="5"/>
  <c r="P8" i="5"/>
  <c r="O8" i="5"/>
  <c r="Y7" i="5"/>
  <c r="X7" i="5"/>
  <c r="W7" i="5"/>
  <c r="V7" i="5"/>
  <c r="U7" i="5"/>
  <c r="T7" i="5"/>
  <c r="S7" i="5"/>
  <c r="E7" i="5"/>
  <c r="R7" i="5"/>
  <c r="Q7" i="5"/>
  <c r="P7" i="5"/>
  <c r="O7" i="5"/>
  <c r="Y6" i="5"/>
  <c r="X6" i="5"/>
  <c r="W6" i="5"/>
  <c r="V6" i="5"/>
  <c r="U6" i="5"/>
  <c r="T6" i="5"/>
  <c r="S6" i="5"/>
  <c r="E6" i="5"/>
  <c r="R6" i="5"/>
  <c r="Q6" i="5"/>
  <c r="P6" i="5"/>
  <c r="O6" i="5"/>
  <c r="Y5" i="5"/>
  <c r="X5" i="5"/>
  <c r="W5" i="5"/>
  <c r="V5" i="5"/>
  <c r="U5" i="5"/>
  <c r="T5" i="5"/>
  <c r="S5" i="5"/>
  <c r="E5" i="5"/>
  <c r="R5" i="5"/>
  <c r="Q5" i="5"/>
  <c r="P5" i="5"/>
  <c r="O5" i="5"/>
  <c r="Y4" i="5"/>
  <c r="X4" i="5"/>
  <c r="W4" i="5"/>
  <c r="V4" i="5"/>
  <c r="U4" i="5"/>
  <c r="T4" i="5"/>
  <c r="S4" i="5"/>
  <c r="E4" i="5"/>
  <c r="R4" i="5"/>
  <c r="Q4" i="5"/>
  <c r="O4" i="5"/>
  <c r="Y3" i="5"/>
  <c r="X3" i="5"/>
  <c r="W3" i="5"/>
  <c r="V3" i="5"/>
  <c r="U3" i="5"/>
  <c r="T3" i="5"/>
  <c r="S3" i="5"/>
  <c r="E3" i="5"/>
  <c r="R3" i="5"/>
  <c r="Q3" i="5"/>
  <c r="P3" i="5"/>
  <c r="O3" i="5"/>
  <c r="Y2" i="5"/>
  <c r="X2" i="5"/>
  <c r="W2" i="5"/>
  <c r="V2" i="5"/>
  <c r="U2" i="5"/>
  <c r="T2" i="5"/>
  <c r="S2" i="5"/>
  <c r="E2" i="5"/>
  <c r="R2" i="5"/>
  <c r="Q2" i="5"/>
  <c r="P2" i="5"/>
  <c r="P4" i="5"/>
  <c r="K41" i="9" a="1"/>
  <c r="K41" i="9"/>
  <c r="K42" i="9"/>
  <c r="K43" i="9"/>
  <c r="K44" i="9"/>
  <c r="K45" i="9"/>
  <c r="K46" i="9"/>
  <c r="K47" i="9"/>
  <c r="K48" i="9"/>
  <c r="K49" i="9"/>
  <c r="K50" i="9"/>
  <c r="K51" i="9"/>
  <c r="F41" i="9" a="1"/>
  <c r="F41" i="9"/>
  <c r="F42" i="9"/>
  <c r="F43" i="9"/>
  <c r="F44" i="9"/>
  <c r="F45" i="9"/>
  <c r="F46" i="9"/>
  <c r="F47" i="9"/>
  <c r="F48" i="9"/>
  <c r="F49" i="9"/>
  <c r="F50" i="9"/>
  <c r="F51" i="9"/>
  <c r="A41" i="9" a="1"/>
  <c r="A41" i="9"/>
  <c r="A42" i="9"/>
  <c r="A43" i="9"/>
  <c r="A44" i="9"/>
  <c r="A45" i="9"/>
  <c r="A46" i="9"/>
  <c r="A47" i="9"/>
  <c r="A48" i="9"/>
  <c r="A49" i="9"/>
  <c r="A50" i="9"/>
  <c r="A51" i="9"/>
  <c r="A21" i="11"/>
  <c r="B145" i="7"/>
  <c r="J168" i="7"/>
  <c r="I168" i="7"/>
  <c r="B150" i="7"/>
  <c r="D171" i="7"/>
  <c r="C171" i="7"/>
  <c r="B171" i="7"/>
  <c r="M171" i="7"/>
  <c r="L171" i="7"/>
  <c r="J171" i="7"/>
  <c r="I171" i="7"/>
  <c r="H171" i="7"/>
  <c r="B144" i="7"/>
  <c r="M165" i="7"/>
  <c r="J165" i="7"/>
  <c r="I165" i="7"/>
  <c r="H165" i="7"/>
  <c r="I170" i="7"/>
  <c r="B149" i="7"/>
  <c r="B2" i="16"/>
  <c r="C2" i="16"/>
  <c r="D2" i="16"/>
  <c r="E2" i="16"/>
  <c r="F2" i="16"/>
  <c r="B3" i="16"/>
  <c r="C3" i="16"/>
  <c r="D3" i="16"/>
  <c r="E3" i="16"/>
  <c r="F3" i="16"/>
  <c r="B4" i="16"/>
  <c r="C4" i="16"/>
  <c r="D4" i="16"/>
  <c r="E4" i="16"/>
  <c r="F4" i="16"/>
  <c r="B5" i="16"/>
  <c r="C5" i="16"/>
  <c r="D5" i="16"/>
  <c r="E5" i="16"/>
  <c r="F5" i="16"/>
  <c r="B6" i="16"/>
  <c r="C6" i="16"/>
  <c r="D6" i="16"/>
  <c r="E6" i="16"/>
  <c r="F6" i="16"/>
  <c r="B7" i="16"/>
  <c r="C7" i="16"/>
  <c r="D7" i="16"/>
  <c r="E7" i="16"/>
  <c r="F7" i="16"/>
  <c r="B8" i="16"/>
  <c r="C8" i="16"/>
  <c r="D8" i="16"/>
  <c r="E8" i="16"/>
  <c r="F8" i="16"/>
  <c r="B9" i="16"/>
  <c r="C9" i="16"/>
  <c r="D9" i="16"/>
  <c r="E9" i="16"/>
  <c r="F9" i="16"/>
  <c r="B10" i="16"/>
  <c r="C10" i="16"/>
  <c r="D10" i="16"/>
  <c r="E10" i="16"/>
  <c r="F10" i="16"/>
  <c r="B11" i="16"/>
  <c r="C11" i="16"/>
  <c r="D11" i="16"/>
  <c r="E11" i="16"/>
  <c r="F11" i="16"/>
  <c r="B12" i="16"/>
  <c r="C12" i="16"/>
  <c r="D12" i="16"/>
  <c r="E12" i="16"/>
  <c r="F12" i="16"/>
  <c r="B13" i="16"/>
  <c r="C13" i="16"/>
  <c r="D13" i="16"/>
  <c r="E13" i="16"/>
  <c r="F13" i="16"/>
  <c r="B14" i="16"/>
  <c r="C14" i="16"/>
  <c r="D14" i="16"/>
  <c r="E14" i="16"/>
  <c r="F14" i="16"/>
  <c r="B15" i="16"/>
  <c r="C15" i="16"/>
  <c r="D15" i="16"/>
  <c r="E15" i="16"/>
  <c r="F15" i="16"/>
  <c r="B16" i="16"/>
  <c r="C16" i="16"/>
  <c r="D16" i="16"/>
  <c r="E16" i="16"/>
  <c r="F16" i="16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1" i="16"/>
  <c r="H169" i="7"/>
  <c r="C169" i="7"/>
  <c r="B169" i="7"/>
  <c r="B148" i="7"/>
  <c r="B143" i="7"/>
  <c r="B151" i="7"/>
  <c r="L164" i="7"/>
  <c r="M164" i="7"/>
  <c r="K164" i="7"/>
  <c r="J164" i="7"/>
  <c r="I164" i="7"/>
  <c r="H164" i="7"/>
  <c r="B164" i="7"/>
  <c r="B142" i="7"/>
  <c r="C163" i="7"/>
  <c r="D163" i="7"/>
  <c r="G163" i="7"/>
  <c r="L172" i="7"/>
  <c r="I172" i="7"/>
  <c r="H172" i="7"/>
  <c r="B153" i="7"/>
  <c r="H161" i="7" a="1"/>
  <c r="H161" i="7"/>
  <c r="I161" i="7"/>
  <c r="J161" i="7"/>
  <c r="K161" i="7"/>
  <c r="L161" i="7"/>
  <c r="M161" i="7"/>
  <c r="A69" i="15"/>
  <c r="B69" i="15"/>
  <c r="C69" i="15"/>
  <c r="E69" i="15" s="1"/>
  <c r="G69" i="15" s="1"/>
  <c r="I69" i="15" s="1"/>
  <c r="K69" i="15" s="1"/>
  <c r="M69" i="15" s="1"/>
  <c r="O69" i="15" s="1"/>
  <c r="Q69" i="15" s="1"/>
  <c r="S69" i="15" s="1"/>
  <c r="U69" i="15" s="1"/>
  <c r="W69" i="15" s="1"/>
  <c r="Y69" i="15" s="1"/>
  <c r="AA69" i="15" s="1"/>
  <c r="AC69" i="15" s="1"/>
  <c r="AE69" i="15" s="1"/>
  <c r="AG69" i="15" s="1"/>
  <c r="D69" i="15"/>
  <c r="F69" i="15" s="1"/>
  <c r="H69" i="15" s="1"/>
  <c r="J69" i="15" s="1"/>
  <c r="L69" i="15" s="1"/>
  <c r="N69" i="15" s="1"/>
  <c r="P69" i="15" s="1"/>
  <c r="R69" i="15" s="1"/>
  <c r="T69" i="15" s="1"/>
  <c r="V69" i="15" s="1"/>
  <c r="X69" i="15" s="1"/>
  <c r="Z69" i="15" s="1"/>
  <c r="AB69" i="15" s="1"/>
  <c r="AD69" i="15" s="1"/>
  <c r="AF69" i="15" s="1"/>
  <c r="AH69" i="15" s="1"/>
  <c r="A70" i="15"/>
  <c r="B70" i="15"/>
  <c r="C70" i="15"/>
  <c r="E70" i="15" s="1"/>
  <c r="G70" i="15" s="1"/>
  <c r="I70" i="15" s="1"/>
  <c r="K70" i="15" s="1"/>
  <c r="M70" i="15" s="1"/>
  <c r="O70" i="15" s="1"/>
  <c r="Q70" i="15" s="1"/>
  <c r="S70" i="15" s="1"/>
  <c r="U70" i="15" s="1"/>
  <c r="W70" i="15" s="1"/>
  <c r="Y70" i="15" s="1"/>
  <c r="AA70" i="15" s="1"/>
  <c r="AC70" i="15" s="1"/>
  <c r="AE70" i="15" s="1"/>
  <c r="AG70" i="15" s="1"/>
  <c r="D70" i="15"/>
  <c r="F70" i="15" s="1"/>
  <c r="H70" i="15" s="1"/>
  <c r="J70" i="15" s="1"/>
  <c r="L70" i="15" s="1"/>
  <c r="N70" i="15" s="1"/>
  <c r="P70" i="15" s="1"/>
  <c r="R70" i="15" s="1"/>
  <c r="T70" i="15" s="1"/>
  <c r="V70" i="15" s="1"/>
  <c r="X70" i="15" s="1"/>
  <c r="Z70" i="15" s="1"/>
  <c r="AB70" i="15" s="1"/>
  <c r="AD70" i="15" s="1"/>
  <c r="AF70" i="15" s="1"/>
  <c r="AH70" i="15" s="1"/>
  <c r="A71" i="15"/>
  <c r="B71" i="15"/>
  <c r="C71" i="15"/>
  <c r="E71" i="15" s="1"/>
  <c r="G71" i="15" s="1"/>
  <c r="I71" i="15" s="1"/>
  <c r="K71" i="15" s="1"/>
  <c r="M71" i="15" s="1"/>
  <c r="O71" i="15" s="1"/>
  <c r="Q71" i="15" s="1"/>
  <c r="S71" i="15" s="1"/>
  <c r="U71" i="15" s="1"/>
  <c r="W71" i="15" s="1"/>
  <c r="Y71" i="15" s="1"/>
  <c r="AA71" i="15" s="1"/>
  <c r="AC71" i="15" s="1"/>
  <c r="AE71" i="15" s="1"/>
  <c r="AG71" i="15" s="1"/>
  <c r="D71" i="15"/>
  <c r="F71" i="15" s="1"/>
  <c r="H71" i="15" s="1"/>
  <c r="J71" i="15" s="1"/>
  <c r="L71" i="15" s="1"/>
  <c r="N71" i="15" s="1"/>
  <c r="P71" i="15" s="1"/>
  <c r="R71" i="15" s="1"/>
  <c r="T71" i="15" s="1"/>
  <c r="V71" i="15" s="1"/>
  <c r="X71" i="15" s="1"/>
  <c r="Z71" i="15" s="1"/>
  <c r="AB71" i="15" s="1"/>
  <c r="AD71" i="15" s="1"/>
  <c r="AF71" i="15" s="1"/>
  <c r="AH71" i="15" s="1"/>
  <c r="A72" i="15"/>
  <c r="B72" i="15"/>
  <c r="C72" i="15"/>
  <c r="E72" i="15" s="1"/>
  <c r="G72" i="15" s="1"/>
  <c r="I72" i="15" s="1"/>
  <c r="K72" i="15" s="1"/>
  <c r="M72" i="15" s="1"/>
  <c r="O72" i="15" s="1"/>
  <c r="Q72" i="15" s="1"/>
  <c r="S72" i="15" s="1"/>
  <c r="U72" i="15" s="1"/>
  <c r="W72" i="15" s="1"/>
  <c r="Y72" i="15" s="1"/>
  <c r="AA72" i="15" s="1"/>
  <c r="AC72" i="15" s="1"/>
  <c r="AE72" i="15" s="1"/>
  <c r="AG72" i="15" s="1"/>
  <c r="D72" i="15"/>
  <c r="F72" i="15" s="1"/>
  <c r="H72" i="15" s="1"/>
  <c r="J72" i="15" s="1"/>
  <c r="L72" i="15" s="1"/>
  <c r="N72" i="15" s="1"/>
  <c r="P72" i="15" s="1"/>
  <c r="R72" i="15" s="1"/>
  <c r="T72" i="15" s="1"/>
  <c r="V72" i="15" s="1"/>
  <c r="X72" i="15" s="1"/>
  <c r="Z72" i="15" s="1"/>
  <c r="AB72" i="15" s="1"/>
  <c r="AD72" i="15" s="1"/>
  <c r="AF72" i="15" s="1"/>
  <c r="AH72" i="15" s="1"/>
  <c r="A73" i="15"/>
  <c r="B73" i="15"/>
  <c r="C73" i="15"/>
  <c r="E73" i="15" s="1"/>
  <c r="G73" i="15" s="1"/>
  <c r="I73" i="15" s="1"/>
  <c r="K73" i="15" s="1"/>
  <c r="M73" i="15" s="1"/>
  <c r="O73" i="15" s="1"/>
  <c r="Q73" i="15" s="1"/>
  <c r="S73" i="15" s="1"/>
  <c r="U73" i="15" s="1"/>
  <c r="W73" i="15" s="1"/>
  <c r="Y73" i="15" s="1"/>
  <c r="AA73" i="15" s="1"/>
  <c r="AC73" i="15" s="1"/>
  <c r="AE73" i="15" s="1"/>
  <c r="AG73" i="15" s="1"/>
  <c r="D73" i="15"/>
  <c r="F73" i="15" s="1"/>
  <c r="H73" i="15" s="1"/>
  <c r="J73" i="15" s="1"/>
  <c r="L73" i="15" s="1"/>
  <c r="N73" i="15" s="1"/>
  <c r="P73" i="15" s="1"/>
  <c r="R73" i="15" s="1"/>
  <c r="T73" i="15" s="1"/>
  <c r="V73" i="15" s="1"/>
  <c r="X73" i="15" s="1"/>
  <c r="Z73" i="15" s="1"/>
  <c r="AB73" i="15" s="1"/>
  <c r="AD73" i="15" s="1"/>
  <c r="AF73" i="15" s="1"/>
  <c r="AH73" i="15" s="1"/>
  <c r="A74" i="15"/>
  <c r="B74" i="15"/>
  <c r="C74" i="15"/>
  <c r="E74" i="15" s="1"/>
  <c r="G74" i="15" s="1"/>
  <c r="I74" i="15" s="1"/>
  <c r="K74" i="15" s="1"/>
  <c r="M74" i="15" s="1"/>
  <c r="O74" i="15" s="1"/>
  <c r="Q74" i="15" s="1"/>
  <c r="S74" i="15" s="1"/>
  <c r="U74" i="15" s="1"/>
  <c r="W74" i="15" s="1"/>
  <c r="Y74" i="15" s="1"/>
  <c r="AA74" i="15" s="1"/>
  <c r="AC74" i="15" s="1"/>
  <c r="AE74" i="15" s="1"/>
  <c r="AG74" i="15" s="1"/>
  <c r="D74" i="15"/>
  <c r="F74" i="15" s="1"/>
  <c r="H74" i="15" s="1"/>
  <c r="J74" i="15" s="1"/>
  <c r="L74" i="15" s="1"/>
  <c r="N74" i="15" s="1"/>
  <c r="P74" i="15" s="1"/>
  <c r="R74" i="15" s="1"/>
  <c r="T74" i="15" s="1"/>
  <c r="V74" i="15" s="1"/>
  <c r="X74" i="15" s="1"/>
  <c r="Z74" i="15" s="1"/>
  <c r="AB74" i="15" s="1"/>
  <c r="AD74" i="15" s="1"/>
  <c r="AF74" i="15" s="1"/>
  <c r="AH74" i="15" s="1"/>
  <c r="A75" i="15"/>
  <c r="B75" i="15"/>
  <c r="C75" i="15"/>
  <c r="E75" i="15" s="1"/>
  <c r="G75" i="15" s="1"/>
  <c r="I75" i="15" s="1"/>
  <c r="K75" i="15" s="1"/>
  <c r="M75" i="15" s="1"/>
  <c r="O75" i="15" s="1"/>
  <c r="Q75" i="15" s="1"/>
  <c r="S75" i="15" s="1"/>
  <c r="U75" i="15" s="1"/>
  <c r="W75" i="15" s="1"/>
  <c r="Y75" i="15" s="1"/>
  <c r="AA75" i="15" s="1"/>
  <c r="AC75" i="15" s="1"/>
  <c r="AE75" i="15" s="1"/>
  <c r="AG75" i="15" s="1"/>
  <c r="D75" i="15"/>
  <c r="F75" i="15" s="1"/>
  <c r="H75" i="15" s="1"/>
  <c r="J75" i="15" s="1"/>
  <c r="L75" i="15" s="1"/>
  <c r="N75" i="15" s="1"/>
  <c r="P75" i="15" s="1"/>
  <c r="R75" i="15" s="1"/>
  <c r="T75" i="15" s="1"/>
  <c r="V75" i="15" s="1"/>
  <c r="X75" i="15" s="1"/>
  <c r="Z75" i="15" s="1"/>
  <c r="AB75" i="15" s="1"/>
  <c r="AD75" i="15" s="1"/>
  <c r="AF75" i="15" s="1"/>
  <c r="AH75" i="15" s="1"/>
  <c r="A76" i="15"/>
  <c r="B76" i="15"/>
  <c r="C76" i="15"/>
  <c r="E76" i="15" s="1"/>
  <c r="G76" i="15" s="1"/>
  <c r="I76" i="15" s="1"/>
  <c r="K76" i="15" s="1"/>
  <c r="M76" i="15" s="1"/>
  <c r="O76" i="15" s="1"/>
  <c r="Q76" i="15" s="1"/>
  <c r="S76" i="15" s="1"/>
  <c r="U76" i="15" s="1"/>
  <c r="W76" i="15" s="1"/>
  <c r="Y76" i="15" s="1"/>
  <c r="AA76" i="15" s="1"/>
  <c r="AC76" i="15" s="1"/>
  <c r="AE76" i="15" s="1"/>
  <c r="AG76" i="15" s="1"/>
  <c r="D76" i="15"/>
  <c r="F76" i="15" s="1"/>
  <c r="H76" i="15" s="1"/>
  <c r="J76" i="15" s="1"/>
  <c r="L76" i="15" s="1"/>
  <c r="N76" i="15" s="1"/>
  <c r="P76" i="15" s="1"/>
  <c r="R76" i="15" s="1"/>
  <c r="T76" i="15" s="1"/>
  <c r="V76" i="15" s="1"/>
  <c r="X76" i="15" s="1"/>
  <c r="Z76" i="15" s="1"/>
  <c r="AB76" i="15" s="1"/>
  <c r="AD76" i="15" s="1"/>
  <c r="AF76" i="15" s="1"/>
  <c r="AH76" i="15" s="1"/>
  <c r="A77" i="15"/>
  <c r="B77" i="15"/>
  <c r="C77" i="15"/>
  <c r="E77" i="15" s="1"/>
  <c r="G77" i="15" s="1"/>
  <c r="I77" i="15" s="1"/>
  <c r="K77" i="15" s="1"/>
  <c r="M77" i="15" s="1"/>
  <c r="O77" i="15" s="1"/>
  <c r="Q77" i="15" s="1"/>
  <c r="S77" i="15" s="1"/>
  <c r="U77" i="15" s="1"/>
  <c r="W77" i="15" s="1"/>
  <c r="Y77" i="15" s="1"/>
  <c r="AA77" i="15" s="1"/>
  <c r="AC77" i="15" s="1"/>
  <c r="AE77" i="15" s="1"/>
  <c r="AG77" i="15" s="1"/>
  <c r="D77" i="15"/>
  <c r="F77" i="15" s="1"/>
  <c r="H77" i="15" s="1"/>
  <c r="J77" i="15" s="1"/>
  <c r="L77" i="15" s="1"/>
  <c r="N77" i="15" s="1"/>
  <c r="P77" i="15" s="1"/>
  <c r="R77" i="15" s="1"/>
  <c r="T77" i="15" s="1"/>
  <c r="V77" i="15" s="1"/>
  <c r="X77" i="15" s="1"/>
  <c r="Z77" i="15" s="1"/>
  <c r="AB77" i="15" s="1"/>
  <c r="AD77" i="15" s="1"/>
  <c r="AF77" i="15" s="1"/>
  <c r="AH77" i="15" s="1"/>
  <c r="A78" i="15"/>
  <c r="B78" i="15"/>
  <c r="C78" i="15"/>
  <c r="E78" i="15" s="1"/>
  <c r="G78" i="15" s="1"/>
  <c r="I78" i="15" s="1"/>
  <c r="K78" i="15" s="1"/>
  <c r="M78" i="15" s="1"/>
  <c r="O78" i="15" s="1"/>
  <c r="Q78" i="15" s="1"/>
  <c r="S78" i="15" s="1"/>
  <c r="U78" i="15" s="1"/>
  <c r="W78" i="15" s="1"/>
  <c r="Y78" i="15" s="1"/>
  <c r="AA78" i="15" s="1"/>
  <c r="AC78" i="15" s="1"/>
  <c r="AE78" i="15" s="1"/>
  <c r="AG78" i="15" s="1"/>
  <c r="D78" i="15"/>
  <c r="F78" i="15" s="1"/>
  <c r="H78" i="15" s="1"/>
  <c r="J78" i="15" s="1"/>
  <c r="L78" i="15" s="1"/>
  <c r="N78" i="15" s="1"/>
  <c r="P78" i="15" s="1"/>
  <c r="R78" i="15" s="1"/>
  <c r="T78" i="15" s="1"/>
  <c r="V78" i="15" s="1"/>
  <c r="X78" i="15" s="1"/>
  <c r="Z78" i="15" s="1"/>
  <c r="AB78" i="15" s="1"/>
  <c r="AD78" i="15" s="1"/>
  <c r="AF78" i="15" s="1"/>
  <c r="AH78" i="15" s="1"/>
  <c r="A79" i="15"/>
  <c r="B79" i="15"/>
  <c r="C79" i="15"/>
  <c r="E79" i="15" s="1"/>
  <c r="G79" i="15" s="1"/>
  <c r="I79" i="15" s="1"/>
  <c r="K79" i="15" s="1"/>
  <c r="M79" i="15" s="1"/>
  <c r="O79" i="15" s="1"/>
  <c r="Q79" i="15" s="1"/>
  <c r="S79" i="15" s="1"/>
  <c r="U79" i="15" s="1"/>
  <c r="W79" i="15" s="1"/>
  <c r="Y79" i="15" s="1"/>
  <c r="AA79" i="15" s="1"/>
  <c r="AC79" i="15" s="1"/>
  <c r="AE79" i="15" s="1"/>
  <c r="AG79" i="15" s="1"/>
  <c r="D79" i="15"/>
  <c r="F79" i="15" s="1"/>
  <c r="H79" i="15" s="1"/>
  <c r="J79" i="15" s="1"/>
  <c r="L79" i="15" s="1"/>
  <c r="N79" i="15" s="1"/>
  <c r="P79" i="15" s="1"/>
  <c r="R79" i="15" s="1"/>
  <c r="T79" i="15" s="1"/>
  <c r="V79" i="15" s="1"/>
  <c r="X79" i="15" s="1"/>
  <c r="Z79" i="15" s="1"/>
  <c r="AB79" i="15" s="1"/>
  <c r="AD79" i="15" s="1"/>
  <c r="AF79" i="15" s="1"/>
  <c r="AH79" i="15" s="1"/>
  <c r="A80" i="15"/>
  <c r="B80" i="15"/>
  <c r="C80" i="15"/>
  <c r="E80" i="15" s="1"/>
  <c r="G80" i="15" s="1"/>
  <c r="I80" i="15" s="1"/>
  <c r="K80" i="15" s="1"/>
  <c r="M80" i="15" s="1"/>
  <c r="O80" i="15" s="1"/>
  <c r="Q80" i="15" s="1"/>
  <c r="S80" i="15" s="1"/>
  <c r="U80" i="15" s="1"/>
  <c r="W80" i="15" s="1"/>
  <c r="Y80" i="15" s="1"/>
  <c r="AA80" i="15" s="1"/>
  <c r="AC80" i="15" s="1"/>
  <c r="AE80" i="15" s="1"/>
  <c r="AG80" i="15" s="1"/>
  <c r="D80" i="15"/>
  <c r="F80" i="15" s="1"/>
  <c r="H80" i="15" s="1"/>
  <c r="J80" i="15" s="1"/>
  <c r="L80" i="15" s="1"/>
  <c r="N80" i="15" s="1"/>
  <c r="P80" i="15" s="1"/>
  <c r="R80" i="15" s="1"/>
  <c r="T80" i="15" s="1"/>
  <c r="V80" i="15" s="1"/>
  <c r="X80" i="15" s="1"/>
  <c r="Z80" i="15" s="1"/>
  <c r="AB80" i="15" s="1"/>
  <c r="AD80" i="15" s="1"/>
  <c r="AF80" i="15" s="1"/>
  <c r="AH80" i="15" s="1"/>
  <c r="A81" i="15"/>
  <c r="B81" i="15"/>
  <c r="C81" i="15"/>
  <c r="E81" i="15" s="1"/>
  <c r="G81" i="15" s="1"/>
  <c r="I81" i="15" s="1"/>
  <c r="K81" i="15" s="1"/>
  <c r="M81" i="15" s="1"/>
  <c r="O81" i="15" s="1"/>
  <c r="Q81" i="15" s="1"/>
  <c r="S81" i="15" s="1"/>
  <c r="U81" i="15" s="1"/>
  <c r="W81" i="15" s="1"/>
  <c r="Y81" i="15" s="1"/>
  <c r="AA81" i="15" s="1"/>
  <c r="AC81" i="15" s="1"/>
  <c r="AE81" i="15" s="1"/>
  <c r="AG81" i="15" s="1"/>
  <c r="D81" i="15"/>
  <c r="F81" i="15" s="1"/>
  <c r="H81" i="15" s="1"/>
  <c r="J81" i="15" s="1"/>
  <c r="L81" i="15" s="1"/>
  <c r="N81" i="15" s="1"/>
  <c r="P81" i="15" s="1"/>
  <c r="R81" i="15" s="1"/>
  <c r="T81" i="15" s="1"/>
  <c r="V81" i="15" s="1"/>
  <c r="X81" i="15" s="1"/>
  <c r="Z81" i="15" s="1"/>
  <c r="AB81" i="15" s="1"/>
  <c r="AD81" i="15" s="1"/>
  <c r="AF81" i="15" s="1"/>
  <c r="AH81" i="15" s="1"/>
  <c r="A82" i="15"/>
  <c r="B82" i="15"/>
  <c r="C82" i="15"/>
  <c r="E82" i="15" s="1"/>
  <c r="G82" i="15" s="1"/>
  <c r="I82" i="15" s="1"/>
  <c r="K82" i="15" s="1"/>
  <c r="M82" i="15" s="1"/>
  <c r="O82" i="15" s="1"/>
  <c r="Q82" i="15" s="1"/>
  <c r="S82" i="15" s="1"/>
  <c r="U82" i="15" s="1"/>
  <c r="W82" i="15" s="1"/>
  <c r="Y82" i="15" s="1"/>
  <c r="AA82" i="15" s="1"/>
  <c r="AC82" i="15" s="1"/>
  <c r="AE82" i="15" s="1"/>
  <c r="AG82" i="15" s="1"/>
  <c r="D82" i="15"/>
  <c r="F82" i="15" s="1"/>
  <c r="H82" i="15" s="1"/>
  <c r="J82" i="15" s="1"/>
  <c r="L82" i="15" s="1"/>
  <c r="N82" i="15" s="1"/>
  <c r="P82" i="15" s="1"/>
  <c r="R82" i="15" s="1"/>
  <c r="T82" i="15" s="1"/>
  <c r="V82" i="15" s="1"/>
  <c r="X82" i="15" s="1"/>
  <c r="Z82" i="15" s="1"/>
  <c r="AB82" i="15" s="1"/>
  <c r="AD82" i="15" s="1"/>
  <c r="AF82" i="15" s="1"/>
  <c r="AH82" i="15" s="1"/>
  <c r="A83" i="15"/>
  <c r="B83" i="15"/>
  <c r="C83" i="15"/>
  <c r="E83" i="15" s="1"/>
  <c r="G83" i="15" s="1"/>
  <c r="I83" i="15" s="1"/>
  <c r="K83" i="15" s="1"/>
  <c r="M83" i="15" s="1"/>
  <c r="O83" i="15" s="1"/>
  <c r="Q83" i="15" s="1"/>
  <c r="S83" i="15" s="1"/>
  <c r="U83" i="15" s="1"/>
  <c r="W83" i="15" s="1"/>
  <c r="Y83" i="15" s="1"/>
  <c r="AA83" i="15" s="1"/>
  <c r="AC83" i="15" s="1"/>
  <c r="AE83" i="15" s="1"/>
  <c r="AG83" i="15" s="1"/>
  <c r="D83" i="15"/>
  <c r="F83" i="15" s="1"/>
  <c r="H83" i="15" s="1"/>
  <c r="J83" i="15" s="1"/>
  <c r="L83" i="15" s="1"/>
  <c r="N83" i="15" s="1"/>
  <c r="P83" i="15" s="1"/>
  <c r="R83" i="15" s="1"/>
  <c r="T83" i="15" s="1"/>
  <c r="V83" i="15" s="1"/>
  <c r="X83" i="15" s="1"/>
  <c r="Z83" i="15" s="1"/>
  <c r="AB83" i="15" s="1"/>
  <c r="AD83" i="15" s="1"/>
  <c r="AF83" i="15" s="1"/>
  <c r="AH83" i="15" s="1"/>
  <c r="A84" i="15"/>
  <c r="B84" i="15"/>
  <c r="C84" i="15"/>
  <c r="E84" i="15" s="1"/>
  <c r="G84" i="15" s="1"/>
  <c r="I84" i="15" s="1"/>
  <c r="K84" i="15" s="1"/>
  <c r="M84" i="15" s="1"/>
  <c r="O84" i="15" s="1"/>
  <c r="Q84" i="15" s="1"/>
  <c r="S84" i="15" s="1"/>
  <c r="U84" i="15" s="1"/>
  <c r="W84" i="15" s="1"/>
  <c r="Y84" i="15" s="1"/>
  <c r="AA84" i="15" s="1"/>
  <c r="AC84" i="15" s="1"/>
  <c r="AE84" i="15" s="1"/>
  <c r="AG84" i="15" s="1"/>
  <c r="D84" i="15"/>
  <c r="F84" i="15" s="1"/>
  <c r="H84" i="15" s="1"/>
  <c r="J84" i="15" s="1"/>
  <c r="L84" i="15" s="1"/>
  <c r="N84" i="15" s="1"/>
  <c r="P84" i="15" s="1"/>
  <c r="R84" i="15" s="1"/>
  <c r="T84" i="15" s="1"/>
  <c r="V84" i="15" s="1"/>
  <c r="X84" i="15" s="1"/>
  <c r="Z84" i="15" s="1"/>
  <c r="AB84" i="15" s="1"/>
  <c r="AD84" i="15" s="1"/>
  <c r="AF84" i="15" s="1"/>
  <c r="AH84" i="15" s="1"/>
  <c r="A85" i="15"/>
  <c r="B85" i="15"/>
  <c r="C85" i="15"/>
  <c r="E85" i="15" s="1"/>
  <c r="G85" i="15" s="1"/>
  <c r="I85" i="15" s="1"/>
  <c r="K85" i="15" s="1"/>
  <c r="M85" i="15" s="1"/>
  <c r="O85" i="15" s="1"/>
  <c r="Q85" i="15" s="1"/>
  <c r="S85" i="15" s="1"/>
  <c r="U85" i="15" s="1"/>
  <c r="W85" i="15" s="1"/>
  <c r="Y85" i="15" s="1"/>
  <c r="AA85" i="15" s="1"/>
  <c r="AC85" i="15" s="1"/>
  <c r="AE85" i="15" s="1"/>
  <c r="AG85" i="15" s="1"/>
  <c r="D85" i="15"/>
  <c r="F85" i="15" s="1"/>
  <c r="H85" i="15" s="1"/>
  <c r="J85" i="15" s="1"/>
  <c r="L85" i="15" s="1"/>
  <c r="N85" i="15" s="1"/>
  <c r="P85" i="15" s="1"/>
  <c r="R85" i="15" s="1"/>
  <c r="T85" i="15" s="1"/>
  <c r="V85" i="15" s="1"/>
  <c r="X85" i="15" s="1"/>
  <c r="Z85" i="15" s="1"/>
  <c r="AB85" i="15" s="1"/>
  <c r="AD85" i="15" s="1"/>
  <c r="AF85" i="15" s="1"/>
  <c r="AH85" i="15" s="1"/>
  <c r="A86" i="15"/>
  <c r="B86" i="15"/>
  <c r="C86" i="15"/>
  <c r="E86" i="15" s="1"/>
  <c r="G86" i="15" s="1"/>
  <c r="I86" i="15" s="1"/>
  <c r="K86" i="15" s="1"/>
  <c r="M86" i="15" s="1"/>
  <c r="O86" i="15" s="1"/>
  <c r="Q86" i="15" s="1"/>
  <c r="S86" i="15" s="1"/>
  <c r="U86" i="15" s="1"/>
  <c r="W86" i="15" s="1"/>
  <c r="Y86" i="15" s="1"/>
  <c r="AA86" i="15" s="1"/>
  <c r="AC86" i="15" s="1"/>
  <c r="AE86" i="15" s="1"/>
  <c r="AG86" i="15" s="1"/>
  <c r="D86" i="15"/>
  <c r="F86" i="15" s="1"/>
  <c r="H86" i="15" s="1"/>
  <c r="J86" i="15" s="1"/>
  <c r="L86" i="15" s="1"/>
  <c r="N86" i="15" s="1"/>
  <c r="P86" i="15" s="1"/>
  <c r="R86" i="15" s="1"/>
  <c r="T86" i="15" s="1"/>
  <c r="V86" i="15" s="1"/>
  <c r="X86" i="15" s="1"/>
  <c r="Z86" i="15" s="1"/>
  <c r="AB86" i="15" s="1"/>
  <c r="AD86" i="15" s="1"/>
  <c r="AF86" i="15" s="1"/>
  <c r="AH86" i="15" s="1"/>
  <c r="A87" i="15"/>
  <c r="B87" i="15"/>
  <c r="C87" i="15"/>
  <c r="E87" i="15" s="1"/>
  <c r="G87" i="15" s="1"/>
  <c r="I87" i="15" s="1"/>
  <c r="K87" i="15" s="1"/>
  <c r="M87" i="15" s="1"/>
  <c r="O87" i="15" s="1"/>
  <c r="Q87" i="15" s="1"/>
  <c r="S87" i="15" s="1"/>
  <c r="U87" i="15" s="1"/>
  <c r="W87" i="15" s="1"/>
  <c r="Y87" i="15" s="1"/>
  <c r="AA87" i="15" s="1"/>
  <c r="AC87" i="15" s="1"/>
  <c r="AE87" i="15" s="1"/>
  <c r="AG87" i="15" s="1"/>
  <c r="D87" i="15"/>
  <c r="F87" i="15" s="1"/>
  <c r="H87" i="15" s="1"/>
  <c r="J87" i="15" s="1"/>
  <c r="L87" i="15" s="1"/>
  <c r="N87" i="15" s="1"/>
  <c r="P87" i="15" s="1"/>
  <c r="R87" i="15" s="1"/>
  <c r="T87" i="15" s="1"/>
  <c r="V87" i="15" s="1"/>
  <c r="X87" i="15" s="1"/>
  <c r="Z87" i="15" s="1"/>
  <c r="AB87" i="15" s="1"/>
  <c r="AD87" i="15" s="1"/>
  <c r="AF87" i="15" s="1"/>
  <c r="AH87" i="15" s="1"/>
  <c r="A88" i="15"/>
  <c r="B88" i="15"/>
  <c r="C88" i="15"/>
  <c r="E88" i="15" s="1"/>
  <c r="G88" i="15" s="1"/>
  <c r="I88" i="15" s="1"/>
  <c r="K88" i="15" s="1"/>
  <c r="M88" i="15" s="1"/>
  <c r="O88" i="15" s="1"/>
  <c r="Q88" i="15" s="1"/>
  <c r="S88" i="15" s="1"/>
  <c r="U88" i="15" s="1"/>
  <c r="W88" i="15" s="1"/>
  <c r="Y88" i="15" s="1"/>
  <c r="AA88" i="15" s="1"/>
  <c r="AC88" i="15" s="1"/>
  <c r="AE88" i="15" s="1"/>
  <c r="AG88" i="15" s="1"/>
  <c r="D88" i="15"/>
  <c r="F88" i="15" s="1"/>
  <c r="H88" i="15" s="1"/>
  <c r="J88" i="15" s="1"/>
  <c r="L88" i="15" s="1"/>
  <c r="N88" i="15" s="1"/>
  <c r="P88" i="15" s="1"/>
  <c r="R88" i="15" s="1"/>
  <c r="T88" i="15" s="1"/>
  <c r="V88" i="15" s="1"/>
  <c r="X88" i="15" s="1"/>
  <c r="Z88" i="15" s="1"/>
  <c r="AB88" i="15" s="1"/>
  <c r="AD88" i="15" s="1"/>
  <c r="AF88" i="15" s="1"/>
  <c r="AH88" i="15" s="1"/>
  <c r="A89" i="15"/>
  <c r="B89" i="15"/>
  <c r="C89" i="15"/>
  <c r="E89" i="15" s="1"/>
  <c r="G89" i="15" s="1"/>
  <c r="I89" i="15" s="1"/>
  <c r="K89" i="15" s="1"/>
  <c r="M89" i="15" s="1"/>
  <c r="O89" i="15" s="1"/>
  <c r="Q89" i="15" s="1"/>
  <c r="S89" i="15" s="1"/>
  <c r="U89" i="15" s="1"/>
  <c r="W89" i="15" s="1"/>
  <c r="Y89" i="15" s="1"/>
  <c r="AA89" i="15" s="1"/>
  <c r="AC89" i="15" s="1"/>
  <c r="AE89" i="15" s="1"/>
  <c r="AG89" i="15" s="1"/>
  <c r="D89" i="15"/>
  <c r="F89" i="15" s="1"/>
  <c r="H89" i="15" s="1"/>
  <c r="J89" i="15" s="1"/>
  <c r="L89" i="15" s="1"/>
  <c r="N89" i="15" s="1"/>
  <c r="P89" i="15" s="1"/>
  <c r="R89" i="15" s="1"/>
  <c r="T89" i="15" s="1"/>
  <c r="V89" i="15" s="1"/>
  <c r="X89" i="15" s="1"/>
  <c r="Z89" i="15" s="1"/>
  <c r="AB89" i="15" s="1"/>
  <c r="AD89" i="15" s="1"/>
  <c r="AF89" i="15" s="1"/>
  <c r="AH89" i="15" s="1"/>
  <c r="A90" i="15"/>
  <c r="B90" i="15"/>
  <c r="C90" i="15"/>
  <c r="E90" i="15" s="1"/>
  <c r="G90" i="15" s="1"/>
  <c r="I90" i="15" s="1"/>
  <c r="K90" i="15" s="1"/>
  <c r="M90" i="15" s="1"/>
  <c r="O90" i="15" s="1"/>
  <c r="Q90" i="15" s="1"/>
  <c r="S90" i="15" s="1"/>
  <c r="U90" i="15" s="1"/>
  <c r="W90" i="15" s="1"/>
  <c r="Y90" i="15" s="1"/>
  <c r="AA90" i="15" s="1"/>
  <c r="AC90" i="15" s="1"/>
  <c r="AE90" i="15" s="1"/>
  <c r="AG90" i="15" s="1"/>
  <c r="D90" i="15"/>
  <c r="F90" i="15" s="1"/>
  <c r="H90" i="15" s="1"/>
  <c r="J90" i="15" s="1"/>
  <c r="L90" i="15" s="1"/>
  <c r="N90" i="15" s="1"/>
  <c r="P90" i="15" s="1"/>
  <c r="R90" i="15" s="1"/>
  <c r="T90" i="15" s="1"/>
  <c r="V90" i="15" s="1"/>
  <c r="X90" i="15" s="1"/>
  <c r="Z90" i="15" s="1"/>
  <c r="AB90" i="15" s="1"/>
  <c r="AD90" i="15" s="1"/>
  <c r="AF90" i="15" s="1"/>
  <c r="AH90" i="15" s="1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G131" i="8"/>
  <c r="G130" i="8"/>
  <c r="G129" i="8"/>
  <c r="G128" i="8"/>
  <c r="G127" i="8"/>
  <c r="G126" i="8"/>
  <c r="G125" i="8"/>
  <c r="G124" i="8"/>
  <c r="G123" i="8"/>
  <c r="G122" i="8"/>
  <c r="G121" i="8"/>
  <c r="F2" i="7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 s="1"/>
  <c r="H1" i="7" s="1"/>
  <c r="J1" i="7" s="1"/>
  <c r="L1" i="7" s="1"/>
  <c r="N1" i="7" s="1"/>
  <c r="P1" i="7" s="1"/>
  <c r="R1" i="7" s="1"/>
  <c r="T1" i="7" s="1"/>
  <c r="V1" i="7" s="1"/>
  <c r="X1" i="7" s="1"/>
  <c r="Z1" i="7" s="1"/>
  <c r="AB1" i="7" s="1"/>
  <c r="AD1" i="7" s="1"/>
  <c r="AF1" i="7" s="1"/>
  <c r="AH1" i="7" s="1"/>
  <c r="C1" i="7"/>
  <c r="E1" i="7" s="1"/>
  <c r="G1" i="7" s="1"/>
  <c r="I1" i="7" s="1"/>
  <c r="K1" i="7" s="1"/>
  <c r="M1" i="7" s="1"/>
  <c r="O1" i="7" s="1"/>
  <c r="Q1" i="7" s="1"/>
  <c r="S1" i="7" s="1"/>
  <c r="U1" i="7" s="1"/>
  <c r="W1" i="7" s="1"/>
  <c r="Y1" i="7" s="1"/>
  <c r="AA1" i="7" s="1"/>
  <c r="AC1" i="7" s="1"/>
  <c r="AE1" i="7" s="1"/>
  <c r="AG1" i="7" s="1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 s="1"/>
  <c r="F1" i="4" s="1"/>
  <c r="H1" i="4" s="1"/>
  <c r="J1" i="4" s="1"/>
  <c r="L1" i="4" s="1"/>
  <c r="N1" i="4" s="1"/>
  <c r="P1" i="4" s="1"/>
  <c r="R1" i="4" s="1"/>
  <c r="T1" i="4" s="1"/>
  <c r="V1" i="4" s="1"/>
  <c r="X1" i="4" s="1"/>
  <c r="Z1" i="4" s="1"/>
  <c r="AB1" i="4" s="1"/>
  <c r="AD1" i="4" s="1"/>
  <c r="AF1" i="4" s="1"/>
  <c r="AH1" i="4" s="1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 s="1"/>
  <c r="F1" i="11" s="1"/>
  <c r="H1" i="11" s="1"/>
  <c r="J1" i="11" s="1"/>
  <c r="L1" i="11" s="1"/>
  <c r="N1" i="11" s="1"/>
  <c r="P1" i="11" s="1"/>
  <c r="R1" i="11" s="1"/>
  <c r="T1" i="11" s="1"/>
  <c r="V1" i="11" s="1"/>
  <c r="X1" i="11" s="1"/>
  <c r="Z1" i="11" s="1"/>
  <c r="AB1" i="11" s="1"/>
  <c r="AD1" i="11" s="1"/>
  <c r="AF1" i="11" s="1"/>
  <c r="AH1" i="11" s="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 s="1"/>
  <c r="G1" i="9" s="1"/>
  <c r="I1" i="9" s="1"/>
  <c r="K1" i="9" s="1"/>
  <c r="M1" i="9" s="1"/>
  <c r="O1" i="9" s="1"/>
  <c r="Q1" i="9" s="1"/>
  <c r="S1" i="9" s="1"/>
  <c r="U1" i="9" s="1"/>
  <c r="W1" i="9" s="1"/>
  <c r="Y1" i="9" s="1"/>
  <c r="AA1" i="9" s="1"/>
  <c r="AC1" i="9" s="1"/>
  <c r="AE1" i="9" s="1"/>
  <c r="AG1" i="9" s="1"/>
  <c r="B1" i="9"/>
  <c r="D1" i="9" s="1"/>
  <c r="F1" i="9" s="1"/>
  <c r="H1" i="9" s="1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C1" i="15" s="1"/>
  <c r="E1" i="15" s="1"/>
  <c r="G1" i="15" s="1"/>
  <c r="I1" i="15" s="1"/>
  <c r="K1" i="15" s="1"/>
  <c r="M1" i="15" s="1"/>
  <c r="O1" i="15" s="1"/>
  <c r="Q1" i="15" s="1"/>
  <c r="S1" i="15" s="1"/>
  <c r="U1" i="15" s="1"/>
  <c r="W1" i="15" s="1"/>
  <c r="Y1" i="15" s="1"/>
  <c r="AA1" i="15" s="1"/>
  <c r="AC1" i="15" s="1"/>
  <c r="AE1" i="15" s="1"/>
  <c r="AG1" i="15" s="1"/>
  <c r="D1" i="15"/>
  <c r="F1" i="15" s="1"/>
  <c r="H1" i="15" s="1"/>
  <c r="J1" i="15" s="1"/>
  <c r="L1" i="15" s="1"/>
  <c r="N1" i="15" s="1"/>
  <c r="P1" i="15" s="1"/>
  <c r="R1" i="15" s="1"/>
  <c r="T1" i="15" s="1"/>
  <c r="V1" i="15" s="1"/>
  <c r="X1" i="15" s="1"/>
  <c r="Z1" i="15" s="1"/>
  <c r="AB1" i="15" s="1"/>
  <c r="AD1" i="15" s="1"/>
  <c r="AF1" i="15" s="1"/>
  <c r="AH1" i="15" s="1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 s="1"/>
  <c r="F1" i="14" s="1"/>
  <c r="H1" i="14" s="1"/>
  <c r="J1" i="14" s="1"/>
  <c r="L1" i="14" s="1"/>
  <c r="N1" i="14" s="1"/>
  <c r="P1" i="14" s="1"/>
  <c r="R1" i="14" s="1"/>
  <c r="T1" i="14" s="1"/>
  <c r="V1" i="14" s="1"/>
  <c r="X1" i="14" s="1"/>
  <c r="Z1" i="14" s="1"/>
  <c r="AB1" i="14" s="1"/>
  <c r="AD1" i="14" s="1"/>
  <c r="AF1" i="14" s="1"/>
  <c r="AH1" i="14" s="1"/>
  <c r="C4" i="15"/>
  <c r="E4" i="15" s="1"/>
  <c r="G4" i="15" s="1"/>
  <c r="I4" i="15" s="1"/>
  <c r="K4" i="15" s="1"/>
  <c r="M4" i="15" s="1"/>
  <c r="O4" i="15" s="1"/>
  <c r="Q4" i="15" s="1"/>
  <c r="S4" i="15" s="1"/>
  <c r="U4" i="15" s="1"/>
  <c r="W4" i="15" s="1"/>
  <c r="Y4" i="15" s="1"/>
  <c r="AA4" i="15" s="1"/>
  <c r="AC4" i="15" s="1"/>
  <c r="AE4" i="15" s="1"/>
  <c r="AG4" i="15" s="1"/>
  <c r="D4" i="15"/>
  <c r="F4" i="15" s="1"/>
  <c r="H4" i="15" s="1"/>
  <c r="J4" i="15" s="1"/>
  <c r="L4" i="15" s="1"/>
  <c r="N4" i="15" s="1"/>
  <c r="P4" i="15" s="1"/>
  <c r="R4" i="15" s="1"/>
  <c r="T4" i="15" s="1"/>
  <c r="V4" i="15" s="1"/>
  <c r="X4" i="15" s="1"/>
  <c r="Z4" i="15" s="1"/>
  <c r="AB4" i="15" s="1"/>
  <c r="AD4" i="15" s="1"/>
  <c r="AF4" i="15" s="1"/>
  <c r="AH4" i="15" s="1"/>
  <c r="C5" i="15"/>
  <c r="E5" i="15" s="1"/>
  <c r="G5" i="15" s="1"/>
  <c r="I5" i="15" s="1"/>
  <c r="K5" i="15" s="1"/>
  <c r="M5" i="15" s="1"/>
  <c r="O5" i="15" s="1"/>
  <c r="Q5" i="15" s="1"/>
  <c r="S5" i="15" s="1"/>
  <c r="U5" i="15" s="1"/>
  <c r="W5" i="15" s="1"/>
  <c r="Y5" i="15" s="1"/>
  <c r="AA5" i="15" s="1"/>
  <c r="AC5" i="15" s="1"/>
  <c r="AE5" i="15" s="1"/>
  <c r="AG5" i="15" s="1"/>
  <c r="D5" i="15"/>
  <c r="F5" i="15" s="1"/>
  <c r="H5" i="15" s="1"/>
  <c r="J5" i="15" s="1"/>
  <c r="L5" i="15" s="1"/>
  <c r="N5" i="15" s="1"/>
  <c r="P5" i="15" s="1"/>
  <c r="R5" i="15" s="1"/>
  <c r="T5" i="15" s="1"/>
  <c r="V5" i="15" s="1"/>
  <c r="X5" i="15" s="1"/>
  <c r="Z5" i="15" s="1"/>
  <c r="AB5" i="15" s="1"/>
  <c r="AD5" i="15" s="1"/>
  <c r="AF5" i="15" s="1"/>
  <c r="AH5" i="15" s="1"/>
  <c r="C6" i="15"/>
  <c r="E6" i="15" s="1"/>
  <c r="G6" i="15" s="1"/>
  <c r="I6" i="15" s="1"/>
  <c r="K6" i="15" s="1"/>
  <c r="M6" i="15" s="1"/>
  <c r="O6" i="15" s="1"/>
  <c r="Q6" i="15" s="1"/>
  <c r="S6" i="15" s="1"/>
  <c r="U6" i="15" s="1"/>
  <c r="W6" i="15" s="1"/>
  <c r="Y6" i="15" s="1"/>
  <c r="AA6" i="15" s="1"/>
  <c r="AC6" i="15" s="1"/>
  <c r="AE6" i="15" s="1"/>
  <c r="AG6" i="15" s="1"/>
  <c r="D6" i="15"/>
  <c r="F6" i="15" s="1"/>
  <c r="H6" i="15" s="1"/>
  <c r="J6" i="15" s="1"/>
  <c r="L6" i="15" s="1"/>
  <c r="N6" i="15" s="1"/>
  <c r="P6" i="15" s="1"/>
  <c r="R6" i="15" s="1"/>
  <c r="T6" i="15" s="1"/>
  <c r="V6" i="15" s="1"/>
  <c r="X6" i="15" s="1"/>
  <c r="Z6" i="15" s="1"/>
  <c r="AB6" i="15" s="1"/>
  <c r="AD6" i="15" s="1"/>
  <c r="AF6" i="15" s="1"/>
  <c r="AH6" i="15" s="1"/>
  <c r="C7" i="15"/>
  <c r="E7" i="15" s="1"/>
  <c r="G7" i="15" s="1"/>
  <c r="I7" i="15" s="1"/>
  <c r="K7" i="15" s="1"/>
  <c r="M7" i="15" s="1"/>
  <c r="O7" i="15" s="1"/>
  <c r="Q7" i="15" s="1"/>
  <c r="S7" i="15" s="1"/>
  <c r="U7" i="15" s="1"/>
  <c r="W7" i="15" s="1"/>
  <c r="Y7" i="15" s="1"/>
  <c r="AA7" i="15" s="1"/>
  <c r="AC7" i="15" s="1"/>
  <c r="AE7" i="15" s="1"/>
  <c r="AG7" i="15" s="1"/>
  <c r="D7" i="15"/>
  <c r="F7" i="15" s="1"/>
  <c r="H7" i="15" s="1"/>
  <c r="J7" i="15" s="1"/>
  <c r="L7" i="15" s="1"/>
  <c r="N7" i="15" s="1"/>
  <c r="P7" i="15" s="1"/>
  <c r="R7" i="15" s="1"/>
  <c r="T7" i="15" s="1"/>
  <c r="V7" i="15" s="1"/>
  <c r="X7" i="15" s="1"/>
  <c r="Z7" i="15" s="1"/>
  <c r="AB7" i="15" s="1"/>
  <c r="AD7" i="15" s="1"/>
  <c r="AF7" i="15" s="1"/>
  <c r="AH7" i="15" s="1"/>
  <c r="C8" i="15"/>
  <c r="E8" i="15" s="1"/>
  <c r="G8" i="15" s="1"/>
  <c r="I8" i="15" s="1"/>
  <c r="K8" i="15" s="1"/>
  <c r="M8" i="15" s="1"/>
  <c r="O8" i="15" s="1"/>
  <c r="Q8" i="15" s="1"/>
  <c r="S8" i="15" s="1"/>
  <c r="U8" i="15" s="1"/>
  <c r="W8" i="15" s="1"/>
  <c r="Y8" i="15" s="1"/>
  <c r="AA8" i="15" s="1"/>
  <c r="AC8" i="15" s="1"/>
  <c r="AE8" i="15" s="1"/>
  <c r="AG8" i="15" s="1"/>
  <c r="D8" i="15"/>
  <c r="F8" i="15" s="1"/>
  <c r="H8" i="15" s="1"/>
  <c r="J8" i="15" s="1"/>
  <c r="L8" i="15" s="1"/>
  <c r="N8" i="15" s="1"/>
  <c r="P8" i="15" s="1"/>
  <c r="R8" i="15" s="1"/>
  <c r="T8" i="15" s="1"/>
  <c r="V8" i="15" s="1"/>
  <c r="X8" i="15" s="1"/>
  <c r="Z8" i="15" s="1"/>
  <c r="AB8" i="15" s="1"/>
  <c r="AD8" i="15" s="1"/>
  <c r="AF8" i="15" s="1"/>
  <c r="AH8" i="15" s="1"/>
  <c r="C9" i="15"/>
  <c r="E9" i="15" s="1"/>
  <c r="G9" i="15" s="1"/>
  <c r="I9" i="15" s="1"/>
  <c r="K9" i="15" s="1"/>
  <c r="M9" i="15" s="1"/>
  <c r="O9" i="15" s="1"/>
  <c r="Q9" i="15" s="1"/>
  <c r="S9" i="15" s="1"/>
  <c r="U9" i="15" s="1"/>
  <c r="W9" i="15" s="1"/>
  <c r="Y9" i="15" s="1"/>
  <c r="AA9" i="15" s="1"/>
  <c r="AC9" i="15" s="1"/>
  <c r="AE9" i="15" s="1"/>
  <c r="AG9" i="15" s="1"/>
  <c r="D9" i="15"/>
  <c r="F9" i="15" s="1"/>
  <c r="H9" i="15" s="1"/>
  <c r="J9" i="15" s="1"/>
  <c r="L9" i="15" s="1"/>
  <c r="N9" i="15" s="1"/>
  <c r="P9" i="15" s="1"/>
  <c r="R9" i="15" s="1"/>
  <c r="T9" i="15" s="1"/>
  <c r="V9" i="15" s="1"/>
  <c r="X9" i="15" s="1"/>
  <c r="Z9" i="15" s="1"/>
  <c r="AB9" i="15" s="1"/>
  <c r="AD9" i="15" s="1"/>
  <c r="AF9" i="15" s="1"/>
  <c r="AH9" i="15" s="1"/>
  <c r="C10" i="15"/>
  <c r="E10" i="15" s="1"/>
  <c r="G10" i="15" s="1"/>
  <c r="I10" i="15" s="1"/>
  <c r="K10" i="15" s="1"/>
  <c r="M10" i="15" s="1"/>
  <c r="O10" i="15" s="1"/>
  <c r="Q10" i="15" s="1"/>
  <c r="S10" i="15" s="1"/>
  <c r="U10" i="15" s="1"/>
  <c r="W10" i="15" s="1"/>
  <c r="Y10" i="15" s="1"/>
  <c r="AA10" i="15" s="1"/>
  <c r="AC10" i="15" s="1"/>
  <c r="AE10" i="15" s="1"/>
  <c r="AG10" i="15" s="1"/>
  <c r="D10" i="15"/>
  <c r="F10" i="15" s="1"/>
  <c r="H10" i="15" s="1"/>
  <c r="J10" i="15" s="1"/>
  <c r="L10" i="15" s="1"/>
  <c r="N10" i="15" s="1"/>
  <c r="P10" i="15" s="1"/>
  <c r="R10" i="15" s="1"/>
  <c r="T10" i="15" s="1"/>
  <c r="V10" i="15" s="1"/>
  <c r="X10" i="15" s="1"/>
  <c r="Z10" i="15" s="1"/>
  <c r="AB10" i="15" s="1"/>
  <c r="AD10" i="15" s="1"/>
  <c r="AF10" i="15" s="1"/>
  <c r="AH10" i="15" s="1"/>
  <c r="C11" i="15"/>
  <c r="E11" i="15" s="1"/>
  <c r="G11" i="15" s="1"/>
  <c r="I11" i="15" s="1"/>
  <c r="K11" i="15" s="1"/>
  <c r="M11" i="15" s="1"/>
  <c r="O11" i="15" s="1"/>
  <c r="Q11" i="15" s="1"/>
  <c r="S11" i="15" s="1"/>
  <c r="U11" i="15" s="1"/>
  <c r="W11" i="15" s="1"/>
  <c r="Y11" i="15" s="1"/>
  <c r="AA11" i="15" s="1"/>
  <c r="AC11" i="15" s="1"/>
  <c r="AE11" i="15" s="1"/>
  <c r="AG11" i="15" s="1"/>
  <c r="D11" i="15"/>
  <c r="F11" i="15" s="1"/>
  <c r="H11" i="15" s="1"/>
  <c r="J11" i="15" s="1"/>
  <c r="L11" i="15" s="1"/>
  <c r="N11" i="15" s="1"/>
  <c r="P11" i="15" s="1"/>
  <c r="R11" i="15" s="1"/>
  <c r="T11" i="15" s="1"/>
  <c r="V11" i="15" s="1"/>
  <c r="X11" i="15" s="1"/>
  <c r="Z11" i="15" s="1"/>
  <c r="AB11" i="15" s="1"/>
  <c r="AD11" i="15" s="1"/>
  <c r="AF11" i="15" s="1"/>
  <c r="AH11" i="15" s="1"/>
  <c r="C12" i="15"/>
  <c r="E12" i="15" s="1"/>
  <c r="G12" i="15" s="1"/>
  <c r="I12" i="15" s="1"/>
  <c r="K12" i="15" s="1"/>
  <c r="M12" i="15" s="1"/>
  <c r="O12" i="15" s="1"/>
  <c r="Q12" i="15" s="1"/>
  <c r="S12" i="15" s="1"/>
  <c r="U12" i="15" s="1"/>
  <c r="W12" i="15" s="1"/>
  <c r="Y12" i="15" s="1"/>
  <c r="AA12" i="15" s="1"/>
  <c r="AC12" i="15" s="1"/>
  <c r="AE12" i="15" s="1"/>
  <c r="AG12" i="15" s="1"/>
  <c r="D12" i="15"/>
  <c r="F12" i="15" s="1"/>
  <c r="H12" i="15" s="1"/>
  <c r="J12" i="15" s="1"/>
  <c r="L12" i="15" s="1"/>
  <c r="N12" i="15" s="1"/>
  <c r="P12" i="15" s="1"/>
  <c r="R12" i="15" s="1"/>
  <c r="T12" i="15" s="1"/>
  <c r="V12" i="15" s="1"/>
  <c r="X12" i="15" s="1"/>
  <c r="Z12" i="15" s="1"/>
  <c r="AB12" i="15" s="1"/>
  <c r="AD12" i="15" s="1"/>
  <c r="AF12" i="15" s="1"/>
  <c r="AH12" i="15" s="1"/>
  <c r="C13" i="15"/>
  <c r="E13" i="15" s="1"/>
  <c r="G13" i="15" s="1"/>
  <c r="I13" i="15" s="1"/>
  <c r="K13" i="15" s="1"/>
  <c r="M13" i="15" s="1"/>
  <c r="O13" i="15" s="1"/>
  <c r="Q13" i="15" s="1"/>
  <c r="S13" i="15" s="1"/>
  <c r="U13" i="15" s="1"/>
  <c r="W13" i="15" s="1"/>
  <c r="Y13" i="15" s="1"/>
  <c r="AA13" i="15" s="1"/>
  <c r="AC13" i="15" s="1"/>
  <c r="AE13" i="15" s="1"/>
  <c r="AG13" i="15" s="1"/>
  <c r="D13" i="15"/>
  <c r="F13" i="15" s="1"/>
  <c r="H13" i="15" s="1"/>
  <c r="J13" i="15" s="1"/>
  <c r="L13" i="15" s="1"/>
  <c r="N13" i="15" s="1"/>
  <c r="P13" i="15" s="1"/>
  <c r="R13" i="15" s="1"/>
  <c r="T13" i="15" s="1"/>
  <c r="V13" i="15" s="1"/>
  <c r="X13" i="15" s="1"/>
  <c r="Z13" i="15" s="1"/>
  <c r="AB13" i="15" s="1"/>
  <c r="AD13" i="15" s="1"/>
  <c r="AF13" i="15" s="1"/>
  <c r="AH13" i="15" s="1"/>
  <c r="C14" i="15"/>
  <c r="E14" i="15" s="1"/>
  <c r="G14" i="15" s="1"/>
  <c r="I14" i="15" s="1"/>
  <c r="K14" i="15" s="1"/>
  <c r="M14" i="15" s="1"/>
  <c r="O14" i="15" s="1"/>
  <c r="Q14" i="15" s="1"/>
  <c r="S14" i="15" s="1"/>
  <c r="U14" i="15" s="1"/>
  <c r="W14" i="15" s="1"/>
  <c r="Y14" i="15" s="1"/>
  <c r="AA14" i="15" s="1"/>
  <c r="AC14" i="15" s="1"/>
  <c r="AE14" i="15" s="1"/>
  <c r="AG14" i="15" s="1"/>
  <c r="D14" i="15"/>
  <c r="F14" i="15" s="1"/>
  <c r="H14" i="15" s="1"/>
  <c r="J14" i="15" s="1"/>
  <c r="L14" i="15" s="1"/>
  <c r="N14" i="15" s="1"/>
  <c r="P14" i="15" s="1"/>
  <c r="R14" i="15" s="1"/>
  <c r="T14" i="15" s="1"/>
  <c r="V14" i="15" s="1"/>
  <c r="X14" i="15" s="1"/>
  <c r="Z14" i="15" s="1"/>
  <c r="AB14" i="15" s="1"/>
  <c r="AD14" i="15" s="1"/>
  <c r="AF14" i="15" s="1"/>
  <c r="AH14" i="15" s="1"/>
  <c r="C15" i="15"/>
  <c r="E15" i="15" s="1"/>
  <c r="G15" i="15" s="1"/>
  <c r="I15" i="15" s="1"/>
  <c r="K15" i="15" s="1"/>
  <c r="M15" i="15" s="1"/>
  <c r="O15" i="15" s="1"/>
  <c r="Q15" i="15" s="1"/>
  <c r="S15" i="15" s="1"/>
  <c r="U15" i="15" s="1"/>
  <c r="W15" i="15" s="1"/>
  <c r="Y15" i="15" s="1"/>
  <c r="AA15" i="15" s="1"/>
  <c r="AC15" i="15" s="1"/>
  <c r="AE15" i="15" s="1"/>
  <c r="AG15" i="15" s="1"/>
  <c r="D15" i="15"/>
  <c r="F15" i="15" s="1"/>
  <c r="H15" i="15" s="1"/>
  <c r="J15" i="15" s="1"/>
  <c r="L15" i="15" s="1"/>
  <c r="N15" i="15" s="1"/>
  <c r="P15" i="15" s="1"/>
  <c r="R15" i="15" s="1"/>
  <c r="T15" i="15" s="1"/>
  <c r="V15" i="15" s="1"/>
  <c r="X15" i="15" s="1"/>
  <c r="Z15" i="15" s="1"/>
  <c r="AB15" i="15" s="1"/>
  <c r="AD15" i="15" s="1"/>
  <c r="AF15" i="15" s="1"/>
  <c r="AH15" i="15" s="1"/>
  <c r="C16" i="15"/>
  <c r="E16" i="15" s="1"/>
  <c r="G16" i="15" s="1"/>
  <c r="I16" i="15" s="1"/>
  <c r="K16" i="15" s="1"/>
  <c r="M16" i="15" s="1"/>
  <c r="O16" i="15" s="1"/>
  <c r="Q16" i="15" s="1"/>
  <c r="S16" i="15" s="1"/>
  <c r="U16" i="15" s="1"/>
  <c r="W16" i="15" s="1"/>
  <c r="Y16" i="15" s="1"/>
  <c r="AA16" i="15" s="1"/>
  <c r="AC16" i="15" s="1"/>
  <c r="AE16" i="15" s="1"/>
  <c r="AG16" i="15" s="1"/>
  <c r="D16" i="15"/>
  <c r="F16" i="15" s="1"/>
  <c r="H16" i="15" s="1"/>
  <c r="J16" i="15" s="1"/>
  <c r="L16" i="15" s="1"/>
  <c r="N16" i="15" s="1"/>
  <c r="P16" i="15" s="1"/>
  <c r="R16" i="15" s="1"/>
  <c r="T16" i="15" s="1"/>
  <c r="V16" i="15" s="1"/>
  <c r="X16" i="15" s="1"/>
  <c r="Z16" i="15" s="1"/>
  <c r="AB16" i="15" s="1"/>
  <c r="AD16" i="15" s="1"/>
  <c r="AF16" i="15" s="1"/>
  <c r="AH16" i="15" s="1"/>
  <c r="C17" i="15"/>
  <c r="E17" i="15" s="1"/>
  <c r="G17" i="15" s="1"/>
  <c r="I17" i="15" s="1"/>
  <c r="K17" i="15" s="1"/>
  <c r="M17" i="15" s="1"/>
  <c r="O17" i="15" s="1"/>
  <c r="Q17" i="15" s="1"/>
  <c r="S17" i="15" s="1"/>
  <c r="U17" i="15" s="1"/>
  <c r="W17" i="15" s="1"/>
  <c r="Y17" i="15" s="1"/>
  <c r="AA17" i="15" s="1"/>
  <c r="AC17" i="15" s="1"/>
  <c r="AE17" i="15" s="1"/>
  <c r="AG17" i="15" s="1"/>
  <c r="D17" i="15"/>
  <c r="F17" i="15" s="1"/>
  <c r="H17" i="15" s="1"/>
  <c r="J17" i="15" s="1"/>
  <c r="L17" i="15" s="1"/>
  <c r="N17" i="15" s="1"/>
  <c r="P17" i="15" s="1"/>
  <c r="R17" i="15" s="1"/>
  <c r="T17" i="15" s="1"/>
  <c r="V17" i="15" s="1"/>
  <c r="X17" i="15" s="1"/>
  <c r="Z17" i="15" s="1"/>
  <c r="AB17" i="15" s="1"/>
  <c r="AD17" i="15" s="1"/>
  <c r="AF17" i="15" s="1"/>
  <c r="AH17" i="15" s="1"/>
  <c r="C18" i="15"/>
  <c r="E18" i="15" s="1"/>
  <c r="G18" i="15" s="1"/>
  <c r="I18" i="15" s="1"/>
  <c r="K18" i="15" s="1"/>
  <c r="M18" i="15" s="1"/>
  <c r="O18" i="15" s="1"/>
  <c r="Q18" i="15" s="1"/>
  <c r="S18" i="15" s="1"/>
  <c r="U18" i="15" s="1"/>
  <c r="W18" i="15" s="1"/>
  <c r="Y18" i="15" s="1"/>
  <c r="AA18" i="15" s="1"/>
  <c r="AC18" i="15" s="1"/>
  <c r="AE18" i="15" s="1"/>
  <c r="AG18" i="15" s="1"/>
  <c r="D18" i="15"/>
  <c r="F18" i="15" s="1"/>
  <c r="H18" i="15" s="1"/>
  <c r="J18" i="15" s="1"/>
  <c r="L18" i="15" s="1"/>
  <c r="N18" i="15" s="1"/>
  <c r="P18" i="15" s="1"/>
  <c r="R18" i="15" s="1"/>
  <c r="T18" i="15" s="1"/>
  <c r="V18" i="15" s="1"/>
  <c r="X18" i="15" s="1"/>
  <c r="Z18" i="15" s="1"/>
  <c r="AB18" i="15" s="1"/>
  <c r="AD18" i="15" s="1"/>
  <c r="AF18" i="15" s="1"/>
  <c r="AH18" i="15" s="1"/>
  <c r="C19" i="15"/>
  <c r="E19" i="15" s="1"/>
  <c r="G19" i="15" s="1"/>
  <c r="I19" i="15" s="1"/>
  <c r="K19" i="15" s="1"/>
  <c r="M19" i="15" s="1"/>
  <c r="O19" i="15" s="1"/>
  <c r="Q19" i="15" s="1"/>
  <c r="S19" i="15" s="1"/>
  <c r="U19" i="15" s="1"/>
  <c r="W19" i="15" s="1"/>
  <c r="Y19" i="15" s="1"/>
  <c r="AA19" i="15" s="1"/>
  <c r="AC19" i="15" s="1"/>
  <c r="AE19" i="15" s="1"/>
  <c r="AG19" i="15" s="1"/>
  <c r="D19" i="15"/>
  <c r="F19" i="15" s="1"/>
  <c r="H19" i="15" s="1"/>
  <c r="J19" i="15" s="1"/>
  <c r="L19" i="15" s="1"/>
  <c r="N19" i="15" s="1"/>
  <c r="P19" i="15" s="1"/>
  <c r="R19" i="15" s="1"/>
  <c r="T19" i="15" s="1"/>
  <c r="V19" i="15" s="1"/>
  <c r="X19" i="15" s="1"/>
  <c r="Z19" i="15" s="1"/>
  <c r="AB19" i="15" s="1"/>
  <c r="AD19" i="15" s="1"/>
  <c r="AF19" i="15" s="1"/>
  <c r="AH19" i="15" s="1"/>
  <c r="C20" i="15"/>
  <c r="E20" i="15" s="1"/>
  <c r="G20" i="15" s="1"/>
  <c r="I20" i="15" s="1"/>
  <c r="K20" i="15" s="1"/>
  <c r="M20" i="15" s="1"/>
  <c r="O20" i="15" s="1"/>
  <c r="Q20" i="15" s="1"/>
  <c r="S20" i="15" s="1"/>
  <c r="U20" i="15" s="1"/>
  <c r="W20" i="15" s="1"/>
  <c r="Y20" i="15" s="1"/>
  <c r="AA20" i="15" s="1"/>
  <c r="AC20" i="15" s="1"/>
  <c r="AE20" i="15" s="1"/>
  <c r="AG20" i="15" s="1"/>
  <c r="D20" i="15"/>
  <c r="F20" i="15" s="1"/>
  <c r="H20" i="15" s="1"/>
  <c r="J20" i="15" s="1"/>
  <c r="L20" i="15" s="1"/>
  <c r="N20" i="15" s="1"/>
  <c r="P20" i="15" s="1"/>
  <c r="R20" i="15" s="1"/>
  <c r="T20" i="15" s="1"/>
  <c r="V20" i="15" s="1"/>
  <c r="X20" i="15" s="1"/>
  <c r="Z20" i="15" s="1"/>
  <c r="AB20" i="15" s="1"/>
  <c r="AD20" i="15" s="1"/>
  <c r="AF20" i="15" s="1"/>
  <c r="AH20" i="15" s="1"/>
  <c r="C21" i="15"/>
  <c r="E21" i="15" s="1"/>
  <c r="G21" i="15" s="1"/>
  <c r="I21" i="15" s="1"/>
  <c r="K21" i="15" s="1"/>
  <c r="M21" i="15" s="1"/>
  <c r="O21" i="15" s="1"/>
  <c r="Q21" i="15" s="1"/>
  <c r="S21" i="15" s="1"/>
  <c r="U21" i="15" s="1"/>
  <c r="W21" i="15" s="1"/>
  <c r="Y21" i="15" s="1"/>
  <c r="AA21" i="15" s="1"/>
  <c r="AC21" i="15" s="1"/>
  <c r="AE21" i="15" s="1"/>
  <c r="AG21" i="15" s="1"/>
  <c r="D21" i="15"/>
  <c r="F21" i="15" s="1"/>
  <c r="H21" i="15" s="1"/>
  <c r="J21" i="15" s="1"/>
  <c r="L21" i="15" s="1"/>
  <c r="N21" i="15" s="1"/>
  <c r="P21" i="15" s="1"/>
  <c r="R21" i="15" s="1"/>
  <c r="T21" i="15" s="1"/>
  <c r="V21" i="15" s="1"/>
  <c r="X21" i="15" s="1"/>
  <c r="Z21" i="15" s="1"/>
  <c r="AB21" i="15" s="1"/>
  <c r="AD21" i="15" s="1"/>
  <c r="AF21" i="15" s="1"/>
  <c r="AH21" i="15" s="1"/>
  <c r="C22" i="15"/>
  <c r="E22" i="15" s="1"/>
  <c r="G22" i="15" s="1"/>
  <c r="I22" i="15" s="1"/>
  <c r="K22" i="15" s="1"/>
  <c r="M22" i="15" s="1"/>
  <c r="O22" i="15" s="1"/>
  <c r="Q22" i="15" s="1"/>
  <c r="S22" i="15" s="1"/>
  <c r="U22" i="15" s="1"/>
  <c r="W22" i="15" s="1"/>
  <c r="Y22" i="15" s="1"/>
  <c r="AA22" i="15" s="1"/>
  <c r="AC22" i="15" s="1"/>
  <c r="AE22" i="15" s="1"/>
  <c r="AG22" i="15" s="1"/>
  <c r="D22" i="15"/>
  <c r="F22" i="15" s="1"/>
  <c r="H22" i="15" s="1"/>
  <c r="J22" i="15" s="1"/>
  <c r="L22" i="15" s="1"/>
  <c r="N22" i="15" s="1"/>
  <c r="P22" i="15" s="1"/>
  <c r="R22" i="15" s="1"/>
  <c r="T22" i="15" s="1"/>
  <c r="V22" i="15" s="1"/>
  <c r="X22" i="15" s="1"/>
  <c r="Z22" i="15" s="1"/>
  <c r="AB22" i="15" s="1"/>
  <c r="AD22" i="15" s="1"/>
  <c r="AF22" i="15" s="1"/>
  <c r="AH22" i="15" s="1"/>
  <c r="C23" i="15"/>
  <c r="E23" i="15" s="1"/>
  <c r="G23" i="15" s="1"/>
  <c r="I23" i="15" s="1"/>
  <c r="K23" i="15" s="1"/>
  <c r="M23" i="15" s="1"/>
  <c r="O23" i="15" s="1"/>
  <c r="Q23" i="15" s="1"/>
  <c r="S23" i="15" s="1"/>
  <c r="U23" i="15" s="1"/>
  <c r="W23" i="15" s="1"/>
  <c r="Y23" i="15" s="1"/>
  <c r="AA23" i="15" s="1"/>
  <c r="AC23" i="15" s="1"/>
  <c r="AE23" i="15" s="1"/>
  <c r="AG23" i="15" s="1"/>
  <c r="D23" i="15"/>
  <c r="F23" i="15" s="1"/>
  <c r="H23" i="15" s="1"/>
  <c r="J23" i="15" s="1"/>
  <c r="L23" i="15" s="1"/>
  <c r="N23" i="15" s="1"/>
  <c r="P23" i="15" s="1"/>
  <c r="R23" i="15" s="1"/>
  <c r="T23" i="15" s="1"/>
  <c r="V23" i="15" s="1"/>
  <c r="X23" i="15" s="1"/>
  <c r="Z23" i="15" s="1"/>
  <c r="AB23" i="15" s="1"/>
  <c r="AD23" i="15" s="1"/>
  <c r="AF23" i="15" s="1"/>
  <c r="AH23" i="15" s="1"/>
  <c r="C24" i="15"/>
  <c r="E24" i="15" s="1"/>
  <c r="G24" i="15" s="1"/>
  <c r="I24" i="15" s="1"/>
  <c r="K24" i="15" s="1"/>
  <c r="M24" i="15" s="1"/>
  <c r="O24" i="15" s="1"/>
  <c r="Q24" i="15" s="1"/>
  <c r="S24" i="15" s="1"/>
  <c r="U24" i="15" s="1"/>
  <c r="W24" i="15" s="1"/>
  <c r="Y24" i="15" s="1"/>
  <c r="AA24" i="15" s="1"/>
  <c r="AC24" i="15" s="1"/>
  <c r="AE24" i="15" s="1"/>
  <c r="AG24" i="15" s="1"/>
  <c r="D24" i="15"/>
  <c r="F24" i="15" s="1"/>
  <c r="H24" i="15" s="1"/>
  <c r="J24" i="15" s="1"/>
  <c r="L24" i="15" s="1"/>
  <c r="N24" i="15" s="1"/>
  <c r="P24" i="15" s="1"/>
  <c r="R24" i="15" s="1"/>
  <c r="T24" i="15" s="1"/>
  <c r="V24" i="15" s="1"/>
  <c r="X24" i="15" s="1"/>
  <c r="Z24" i="15" s="1"/>
  <c r="AB24" i="15" s="1"/>
  <c r="AD24" i="15" s="1"/>
  <c r="AF24" i="15" s="1"/>
  <c r="AH24" i="15" s="1"/>
  <c r="C25" i="15"/>
  <c r="E25" i="15" s="1"/>
  <c r="G25" i="15" s="1"/>
  <c r="I25" i="15" s="1"/>
  <c r="K25" i="15" s="1"/>
  <c r="M25" i="15" s="1"/>
  <c r="O25" i="15" s="1"/>
  <c r="Q25" i="15" s="1"/>
  <c r="S25" i="15" s="1"/>
  <c r="U25" i="15" s="1"/>
  <c r="W25" i="15" s="1"/>
  <c r="Y25" i="15" s="1"/>
  <c r="AA25" i="15" s="1"/>
  <c r="AC25" i="15" s="1"/>
  <c r="AE25" i="15" s="1"/>
  <c r="AG25" i="15" s="1"/>
  <c r="D25" i="15"/>
  <c r="F25" i="15" s="1"/>
  <c r="H25" i="15" s="1"/>
  <c r="J25" i="15" s="1"/>
  <c r="L25" i="15" s="1"/>
  <c r="N25" i="15" s="1"/>
  <c r="P25" i="15" s="1"/>
  <c r="R25" i="15" s="1"/>
  <c r="T25" i="15" s="1"/>
  <c r="V25" i="15" s="1"/>
  <c r="X25" i="15" s="1"/>
  <c r="Z25" i="15" s="1"/>
  <c r="AB25" i="15" s="1"/>
  <c r="AD25" i="15" s="1"/>
  <c r="AF25" i="15" s="1"/>
  <c r="AH25" i="15" s="1"/>
  <c r="C26" i="15"/>
  <c r="E26" i="15" s="1"/>
  <c r="G26" i="15" s="1"/>
  <c r="I26" i="15" s="1"/>
  <c r="K26" i="15" s="1"/>
  <c r="M26" i="15" s="1"/>
  <c r="O26" i="15" s="1"/>
  <c r="Q26" i="15" s="1"/>
  <c r="S26" i="15" s="1"/>
  <c r="U26" i="15" s="1"/>
  <c r="W26" i="15" s="1"/>
  <c r="Y26" i="15" s="1"/>
  <c r="AA26" i="15" s="1"/>
  <c r="AC26" i="15" s="1"/>
  <c r="AE26" i="15" s="1"/>
  <c r="AG26" i="15" s="1"/>
  <c r="D26" i="15"/>
  <c r="F26" i="15" s="1"/>
  <c r="H26" i="15" s="1"/>
  <c r="J26" i="15" s="1"/>
  <c r="L26" i="15" s="1"/>
  <c r="N26" i="15" s="1"/>
  <c r="P26" i="15" s="1"/>
  <c r="R26" i="15" s="1"/>
  <c r="T26" i="15" s="1"/>
  <c r="V26" i="15" s="1"/>
  <c r="X26" i="15" s="1"/>
  <c r="Z26" i="15" s="1"/>
  <c r="AB26" i="15" s="1"/>
  <c r="AD26" i="15" s="1"/>
  <c r="AF26" i="15" s="1"/>
  <c r="AH26" i="15" s="1"/>
  <c r="C27" i="15"/>
  <c r="E27" i="15" s="1"/>
  <c r="G27" i="15" s="1"/>
  <c r="I27" i="15" s="1"/>
  <c r="K27" i="15" s="1"/>
  <c r="M27" i="15" s="1"/>
  <c r="O27" i="15" s="1"/>
  <c r="Q27" i="15" s="1"/>
  <c r="S27" i="15" s="1"/>
  <c r="U27" i="15" s="1"/>
  <c r="W27" i="15" s="1"/>
  <c r="Y27" i="15" s="1"/>
  <c r="AA27" i="15" s="1"/>
  <c r="AC27" i="15" s="1"/>
  <c r="AE27" i="15" s="1"/>
  <c r="AG27" i="15" s="1"/>
  <c r="D27" i="15"/>
  <c r="F27" i="15" s="1"/>
  <c r="H27" i="15" s="1"/>
  <c r="J27" i="15" s="1"/>
  <c r="L27" i="15" s="1"/>
  <c r="N27" i="15" s="1"/>
  <c r="P27" i="15" s="1"/>
  <c r="R27" i="15" s="1"/>
  <c r="T27" i="15" s="1"/>
  <c r="V27" i="15" s="1"/>
  <c r="X27" i="15" s="1"/>
  <c r="Z27" i="15" s="1"/>
  <c r="AB27" i="15" s="1"/>
  <c r="AD27" i="15" s="1"/>
  <c r="AF27" i="15" s="1"/>
  <c r="AH27" i="15" s="1"/>
  <c r="C28" i="15"/>
  <c r="E28" i="15" s="1"/>
  <c r="G28" i="15" s="1"/>
  <c r="I28" i="15" s="1"/>
  <c r="K28" i="15" s="1"/>
  <c r="M28" i="15" s="1"/>
  <c r="O28" i="15" s="1"/>
  <c r="Q28" i="15" s="1"/>
  <c r="S28" i="15" s="1"/>
  <c r="U28" i="15" s="1"/>
  <c r="W28" i="15" s="1"/>
  <c r="Y28" i="15" s="1"/>
  <c r="AA28" i="15" s="1"/>
  <c r="AC28" i="15" s="1"/>
  <c r="AE28" i="15" s="1"/>
  <c r="AG28" i="15" s="1"/>
  <c r="D28" i="15"/>
  <c r="F28" i="15" s="1"/>
  <c r="H28" i="15" s="1"/>
  <c r="J28" i="15" s="1"/>
  <c r="L28" i="15" s="1"/>
  <c r="N28" i="15" s="1"/>
  <c r="P28" i="15" s="1"/>
  <c r="R28" i="15" s="1"/>
  <c r="T28" i="15" s="1"/>
  <c r="V28" i="15" s="1"/>
  <c r="X28" i="15" s="1"/>
  <c r="Z28" i="15" s="1"/>
  <c r="AB28" i="15" s="1"/>
  <c r="AD28" i="15" s="1"/>
  <c r="AF28" i="15" s="1"/>
  <c r="AH28" i="15" s="1"/>
  <c r="C29" i="15"/>
  <c r="E29" i="15" s="1"/>
  <c r="G29" i="15" s="1"/>
  <c r="I29" i="15" s="1"/>
  <c r="K29" i="15" s="1"/>
  <c r="M29" i="15" s="1"/>
  <c r="O29" i="15" s="1"/>
  <c r="Q29" i="15" s="1"/>
  <c r="S29" i="15" s="1"/>
  <c r="U29" i="15" s="1"/>
  <c r="W29" i="15" s="1"/>
  <c r="Y29" i="15" s="1"/>
  <c r="AA29" i="15" s="1"/>
  <c r="AC29" i="15" s="1"/>
  <c r="AE29" i="15" s="1"/>
  <c r="AG29" i="15" s="1"/>
  <c r="D29" i="15"/>
  <c r="F29" i="15" s="1"/>
  <c r="H29" i="15" s="1"/>
  <c r="J29" i="15" s="1"/>
  <c r="L29" i="15" s="1"/>
  <c r="N29" i="15" s="1"/>
  <c r="P29" i="15" s="1"/>
  <c r="R29" i="15" s="1"/>
  <c r="T29" i="15" s="1"/>
  <c r="V29" i="15" s="1"/>
  <c r="X29" i="15" s="1"/>
  <c r="Z29" i="15" s="1"/>
  <c r="AB29" i="15" s="1"/>
  <c r="AD29" i="15" s="1"/>
  <c r="AF29" i="15" s="1"/>
  <c r="AH29" i="15" s="1"/>
  <c r="C30" i="15"/>
  <c r="E30" i="15" s="1"/>
  <c r="G30" i="15" s="1"/>
  <c r="I30" i="15" s="1"/>
  <c r="K30" i="15" s="1"/>
  <c r="M30" i="15" s="1"/>
  <c r="O30" i="15" s="1"/>
  <c r="Q30" i="15" s="1"/>
  <c r="S30" i="15" s="1"/>
  <c r="U30" i="15" s="1"/>
  <c r="W30" i="15" s="1"/>
  <c r="Y30" i="15" s="1"/>
  <c r="AA30" i="15" s="1"/>
  <c r="AC30" i="15" s="1"/>
  <c r="AE30" i="15" s="1"/>
  <c r="AG30" i="15" s="1"/>
  <c r="D30" i="15"/>
  <c r="F30" i="15" s="1"/>
  <c r="H30" i="15" s="1"/>
  <c r="J30" i="15" s="1"/>
  <c r="L30" i="15" s="1"/>
  <c r="N30" i="15" s="1"/>
  <c r="P30" i="15" s="1"/>
  <c r="R30" i="15" s="1"/>
  <c r="T30" i="15" s="1"/>
  <c r="V30" i="15" s="1"/>
  <c r="X30" i="15" s="1"/>
  <c r="Z30" i="15" s="1"/>
  <c r="AB30" i="15" s="1"/>
  <c r="AD30" i="15" s="1"/>
  <c r="AF30" i="15" s="1"/>
  <c r="AH30" i="15" s="1"/>
  <c r="C31" i="15"/>
  <c r="E31" i="15" s="1"/>
  <c r="G31" i="15" s="1"/>
  <c r="I31" i="15" s="1"/>
  <c r="K31" i="15" s="1"/>
  <c r="M31" i="15" s="1"/>
  <c r="O31" i="15" s="1"/>
  <c r="Q31" i="15" s="1"/>
  <c r="S31" i="15" s="1"/>
  <c r="U31" i="15" s="1"/>
  <c r="W31" i="15" s="1"/>
  <c r="Y31" i="15" s="1"/>
  <c r="AA31" i="15" s="1"/>
  <c r="AC31" i="15" s="1"/>
  <c r="AE31" i="15" s="1"/>
  <c r="AG31" i="15" s="1"/>
  <c r="D31" i="15"/>
  <c r="F31" i="15" s="1"/>
  <c r="H31" i="15" s="1"/>
  <c r="J31" i="15" s="1"/>
  <c r="L31" i="15" s="1"/>
  <c r="N31" i="15" s="1"/>
  <c r="P31" i="15" s="1"/>
  <c r="R31" i="15" s="1"/>
  <c r="T31" i="15" s="1"/>
  <c r="V31" i="15" s="1"/>
  <c r="X31" i="15" s="1"/>
  <c r="Z31" i="15" s="1"/>
  <c r="AB31" i="15" s="1"/>
  <c r="AD31" i="15" s="1"/>
  <c r="AF31" i="15" s="1"/>
  <c r="AH31" i="15" s="1"/>
  <c r="C32" i="15"/>
  <c r="E32" i="15" s="1"/>
  <c r="G32" i="15" s="1"/>
  <c r="I32" i="15" s="1"/>
  <c r="K32" i="15" s="1"/>
  <c r="M32" i="15" s="1"/>
  <c r="O32" i="15" s="1"/>
  <c r="Q32" i="15" s="1"/>
  <c r="S32" i="15" s="1"/>
  <c r="U32" i="15" s="1"/>
  <c r="W32" i="15" s="1"/>
  <c r="Y32" i="15" s="1"/>
  <c r="AA32" i="15" s="1"/>
  <c r="AC32" i="15" s="1"/>
  <c r="AE32" i="15" s="1"/>
  <c r="AG32" i="15" s="1"/>
  <c r="D32" i="15"/>
  <c r="F32" i="15" s="1"/>
  <c r="H32" i="15" s="1"/>
  <c r="J32" i="15" s="1"/>
  <c r="L32" i="15" s="1"/>
  <c r="N32" i="15" s="1"/>
  <c r="P32" i="15" s="1"/>
  <c r="R32" i="15" s="1"/>
  <c r="T32" i="15" s="1"/>
  <c r="V32" i="15" s="1"/>
  <c r="X32" i="15" s="1"/>
  <c r="Z32" i="15" s="1"/>
  <c r="AB32" i="15" s="1"/>
  <c r="AD32" i="15" s="1"/>
  <c r="AF32" i="15" s="1"/>
  <c r="AH32" i="15" s="1"/>
  <c r="C33" i="15"/>
  <c r="E33" i="15" s="1"/>
  <c r="G33" i="15" s="1"/>
  <c r="I33" i="15" s="1"/>
  <c r="K33" i="15" s="1"/>
  <c r="M33" i="15" s="1"/>
  <c r="O33" i="15" s="1"/>
  <c r="Q33" i="15" s="1"/>
  <c r="S33" i="15" s="1"/>
  <c r="U33" i="15" s="1"/>
  <c r="W33" i="15" s="1"/>
  <c r="Y33" i="15" s="1"/>
  <c r="AA33" i="15" s="1"/>
  <c r="AC33" i="15" s="1"/>
  <c r="AE33" i="15" s="1"/>
  <c r="AG33" i="15" s="1"/>
  <c r="D33" i="15"/>
  <c r="F33" i="15" s="1"/>
  <c r="H33" i="15" s="1"/>
  <c r="J33" i="15" s="1"/>
  <c r="L33" i="15" s="1"/>
  <c r="N33" i="15" s="1"/>
  <c r="P33" i="15" s="1"/>
  <c r="R33" i="15" s="1"/>
  <c r="T33" i="15" s="1"/>
  <c r="V33" i="15" s="1"/>
  <c r="X33" i="15" s="1"/>
  <c r="Z33" i="15" s="1"/>
  <c r="AB33" i="15" s="1"/>
  <c r="AD33" i="15" s="1"/>
  <c r="AF33" i="15" s="1"/>
  <c r="AH33" i="15" s="1"/>
  <c r="C34" i="15"/>
  <c r="E34" i="15" s="1"/>
  <c r="G34" i="15" s="1"/>
  <c r="I34" i="15" s="1"/>
  <c r="K34" i="15" s="1"/>
  <c r="M34" i="15" s="1"/>
  <c r="O34" i="15" s="1"/>
  <c r="Q34" i="15" s="1"/>
  <c r="S34" i="15" s="1"/>
  <c r="U34" i="15" s="1"/>
  <c r="W34" i="15" s="1"/>
  <c r="Y34" i="15" s="1"/>
  <c r="AA34" i="15" s="1"/>
  <c r="AC34" i="15" s="1"/>
  <c r="AE34" i="15" s="1"/>
  <c r="AG34" i="15" s="1"/>
  <c r="D34" i="15"/>
  <c r="F34" i="15" s="1"/>
  <c r="H34" i="15" s="1"/>
  <c r="J34" i="15" s="1"/>
  <c r="L34" i="15" s="1"/>
  <c r="N34" i="15" s="1"/>
  <c r="P34" i="15" s="1"/>
  <c r="R34" i="15" s="1"/>
  <c r="T34" i="15" s="1"/>
  <c r="V34" i="15" s="1"/>
  <c r="X34" i="15" s="1"/>
  <c r="Z34" i="15" s="1"/>
  <c r="AB34" i="15" s="1"/>
  <c r="AD34" i="15" s="1"/>
  <c r="AF34" i="15" s="1"/>
  <c r="AH34" i="15" s="1"/>
  <c r="C35" i="15"/>
  <c r="E35" i="15" s="1"/>
  <c r="G35" i="15" s="1"/>
  <c r="I35" i="15" s="1"/>
  <c r="K35" i="15" s="1"/>
  <c r="M35" i="15" s="1"/>
  <c r="O35" i="15" s="1"/>
  <c r="Q35" i="15" s="1"/>
  <c r="S35" i="15" s="1"/>
  <c r="U35" i="15" s="1"/>
  <c r="W35" i="15" s="1"/>
  <c r="Y35" i="15" s="1"/>
  <c r="AA35" i="15" s="1"/>
  <c r="AC35" i="15" s="1"/>
  <c r="AE35" i="15" s="1"/>
  <c r="AG35" i="15" s="1"/>
  <c r="D35" i="15"/>
  <c r="F35" i="15" s="1"/>
  <c r="H35" i="15" s="1"/>
  <c r="J35" i="15" s="1"/>
  <c r="L35" i="15" s="1"/>
  <c r="N35" i="15" s="1"/>
  <c r="P35" i="15" s="1"/>
  <c r="R35" i="15" s="1"/>
  <c r="T35" i="15" s="1"/>
  <c r="V35" i="15" s="1"/>
  <c r="X35" i="15" s="1"/>
  <c r="Z35" i="15" s="1"/>
  <c r="AB35" i="15" s="1"/>
  <c r="AD35" i="15" s="1"/>
  <c r="AF35" i="15" s="1"/>
  <c r="AH35" i="15" s="1"/>
  <c r="C36" i="15"/>
  <c r="E36" i="15" s="1"/>
  <c r="G36" i="15" s="1"/>
  <c r="I36" i="15" s="1"/>
  <c r="K36" i="15" s="1"/>
  <c r="M36" i="15" s="1"/>
  <c r="O36" i="15" s="1"/>
  <c r="Q36" i="15" s="1"/>
  <c r="S36" i="15" s="1"/>
  <c r="U36" i="15" s="1"/>
  <c r="W36" i="15" s="1"/>
  <c r="Y36" i="15" s="1"/>
  <c r="AA36" i="15" s="1"/>
  <c r="AC36" i="15" s="1"/>
  <c r="AE36" i="15" s="1"/>
  <c r="AG36" i="15" s="1"/>
  <c r="D36" i="15"/>
  <c r="F36" i="15" s="1"/>
  <c r="H36" i="15" s="1"/>
  <c r="J36" i="15" s="1"/>
  <c r="L36" i="15" s="1"/>
  <c r="N36" i="15" s="1"/>
  <c r="P36" i="15" s="1"/>
  <c r="R36" i="15" s="1"/>
  <c r="T36" i="15" s="1"/>
  <c r="V36" i="15" s="1"/>
  <c r="X36" i="15" s="1"/>
  <c r="Z36" i="15" s="1"/>
  <c r="AB36" i="15" s="1"/>
  <c r="AD36" i="15" s="1"/>
  <c r="AF36" i="15" s="1"/>
  <c r="AH36" i="15" s="1"/>
  <c r="C37" i="15"/>
  <c r="E37" i="15" s="1"/>
  <c r="G37" i="15" s="1"/>
  <c r="I37" i="15" s="1"/>
  <c r="K37" i="15" s="1"/>
  <c r="M37" i="15" s="1"/>
  <c r="O37" i="15" s="1"/>
  <c r="Q37" i="15" s="1"/>
  <c r="S37" i="15" s="1"/>
  <c r="U37" i="15" s="1"/>
  <c r="W37" i="15" s="1"/>
  <c r="Y37" i="15" s="1"/>
  <c r="AA37" i="15" s="1"/>
  <c r="AC37" i="15" s="1"/>
  <c r="AE37" i="15" s="1"/>
  <c r="AG37" i="15" s="1"/>
  <c r="D37" i="15"/>
  <c r="F37" i="15" s="1"/>
  <c r="H37" i="15" s="1"/>
  <c r="J37" i="15" s="1"/>
  <c r="L37" i="15" s="1"/>
  <c r="N37" i="15" s="1"/>
  <c r="P37" i="15" s="1"/>
  <c r="R37" i="15" s="1"/>
  <c r="T37" i="15" s="1"/>
  <c r="V37" i="15" s="1"/>
  <c r="X37" i="15" s="1"/>
  <c r="Z37" i="15" s="1"/>
  <c r="AB37" i="15" s="1"/>
  <c r="AD37" i="15" s="1"/>
  <c r="AF37" i="15" s="1"/>
  <c r="AH37" i="15" s="1"/>
  <c r="C38" i="15"/>
  <c r="E38" i="15" s="1"/>
  <c r="G38" i="15" s="1"/>
  <c r="I38" i="15" s="1"/>
  <c r="K38" i="15" s="1"/>
  <c r="M38" i="15" s="1"/>
  <c r="O38" i="15" s="1"/>
  <c r="Q38" i="15" s="1"/>
  <c r="S38" i="15" s="1"/>
  <c r="U38" i="15" s="1"/>
  <c r="W38" i="15" s="1"/>
  <c r="Y38" i="15" s="1"/>
  <c r="AA38" i="15" s="1"/>
  <c r="AC38" i="15" s="1"/>
  <c r="AE38" i="15" s="1"/>
  <c r="AG38" i="15" s="1"/>
  <c r="D38" i="15"/>
  <c r="F38" i="15" s="1"/>
  <c r="H38" i="15" s="1"/>
  <c r="J38" i="15" s="1"/>
  <c r="L38" i="15" s="1"/>
  <c r="N38" i="15" s="1"/>
  <c r="P38" i="15" s="1"/>
  <c r="R38" i="15" s="1"/>
  <c r="T38" i="15" s="1"/>
  <c r="V38" i="15" s="1"/>
  <c r="X38" i="15" s="1"/>
  <c r="Z38" i="15" s="1"/>
  <c r="AB38" i="15" s="1"/>
  <c r="AD38" i="15" s="1"/>
  <c r="AF38" i="15" s="1"/>
  <c r="AH38" i="15" s="1"/>
  <c r="C39" i="15"/>
  <c r="E39" i="15" s="1"/>
  <c r="G39" i="15" s="1"/>
  <c r="I39" i="15" s="1"/>
  <c r="K39" i="15" s="1"/>
  <c r="M39" i="15" s="1"/>
  <c r="O39" i="15" s="1"/>
  <c r="Q39" i="15" s="1"/>
  <c r="S39" i="15" s="1"/>
  <c r="U39" i="15" s="1"/>
  <c r="W39" i="15" s="1"/>
  <c r="Y39" i="15" s="1"/>
  <c r="AA39" i="15" s="1"/>
  <c r="AC39" i="15" s="1"/>
  <c r="AE39" i="15" s="1"/>
  <c r="AG39" i="15" s="1"/>
  <c r="D39" i="15"/>
  <c r="F39" i="15" s="1"/>
  <c r="H39" i="15" s="1"/>
  <c r="J39" i="15" s="1"/>
  <c r="L39" i="15" s="1"/>
  <c r="N39" i="15" s="1"/>
  <c r="P39" i="15" s="1"/>
  <c r="R39" i="15" s="1"/>
  <c r="T39" i="15" s="1"/>
  <c r="V39" i="15" s="1"/>
  <c r="X39" i="15" s="1"/>
  <c r="Z39" i="15" s="1"/>
  <c r="AB39" i="15" s="1"/>
  <c r="AD39" i="15" s="1"/>
  <c r="AF39" i="15" s="1"/>
  <c r="AH39" i="15" s="1"/>
  <c r="C40" i="15"/>
  <c r="E40" i="15" s="1"/>
  <c r="G40" i="15" s="1"/>
  <c r="I40" i="15" s="1"/>
  <c r="K40" i="15" s="1"/>
  <c r="M40" i="15" s="1"/>
  <c r="O40" i="15" s="1"/>
  <c r="Q40" i="15" s="1"/>
  <c r="S40" i="15" s="1"/>
  <c r="U40" i="15" s="1"/>
  <c r="W40" i="15" s="1"/>
  <c r="Y40" i="15" s="1"/>
  <c r="AA40" i="15" s="1"/>
  <c r="AC40" i="15" s="1"/>
  <c r="AE40" i="15" s="1"/>
  <c r="AG40" i="15" s="1"/>
  <c r="D40" i="15"/>
  <c r="F40" i="15" s="1"/>
  <c r="H40" i="15" s="1"/>
  <c r="J40" i="15" s="1"/>
  <c r="L40" i="15" s="1"/>
  <c r="N40" i="15" s="1"/>
  <c r="P40" i="15" s="1"/>
  <c r="R40" i="15" s="1"/>
  <c r="T40" i="15" s="1"/>
  <c r="V40" i="15" s="1"/>
  <c r="X40" i="15" s="1"/>
  <c r="Z40" i="15" s="1"/>
  <c r="AB40" i="15" s="1"/>
  <c r="AD40" i="15" s="1"/>
  <c r="AF40" i="15" s="1"/>
  <c r="AH40" i="15" s="1"/>
  <c r="C41" i="15"/>
  <c r="E41" i="15" s="1"/>
  <c r="G41" i="15" s="1"/>
  <c r="I41" i="15" s="1"/>
  <c r="K41" i="15" s="1"/>
  <c r="M41" i="15" s="1"/>
  <c r="O41" i="15" s="1"/>
  <c r="Q41" i="15" s="1"/>
  <c r="S41" i="15" s="1"/>
  <c r="U41" i="15" s="1"/>
  <c r="W41" i="15" s="1"/>
  <c r="Y41" i="15" s="1"/>
  <c r="AA41" i="15" s="1"/>
  <c r="AC41" i="15" s="1"/>
  <c r="AE41" i="15" s="1"/>
  <c r="AG41" i="15" s="1"/>
  <c r="D41" i="15"/>
  <c r="F41" i="15" s="1"/>
  <c r="H41" i="15" s="1"/>
  <c r="J41" i="15" s="1"/>
  <c r="L41" i="15" s="1"/>
  <c r="N41" i="15" s="1"/>
  <c r="P41" i="15" s="1"/>
  <c r="R41" i="15" s="1"/>
  <c r="T41" i="15" s="1"/>
  <c r="V41" i="15" s="1"/>
  <c r="X41" i="15" s="1"/>
  <c r="Z41" i="15" s="1"/>
  <c r="AB41" i="15" s="1"/>
  <c r="AD41" i="15" s="1"/>
  <c r="AF41" i="15" s="1"/>
  <c r="AH41" i="15" s="1"/>
  <c r="C42" i="15"/>
  <c r="E42" i="15" s="1"/>
  <c r="G42" i="15" s="1"/>
  <c r="I42" i="15" s="1"/>
  <c r="K42" i="15" s="1"/>
  <c r="M42" i="15" s="1"/>
  <c r="O42" i="15" s="1"/>
  <c r="Q42" i="15" s="1"/>
  <c r="S42" i="15" s="1"/>
  <c r="U42" i="15" s="1"/>
  <c r="W42" i="15" s="1"/>
  <c r="Y42" i="15" s="1"/>
  <c r="AA42" i="15" s="1"/>
  <c r="AC42" i="15" s="1"/>
  <c r="AE42" i="15" s="1"/>
  <c r="AG42" i="15" s="1"/>
  <c r="D42" i="15"/>
  <c r="F42" i="15" s="1"/>
  <c r="H42" i="15" s="1"/>
  <c r="J42" i="15" s="1"/>
  <c r="L42" i="15" s="1"/>
  <c r="N42" i="15" s="1"/>
  <c r="P42" i="15" s="1"/>
  <c r="R42" i="15" s="1"/>
  <c r="T42" i="15" s="1"/>
  <c r="V42" i="15" s="1"/>
  <c r="X42" i="15" s="1"/>
  <c r="Z42" i="15" s="1"/>
  <c r="AB42" i="15" s="1"/>
  <c r="AD42" i="15" s="1"/>
  <c r="AF42" i="15" s="1"/>
  <c r="AH42" i="15" s="1"/>
  <c r="C43" i="15"/>
  <c r="E43" i="15" s="1"/>
  <c r="G43" i="15" s="1"/>
  <c r="I43" i="15" s="1"/>
  <c r="K43" i="15" s="1"/>
  <c r="M43" i="15" s="1"/>
  <c r="O43" i="15" s="1"/>
  <c r="Q43" i="15" s="1"/>
  <c r="S43" i="15" s="1"/>
  <c r="U43" i="15" s="1"/>
  <c r="W43" i="15" s="1"/>
  <c r="Y43" i="15" s="1"/>
  <c r="AA43" i="15" s="1"/>
  <c r="AC43" i="15" s="1"/>
  <c r="AE43" i="15" s="1"/>
  <c r="AG43" i="15" s="1"/>
  <c r="D43" i="15"/>
  <c r="F43" i="15" s="1"/>
  <c r="H43" i="15" s="1"/>
  <c r="J43" i="15" s="1"/>
  <c r="L43" i="15" s="1"/>
  <c r="N43" i="15" s="1"/>
  <c r="P43" i="15" s="1"/>
  <c r="R43" i="15" s="1"/>
  <c r="T43" i="15" s="1"/>
  <c r="V43" i="15" s="1"/>
  <c r="X43" i="15" s="1"/>
  <c r="Z43" i="15" s="1"/>
  <c r="AB43" i="15" s="1"/>
  <c r="AD43" i="15" s="1"/>
  <c r="AF43" i="15" s="1"/>
  <c r="AH43" i="15" s="1"/>
  <c r="C44" i="15"/>
  <c r="E44" i="15" s="1"/>
  <c r="G44" i="15" s="1"/>
  <c r="I44" i="15" s="1"/>
  <c r="K44" i="15" s="1"/>
  <c r="M44" i="15" s="1"/>
  <c r="O44" i="15" s="1"/>
  <c r="Q44" i="15" s="1"/>
  <c r="S44" i="15" s="1"/>
  <c r="U44" i="15" s="1"/>
  <c r="W44" i="15" s="1"/>
  <c r="Y44" i="15" s="1"/>
  <c r="AA44" i="15" s="1"/>
  <c r="AC44" i="15" s="1"/>
  <c r="AE44" i="15" s="1"/>
  <c r="AG44" i="15" s="1"/>
  <c r="D44" i="15"/>
  <c r="F44" i="15" s="1"/>
  <c r="H44" i="15" s="1"/>
  <c r="J44" i="15" s="1"/>
  <c r="L44" i="15" s="1"/>
  <c r="N44" i="15" s="1"/>
  <c r="P44" i="15" s="1"/>
  <c r="R44" i="15" s="1"/>
  <c r="T44" i="15" s="1"/>
  <c r="V44" i="15" s="1"/>
  <c r="X44" i="15" s="1"/>
  <c r="Z44" i="15" s="1"/>
  <c r="AB44" i="15" s="1"/>
  <c r="AD44" i="15" s="1"/>
  <c r="AF44" i="15" s="1"/>
  <c r="AH44" i="15" s="1"/>
  <c r="C45" i="15"/>
  <c r="E45" i="15" s="1"/>
  <c r="G45" i="15" s="1"/>
  <c r="I45" i="15" s="1"/>
  <c r="K45" i="15" s="1"/>
  <c r="M45" i="15" s="1"/>
  <c r="O45" i="15" s="1"/>
  <c r="Q45" i="15" s="1"/>
  <c r="S45" i="15" s="1"/>
  <c r="U45" i="15" s="1"/>
  <c r="W45" i="15" s="1"/>
  <c r="Y45" i="15" s="1"/>
  <c r="AA45" i="15" s="1"/>
  <c r="AC45" i="15" s="1"/>
  <c r="AE45" i="15" s="1"/>
  <c r="AG45" i="15" s="1"/>
  <c r="D45" i="15"/>
  <c r="F45" i="15" s="1"/>
  <c r="H45" i="15" s="1"/>
  <c r="J45" i="15" s="1"/>
  <c r="L45" i="15" s="1"/>
  <c r="N45" i="15" s="1"/>
  <c r="P45" i="15" s="1"/>
  <c r="R45" i="15" s="1"/>
  <c r="T45" i="15" s="1"/>
  <c r="V45" i="15" s="1"/>
  <c r="X45" i="15" s="1"/>
  <c r="Z45" i="15" s="1"/>
  <c r="AB45" i="15" s="1"/>
  <c r="AD45" i="15" s="1"/>
  <c r="AF45" i="15" s="1"/>
  <c r="AH45" i="15" s="1"/>
  <c r="C46" i="15"/>
  <c r="E46" i="15" s="1"/>
  <c r="G46" i="15" s="1"/>
  <c r="I46" i="15" s="1"/>
  <c r="K46" i="15" s="1"/>
  <c r="M46" i="15" s="1"/>
  <c r="O46" i="15" s="1"/>
  <c r="Q46" i="15" s="1"/>
  <c r="S46" i="15" s="1"/>
  <c r="U46" i="15" s="1"/>
  <c r="W46" i="15" s="1"/>
  <c r="Y46" i="15" s="1"/>
  <c r="AA46" i="15" s="1"/>
  <c r="AC46" i="15" s="1"/>
  <c r="AE46" i="15" s="1"/>
  <c r="AG46" i="15" s="1"/>
  <c r="D46" i="15"/>
  <c r="F46" i="15" s="1"/>
  <c r="H46" i="15" s="1"/>
  <c r="J46" i="15" s="1"/>
  <c r="L46" i="15" s="1"/>
  <c r="N46" i="15" s="1"/>
  <c r="P46" i="15" s="1"/>
  <c r="R46" i="15" s="1"/>
  <c r="T46" i="15" s="1"/>
  <c r="V46" i="15" s="1"/>
  <c r="X46" i="15" s="1"/>
  <c r="Z46" i="15" s="1"/>
  <c r="AB46" i="15" s="1"/>
  <c r="AD46" i="15" s="1"/>
  <c r="AF46" i="15" s="1"/>
  <c r="AH46" i="15" s="1"/>
  <c r="C47" i="15"/>
  <c r="E47" i="15" s="1"/>
  <c r="G47" i="15" s="1"/>
  <c r="I47" i="15" s="1"/>
  <c r="K47" i="15" s="1"/>
  <c r="M47" i="15" s="1"/>
  <c r="O47" i="15" s="1"/>
  <c r="Q47" i="15" s="1"/>
  <c r="S47" i="15" s="1"/>
  <c r="U47" i="15" s="1"/>
  <c r="W47" i="15" s="1"/>
  <c r="Y47" i="15" s="1"/>
  <c r="AA47" i="15" s="1"/>
  <c r="AC47" i="15" s="1"/>
  <c r="AE47" i="15" s="1"/>
  <c r="AG47" i="15" s="1"/>
  <c r="D47" i="15"/>
  <c r="F47" i="15" s="1"/>
  <c r="H47" i="15" s="1"/>
  <c r="J47" i="15" s="1"/>
  <c r="L47" i="15" s="1"/>
  <c r="N47" i="15" s="1"/>
  <c r="P47" i="15" s="1"/>
  <c r="R47" i="15" s="1"/>
  <c r="T47" i="15" s="1"/>
  <c r="V47" i="15" s="1"/>
  <c r="X47" i="15" s="1"/>
  <c r="Z47" i="15" s="1"/>
  <c r="AB47" i="15" s="1"/>
  <c r="AD47" i="15" s="1"/>
  <c r="AF47" i="15" s="1"/>
  <c r="AH47" i="15" s="1"/>
  <c r="C48" i="15"/>
  <c r="E48" i="15" s="1"/>
  <c r="G48" i="15" s="1"/>
  <c r="I48" i="15" s="1"/>
  <c r="K48" i="15" s="1"/>
  <c r="M48" i="15" s="1"/>
  <c r="O48" i="15" s="1"/>
  <c r="Q48" i="15" s="1"/>
  <c r="S48" i="15" s="1"/>
  <c r="U48" i="15" s="1"/>
  <c r="W48" i="15" s="1"/>
  <c r="Y48" i="15" s="1"/>
  <c r="AA48" i="15" s="1"/>
  <c r="AC48" i="15" s="1"/>
  <c r="AE48" i="15" s="1"/>
  <c r="AG48" i="15" s="1"/>
  <c r="D48" i="15"/>
  <c r="F48" i="15" s="1"/>
  <c r="H48" i="15" s="1"/>
  <c r="J48" i="15" s="1"/>
  <c r="L48" i="15" s="1"/>
  <c r="N48" i="15" s="1"/>
  <c r="P48" i="15" s="1"/>
  <c r="R48" i="15" s="1"/>
  <c r="T48" i="15" s="1"/>
  <c r="V48" i="15" s="1"/>
  <c r="X48" i="15" s="1"/>
  <c r="Z48" i="15" s="1"/>
  <c r="AB48" i="15" s="1"/>
  <c r="AD48" i="15" s="1"/>
  <c r="AF48" i="15" s="1"/>
  <c r="AH48" i="15" s="1"/>
  <c r="C49" i="15"/>
  <c r="E49" i="15" s="1"/>
  <c r="G49" i="15" s="1"/>
  <c r="I49" i="15" s="1"/>
  <c r="K49" i="15" s="1"/>
  <c r="M49" i="15" s="1"/>
  <c r="O49" i="15" s="1"/>
  <c r="Q49" i="15" s="1"/>
  <c r="S49" i="15" s="1"/>
  <c r="U49" i="15" s="1"/>
  <c r="W49" i="15" s="1"/>
  <c r="Y49" i="15" s="1"/>
  <c r="AA49" i="15" s="1"/>
  <c r="AC49" i="15" s="1"/>
  <c r="AE49" i="15" s="1"/>
  <c r="AG49" i="15" s="1"/>
  <c r="D49" i="15"/>
  <c r="F49" i="15" s="1"/>
  <c r="H49" i="15" s="1"/>
  <c r="J49" i="15" s="1"/>
  <c r="L49" i="15" s="1"/>
  <c r="N49" i="15" s="1"/>
  <c r="P49" i="15" s="1"/>
  <c r="R49" i="15" s="1"/>
  <c r="T49" i="15" s="1"/>
  <c r="V49" i="15" s="1"/>
  <c r="X49" i="15" s="1"/>
  <c r="Z49" i="15" s="1"/>
  <c r="AB49" i="15" s="1"/>
  <c r="AD49" i="15" s="1"/>
  <c r="AF49" i="15" s="1"/>
  <c r="AH49" i="15" s="1"/>
  <c r="C50" i="15"/>
  <c r="E50" i="15" s="1"/>
  <c r="G50" i="15" s="1"/>
  <c r="I50" i="15" s="1"/>
  <c r="K50" i="15" s="1"/>
  <c r="M50" i="15" s="1"/>
  <c r="O50" i="15" s="1"/>
  <c r="Q50" i="15" s="1"/>
  <c r="S50" i="15" s="1"/>
  <c r="U50" i="15" s="1"/>
  <c r="W50" i="15" s="1"/>
  <c r="Y50" i="15" s="1"/>
  <c r="AA50" i="15" s="1"/>
  <c r="AC50" i="15" s="1"/>
  <c r="AE50" i="15" s="1"/>
  <c r="AG50" i="15" s="1"/>
  <c r="D50" i="15"/>
  <c r="F50" i="15" s="1"/>
  <c r="H50" i="15" s="1"/>
  <c r="J50" i="15" s="1"/>
  <c r="L50" i="15" s="1"/>
  <c r="N50" i="15" s="1"/>
  <c r="P50" i="15" s="1"/>
  <c r="R50" i="15" s="1"/>
  <c r="T50" i="15" s="1"/>
  <c r="V50" i="15" s="1"/>
  <c r="X50" i="15" s="1"/>
  <c r="Z50" i="15" s="1"/>
  <c r="AB50" i="15" s="1"/>
  <c r="AD50" i="15" s="1"/>
  <c r="AF50" i="15" s="1"/>
  <c r="AH50" i="15" s="1"/>
  <c r="C51" i="15"/>
  <c r="E51" i="15" s="1"/>
  <c r="G51" i="15" s="1"/>
  <c r="I51" i="15" s="1"/>
  <c r="K51" i="15" s="1"/>
  <c r="M51" i="15" s="1"/>
  <c r="O51" i="15" s="1"/>
  <c r="Q51" i="15" s="1"/>
  <c r="S51" i="15" s="1"/>
  <c r="U51" i="15" s="1"/>
  <c r="W51" i="15" s="1"/>
  <c r="Y51" i="15" s="1"/>
  <c r="AA51" i="15" s="1"/>
  <c r="AC51" i="15" s="1"/>
  <c r="AE51" i="15" s="1"/>
  <c r="AG51" i="15" s="1"/>
  <c r="D51" i="15"/>
  <c r="F51" i="15" s="1"/>
  <c r="H51" i="15" s="1"/>
  <c r="J51" i="15" s="1"/>
  <c r="L51" i="15" s="1"/>
  <c r="N51" i="15" s="1"/>
  <c r="P51" i="15" s="1"/>
  <c r="R51" i="15" s="1"/>
  <c r="T51" i="15" s="1"/>
  <c r="V51" i="15" s="1"/>
  <c r="X51" i="15" s="1"/>
  <c r="Z51" i="15" s="1"/>
  <c r="AB51" i="15" s="1"/>
  <c r="AD51" i="15" s="1"/>
  <c r="AF51" i="15" s="1"/>
  <c r="AH51" i="15" s="1"/>
  <c r="C52" i="15"/>
  <c r="E52" i="15" s="1"/>
  <c r="G52" i="15" s="1"/>
  <c r="I52" i="15" s="1"/>
  <c r="K52" i="15" s="1"/>
  <c r="M52" i="15" s="1"/>
  <c r="O52" i="15" s="1"/>
  <c r="Q52" i="15" s="1"/>
  <c r="S52" i="15" s="1"/>
  <c r="U52" i="15" s="1"/>
  <c r="W52" i="15" s="1"/>
  <c r="Y52" i="15" s="1"/>
  <c r="AA52" i="15" s="1"/>
  <c r="AC52" i="15" s="1"/>
  <c r="AE52" i="15" s="1"/>
  <c r="AG52" i="15" s="1"/>
  <c r="D52" i="15"/>
  <c r="F52" i="15" s="1"/>
  <c r="H52" i="15" s="1"/>
  <c r="J52" i="15" s="1"/>
  <c r="L52" i="15" s="1"/>
  <c r="N52" i="15" s="1"/>
  <c r="P52" i="15" s="1"/>
  <c r="R52" i="15" s="1"/>
  <c r="T52" i="15" s="1"/>
  <c r="V52" i="15" s="1"/>
  <c r="X52" i="15" s="1"/>
  <c r="Z52" i="15" s="1"/>
  <c r="AB52" i="15" s="1"/>
  <c r="AD52" i="15" s="1"/>
  <c r="AF52" i="15" s="1"/>
  <c r="AH52" i="15" s="1"/>
  <c r="C53" i="15"/>
  <c r="E53" i="15" s="1"/>
  <c r="G53" i="15" s="1"/>
  <c r="I53" i="15" s="1"/>
  <c r="K53" i="15" s="1"/>
  <c r="M53" i="15" s="1"/>
  <c r="O53" i="15" s="1"/>
  <c r="Q53" i="15" s="1"/>
  <c r="S53" i="15" s="1"/>
  <c r="U53" i="15" s="1"/>
  <c r="W53" i="15" s="1"/>
  <c r="Y53" i="15" s="1"/>
  <c r="AA53" i="15" s="1"/>
  <c r="AC53" i="15" s="1"/>
  <c r="AE53" i="15" s="1"/>
  <c r="AG53" i="15" s="1"/>
  <c r="D53" i="15"/>
  <c r="F53" i="15" s="1"/>
  <c r="H53" i="15" s="1"/>
  <c r="J53" i="15" s="1"/>
  <c r="L53" i="15" s="1"/>
  <c r="N53" i="15" s="1"/>
  <c r="P53" i="15" s="1"/>
  <c r="R53" i="15" s="1"/>
  <c r="T53" i="15" s="1"/>
  <c r="V53" i="15" s="1"/>
  <c r="X53" i="15" s="1"/>
  <c r="Z53" i="15" s="1"/>
  <c r="AB53" i="15" s="1"/>
  <c r="AD53" i="15" s="1"/>
  <c r="AF53" i="15" s="1"/>
  <c r="AH53" i="15" s="1"/>
  <c r="C54" i="15"/>
  <c r="E54" i="15" s="1"/>
  <c r="G54" i="15" s="1"/>
  <c r="I54" i="15" s="1"/>
  <c r="K54" i="15" s="1"/>
  <c r="M54" i="15" s="1"/>
  <c r="O54" i="15" s="1"/>
  <c r="Q54" i="15" s="1"/>
  <c r="S54" i="15" s="1"/>
  <c r="U54" i="15" s="1"/>
  <c r="W54" i="15" s="1"/>
  <c r="Y54" i="15" s="1"/>
  <c r="AA54" i="15" s="1"/>
  <c r="AC54" i="15" s="1"/>
  <c r="AE54" i="15" s="1"/>
  <c r="AG54" i="15" s="1"/>
  <c r="D54" i="15"/>
  <c r="F54" i="15" s="1"/>
  <c r="H54" i="15" s="1"/>
  <c r="J54" i="15" s="1"/>
  <c r="L54" i="15" s="1"/>
  <c r="N54" i="15" s="1"/>
  <c r="P54" i="15" s="1"/>
  <c r="R54" i="15" s="1"/>
  <c r="T54" i="15" s="1"/>
  <c r="V54" i="15" s="1"/>
  <c r="X54" i="15" s="1"/>
  <c r="Z54" i="15" s="1"/>
  <c r="AB54" i="15" s="1"/>
  <c r="AD54" i="15" s="1"/>
  <c r="AF54" i="15" s="1"/>
  <c r="AH54" i="15" s="1"/>
  <c r="C55" i="15"/>
  <c r="E55" i="15" s="1"/>
  <c r="G55" i="15" s="1"/>
  <c r="I55" i="15" s="1"/>
  <c r="K55" i="15" s="1"/>
  <c r="M55" i="15" s="1"/>
  <c r="O55" i="15" s="1"/>
  <c r="Q55" i="15" s="1"/>
  <c r="S55" i="15" s="1"/>
  <c r="U55" i="15" s="1"/>
  <c r="W55" i="15" s="1"/>
  <c r="Y55" i="15" s="1"/>
  <c r="AA55" i="15" s="1"/>
  <c r="AC55" i="15" s="1"/>
  <c r="AE55" i="15" s="1"/>
  <c r="AG55" i="15" s="1"/>
  <c r="D55" i="15"/>
  <c r="F55" i="15" s="1"/>
  <c r="H55" i="15" s="1"/>
  <c r="J55" i="15" s="1"/>
  <c r="L55" i="15" s="1"/>
  <c r="N55" i="15" s="1"/>
  <c r="P55" i="15" s="1"/>
  <c r="R55" i="15" s="1"/>
  <c r="T55" i="15" s="1"/>
  <c r="V55" i="15" s="1"/>
  <c r="X55" i="15" s="1"/>
  <c r="Z55" i="15" s="1"/>
  <c r="AB55" i="15" s="1"/>
  <c r="AD55" i="15" s="1"/>
  <c r="AF55" i="15" s="1"/>
  <c r="AH55" i="15" s="1"/>
  <c r="C56" i="15"/>
  <c r="E56" i="15" s="1"/>
  <c r="G56" i="15" s="1"/>
  <c r="I56" i="15" s="1"/>
  <c r="K56" i="15" s="1"/>
  <c r="M56" i="15" s="1"/>
  <c r="O56" i="15" s="1"/>
  <c r="Q56" i="15" s="1"/>
  <c r="S56" i="15" s="1"/>
  <c r="U56" i="15" s="1"/>
  <c r="W56" i="15" s="1"/>
  <c r="Y56" i="15" s="1"/>
  <c r="AA56" i="15" s="1"/>
  <c r="AC56" i="15" s="1"/>
  <c r="AE56" i="15" s="1"/>
  <c r="AG56" i="15" s="1"/>
  <c r="D56" i="15"/>
  <c r="F56" i="15" s="1"/>
  <c r="H56" i="15" s="1"/>
  <c r="J56" i="15" s="1"/>
  <c r="L56" i="15" s="1"/>
  <c r="N56" i="15" s="1"/>
  <c r="P56" i="15" s="1"/>
  <c r="R56" i="15" s="1"/>
  <c r="T56" i="15" s="1"/>
  <c r="V56" i="15" s="1"/>
  <c r="X56" i="15" s="1"/>
  <c r="Z56" i="15" s="1"/>
  <c r="AB56" i="15" s="1"/>
  <c r="AD56" i="15" s="1"/>
  <c r="AF56" i="15" s="1"/>
  <c r="AH56" i="15" s="1"/>
  <c r="C57" i="15"/>
  <c r="E57" i="15" s="1"/>
  <c r="G57" i="15" s="1"/>
  <c r="I57" i="15" s="1"/>
  <c r="K57" i="15" s="1"/>
  <c r="M57" i="15" s="1"/>
  <c r="O57" i="15" s="1"/>
  <c r="Q57" i="15" s="1"/>
  <c r="S57" i="15" s="1"/>
  <c r="U57" i="15" s="1"/>
  <c r="W57" i="15" s="1"/>
  <c r="Y57" i="15" s="1"/>
  <c r="AA57" i="15" s="1"/>
  <c r="AC57" i="15" s="1"/>
  <c r="AE57" i="15" s="1"/>
  <c r="AG57" i="15" s="1"/>
  <c r="D57" i="15"/>
  <c r="F57" i="15" s="1"/>
  <c r="H57" i="15" s="1"/>
  <c r="J57" i="15" s="1"/>
  <c r="L57" i="15" s="1"/>
  <c r="N57" i="15" s="1"/>
  <c r="P57" i="15" s="1"/>
  <c r="R57" i="15" s="1"/>
  <c r="T57" i="15" s="1"/>
  <c r="V57" i="15" s="1"/>
  <c r="X57" i="15" s="1"/>
  <c r="Z57" i="15" s="1"/>
  <c r="AB57" i="15" s="1"/>
  <c r="AD57" i="15" s="1"/>
  <c r="AF57" i="15" s="1"/>
  <c r="AH57" i="15" s="1"/>
  <c r="C58" i="15"/>
  <c r="E58" i="15" s="1"/>
  <c r="G58" i="15" s="1"/>
  <c r="I58" i="15" s="1"/>
  <c r="K58" i="15" s="1"/>
  <c r="M58" i="15" s="1"/>
  <c r="O58" i="15" s="1"/>
  <c r="Q58" i="15" s="1"/>
  <c r="S58" i="15" s="1"/>
  <c r="U58" i="15" s="1"/>
  <c r="W58" i="15" s="1"/>
  <c r="Y58" i="15" s="1"/>
  <c r="AA58" i="15" s="1"/>
  <c r="AC58" i="15" s="1"/>
  <c r="AE58" i="15" s="1"/>
  <c r="AG58" i="15" s="1"/>
  <c r="D58" i="15"/>
  <c r="F58" i="15" s="1"/>
  <c r="H58" i="15" s="1"/>
  <c r="J58" i="15" s="1"/>
  <c r="L58" i="15" s="1"/>
  <c r="N58" i="15" s="1"/>
  <c r="P58" i="15" s="1"/>
  <c r="R58" i="15" s="1"/>
  <c r="T58" i="15" s="1"/>
  <c r="V58" i="15" s="1"/>
  <c r="X58" i="15" s="1"/>
  <c r="Z58" i="15" s="1"/>
  <c r="AB58" i="15" s="1"/>
  <c r="AD58" i="15" s="1"/>
  <c r="AF58" i="15" s="1"/>
  <c r="AH58" i="15" s="1"/>
  <c r="C59" i="15"/>
  <c r="E59" i="15" s="1"/>
  <c r="G59" i="15" s="1"/>
  <c r="I59" i="15" s="1"/>
  <c r="K59" i="15" s="1"/>
  <c r="M59" i="15" s="1"/>
  <c r="O59" i="15" s="1"/>
  <c r="Q59" i="15" s="1"/>
  <c r="S59" i="15" s="1"/>
  <c r="U59" i="15" s="1"/>
  <c r="W59" i="15" s="1"/>
  <c r="Y59" i="15" s="1"/>
  <c r="AA59" i="15" s="1"/>
  <c r="AC59" i="15" s="1"/>
  <c r="AE59" i="15" s="1"/>
  <c r="AG59" i="15" s="1"/>
  <c r="D59" i="15"/>
  <c r="F59" i="15" s="1"/>
  <c r="H59" i="15" s="1"/>
  <c r="J59" i="15" s="1"/>
  <c r="L59" i="15" s="1"/>
  <c r="N59" i="15" s="1"/>
  <c r="P59" i="15" s="1"/>
  <c r="R59" i="15" s="1"/>
  <c r="T59" i="15" s="1"/>
  <c r="V59" i="15" s="1"/>
  <c r="X59" i="15" s="1"/>
  <c r="Z59" i="15" s="1"/>
  <c r="AB59" i="15" s="1"/>
  <c r="AD59" i="15" s="1"/>
  <c r="AF59" i="15" s="1"/>
  <c r="AH59" i="15" s="1"/>
  <c r="C60" i="15"/>
  <c r="E60" i="15" s="1"/>
  <c r="G60" i="15" s="1"/>
  <c r="I60" i="15" s="1"/>
  <c r="K60" i="15" s="1"/>
  <c r="M60" i="15" s="1"/>
  <c r="O60" i="15" s="1"/>
  <c r="Q60" i="15" s="1"/>
  <c r="S60" i="15" s="1"/>
  <c r="U60" i="15" s="1"/>
  <c r="W60" i="15" s="1"/>
  <c r="Y60" i="15" s="1"/>
  <c r="AA60" i="15" s="1"/>
  <c r="AC60" i="15" s="1"/>
  <c r="AE60" i="15" s="1"/>
  <c r="AG60" i="15" s="1"/>
  <c r="D60" i="15"/>
  <c r="F60" i="15" s="1"/>
  <c r="H60" i="15" s="1"/>
  <c r="J60" i="15" s="1"/>
  <c r="L60" i="15" s="1"/>
  <c r="N60" i="15" s="1"/>
  <c r="P60" i="15" s="1"/>
  <c r="R60" i="15" s="1"/>
  <c r="T60" i="15" s="1"/>
  <c r="V60" i="15" s="1"/>
  <c r="X60" i="15" s="1"/>
  <c r="Z60" i="15" s="1"/>
  <c r="AB60" i="15" s="1"/>
  <c r="AD60" i="15" s="1"/>
  <c r="AF60" i="15" s="1"/>
  <c r="AH60" i="15" s="1"/>
  <c r="C61" i="15"/>
  <c r="E61" i="15" s="1"/>
  <c r="G61" i="15" s="1"/>
  <c r="I61" i="15" s="1"/>
  <c r="K61" i="15" s="1"/>
  <c r="M61" i="15" s="1"/>
  <c r="O61" i="15" s="1"/>
  <c r="Q61" i="15" s="1"/>
  <c r="S61" i="15" s="1"/>
  <c r="U61" i="15" s="1"/>
  <c r="W61" i="15" s="1"/>
  <c r="Y61" i="15" s="1"/>
  <c r="AA61" i="15" s="1"/>
  <c r="AC61" i="15" s="1"/>
  <c r="AE61" i="15" s="1"/>
  <c r="AG61" i="15" s="1"/>
  <c r="D61" i="15"/>
  <c r="F61" i="15" s="1"/>
  <c r="H61" i="15" s="1"/>
  <c r="J61" i="15" s="1"/>
  <c r="L61" i="15" s="1"/>
  <c r="N61" i="15" s="1"/>
  <c r="P61" i="15" s="1"/>
  <c r="R61" i="15" s="1"/>
  <c r="T61" i="15" s="1"/>
  <c r="V61" i="15" s="1"/>
  <c r="X61" i="15" s="1"/>
  <c r="Z61" i="15" s="1"/>
  <c r="AB61" i="15" s="1"/>
  <c r="AD61" i="15" s="1"/>
  <c r="AF61" i="15" s="1"/>
  <c r="AH61" i="15" s="1"/>
  <c r="C62" i="15"/>
  <c r="E62" i="15" s="1"/>
  <c r="G62" i="15" s="1"/>
  <c r="I62" i="15" s="1"/>
  <c r="K62" i="15" s="1"/>
  <c r="M62" i="15" s="1"/>
  <c r="O62" i="15" s="1"/>
  <c r="Q62" i="15" s="1"/>
  <c r="S62" i="15" s="1"/>
  <c r="U62" i="15" s="1"/>
  <c r="W62" i="15" s="1"/>
  <c r="Y62" i="15" s="1"/>
  <c r="AA62" i="15" s="1"/>
  <c r="AC62" i="15" s="1"/>
  <c r="AE62" i="15" s="1"/>
  <c r="AG62" i="15" s="1"/>
  <c r="D62" i="15"/>
  <c r="F62" i="15" s="1"/>
  <c r="H62" i="15" s="1"/>
  <c r="J62" i="15" s="1"/>
  <c r="L62" i="15" s="1"/>
  <c r="N62" i="15" s="1"/>
  <c r="P62" i="15" s="1"/>
  <c r="R62" i="15" s="1"/>
  <c r="T62" i="15" s="1"/>
  <c r="V62" i="15" s="1"/>
  <c r="X62" i="15" s="1"/>
  <c r="Z62" i="15" s="1"/>
  <c r="AB62" i="15" s="1"/>
  <c r="AD62" i="15" s="1"/>
  <c r="AF62" i="15" s="1"/>
  <c r="AH62" i="15" s="1"/>
  <c r="C63" i="15"/>
  <c r="E63" i="15" s="1"/>
  <c r="G63" i="15" s="1"/>
  <c r="I63" i="15" s="1"/>
  <c r="K63" i="15" s="1"/>
  <c r="M63" i="15" s="1"/>
  <c r="O63" i="15" s="1"/>
  <c r="Q63" i="15" s="1"/>
  <c r="S63" i="15" s="1"/>
  <c r="U63" i="15" s="1"/>
  <c r="W63" i="15" s="1"/>
  <c r="Y63" i="15" s="1"/>
  <c r="AA63" i="15" s="1"/>
  <c r="AC63" i="15" s="1"/>
  <c r="AE63" i="15" s="1"/>
  <c r="AG63" i="15" s="1"/>
  <c r="D63" i="15"/>
  <c r="F63" i="15" s="1"/>
  <c r="H63" i="15" s="1"/>
  <c r="J63" i="15" s="1"/>
  <c r="L63" i="15" s="1"/>
  <c r="N63" i="15" s="1"/>
  <c r="P63" i="15" s="1"/>
  <c r="R63" i="15" s="1"/>
  <c r="T63" i="15" s="1"/>
  <c r="V63" i="15" s="1"/>
  <c r="X63" i="15" s="1"/>
  <c r="Z63" i="15" s="1"/>
  <c r="AB63" i="15" s="1"/>
  <c r="AD63" i="15" s="1"/>
  <c r="AF63" i="15" s="1"/>
  <c r="AH63" i="15" s="1"/>
  <c r="C64" i="15"/>
  <c r="E64" i="15" s="1"/>
  <c r="G64" i="15" s="1"/>
  <c r="I64" i="15" s="1"/>
  <c r="K64" i="15" s="1"/>
  <c r="M64" i="15" s="1"/>
  <c r="O64" i="15" s="1"/>
  <c r="Q64" i="15" s="1"/>
  <c r="S64" i="15" s="1"/>
  <c r="U64" i="15" s="1"/>
  <c r="W64" i="15" s="1"/>
  <c r="Y64" i="15" s="1"/>
  <c r="AA64" i="15" s="1"/>
  <c r="AC64" i="15" s="1"/>
  <c r="AE64" i="15" s="1"/>
  <c r="AG64" i="15" s="1"/>
  <c r="D64" i="15"/>
  <c r="F64" i="15" s="1"/>
  <c r="H64" i="15" s="1"/>
  <c r="J64" i="15" s="1"/>
  <c r="L64" i="15" s="1"/>
  <c r="N64" i="15" s="1"/>
  <c r="P64" i="15" s="1"/>
  <c r="R64" i="15" s="1"/>
  <c r="T64" i="15" s="1"/>
  <c r="V64" i="15" s="1"/>
  <c r="X64" i="15" s="1"/>
  <c r="Z64" i="15" s="1"/>
  <c r="AB64" i="15" s="1"/>
  <c r="AD64" i="15" s="1"/>
  <c r="AF64" i="15" s="1"/>
  <c r="AH64" i="15" s="1"/>
  <c r="C65" i="15"/>
  <c r="E65" i="15" s="1"/>
  <c r="G65" i="15" s="1"/>
  <c r="I65" i="15" s="1"/>
  <c r="K65" i="15" s="1"/>
  <c r="M65" i="15" s="1"/>
  <c r="O65" i="15" s="1"/>
  <c r="Q65" i="15" s="1"/>
  <c r="S65" i="15" s="1"/>
  <c r="U65" i="15" s="1"/>
  <c r="W65" i="15" s="1"/>
  <c r="Y65" i="15" s="1"/>
  <c r="AA65" i="15" s="1"/>
  <c r="AC65" i="15" s="1"/>
  <c r="AE65" i="15" s="1"/>
  <c r="AG65" i="15" s="1"/>
  <c r="D65" i="15"/>
  <c r="F65" i="15" s="1"/>
  <c r="H65" i="15" s="1"/>
  <c r="J65" i="15" s="1"/>
  <c r="L65" i="15" s="1"/>
  <c r="N65" i="15" s="1"/>
  <c r="P65" i="15" s="1"/>
  <c r="R65" i="15" s="1"/>
  <c r="T65" i="15" s="1"/>
  <c r="V65" i="15" s="1"/>
  <c r="X65" i="15" s="1"/>
  <c r="Z65" i="15" s="1"/>
  <c r="AB65" i="15" s="1"/>
  <c r="AD65" i="15" s="1"/>
  <c r="AF65" i="15" s="1"/>
  <c r="AH65" i="15" s="1"/>
  <c r="C66" i="15"/>
  <c r="E66" i="15" s="1"/>
  <c r="G66" i="15" s="1"/>
  <c r="I66" i="15" s="1"/>
  <c r="K66" i="15" s="1"/>
  <c r="M66" i="15" s="1"/>
  <c r="O66" i="15" s="1"/>
  <c r="Q66" i="15" s="1"/>
  <c r="S66" i="15" s="1"/>
  <c r="U66" i="15" s="1"/>
  <c r="W66" i="15" s="1"/>
  <c r="Y66" i="15" s="1"/>
  <c r="AA66" i="15" s="1"/>
  <c r="AC66" i="15" s="1"/>
  <c r="AE66" i="15" s="1"/>
  <c r="AG66" i="15" s="1"/>
  <c r="D66" i="15"/>
  <c r="F66" i="15" s="1"/>
  <c r="H66" i="15" s="1"/>
  <c r="J66" i="15" s="1"/>
  <c r="L66" i="15" s="1"/>
  <c r="N66" i="15" s="1"/>
  <c r="P66" i="15" s="1"/>
  <c r="R66" i="15" s="1"/>
  <c r="T66" i="15" s="1"/>
  <c r="V66" i="15" s="1"/>
  <c r="X66" i="15" s="1"/>
  <c r="Z66" i="15" s="1"/>
  <c r="AB66" i="15" s="1"/>
  <c r="AD66" i="15" s="1"/>
  <c r="AF66" i="15" s="1"/>
  <c r="AH66" i="15" s="1"/>
  <c r="C67" i="15"/>
  <c r="E67" i="15" s="1"/>
  <c r="G67" i="15" s="1"/>
  <c r="I67" i="15" s="1"/>
  <c r="K67" i="15" s="1"/>
  <c r="M67" i="15" s="1"/>
  <c r="O67" i="15" s="1"/>
  <c r="Q67" i="15" s="1"/>
  <c r="S67" i="15" s="1"/>
  <c r="U67" i="15" s="1"/>
  <c r="W67" i="15" s="1"/>
  <c r="Y67" i="15" s="1"/>
  <c r="AA67" i="15" s="1"/>
  <c r="AC67" i="15" s="1"/>
  <c r="AE67" i="15" s="1"/>
  <c r="AG67" i="15" s="1"/>
  <c r="D67" i="15"/>
  <c r="F67" i="15" s="1"/>
  <c r="H67" i="15" s="1"/>
  <c r="J67" i="15" s="1"/>
  <c r="L67" i="15" s="1"/>
  <c r="N67" i="15" s="1"/>
  <c r="P67" i="15" s="1"/>
  <c r="R67" i="15" s="1"/>
  <c r="T67" i="15" s="1"/>
  <c r="V67" i="15" s="1"/>
  <c r="X67" i="15" s="1"/>
  <c r="Z67" i="15" s="1"/>
  <c r="AB67" i="15" s="1"/>
  <c r="AD67" i="15" s="1"/>
  <c r="AF67" i="15" s="1"/>
  <c r="AH67" i="15" s="1"/>
  <c r="C68" i="15"/>
  <c r="E68" i="15" s="1"/>
  <c r="G68" i="15" s="1"/>
  <c r="I68" i="15" s="1"/>
  <c r="K68" i="15" s="1"/>
  <c r="M68" i="15" s="1"/>
  <c r="O68" i="15" s="1"/>
  <c r="Q68" i="15" s="1"/>
  <c r="S68" i="15" s="1"/>
  <c r="U68" i="15" s="1"/>
  <c r="W68" i="15" s="1"/>
  <c r="Y68" i="15" s="1"/>
  <c r="AA68" i="15" s="1"/>
  <c r="AC68" i="15" s="1"/>
  <c r="AE68" i="15" s="1"/>
  <c r="AG68" i="15" s="1"/>
  <c r="D68" i="15"/>
  <c r="F68" i="15" s="1"/>
  <c r="H68" i="15" s="1"/>
  <c r="J68" i="15" s="1"/>
  <c r="L68" i="15" s="1"/>
  <c r="N68" i="15" s="1"/>
  <c r="P68" i="15" s="1"/>
  <c r="R68" i="15" s="1"/>
  <c r="T68" i="15" s="1"/>
  <c r="V68" i="15" s="1"/>
  <c r="X68" i="15" s="1"/>
  <c r="Z68" i="15" s="1"/>
  <c r="AB68" i="15" s="1"/>
  <c r="AD68" i="15" s="1"/>
  <c r="AF68" i="15" s="1"/>
  <c r="AH68" i="15" s="1"/>
  <c r="D3" i="15"/>
  <c r="F3" i="15" s="1"/>
  <c r="H3" i="15" s="1"/>
  <c r="J3" i="15" s="1"/>
  <c r="L3" i="15" s="1"/>
  <c r="N3" i="15" s="1"/>
  <c r="P3" i="15" s="1"/>
  <c r="R3" i="15" s="1"/>
  <c r="T3" i="15" s="1"/>
  <c r="V3" i="15" s="1"/>
  <c r="X3" i="15" s="1"/>
  <c r="Z3" i="15" s="1"/>
  <c r="AB3" i="15" s="1"/>
  <c r="AD3" i="15" s="1"/>
  <c r="AF3" i="15" s="1"/>
  <c r="AH3" i="15" s="1"/>
  <c r="C3" i="15"/>
  <c r="E3" i="15" s="1"/>
  <c r="G3" i="15" s="1"/>
  <c r="I3" i="15" s="1"/>
  <c r="K3" i="15" s="1"/>
  <c r="M3" i="15" s="1"/>
  <c r="O3" i="15" s="1"/>
  <c r="Q3" i="15" s="1"/>
  <c r="S3" i="15" s="1"/>
  <c r="U3" i="15" s="1"/>
  <c r="W3" i="15" s="1"/>
  <c r="Y3" i="15" s="1"/>
  <c r="AA3" i="15" s="1"/>
  <c r="AC3" i="15" s="1"/>
  <c r="AE3" i="15" s="1"/>
  <c r="AG3" i="15" s="1"/>
  <c r="B123" i="8"/>
  <c r="B124" i="8"/>
  <c r="B125" i="8"/>
  <c r="B126" i="8"/>
  <c r="B127" i="8"/>
  <c r="B128" i="8"/>
  <c r="B129" i="8"/>
  <c r="B130" i="8"/>
  <c r="B131" i="8"/>
  <c r="B122" i="8"/>
  <c r="AK12" i="5"/>
  <c r="AJ12" i="5"/>
  <c r="AI12" i="5"/>
  <c r="AH12" i="5"/>
  <c r="AG12" i="5"/>
  <c r="AF12" i="5"/>
  <c r="AE12" i="5"/>
  <c r="AD12" i="5"/>
  <c r="AC12" i="5"/>
  <c r="AL11" i="5"/>
  <c r="AJ11" i="5"/>
  <c r="AI11" i="5"/>
  <c r="AH11" i="5"/>
  <c r="AG11" i="5"/>
  <c r="AF11" i="5"/>
  <c r="AE11" i="5"/>
  <c r="AD11" i="5"/>
  <c r="AC11" i="5"/>
  <c r="AL10" i="5"/>
  <c r="AK10" i="5"/>
  <c r="AI10" i="5"/>
  <c r="AH10" i="5"/>
  <c r="AG10" i="5"/>
  <c r="AF10" i="5"/>
  <c r="AE10" i="5"/>
  <c r="AD10" i="5"/>
  <c r="AC10" i="5"/>
  <c r="AL9" i="5"/>
  <c r="AK9" i="5"/>
  <c r="AJ9" i="5"/>
  <c r="AH9" i="5"/>
  <c r="AG9" i="5"/>
  <c r="AF9" i="5"/>
  <c r="AE9" i="5"/>
  <c r="AD9" i="5"/>
  <c r="AC9" i="5"/>
  <c r="AL8" i="5"/>
  <c r="AK8" i="5"/>
  <c r="AJ8" i="5"/>
  <c r="AI8" i="5"/>
  <c r="AG8" i="5"/>
  <c r="AF8" i="5"/>
  <c r="AE8" i="5"/>
  <c r="AD8" i="5"/>
  <c r="AC8" i="5"/>
  <c r="AL7" i="5"/>
  <c r="AK7" i="5"/>
  <c r="AJ7" i="5"/>
  <c r="AI7" i="5"/>
  <c r="AH7" i="5"/>
  <c r="AF7" i="5"/>
  <c r="AE7" i="5"/>
  <c r="AD7" i="5"/>
  <c r="AC7" i="5"/>
  <c r="AL6" i="5"/>
  <c r="AK6" i="5"/>
  <c r="AJ6" i="5"/>
  <c r="AI6" i="5"/>
  <c r="AH6" i="5"/>
  <c r="AG6" i="5"/>
  <c r="AE6" i="5"/>
  <c r="AD6" i="5"/>
  <c r="AC6" i="5"/>
  <c r="AL5" i="5"/>
  <c r="AK5" i="5"/>
  <c r="AJ5" i="5"/>
  <c r="AI5" i="5"/>
  <c r="AH5" i="5"/>
  <c r="AG5" i="5"/>
  <c r="AF5" i="5"/>
  <c r="AD5" i="5"/>
  <c r="AC5" i="5"/>
  <c r="AL4" i="5"/>
  <c r="AK4" i="5"/>
  <c r="AJ4" i="5"/>
  <c r="AI4" i="5"/>
  <c r="AH4" i="5"/>
  <c r="AG4" i="5"/>
  <c r="AF4" i="5"/>
  <c r="AE4" i="5"/>
  <c r="AC4" i="5"/>
  <c r="AL3" i="5"/>
  <c r="AK3" i="5"/>
  <c r="AJ3" i="5"/>
  <c r="AI3" i="5"/>
  <c r="AH3" i="5"/>
  <c r="AG3" i="5"/>
  <c r="AF3" i="5"/>
  <c r="AE3" i="5"/>
  <c r="AD3" i="5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B163" i="8"/>
  <c r="B164" i="8"/>
  <c r="B165" i="8"/>
  <c r="B166" i="8"/>
  <c r="B167" i="8"/>
  <c r="B168" i="8"/>
  <c r="B169" i="8"/>
  <c r="B170" i="8"/>
  <c r="B171" i="8"/>
  <c r="B172" i="8"/>
  <c r="B162" i="8"/>
  <c r="B142" i="8" a="1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F4" i="5"/>
  <c r="G4" i="5"/>
  <c r="H4" i="5"/>
  <c r="I4" i="5"/>
  <c r="J4" i="5"/>
  <c r="K4" i="5"/>
  <c r="L4" i="5"/>
  <c r="B5" i="5"/>
  <c r="C5" i="5"/>
  <c r="D5" i="5"/>
  <c r="F5" i="5"/>
  <c r="G5" i="5"/>
  <c r="H5" i="5"/>
  <c r="I5" i="5"/>
  <c r="J5" i="5"/>
  <c r="K5" i="5"/>
  <c r="L5" i="5"/>
  <c r="B6" i="5"/>
  <c r="C6" i="5"/>
  <c r="D6" i="5"/>
  <c r="F6" i="5"/>
  <c r="G6" i="5"/>
  <c r="H6" i="5"/>
  <c r="I6" i="5"/>
  <c r="J6" i="5"/>
  <c r="K6" i="5"/>
  <c r="L6" i="5"/>
  <c r="B7" i="5"/>
  <c r="C7" i="5"/>
  <c r="D7" i="5"/>
  <c r="F7" i="5"/>
  <c r="G7" i="5"/>
  <c r="H7" i="5"/>
  <c r="I7" i="5"/>
  <c r="J7" i="5"/>
  <c r="K7" i="5"/>
  <c r="L7" i="5"/>
  <c r="B8" i="5"/>
  <c r="C8" i="5"/>
  <c r="D8" i="5"/>
  <c r="F8" i="5"/>
  <c r="G8" i="5"/>
  <c r="H8" i="5"/>
  <c r="I8" i="5"/>
  <c r="J8" i="5"/>
  <c r="K8" i="5"/>
  <c r="L8" i="5"/>
  <c r="B9" i="5"/>
  <c r="C9" i="5"/>
  <c r="D9" i="5"/>
  <c r="F9" i="5"/>
  <c r="G9" i="5"/>
  <c r="H9" i="5"/>
  <c r="I9" i="5"/>
  <c r="J9" i="5"/>
  <c r="K9" i="5"/>
  <c r="L9" i="5"/>
  <c r="B10" i="5"/>
  <c r="C10" i="5"/>
  <c r="D10" i="5"/>
  <c r="F10" i="5"/>
  <c r="G10" i="5"/>
  <c r="H10" i="5"/>
  <c r="I10" i="5"/>
  <c r="J10" i="5"/>
  <c r="K10" i="5"/>
  <c r="L10" i="5"/>
  <c r="B11" i="5"/>
  <c r="C11" i="5"/>
  <c r="D11" i="5"/>
  <c r="F11" i="5"/>
  <c r="G11" i="5"/>
  <c r="H11" i="5"/>
  <c r="I11" i="5"/>
  <c r="J11" i="5"/>
  <c r="K11" i="5"/>
  <c r="L11" i="5"/>
  <c r="B12" i="5"/>
  <c r="C12" i="5"/>
  <c r="D12" i="5"/>
  <c r="F12" i="5"/>
  <c r="G12" i="5"/>
  <c r="H12" i="5"/>
  <c r="I12" i="5"/>
  <c r="J12" i="5"/>
  <c r="K12" i="5"/>
  <c r="L12" i="5"/>
  <c r="C2" i="5"/>
  <c r="D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C1" i="4" l="1"/>
  <c r="E1" i="4" s="1"/>
  <c r="G1" i="4" s="1"/>
  <c r="I1" i="4" s="1"/>
  <c r="K1" i="4" s="1"/>
  <c r="M1" i="4" s="1"/>
  <c r="O1" i="4" s="1"/>
  <c r="Q1" i="4" s="1"/>
  <c r="S1" i="4" s="1"/>
  <c r="U1" i="4" s="1"/>
  <c r="W1" i="4" s="1"/>
  <c r="Y1" i="4" s="1"/>
  <c r="AA1" i="4" s="1"/>
  <c r="AC1" i="4" s="1"/>
  <c r="AE1" i="4" s="1"/>
  <c r="AG1" i="4" s="1"/>
  <c r="C1" i="14"/>
  <c r="E1" i="14" s="1"/>
  <c r="G1" i="14" s="1"/>
  <c r="I1" i="14" s="1"/>
  <c r="K1" i="14" s="1"/>
  <c r="M1" i="14" s="1"/>
  <c r="O1" i="14" s="1"/>
  <c r="Q1" i="14" s="1"/>
  <c r="S1" i="14" s="1"/>
  <c r="U1" i="14" s="1"/>
  <c r="W1" i="14" s="1"/>
  <c r="Y1" i="14" s="1"/>
  <c r="AA1" i="14" s="1"/>
  <c r="AC1" i="14" s="1"/>
  <c r="AE1" i="14" s="1"/>
  <c r="AG1" i="14" s="1"/>
  <c r="C1" i="11"/>
  <c r="E1" i="11" s="1"/>
  <c r="G1" i="11" s="1"/>
  <c r="I1" i="11" s="1"/>
  <c r="K1" i="11" s="1"/>
  <c r="M1" i="11" s="1"/>
  <c r="O1" i="11" s="1"/>
  <c r="Q1" i="11" s="1"/>
  <c r="S1" i="11" s="1"/>
  <c r="U1" i="11" s="1"/>
  <c r="W1" i="11" s="1"/>
  <c r="Y1" i="11" s="1"/>
  <c r="AA1" i="11" s="1"/>
  <c r="AC1" i="11" s="1"/>
  <c r="AE1" i="11" s="1"/>
  <c r="AG1" i="11" s="1"/>
</calcChain>
</file>

<file path=xl/sharedStrings.xml><?xml version="1.0" encoding="utf-8"?>
<sst xmlns="http://schemas.openxmlformats.org/spreadsheetml/2006/main" count="810" uniqueCount="128">
  <si>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</si>
  <si>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</si>
  <si>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</si>
  <si>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</si>
  <si>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</si>
  <si>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</si>
  <si>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</si>
  <si>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</si>
  <si>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</si>
  <si>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</si>
  <si>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</si>
  <si>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</si>
  <si>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</si>
  <si>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</si>
  <si>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</si>
  <si>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</si>
  <si>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</si>
  <si>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</si>
  <si>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</si>
  <si>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</si>
  <si>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</si>
  <si>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</si>
  <si>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</si>
  <si>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</si>
  <si>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</si>
  <si>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</si>
  <si>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</si>
  <si>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</si>
  <si>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</si>
  <si>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</si>
  <si>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</si>
  <si>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</si>
  <si>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</si>
  <si>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</si>
  <si>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</si>
  <si>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</si>
  <si>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</si>
  <si>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</si>
  <si>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</si>
  <si>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</si>
  <si>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</si>
  <si>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</si>
  <si>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</si>
  <si>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</si>
  <si>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</si>
  <si>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</si>
  <si>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</si>
  <si>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</si>
  <si>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</si>
  <si>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</si>
  <si>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</si>
  <si>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</si>
  <si>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</si>
  <si>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</si>
  <si>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</si>
  <si>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</si>
  <si>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</si>
  <si>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</si>
  <si>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</si>
  <si>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</si>
  <si>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</si>
  <si>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</si>
  <si>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</si>
  <si>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</si>
  <si>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</si>
  <si>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</si>
  <si>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</si>
  <si>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</si>
  <si>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</si>
  <si>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</si>
  <si>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</si>
  <si>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</si>
  <si>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</si>
  <si>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</si>
  <si>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</si>
  <si>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</si>
  <si>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</si>
  <si>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</si>
  <si>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</si>
  <si>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</si>
  <si>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</si>
  <si>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</si>
  <si>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</si>
  <si>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</si>
  <si>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</si>
  <si>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</si>
  <si>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</si>
  <si>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</si>
  <si>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</si>
  <si>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Elec!A1</t>
  </si>
  <si>
    <t>MilkYield</t>
  </si>
  <si>
    <t>BeefYield</t>
  </si>
  <si>
    <t>Cattle!A141</t>
  </si>
  <si>
    <t>Cattle!A161</t>
  </si>
  <si>
    <t>Crop!A160</t>
  </si>
  <si>
    <t>Teff and Barley</t>
  </si>
  <si>
    <t>and others</t>
  </si>
  <si>
    <t>all pulse</t>
  </si>
  <si>
    <t>and rootcrops</t>
  </si>
  <si>
    <t>and oilseeds</t>
  </si>
  <si>
    <t>and wheat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</si>
  <si>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</si>
  <si>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</si>
  <si>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</si>
  <si>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</si>
  <si>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</si>
  <si>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</si>
  <si>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</si>
  <si>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Location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</si>
  <si>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</si>
  <si>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</si>
  <si>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</si>
  <si>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</si>
  <si>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</si>
  <si>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</si>
  <si>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</si>
  <si>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</si>
  <si>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Elec!A41</t>
  </si>
  <si>
    <t>Elec!K41</t>
  </si>
  <si>
    <t>Elec!F41</t>
  </si>
  <si>
    <t>Population in million</t>
  </si>
  <si>
    <t>qWInit</t>
  </si>
  <si>
    <t>Crop!A181</t>
  </si>
  <si>
    <t>DemCrossElas</t>
  </si>
  <si>
    <t>DemElas!A1</t>
  </si>
  <si>
    <t xml:space="preserve"> </t>
  </si>
  <si>
    <t>Base_Elec_Dem1</t>
  </si>
  <si>
    <t>Yield from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</si>
</sst>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;[Red]0.00;&quot;-&quot;"/>
  </numFmts>
  <fonts count="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0" borderId="0"/>
  </cellStyleXfs>
  <cellXfs count="32">
    <xf numFmtId="0" fontId="0" fillId="0" borderId="0" xfId="0"/>
    <xf numFmtId="0" fontId="3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2" fillId="2" borderId="1" xfId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3" borderId="0" xfId="0" applyFill="1"/>
    <xf numFmtId="0" fontId="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1" fillId="0" borderId="0" xfId="2" applyNumberFormat="1"/>
    <xf numFmtId="164" fontId="0" fillId="0" borderId="0" xfId="0" quotePrefix="1" applyNumberFormat="1" applyBorder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3">
    <cellStyle name="Input" xfId="1" builtinId="20"/>
    <cellStyle name="Normal" xfId="0" builtinId="0"/>
    <cellStyle name="Normal 2" xfId="2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7"/>
  <sheetViews>
    <sheetView zoomScale="85" zoomScaleNormal="85" workbookViewId="0">
      <selection activeCell="B33" sqref="B33"/>
    </sheetView>
  </sheetViews>
  <sheetFormatPr defaultColWidth="11" defaultRowHeight="15.75"/>
  <cols>
    <col min="2" max="2" width="14.5" bestFit="1" customWidth="1"/>
    <col min="3" max="3" width="12.37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81</v>
      </c>
      <c r="C2" t="s">
        <v>82</v>
      </c>
      <c r="D2">
        <v>2</v>
      </c>
      <c r="E2">
        <v>2</v>
      </c>
    </row>
    <row r="3" spans="1:5">
      <c r="A3" t="s">
        <v>33</v>
      </c>
      <c r="B3" t="s">
        <v>44</v>
      </c>
      <c r="C3" t="s">
        <v>45</v>
      </c>
      <c r="D3">
        <v>1</v>
      </c>
      <c r="E3">
        <v>1</v>
      </c>
    </row>
    <row r="4" spans="1:5">
      <c r="A4" t="s">
        <v>33</v>
      </c>
      <c r="B4" t="s">
        <v>46</v>
      </c>
      <c r="C4" t="s">
        <v>47</v>
      </c>
      <c r="D4">
        <v>1</v>
      </c>
      <c r="E4">
        <v>1</v>
      </c>
    </row>
    <row r="5" spans="1:5">
      <c r="A5" t="s">
        <v>33</v>
      </c>
      <c r="B5" t="s">
        <v>48</v>
      </c>
      <c r="C5" t="s">
        <v>50</v>
      </c>
      <c r="D5">
        <v>1</v>
      </c>
      <c r="E5">
        <v>1</v>
      </c>
    </row>
    <row r="6" spans="1:5">
      <c r="A6" t="s">
        <v>33</v>
      </c>
      <c r="B6" t="s">
        <v>49</v>
      </c>
      <c r="C6" t="s">
        <v>51</v>
      </c>
      <c r="D6">
        <v>1</v>
      </c>
      <c r="E6">
        <v>1</v>
      </c>
    </row>
    <row r="7" spans="1:5">
      <c r="A7" t="s">
        <v>33</v>
      </c>
      <c r="B7" t="s">
        <v>52</v>
      </c>
      <c r="C7" t="s">
        <v>53</v>
      </c>
      <c r="D7">
        <v>1</v>
      </c>
      <c r="E7">
        <v>1</v>
      </c>
    </row>
    <row r="8" spans="1:5">
      <c r="A8" t="s">
        <v>33</v>
      </c>
      <c r="B8" t="s">
        <v>54</v>
      </c>
      <c r="C8" t="s">
        <v>55</v>
      </c>
      <c r="D8">
        <v>1</v>
      </c>
      <c r="E8">
        <v>1</v>
      </c>
    </row>
    <row r="9" spans="1:5">
      <c r="A9" t="s">
        <v>33</v>
      </c>
      <c r="B9" t="s">
        <v>57</v>
      </c>
      <c r="C9" t="s">
        <v>56</v>
      </c>
      <c r="D9">
        <v>1</v>
      </c>
      <c r="E9">
        <v>0</v>
      </c>
    </row>
    <row r="10" spans="1:5">
      <c r="A10" t="s">
        <v>33</v>
      </c>
      <c r="B10" t="s">
        <v>58</v>
      </c>
      <c r="C10" t="s">
        <v>66</v>
      </c>
      <c r="D10">
        <v>1</v>
      </c>
      <c r="E10">
        <v>0</v>
      </c>
    </row>
    <row r="11" spans="1:5">
      <c r="A11" t="s">
        <v>33</v>
      </c>
      <c r="B11" t="s">
        <v>59</v>
      </c>
      <c r="C11" t="s">
        <v>67</v>
      </c>
      <c r="D11">
        <v>1</v>
      </c>
      <c r="E11">
        <v>0</v>
      </c>
    </row>
    <row r="12" spans="1:5">
      <c r="A12" t="s">
        <v>33</v>
      </c>
      <c r="B12" s="9" t="s">
        <v>91</v>
      </c>
      <c r="C12" t="s">
        <v>92</v>
      </c>
      <c r="D12">
        <v>1</v>
      </c>
      <c r="E12">
        <v>1</v>
      </c>
    </row>
    <row r="13" spans="1:5">
      <c r="A13" t="s">
        <v>33</v>
      </c>
      <c r="B13" s="9" t="s">
        <v>90</v>
      </c>
      <c r="C13" t="s">
        <v>93</v>
      </c>
      <c r="D13">
        <v>1</v>
      </c>
      <c r="E13">
        <v>1</v>
      </c>
    </row>
    <row r="14" spans="1:5">
      <c r="A14" t="s">
        <v>33</v>
      </c>
      <c r="B14" t="s">
        <v>83</v>
      </c>
      <c r="C14" t="s">
        <v>84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64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65</v>
      </c>
      <c r="C18" t="s">
        <v>94</v>
      </c>
      <c r="D18">
        <v>1</v>
      </c>
      <c r="E18">
        <v>2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68</v>
      </c>
      <c r="C21" t="s">
        <v>69</v>
      </c>
      <c r="D21">
        <v>1</v>
      </c>
      <c r="E21">
        <v>1</v>
      </c>
    </row>
    <row r="22" spans="1:5">
      <c r="A22" t="s">
        <v>25</v>
      </c>
      <c r="B22" s="9" t="s">
        <v>80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72</v>
      </c>
      <c r="C23" t="s">
        <v>73</v>
      </c>
      <c r="D23">
        <v>1</v>
      </c>
      <c r="E23">
        <v>1</v>
      </c>
    </row>
    <row r="24" spans="1:5">
      <c r="A24" t="s">
        <v>33</v>
      </c>
      <c r="B24" t="s">
        <v>70</v>
      </c>
      <c r="C24" t="s">
        <v>71</v>
      </c>
      <c r="D24">
        <v>1</v>
      </c>
      <c r="E24">
        <v>1</v>
      </c>
    </row>
    <row r="25" spans="1:5">
      <c r="A25" t="s">
        <v>25</v>
      </c>
      <c r="B25" s="9" t="s">
        <v>74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75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76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77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78</v>
      </c>
      <c r="C29" t="s">
        <v>79</v>
      </c>
      <c r="D29">
        <v>1</v>
      </c>
      <c r="E29">
        <v>0</v>
      </c>
    </row>
    <row r="30" spans="1:5">
      <c r="A30" t="s">
        <v>33</v>
      </c>
      <c r="B30" s="9" t="s">
        <v>85</v>
      </c>
      <c r="C30" t="s">
        <v>87</v>
      </c>
      <c r="D30">
        <v>2</v>
      </c>
      <c r="E30">
        <v>2</v>
      </c>
    </row>
    <row r="31" spans="1:5">
      <c r="A31" t="s">
        <v>33</v>
      </c>
      <c r="B31" s="9" t="s">
        <v>86</v>
      </c>
      <c r="C31" t="s">
        <v>88</v>
      </c>
      <c r="D31">
        <v>2</v>
      </c>
      <c r="E31">
        <v>2</v>
      </c>
    </row>
    <row r="32" spans="1:5">
      <c r="A32" t="s">
        <v>33</v>
      </c>
      <c r="B32" s="9" t="s">
        <v>126</v>
      </c>
      <c r="C32" t="s">
        <v>89</v>
      </c>
      <c r="D32">
        <v>1</v>
      </c>
      <c r="E32">
        <v>2</v>
      </c>
    </row>
    <row r="33" spans="1:5">
      <c r="A33" t="s">
        <v>33</v>
      </c>
      <c r="B33" s="9" t="s">
        <v>116</v>
      </c>
      <c r="C33" t="s">
        <v>117</v>
      </c>
      <c r="D33">
        <v>1</v>
      </c>
      <c r="E33">
        <v>0</v>
      </c>
    </row>
    <row r="34" spans="1:5">
      <c r="A34" t="s">
        <v>33</v>
      </c>
      <c r="B34" s="9" t="s">
        <v>114</v>
      </c>
      <c r="C34" t="s">
        <v>119</v>
      </c>
      <c r="D34">
        <v>1</v>
      </c>
      <c r="E34">
        <v>0</v>
      </c>
    </row>
    <row r="35" spans="1:5">
      <c r="A35" t="s">
        <v>33</v>
      </c>
      <c r="B35" s="9" t="s">
        <v>115</v>
      </c>
      <c r="C35" t="s">
        <v>118</v>
      </c>
      <c r="D35">
        <v>1</v>
      </c>
      <c r="E35">
        <v>0</v>
      </c>
    </row>
    <row r="36" spans="1:5">
      <c r="A36" t="s">
        <v>33</v>
      </c>
      <c r="B36" s="9" t="s">
        <v>121</v>
      </c>
      <c r="C36" t="s">
        <v>122</v>
      </c>
      <c r="D36">
        <v>1</v>
      </c>
      <c r="E36">
        <v>1</v>
      </c>
    </row>
    <row r="37" spans="1:5">
      <c r="A37" t="s">
        <v>33</v>
      </c>
      <c r="B37" s="9" t="s">
        <v>123</v>
      </c>
      <c r="C37" t="s">
        <v>124</v>
      </c>
      <c r="D37">
        <v>1</v>
      </c>
      <c r="E37">
        <v>1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48"/>
  <sheetViews>
    <sheetView topLeftCell="B1" zoomScale="85" zoomScaleNormal="85" workbookViewId="0">
      <selection activeCell="M18" sqref="M18"/>
    </sheetView>
  </sheetViews>
  <sheetFormatPr defaultRowHeight="15.75"/>
  <cols>
    <col min="1" max="1" width="3.75" hidden="1" customWidth="1"/>
    <col min="2" max="2" width="14.5" bestFit="1" customWidth="1"/>
    <col min="3" max="3" width="12.375" bestFit="1" customWidth="1"/>
    <col min="4" max="5" width="2" hidden="1" customWidth="1"/>
    <col min="12" max="12" width="16" bestFit="1" customWidth="1"/>
    <col min="13" max="13" width="94" customWidth="1"/>
    <col min="14" max="14" width="73.125" customWidth="1"/>
  </cols>
  <sheetData>
    <row r="1" spans="1:14" s="10" customFormat="1">
      <c r="A1" s="10" t="str">
        <f>IF(index!A1="","",index!A1)</f>
        <v/>
      </c>
      <c r="B1" s="19" t="s">
        <v>107</v>
      </c>
      <c r="C1" s="10" t="s">
        <v>108</v>
      </c>
      <c r="F1" s="29" t="s">
        <v>103</v>
      </c>
      <c r="G1" s="30"/>
      <c r="H1" s="30"/>
      <c r="I1" s="30"/>
      <c r="J1" s="30"/>
      <c r="K1" s="31"/>
      <c r="L1" s="19" t="s">
        <v>104</v>
      </c>
      <c r="M1" s="20" t="s">
        <v>105</v>
      </c>
      <c r="N1" s="19" t="s">
        <v>109</v>
      </c>
    </row>
    <row r="2" spans="1:14">
      <c r="A2" t="str">
        <f>IF(index!A2="","",index!A2)</f>
        <v>par</v>
      </c>
      <c r="B2" s="11" t="str">
        <f>IF(index!B2="","",index!B2)</f>
        <v>aFAO</v>
      </c>
      <c r="C2" s="12" t="str">
        <f>IF(index!C2="","",index!C2)</f>
        <v>aFAO!A1</v>
      </c>
      <c r="D2">
        <f>IF(index!D2="","",index!D2)</f>
        <v>2</v>
      </c>
      <c r="E2">
        <f>IF(index!E2="","",index!E2)</f>
        <v>2</v>
      </c>
      <c r="F2" s="21" t="str">
        <f>IF(index!F2="","",index!F2)</f>
        <v/>
      </c>
      <c r="G2" s="22" t="s">
        <v>78</v>
      </c>
      <c r="H2" s="22"/>
      <c r="I2" s="22" t="s">
        <v>76</v>
      </c>
      <c r="J2" s="22" t="s">
        <v>102</v>
      </c>
      <c r="K2" s="23" t="s">
        <v>74</v>
      </c>
      <c r="L2" s="17"/>
      <c r="M2" s="14" t="s">
        <v>101</v>
      </c>
      <c r="N2" s="17"/>
    </row>
    <row r="3" spans="1:14">
      <c r="A3" t="str">
        <f>IF(index!A3="","",index!A3)</f>
        <v>par</v>
      </c>
      <c r="B3" s="13" t="str">
        <f>IF(index!B3="","",index!B3)</f>
        <v>pr_Hide</v>
      </c>
      <c r="C3" s="14" t="str">
        <f>IF(index!C3="","",index!C3)</f>
        <v>Cattle!A1</v>
      </c>
      <c r="D3">
        <f>IF(index!D3="","",index!D3)</f>
        <v>1</v>
      </c>
      <c r="E3">
        <f>IF(index!E3="","",index!E3)</f>
        <v>1</v>
      </c>
      <c r="F3" s="21" t="str">
        <f>IF(index!F3="","",index!F3)</f>
        <v/>
      </c>
      <c r="G3" s="22"/>
      <c r="H3" s="22"/>
      <c r="I3" s="22" t="s">
        <v>76</v>
      </c>
      <c r="J3" s="22"/>
      <c r="K3" s="23" t="s">
        <v>74</v>
      </c>
      <c r="L3" s="17"/>
      <c r="M3" s="14"/>
      <c r="N3" s="17"/>
    </row>
    <row r="4" spans="1:14">
      <c r="A4" t="str">
        <f>IF(index!A4="","",index!A4)</f>
        <v>par</v>
      </c>
      <c r="B4" s="13" t="str">
        <f>IF(index!B4="","",index!B4)</f>
        <v>Yld_H</v>
      </c>
      <c r="C4" s="14" t="str">
        <f>IF(index!C4="","",index!C4)</f>
        <v>Cattle!A21</v>
      </c>
      <c r="D4">
        <f>IF(index!D4="","",index!D4)</f>
        <v>1</v>
      </c>
      <c r="E4">
        <f>IF(index!E4="","",index!E4)</f>
        <v>1</v>
      </c>
      <c r="F4" s="21" t="str">
        <f>IF(index!F4="","",index!F4)</f>
        <v/>
      </c>
      <c r="G4" s="22"/>
      <c r="H4" s="22"/>
      <c r="I4" s="22" t="s">
        <v>76</v>
      </c>
      <c r="J4" s="22"/>
      <c r="K4" s="23" t="s">
        <v>74</v>
      </c>
      <c r="L4" s="17"/>
      <c r="M4" s="14"/>
      <c r="N4" s="17"/>
    </row>
    <row r="5" spans="1:14">
      <c r="A5" t="str">
        <f>IF(index!A5="","",index!A5)</f>
        <v>par</v>
      </c>
      <c r="B5" s="13" t="str">
        <f>IF(index!B5="","",index!B5)</f>
        <v>k</v>
      </c>
      <c r="C5" s="14" t="str">
        <f>IF(index!C5="","",index!C5)</f>
        <v>Cattle!A41</v>
      </c>
      <c r="D5">
        <f>IF(index!D5="","",index!D5)</f>
        <v>1</v>
      </c>
      <c r="E5">
        <f>IF(index!E5="","",index!E5)</f>
        <v>1</v>
      </c>
      <c r="F5" s="21" t="str">
        <f>IF(index!F5="","",index!F5)</f>
        <v/>
      </c>
      <c r="G5" s="22"/>
      <c r="H5" s="22"/>
      <c r="I5" s="22" t="s">
        <v>76</v>
      </c>
      <c r="J5" s="22"/>
      <c r="K5" s="23" t="s">
        <v>74</v>
      </c>
      <c r="L5" s="17"/>
      <c r="M5" s="14"/>
      <c r="N5" s="17"/>
    </row>
    <row r="6" spans="1:14">
      <c r="A6" t="str">
        <f>IF(index!A6="","",index!A6)</f>
        <v>par</v>
      </c>
      <c r="B6" s="13" t="str">
        <f>IF(index!B6="","",index!B6)</f>
        <v>kappa</v>
      </c>
      <c r="C6" s="14" t="str">
        <f>IF(index!C6="","",index!C6)</f>
        <v>Cattle!A61</v>
      </c>
      <c r="D6">
        <f>IF(index!D6="","",index!D6)</f>
        <v>1</v>
      </c>
      <c r="E6">
        <f>IF(index!E6="","",index!E6)</f>
        <v>1</v>
      </c>
      <c r="F6" s="21" t="str">
        <f>IF(index!F6="","",index!F6)</f>
        <v/>
      </c>
      <c r="G6" s="22"/>
      <c r="H6" s="22"/>
      <c r="I6" s="22" t="s">
        <v>76</v>
      </c>
      <c r="J6" s="22"/>
      <c r="K6" s="23" t="s">
        <v>74</v>
      </c>
      <c r="L6" s="17"/>
      <c r="M6" s="14"/>
      <c r="N6" s="17"/>
    </row>
    <row r="7" spans="1:14">
      <c r="A7" t="str">
        <f>IF(index!A7="","",index!A7)</f>
        <v>par</v>
      </c>
      <c r="B7" s="13" t="str">
        <f>IF(index!B7="","",index!B7)</f>
        <v>C_Cow</v>
      </c>
      <c r="C7" s="14" t="str">
        <f>IF(index!C7="","",index!C7)</f>
        <v>Cattle!A81</v>
      </c>
      <c r="D7">
        <f>IF(index!D7="","",index!D7)</f>
        <v>1</v>
      </c>
      <c r="E7">
        <f>IF(index!E7="","",index!E7)</f>
        <v>1</v>
      </c>
      <c r="F7" s="21" t="str">
        <f>IF(index!F7="","",index!F7)</f>
        <v/>
      </c>
      <c r="G7" s="22"/>
      <c r="H7" s="22"/>
      <c r="I7" s="22" t="s">
        <v>76</v>
      </c>
      <c r="J7" s="22"/>
      <c r="K7" s="23" t="s">
        <v>74</v>
      </c>
      <c r="L7" s="17"/>
      <c r="M7" s="14"/>
      <c r="N7" s="17"/>
    </row>
    <row r="8" spans="1:14">
      <c r="A8" t="str">
        <f>IF(index!A8="","",index!A8)</f>
        <v>par</v>
      </c>
      <c r="B8" s="13" t="str">
        <f>IF(index!B8="","",index!B8)</f>
        <v>CowtranYr1</v>
      </c>
      <c r="C8" s="14" t="str">
        <f>IF(index!C8="","",index!C8)</f>
        <v>Cattle!A101</v>
      </c>
      <c r="D8">
        <f>IF(index!D8="","",index!D8)</f>
        <v>1</v>
      </c>
      <c r="E8">
        <f>IF(index!E8="","",index!E8)</f>
        <v>1</v>
      </c>
      <c r="F8" s="21" t="str">
        <f>IF(index!F8="","",index!F8)</f>
        <v/>
      </c>
      <c r="G8" s="22"/>
      <c r="H8" s="22"/>
      <c r="I8" s="22" t="s">
        <v>76</v>
      </c>
      <c r="J8" s="22"/>
      <c r="K8" s="23" t="s">
        <v>74</v>
      </c>
      <c r="L8" s="17"/>
      <c r="M8" s="14"/>
      <c r="N8" s="17"/>
    </row>
    <row r="9" spans="1:14">
      <c r="A9" t="str">
        <f>IF(index!A9="","",index!A9)</f>
        <v>par</v>
      </c>
      <c r="B9" s="13" t="str">
        <f>IF(index!B9="","",index!B9)</f>
        <v>InitCow</v>
      </c>
      <c r="C9" s="14" t="str">
        <f>IF(index!C9="","",index!C9)</f>
        <v>Cattle!A121</v>
      </c>
      <c r="D9">
        <f>IF(index!D9="","",index!D9)</f>
        <v>1</v>
      </c>
      <c r="E9">
        <f>IF(index!E9="","",index!E9)</f>
        <v>0</v>
      </c>
      <c r="F9" s="21" t="str">
        <f>IF(index!F9="","",index!F9)</f>
        <v/>
      </c>
      <c r="G9" s="22"/>
      <c r="H9" s="22"/>
      <c r="I9" s="22" t="s">
        <v>76</v>
      </c>
      <c r="J9" s="22"/>
      <c r="K9" s="23"/>
      <c r="L9" s="17"/>
      <c r="M9" s="14"/>
      <c r="N9" s="17"/>
    </row>
    <row r="10" spans="1:14">
      <c r="A10" t="str">
        <f>IF(index!A10="","",index!A10)</f>
        <v>par</v>
      </c>
      <c r="B10" s="13" t="str">
        <f>IF(index!B10="","",index!B10)</f>
        <v>Herdsize</v>
      </c>
      <c r="C10" s="14" t="str">
        <f>IF(index!C10="","",index!C10)</f>
        <v>Cattle!F121</v>
      </c>
      <c r="D10">
        <f>IF(index!D10="","",index!D10)</f>
        <v>1</v>
      </c>
      <c r="E10">
        <f>IF(index!E10="","",index!E10)</f>
        <v>0</v>
      </c>
      <c r="F10" s="21" t="str">
        <f>IF(index!F10="","",index!F10)</f>
        <v/>
      </c>
      <c r="G10" s="22"/>
      <c r="H10" s="22"/>
      <c r="I10" s="22" t="s">
        <v>76</v>
      </c>
      <c r="J10" s="22"/>
      <c r="K10" s="23"/>
      <c r="L10" s="17"/>
      <c r="M10" s="14"/>
      <c r="N10" s="17"/>
    </row>
    <row r="11" spans="1:14">
      <c r="A11" t="str">
        <f>IF(index!A11="","",index!A11)</f>
        <v>par</v>
      </c>
      <c r="B11" s="13" t="str">
        <f>IF(index!B11="","",index!B11)</f>
        <v>CowDeath</v>
      </c>
      <c r="C11" s="14" t="str">
        <f>IF(index!C11="","",index!C11)</f>
        <v>Cattle!K121</v>
      </c>
      <c r="D11">
        <f>IF(index!D11="","",index!D11)</f>
        <v>1</v>
      </c>
      <c r="E11">
        <f>IF(index!E11="","",index!E11)</f>
        <v>0</v>
      </c>
      <c r="F11" s="21" t="str">
        <f>IF(index!F11="","",index!F11)</f>
        <v/>
      </c>
      <c r="G11" s="22"/>
      <c r="H11" s="22"/>
      <c r="I11" s="22" t="s">
        <v>76</v>
      </c>
      <c r="J11" s="22"/>
      <c r="K11" s="23"/>
      <c r="L11" s="17"/>
      <c r="M11" s="14"/>
      <c r="N11" s="17"/>
    </row>
    <row r="12" spans="1:14">
      <c r="A12" t="str">
        <f>IF(index!A12="","",index!A12)</f>
        <v>par</v>
      </c>
      <c r="B12" s="13" t="str">
        <f>IF(index!B12="","",index!B12)</f>
        <v>BeefYield</v>
      </c>
      <c r="C12" s="14" t="str">
        <f>IF(index!C12="","",index!C12)</f>
        <v>Cattle!A141</v>
      </c>
      <c r="D12">
        <f>IF(index!D12="","",index!D12)</f>
        <v>1</v>
      </c>
      <c r="E12">
        <f>IF(index!E12="","",index!E12)</f>
        <v>1</v>
      </c>
      <c r="F12" s="21" t="str">
        <f>IF(index!F12="","",index!F12)</f>
        <v/>
      </c>
      <c r="G12" s="22"/>
      <c r="H12" s="22"/>
      <c r="I12" s="22" t="s">
        <v>76</v>
      </c>
      <c r="J12" s="22"/>
      <c r="K12" s="23" t="s">
        <v>74</v>
      </c>
      <c r="L12" s="17"/>
      <c r="M12" s="14"/>
      <c r="N12" s="17"/>
    </row>
    <row r="13" spans="1:14">
      <c r="A13" t="str">
        <f>IF(index!A13="","",index!A13)</f>
        <v>par</v>
      </c>
      <c r="B13" s="13" t="str">
        <f>IF(index!B13="","",index!B13)</f>
        <v>MilkYield</v>
      </c>
      <c r="C13" s="14" t="str">
        <f>IF(index!C13="","",index!C13)</f>
        <v>Cattle!A161</v>
      </c>
      <c r="D13">
        <f>IF(index!D13="","",index!D13)</f>
        <v>1</v>
      </c>
      <c r="E13">
        <f>IF(index!E13="","",index!E13)</f>
        <v>1</v>
      </c>
      <c r="F13" s="21" t="str">
        <f>IF(index!F13="","",index!F13)</f>
        <v/>
      </c>
      <c r="G13" s="22"/>
      <c r="H13" s="22"/>
      <c r="I13" s="22" t="s">
        <v>76</v>
      </c>
      <c r="J13" s="22"/>
      <c r="K13" s="23" t="s">
        <v>74</v>
      </c>
      <c r="L13" s="17"/>
      <c r="M13" s="14"/>
      <c r="N13" s="17"/>
    </row>
    <row r="14" spans="1:14">
      <c r="A14" t="str">
        <f>IF(index!A14="","",index!A14)</f>
        <v>par</v>
      </c>
      <c r="B14" s="13" t="str">
        <f>IF(index!B14="","",index!B14)</f>
        <v>C_prod</v>
      </c>
      <c r="C14" s="14" t="str">
        <f>IF(index!C14="","",index!C14)</f>
        <v>Crop!A1</v>
      </c>
      <c r="D14">
        <f>IF(index!D14="","",index!D14)</f>
        <v>2</v>
      </c>
      <c r="E14">
        <f>IF(index!E14="","",index!E14)</f>
        <v>2</v>
      </c>
      <c r="F14" s="21" t="str">
        <f>IF(index!F14="","",index!F14)</f>
        <v/>
      </c>
      <c r="G14" s="22" t="s">
        <v>78</v>
      </c>
      <c r="H14" s="22"/>
      <c r="I14" s="22" t="s">
        <v>76</v>
      </c>
      <c r="J14" s="22" t="s">
        <v>102</v>
      </c>
      <c r="K14" s="23" t="s">
        <v>74</v>
      </c>
      <c r="L14" s="17"/>
      <c r="M14" s="14"/>
      <c r="N14" s="17"/>
    </row>
    <row r="15" spans="1:14">
      <c r="A15" t="str">
        <f>IF(index!A15="","",index!A15)</f>
        <v>par</v>
      </c>
      <c r="B15" s="13" t="str">
        <f>IF(index!B15="","",index!B15)</f>
        <v>C_convert</v>
      </c>
      <c r="C15" s="14" t="str">
        <f>IF(index!C15="","",index!C15)</f>
        <v>Crop!A101</v>
      </c>
      <c r="D15">
        <f>IF(index!D15="","",index!D15)</f>
        <v>1</v>
      </c>
      <c r="E15">
        <f>IF(index!E15="","",index!E15)</f>
        <v>1</v>
      </c>
      <c r="F15" s="21" t="str">
        <f>IF(index!F15="","",index!F15)</f>
        <v/>
      </c>
      <c r="G15" s="22"/>
      <c r="H15" s="22"/>
      <c r="I15" s="22" t="s">
        <v>76</v>
      </c>
      <c r="J15" s="22"/>
      <c r="K15" s="23" t="s">
        <v>74</v>
      </c>
      <c r="L15" s="17"/>
      <c r="M15" s="14"/>
      <c r="N15" s="17"/>
    </row>
    <row r="16" spans="1:14">
      <c r="A16" t="str">
        <f>IF(index!A16="","",index!A16)</f>
        <v>par</v>
      </c>
      <c r="B16" s="13" t="str">
        <f>IF(index!B16="","",index!B16)</f>
        <v>C_chg</v>
      </c>
      <c r="C16" s="14" t="str">
        <f>IF(index!C16="","",index!C16)</f>
        <v>Crop!A121</v>
      </c>
      <c r="D16">
        <f>IF(index!D16="","",index!D16)</f>
        <v>1</v>
      </c>
      <c r="E16">
        <f>IF(index!E16="","",index!E16)</f>
        <v>1</v>
      </c>
      <c r="F16" s="21" t="str">
        <f>IF(index!F16="","",index!F16)</f>
        <v/>
      </c>
      <c r="G16" s="22"/>
      <c r="H16" s="22"/>
      <c r="I16" s="22" t="s">
        <v>76</v>
      </c>
      <c r="J16" s="22"/>
      <c r="K16" s="23" t="s">
        <v>74</v>
      </c>
      <c r="L16" s="17"/>
      <c r="M16" s="14"/>
      <c r="N16" s="17"/>
    </row>
    <row r="17" spans="1:14">
      <c r="A17" t="str">
        <f>IF(index!A17="","",index!A17)</f>
        <v>par</v>
      </c>
      <c r="B17" s="13" t="str">
        <f>IF(index!B17="","",index!B17)</f>
        <v>TotArea</v>
      </c>
      <c r="C17" s="14" t="str">
        <f>IF(index!C17="","",index!C17)</f>
        <v>Crop!A141</v>
      </c>
      <c r="D17">
        <f>IF(index!D17="","",index!D17)</f>
        <v>1</v>
      </c>
      <c r="E17">
        <f>IF(index!E17="","",index!E17)</f>
        <v>0</v>
      </c>
      <c r="F17" s="21" t="str">
        <f>IF(index!F17="","",index!F17)</f>
        <v/>
      </c>
      <c r="G17" s="22"/>
      <c r="H17" s="22"/>
      <c r="I17" s="22" t="s">
        <v>76</v>
      </c>
      <c r="J17" s="22"/>
      <c r="K17" s="23"/>
      <c r="L17" s="17" t="s">
        <v>106</v>
      </c>
      <c r="M17" s="14"/>
      <c r="N17" s="17" t="s">
        <v>110</v>
      </c>
    </row>
    <row r="18" spans="1:14">
      <c r="A18" t="str">
        <f>IF(index!A18="","",index!A18)</f>
        <v>par</v>
      </c>
      <c r="B18" s="13" t="str">
        <f>IF(index!B18="","",index!B18)</f>
        <v>Area_init</v>
      </c>
      <c r="C18" s="14" t="str">
        <f>IF(index!C18="","",index!C18)</f>
        <v>Crop!A160</v>
      </c>
      <c r="D18">
        <f>IF(index!D18="","",index!D18)</f>
        <v>1</v>
      </c>
      <c r="E18">
        <f>IF(index!E18="","",index!E18)</f>
        <v>2</v>
      </c>
      <c r="F18" s="21" t="str">
        <f>IF(index!F18="","",index!F18)</f>
        <v/>
      </c>
      <c r="G18" s="22" t="s">
        <v>78</v>
      </c>
      <c r="H18" s="22"/>
      <c r="I18" s="22" t="s">
        <v>76</v>
      </c>
      <c r="J18" s="22" t="s">
        <v>102</v>
      </c>
      <c r="K18" s="23"/>
      <c r="L18" s="17" t="s">
        <v>106</v>
      </c>
      <c r="M18" s="14"/>
      <c r="N18" s="17" t="s">
        <v>110</v>
      </c>
    </row>
    <row r="19" spans="1:14">
      <c r="A19" t="str">
        <f>IF(index!A19="","",index!A19)</f>
        <v>par</v>
      </c>
      <c r="B19" s="13" t="str">
        <f>IF(index!B19="","",index!B19)</f>
        <v>CYF</v>
      </c>
      <c r="C19" s="14" t="str">
        <f>IF(index!C19="","",index!C19)</f>
        <v>CYF!A1</v>
      </c>
      <c r="D19">
        <f>IF(index!D19="","",index!D19)</f>
        <v>2</v>
      </c>
      <c r="E19">
        <f>IF(index!E19="","",index!E19)</f>
        <v>2</v>
      </c>
      <c r="F19" s="21" t="str">
        <f>IF(index!F19="","",index!F19)</f>
        <v/>
      </c>
      <c r="G19" s="22" t="s">
        <v>78</v>
      </c>
      <c r="H19" s="22"/>
      <c r="I19" s="22" t="s">
        <v>76</v>
      </c>
      <c r="J19" s="22" t="s">
        <v>102</v>
      </c>
      <c r="K19" s="23" t="s">
        <v>74</v>
      </c>
      <c r="L19" s="17"/>
      <c r="M19" s="14"/>
      <c r="N19" s="17"/>
    </row>
    <row r="20" spans="1:14">
      <c r="A20" t="str">
        <f>IF(index!A20="","",index!A20)</f>
        <v>par</v>
      </c>
      <c r="B20" s="13" t="str">
        <f>IF(index!B20="","",index!B20)</f>
        <v>DiscFact</v>
      </c>
      <c r="C20" s="14" t="str">
        <f>IF(index!C20="","",index!C20)</f>
        <v>DiscFact!A1</v>
      </c>
      <c r="D20">
        <f>IF(index!D20="","",index!D20)</f>
        <v>1</v>
      </c>
      <c r="E20">
        <f>IF(index!E20="","",index!E20)</f>
        <v>0</v>
      </c>
      <c r="F20" s="21" t="str">
        <f>IF(index!F20="","",index!F20)</f>
        <v/>
      </c>
      <c r="G20" s="22"/>
      <c r="H20" s="22"/>
      <c r="I20" s="22"/>
      <c r="J20" s="22"/>
      <c r="K20" s="23" t="s">
        <v>74</v>
      </c>
      <c r="L20" s="17"/>
      <c r="M20" s="14"/>
      <c r="N20" s="17"/>
    </row>
    <row r="21" spans="1:14">
      <c r="A21" t="str">
        <f>IF(index!A21="","",index!A21)</f>
        <v>set</v>
      </c>
      <c r="B21" s="13" t="str">
        <f>IF(index!B21="","",index!B21)</f>
        <v>Eline</v>
      </c>
      <c r="C21" s="14" t="str">
        <f>IF(index!C21="","",index!C21)</f>
        <v>ElecLine!A1</v>
      </c>
      <c r="D21">
        <f>IF(index!D21="","",index!D21)</f>
        <v>1</v>
      </c>
      <c r="E21">
        <f>IF(index!E21="","",index!E21)</f>
        <v>1</v>
      </c>
      <c r="F21" s="21" t="str">
        <f>IF(index!F21="","",index!F21)</f>
        <v/>
      </c>
      <c r="G21" s="22"/>
      <c r="H21" s="22" t="s">
        <v>76</v>
      </c>
      <c r="I21" s="22" t="s">
        <v>76</v>
      </c>
      <c r="J21" s="22"/>
      <c r="K21" s="23"/>
      <c r="L21" s="17"/>
      <c r="M21" s="14"/>
      <c r="N21" s="17"/>
    </row>
    <row r="22" spans="1:14">
      <c r="A22" t="str">
        <f>IF(index!A22="","",index!A22)</f>
        <v>set</v>
      </c>
      <c r="B22" s="13" t="str">
        <f>IF(index!B22="","",index!B22)</f>
        <v>Road</v>
      </c>
      <c r="C22" s="14" t="str">
        <f>IF(index!C22="","",index!C22)</f>
        <v>Roads!A1</v>
      </c>
      <c r="D22">
        <f>IF(index!D22="","",index!D22)</f>
        <v>1</v>
      </c>
      <c r="E22">
        <f>IF(index!E22="","",index!E22)</f>
        <v>1</v>
      </c>
      <c r="F22" s="21" t="str">
        <f>IF(index!F22="","",index!F22)</f>
        <v/>
      </c>
      <c r="G22" s="22"/>
      <c r="H22" s="22" t="s">
        <v>76</v>
      </c>
      <c r="I22" s="22" t="s">
        <v>76</v>
      </c>
      <c r="J22" s="22"/>
      <c r="K22" s="23"/>
      <c r="L22" s="17" t="s">
        <v>111</v>
      </c>
      <c r="M22" s="14"/>
      <c r="N22" s="17" t="s">
        <v>112</v>
      </c>
    </row>
    <row r="23" spans="1:14">
      <c r="A23" t="str">
        <f>IF(index!A23="","",index!A23)</f>
        <v>par</v>
      </c>
      <c r="B23" s="13" t="str">
        <f>IF(index!B23="","",index!B23)</f>
        <v>CF_Road_data</v>
      </c>
      <c r="C23" s="14" t="str">
        <f>IF(index!C23="","",index!C23)</f>
        <v>Roads!AA1</v>
      </c>
      <c r="D23">
        <f>IF(index!D23="","",index!D23)</f>
        <v>1</v>
      </c>
      <c r="E23">
        <f>IF(index!E23="","",index!E23)</f>
        <v>1</v>
      </c>
      <c r="F23" s="21" t="str">
        <f>IF(index!F23="","",index!F23)</f>
        <v/>
      </c>
      <c r="G23" s="22"/>
      <c r="H23" s="22" t="s">
        <v>76</v>
      </c>
      <c r="I23" s="22" t="s">
        <v>76</v>
      </c>
      <c r="J23" s="22"/>
      <c r="K23" s="23"/>
      <c r="L23" s="17"/>
      <c r="M23" s="14"/>
      <c r="N23" s="17"/>
    </row>
    <row r="24" spans="1:14">
      <c r="A24" t="str">
        <f>IF(index!A24="","",index!A24)</f>
        <v>par</v>
      </c>
      <c r="B24" s="13" t="str">
        <f>IF(index!B24="","",index!B24)</f>
        <v>Cap_Road</v>
      </c>
      <c r="C24" s="14" t="str">
        <f>IF(index!C24="","",index!C24)</f>
        <v>Roads!N1</v>
      </c>
      <c r="D24">
        <f>IF(index!D24="","",index!D24)</f>
        <v>1</v>
      </c>
      <c r="E24">
        <f>IF(index!E24="","",index!E24)</f>
        <v>1</v>
      </c>
      <c r="F24" s="21" t="str">
        <f>IF(index!F24="","",index!F24)</f>
        <v/>
      </c>
      <c r="G24" s="22"/>
      <c r="H24" s="22" t="s">
        <v>76</v>
      </c>
      <c r="I24" s="22" t="s">
        <v>76</v>
      </c>
      <c r="J24" s="22"/>
      <c r="K24" s="23"/>
      <c r="L24" s="17"/>
      <c r="M24" s="14"/>
      <c r="N24" s="17"/>
    </row>
    <row r="25" spans="1:14">
      <c r="A25" t="str">
        <f>IF(index!A25="","",index!A25)</f>
        <v>set</v>
      </c>
      <c r="B25" s="13" t="str">
        <f>IF(index!B25="","",index!B25)</f>
        <v>Year</v>
      </c>
      <c r="C25" s="14" t="str">
        <f>IF(index!C25="","",index!C25)</f>
        <v>sets!B3</v>
      </c>
      <c r="D25">
        <f>IF(index!D25="","",index!D25)</f>
        <v>1</v>
      </c>
      <c r="E25">
        <f>IF(index!E25="","",index!E25)</f>
        <v>0</v>
      </c>
      <c r="F25" s="21" t="str">
        <f>IF(index!F25="","",index!F25)</f>
        <v/>
      </c>
      <c r="G25" s="22"/>
      <c r="H25" s="22"/>
      <c r="I25" s="22"/>
      <c r="J25" s="22"/>
      <c r="K25" s="23"/>
      <c r="L25" s="17" t="s">
        <v>111</v>
      </c>
      <c r="M25" s="14"/>
      <c r="N25" s="17" t="s">
        <v>112</v>
      </c>
    </row>
    <row r="26" spans="1:14">
      <c r="A26" t="str">
        <f>IF(index!A26="","",index!A26)</f>
        <v>set</v>
      </c>
      <c r="B26" s="13" t="str">
        <f>IF(index!B26="","",index!B26)</f>
        <v>Season</v>
      </c>
      <c r="C26" s="14" t="str">
        <f>IF(index!C26="","",index!C26)</f>
        <v>sets!d3</v>
      </c>
      <c r="D26">
        <f>IF(index!D26="","",index!D26)</f>
        <v>1</v>
      </c>
      <c r="E26">
        <f>IF(index!E26="","",index!E26)</f>
        <v>0</v>
      </c>
      <c r="F26" s="21" t="str">
        <f>IF(index!F26="","",index!F26)</f>
        <v/>
      </c>
      <c r="G26" s="22"/>
      <c r="H26" s="22"/>
      <c r="I26" s="22"/>
      <c r="J26" s="22"/>
      <c r="K26" s="23"/>
      <c r="L26" s="17"/>
      <c r="M26" s="14"/>
      <c r="N26" s="17"/>
    </row>
    <row r="27" spans="1:14">
      <c r="A27" t="str">
        <f>IF(index!A27="","",index!A27)</f>
        <v>set</v>
      </c>
      <c r="B27" s="13" t="str">
        <f>IF(index!B27="","",index!B27)</f>
        <v>Node</v>
      </c>
      <c r="C27" s="14" t="str">
        <f>IF(index!C27="","",index!C27)</f>
        <v>sets!f3</v>
      </c>
      <c r="D27">
        <f>IF(index!D27="","",index!D27)</f>
        <v>1</v>
      </c>
      <c r="E27">
        <f>IF(index!E27="","",index!E27)</f>
        <v>0</v>
      </c>
      <c r="F27" s="21" t="str">
        <f>IF(index!F27="","",index!F27)</f>
        <v/>
      </c>
      <c r="G27" s="22"/>
      <c r="H27" s="22"/>
      <c r="I27" s="22"/>
      <c r="J27" s="22"/>
      <c r="K27" s="23"/>
      <c r="L27" s="17"/>
      <c r="M27" s="14"/>
      <c r="N27" s="17"/>
    </row>
    <row r="28" spans="1:14">
      <c r="A28" t="str">
        <f>IF(index!A28="","",index!A28)</f>
        <v>set</v>
      </c>
      <c r="B28" s="13" t="str">
        <f>IF(index!B28="","",index!B28)</f>
        <v>FoodItem</v>
      </c>
      <c r="C28" s="14" t="str">
        <f>IF(index!C28="","",index!C28)</f>
        <v>sets!h3</v>
      </c>
      <c r="D28">
        <f>IF(index!D28="","",index!D28)</f>
        <v>1</v>
      </c>
      <c r="E28">
        <f>IF(index!E28="","",index!E28)</f>
        <v>0</v>
      </c>
      <c r="F28" s="21" t="str">
        <f>IF(index!F28="","",index!F28)</f>
        <v/>
      </c>
      <c r="G28" s="22"/>
      <c r="H28" s="22"/>
      <c r="I28" s="22"/>
      <c r="J28" s="22"/>
      <c r="K28" s="23"/>
      <c r="L28" s="17"/>
      <c r="M28" s="14"/>
      <c r="N28" s="17"/>
    </row>
    <row r="29" spans="1:14">
      <c r="A29" t="str">
        <f>IF(index!A29="","",index!A29)</f>
        <v>set</v>
      </c>
      <c r="B29" s="13" t="str">
        <f>IF(index!B29="","",index!B29)</f>
        <v>Crop</v>
      </c>
      <c r="C29" s="14" t="str">
        <f>IF(index!C29="","",index!C29)</f>
        <v>sets!j3</v>
      </c>
      <c r="D29">
        <f>IF(index!D29="","",index!D29)</f>
        <v>1</v>
      </c>
      <c r="E29">
        <f>IF(index!E29="","",index!E29)</f>
        <v>0</v>
      </c>
      <c r="F29" s="21" t="str">
        <f>IF(index!F29="","",index!F29)</f>
        <v/>
      </c>
      <c r="G29" s="22"/>
      <c r="H29" s="22"/>
      <c r="I29" s="22"/>
      <c r="J29" s="22"/>
      <c r="K29" s="23"/>
      <c r="L29" s="17"/>
      <c r="M29" s="14"/>
      <c r="N29" s="17"/>
    </row>
    <row r="30" spans="1:14">
      <c r="A30" t="str">
        <f>IF(index!A30="","",index!A30)</f>
        <v>par</v>
      </c>
      <c r="B30" s="13" t="str">
        <f>IF(index!B30="","",index!B30)</f>
        <v>DemInt</v>
      </c>
      <c r="C30" s="14" t="str">
        <f>IF(index!C30="","",index!C30)</f>
        <v>DemInt!A1</v>
      </c>
      <c r="D30">
        <f>IF(index!D30="","",index!D30)</f>
        <v>2</v>
      </c>
      <c r="E30">
        <f>IF(index!E30="","",index!E30)</f>
        <v>2</v>
      </c>
      <c r="F30" s="21" t="str">
        <f>IF(index!F30="","",index!F30)</f>
        <v/>
      </c>
      <c r="G30" s="22" t="s">
        <v>78</v>
      </c>
      <c r="H30" s="22"/>
      <c r="I30" s="22" t="s">
        <v>76</v>
      </c>
      <c r="J30" s="22" t="s">
        <v>102</v>
      </c>
      <c r="K30" s="23" t="s">
        <v>74</v>
      </c>
      <c r="L30" s="17"/>
      <c r="M30" s="14"/>
      <c r="N30" s="17"/>
    </row>
    <row r="31" spans="1:14">
      <c r="A31" t="str">
        <f>IF(index!A31="","",index!A31)</f>
        <v>par</v>
      </c>
      <c r="B31" s="13" t="str">
        <f>IF(index!B31="","",index!B31)</f>
        <v>DemSlope</v>
      </c>
      <c r="C31" s="14" t="str">
        <f>IF(index!C31="","",index!C31)</f>
        <v>DemSlope!A1</v>
      </c>
      <c r="D31">
        <f>IF(index!D31="","",index!D31)</f>
        <v>2</v>
      </c>
      <c r="E31">
        <f>IF(index!E31="","",index!E31)</f>
        <v>2</v>
      </c>
      <c r="F31" s="21" t="str">
        <f>IF(index!F31="","",index!F31)</f>
        <v/>
      </c>
      <c r="G31" s="22" t="s">
        <v>78</v>
      </c>
      <c r="H31" s="22"/>
      <c r="I31" s="22" t="s">
        <v>76</v>
      </c>
      <c r="J31" s="22" t="s">
        <v>102</v>
      </c>
      <c r="K31" s="23" t="s">
        <v>74</v>
      </c>
      <c r="L31" s="17"/>
      <c r="M31" s="14"/>
      <c r="N31" s="17"/>
    </row>
    <row r="32" spans="1:14">
      <c r="A32" t="str">
        <f>IF(index!A32="","",index!A32)</f>
        <v>par</v>
      </c>
      <c r="B32" s="13" t="str">
        <f>IF(index!B32="","",index!B32)</f>
        <v>Base_Elec_Dem1</v>
      </c>
      <c r="C32" s="14" t="str">
        <f>IF(index!C32="","",index!C32)</f>
        <v>Elec!A1</v>
      </c>
      <c r="D32">
        <f>IF(index!D32="","",index!D32)</f>
        <v>1</v>
      </c>
      <c r="E32">
        <f>IF(index!E32="","",index!E32)</f>
        <v>2</v>
      </c>
      <c r="F32" s="21" t="str">
        <f>IF(index!F32="","",index!F32)</f>
        <v/>
      </c>
      <c r="G32" s="22"/>
      <c r="H32" s="22"/>
      <c r="I32" s="22" t="s">
        <v>76</v>
      </c>
      <c r="J32" s="22" t="s">
        <v>102</v>
      </c>
      <c r="K32" s="23" t="s">
        <v>74</v>
      </c>
      <c r="L32" s="17"/>
      <c r="M32" s="14"/>
      <c r="N32" s="17"/>
    </row>
    <row r="33" spans="1:14">
      <c r="A33" t="str">
        <f>IF(index!A33="","",index!A33)</f>
        <v>par</v>
      </c>
      <c r="B33" s="13" t="str">
        <f>IF(index!B33="","",index!B33)</f>
        <v>Cap_Elec1</v>
      </c>
      <c r="C33" s="14" t="str">
        <f>IF(index!C33="","",index!C33)</f>
        <v>Elec!A41</v>
      </c>
      <c r="D33">
        <f>IF(index!D33="","",index!D33)</f>
        <v>1</v>
      </c>
      <c r="E33">
        <f>IF(index!E33="","",index!E33)</f>
        <v>0</v>
      </c>
      <c r="F33" s="21" t="str">
        <f>IF(index!F33="","",index!F33)</f>
        <v/>
      </c>
      <c r="G33" s="22"/>
      <c r="H33" s="22"/>
      <c r="I33" s="22"/>
      <c r="J33" s="22"/>
      <c r="K33" s="23"/>
      <c r="L33" s="17"/>
      <c r="M33" s="14"/>
      <c r="N33" s="17"/>
    </row>
    <row r="34" spans="1:14">
      <c r="A34" t="str">
        <f>IF(index!A34="","",index!A34)</f>
        <v>par</v>
      </c>
      <c r="B34" s="13" t="str">
        <f>IF(index!B34="","",index!B34)</f>
        <v>C_Elec_L1</v>
      </c>
      <c r="C34" s="14" t="str">
        <f>IF(index!C34="","",index!C34)</f>
        <v>Elec!F41</v>
      </c>
      <c r="D34">
        <f>IF(index!D34="","",index!D34)</f>
        <v>1</v>
      </c>
      <c r="E34">
        <f>IF(index!E34="","",index!E34)</f>
        <v>0</v>
      </c>
      <c r="F34" s="21" t="str">
        <f>IF(index!F34="","",index!F34)</f>
        <v/>
      </c>
      <c r="G34" s="22"/>
      <c r="H34" s="22"/>
      <c r="I34" s="22"/>
      <c r="J34" s="22"/>
      <c r="K34" s="23"/>
      <c r="L34" s="17"/>
      <c r="M34" s="14"/>
      <c r="N34" s="17"/>
    </row>
    <row r="35" spans="1:14">
      <c r="A35" t="str">
        <f>IF(index!A35="","",index!A35)</f>
        <v>par</v>
      </c>
      <c r="B35" s="13" t="str">
        <f>IF(index!B35="","",index!B35)</f>
        <v>C_Elec_Q1</v>
      </c>
      <c r="C35" s="14" t="str">
        <f>IF(index!C35="","",index!C35)</f>
        <v>Elec!K41</v>
      </c>
      <c r="D35">
        <f>IF(index!D35="","",index!D35)</f>
        <v>1</v>
      </c>
      <c r="E35">
        <f>IF(index!E35="","",index!E35)</f>
        <v>0</v>
      </c>
      <c r="F35" s="21" t="str">
        <f>IF(index!F35="","",index!F35)</f>
        <v/>
      </c>
      <c r="G35" s="22"/>
      <c r="H35" s="22"/>
      <c r="I35" s="22"/>
      <c r="J35" s="22"/>
      <c r="K35" s="23"/>
      <c r="L35" s="17"/>
      <c r="M35" s="14"/>
      <c r="N35" s="17"/>
    </row>
    <row r="36" spans="1:14">
      <c r="A36" t="str">
        <f>IF(index!A36="","",index!A36)</f>
        <v>par</v>
      </c>
      <c r="B36" s="13" t="str">
        <f>IF(index!B36="","",index!B36)</f>
        <v>qWInit</v>
      </c>
      <c r="C36" s="14" t="str">
        <f>IF(index!C36="","",index!C36)</f>
        <v>Crop!A181</v>
      </c>
      <c r="D36">
        <f>IF(index!D36="","",index!D36)</f>
        <v>1</v>
      </c>
      <c r="E36">
        <f>IF(index!E36="","",index!E36)</f>
        <v>1</v>
      </c>
      <c r="F36" s="21" t="str">
        <f>IF(index!F36="","",index!F36)</f>
        <v/>
      </c>
      <c r="G36" s="22"/>
      <c r="H36" s="22"/>
      <c r="I36" s="22"/>
      <c r="J36" s="22"/>
      <c r="K36" s="23"/>
      <c r="L36" s="17"/>
      <c r="M36" s="14"/>
      <c r="N36" s="17"/>
    </row>
    <row r="37" spans="1:14">
      <c r="A37" t="str">
        <f>IF(index!A37="","",index!A37)</f>
        <v>par</v>
      </c>
      <c r="B37" s="13" t="str">
        <f>IF(index!B37="","",index!B37)</f>
        <v>DemCrossElas</v>
      </c>
      <c r="C37" s="14" t="str">
        <f>IF(index!C37="","",index!C37)</f>
        <v>DemElas!A1</v>
      </c>
      <c r="D37">
        <f>IF(index!D37="","",index!D37)</f>
        <v>1</v>
      </c>
      <c r="E37">
        <f>IF(index!E37="","",index!E37)</f>
        <v>1</v>
      </c>
      <c r="F37" s="21" t="str">
        <f>IF(index!F37="","",index!F37)</f>
        <v/>
      </c>
      <c r="G37" s="22"/>
      <c r="H37" s="22"/>
      <c r="I37" s="22"/>
      <c r="J37" s="22"/>
      <c r="K37" s="23"/>
      <c r="L37" s="17"/>
      <c r="M37" s="14"/>
      <c r="N37" s="17"/>
    </row>
    <row r="38" spans="1:14">
      <c r="A38" t="str">
        <f>IF(index!A38="","",index!A38)</f>
        <v/>
      </c>
      <c r="B38" s="13" t="str">
        <f>IF(index!B38="","",index!B38)</f>
        <v/>
      </c>
      <c r="C38" s="14" t="str">
        <f>IF(index!C38="","",index!C38)</f>
        <v/>
      </c>
      <c r="D38" t="str">
        <f>IF(index!D38="","",index!D38)</f>
        <v/>
      </c>
      <c r="E38" t="str">
        <f>IF(index!E38="","",index!E38)</f>
        <v/>
      </c>
      <c r="F38" s="21" t="str">
        <f>IF(index!F38="","",index!F38)</f>
        <v/>
      </c>
      <c r="G38" s="22"/>
      <c r="H38" s="22"/>
      <c r="I38" s="22"/>
      <c r="J38" s="22"/>
      <c r="K38" s="23"/>
      <c r="L38" s="17"/>
      <c r="M38" s="14"/>
      <c r="N38" s="17"/>
    </row>
    <row r="39" spans="1:14">
      <c r="A39" t="str">
        <f>IF(index!A39="","",index!A39)</f>
        <v/>
      </c>
      <c r="B39" s="13" t="str">
        <f>IF(index!B39="","",index!B39)</f>
        <v/>
      </c>
      <c r="C39" s="14" t="str">
        <f>IF(index!C39="","",index!C39)</f>
        <v/>
      </c>
      <c r="D39" t="str">
        <f>IF(index!D39="","",index!D39)</f>
        <v/>
      </c>
      <c r="E39" t="str">
        <f>IF(index!E39="","",index!E39)</f>
        <v/>
      </c>
      <c r="F39" s="21" t="str">
        <f>IF(index!F39="","",index!F39)</f>
        <v/>
      </c>
      <c r="G39" s="22"/>
      <c r="H39" s="22"/>
      <c r="I39" s="22"/>
      <c r="J39" s="22"/>
      <c r="K39" s="23"/>
      <c r="L39" s="17"/>
      <c r="M39" s="14"/>
      <c r="N39" s="17"/>
    </row>
    <row r="40" spans="1:14">
      <c r="A40" t="str">
        <f>IF(index!A40="","",index!A40)</f>
        <v/>
      </c>
      <c r="B40" s="13" t="str">
        <f>IF(index!B40="","",index!B40)</f>
        <v/>
      </c>
      <c r="C40" s="14" t="str">
        <f>IF(index!C40="","",index!C40)</f>
        <v/>
      </c>
      <c r="D40" t="str">
        <f>IF(index!D40="","",index!D40)</f>
        <v/>
      </c>
      <c r="E40" t="str">
        <f>IF(index!E40="","",index!E40)</f>
        <v/>
      </c>
      <c r="F40" s="21" t="str">
        <f>IF(index!F40="","",index!F40)</f>
        <v/>
      </c>
      <c r="G40" s="22"/>
      <c r="H40" s="22"/>
      <c r="I40" s="22"/>
      <c r="J40" s="22"/>
      <c r="K40" s="23"/>
      <c r="L40" s="17"/>
      <c r="M40" s="14"/>
      <c r="N40" s="17"/>
    </row>
    <row r="41" spans="1:14">
      <c r="A41" t="str">
        <f>IF(index!A41="","",index!A41)</f>
        <v/>
      </c>
      <c r="B41" s="13" t="str">
        <f>IF(index!B41="","",index!B41)</f>
        <v/>
      </c>
      <c r="C41" s="14" t="str">
        <f>IF(index!C41="","",index!C41)</f>
        <v/>
      </c>
      <c r="D41" t="str">
        <f>IF(index!D41="","",index!D41)</f>
        <v/>
      </c>
      <c r="E41" t="str">
        <f>IF(index!E41="","",index!E41)</f>
        <v/>
      </c>
      <c r="F41" s="21" t="str">
        <f>IF(index!F41="","",index!F41)</f>
        <v/>
      </c>
      <c r="G41" s="22"/>
      <c r="H41" s="22"/>
      <c r="I41" s="22"/>
      <c r="J41" s="22"/>
      <c r="K41" s="23"/>
      <c r="L41" s="17"/>
      <c r="M41" s="14"/>
      <c r="N41" s="17"/>
    </row>
    <row r="42" spans="1:14">
      <c r="A42" t="str">
        <f>IF(index!A42="","",index!A42)</f>
        <v/>
      </c>
      <c r="B42" s="13" t="str">
        <f>IF(index!B42="","",index!B42)</f>
        <v/>
      </c>
      <c r="C42" s="14" t="str">
        <f>IF(index!C42="","",index!C42)</f>
        <v/>
      </c>
      <c r="D42" t="str">
        <f>IF(index!D42="","",index!D42)</f>
        <v/>
      </c>
      <c r="E42" t="str">
        <f>IF(index!E42="","",index!E42)</f>
        <v/>
      </c>
      <c r="F42" s="21" t="str">
        <f>IF(index!F42="","",index!F42)</f>
        <v/>
      </c>
      <c r="G42" s="22"/>
      <c r="H42" s="22"/>
      <c r="I42" s="22"/>
      <c r="J42" s="22"/>
      <c r="K42" s="23"/>
      <c r="L42" s="17"/>
      <c r="M42" s="14"/>
      <c r="N42" s="17"/>
    </row>
    <row r="43" spans="1:14">
      <c r="A43" t="str">
        <f>IF(index!A43="","",index!A43)</f>
        <v/>
      </c>
      <c r="B43" s="13" t="str">
        <f>IF(index!B43="","",index!B43)</f>
        <v/>
      </c>
      <c r="C43" s="14" t="str">
        <f>IF(index!C43="","",index!C43)</f>
        <v/>
      </c>
      <c r="D43" t="str">
        <f>IF(index!D43="","",index!D43)</f>
        <v/>
      </c>
      <c r="E43" t="str">
        <f>IF(index!E43="","",index!E43)</f>
        <v/>
      </c>
      <c r="F43" s="21" t="str">
        <f>IF(index!F43="","",index!F43)</f>
        <v/>
      </c>
      <c r="G43" s="22"/>
      <c r="H43" s="22"/>
      <c r="I43" s="22"/>
      <c r="J43" s="22"/>
      <c r="K43" s="23"/>
      <c r="L43" s="17"/>
      <c r="M43" s="14"/>
      <c r="N43" s="17"/>
    </row>
    <row r="44" spans="1:14">
      <c r="A44" t="str">
        <f>IF(index!A44="","",index!A44)</f>
        <v/>
      </c>
      <c r="B44" s="13" t="str">
        <f>IF(index!B44="","",index!B44)</f>
        <v/>
      </c>
      <c r="C44" s="14" t="str">
        <f>IF(index!C44="","",index!C44)</f>
        <v/>
      </c>
      <c r="D44" t="str">
        <f>IF(index!D44="","",index!D44)</f>
        <v/>
      </c>
      <c r="E44" t="str">
        <f>IF(index!E44="","",index!E44)</f>
        <v/>
      </c>
      <c r="F44" s="21" t="str">
        <f>IF(index!F44="","",index!F44)</f>
        <v/>
      </c>
      <c r="G44" s="22"/>
      <c r="H44" s="22"/>
      <c r="I44" s="22"/>
      <c r="J44" s="22"/>
      <c r="K44" s="23"/>
      <c r="L44" s="17"/>
      <c r="M44" s="14"/>
      <c r="N44" s="17"/>
    </row>
    <row r="45" spans="1:14">
      <c r="A45" t="str">
        <f>IF(index!A45="","",index!A45)</f>
        <v/>
      </c>
      <c r="B45" s="13" t="str">
        <f>IF(index!B45="","",index!B45)</f>
        <v/>
      </c>
      <c r="C45" s="14" t="str">
        <f>IF(index!C45="","",index!C45)</f>
        <v/>
      </c>
      <c r="D45" t="str">
        <f>IF(index!D45="","",index!D45)</f>
        <v/>
      </c>
      <c r="E45" t="str">
        <f>IF(index!E45="","",index!E45)</f>
        <v/>
      </c>
      <c r="F45" s="21" t="str">
        <f>IF(index!F45="","",index!F45)</f>
        <v/>
      </c>
      <c r="G45" s="22"/>
      <c r="H45" s="22"/>
      <c r="I45" s="22"/>
      <c r="J45" s="22"/>
      <c r="K45" s="23"/>
      <c r="L45" s="17"/>
      <c r="M45" s="14"/>
      <c r="N45" s="17"/>
    </row>
    <row r="46" spans="1:14">
      <c r="A46" t="str">
        <f>IF(index!A46="","",index!A46)</f>
        <v/>
      </c>
      <c r="B46" s="13" t="str">
        <f>IF(index!B46="","",index!B46)</f>
        <v/>
      </c>
      <c r="C46" s="14" t="str">
        <f>IF(index!C46="","",index!C46)</f>
        <v/>
      </c>
      <c r="D46" t="str">
        <f>IF(index!D46="","",index!D46)</f>
        <v/>
      </c>
      <c r="E46" t="str">
        <f>IF(index!E46="","",index!E46)</f>
        <v/>
      </c>
      <c r="F46" s="21" t="str">
        <f>IF(index!F46="","",index!F46)</f>
        <v/>
      </c>
      <c r="G46" s="22"/>
      <c r="H46" s="22"/>
      <c r="I46" s="22"/>
      <c r="J46" s="22"/>
      <c r="K46" s="23"/>
      <c r="L46" s="17"/>
      <c r="M46" s="14"/>
      <c r="N46" s="17"/>
    </row>
    <row r="47" spans="1:14">
      <c r="A47" t="str">
        <f>IF(index!A47="","",index!A47)</f>
        <v/>
      </c>
      <c r="B47" s="13" t="str">
        <f>IF(index!B47="","",index!B47)</f>
        <v/>
      </c>
      <c r="C47" s="14" t="str">
        <f>IF(index!C47="","",index!C47)</f>
        <v/>
      </c>
      <c r="D47" t="str">
        <f>IF(index!D47="","",index!D47)</f>
        <v/>
      </c>
      <c r="E47" t="str">
        <f>IF(index!E47="","",index!E47)</f>
        <v/>
      </c>
      <c r="F47" s="21" t="str">
        <f>IF(index!F47="","",index!F47)</f>
        <v/>
      </c>
      <c r="G47" s="22"/>
      <c r="H47" s="22"/>
      <c r="I47" s="22"/>
      <c r="J47" s="22"/>
      <c r="K47" s="23"/>
      <c r="L47" s="17"/>
      <c r="M47" s="14"/>
      <c r="N47" s="17"/>
    </row>
    <row r="48" spans="1:14">
      <c r="A48" t="str">
        <f>IF(index!A48="","",index!A48)</f>
        <v/>
      </c>
      <c r="B48" s="15" t="str">
        <f>IF(index!B48="","",index!B48)</f>
        <v/>
      </c>
      <c r="C48" s="16" t="str">
        <f>IF(index!C48="","",index!C48)</f>
        <v/>
      </c>
      <c r="D48" t="str">
        <f>IF(index!D48="","",index!D48)</f>
        <v/>
      </c>
      <c r="E48" t="str">
        <f>IF(index!E48="","",index!E48)</f>
        <v/>
      </c>
      <c r="F48" s="24" t="str">
        <f>IF(index!F48="","",index!F48)</f>
        <v/>
      </c>
      <c r="G48" s="25"/>
      <c r="H48" s="25"/>
      <c r="I48" s="25"/>
      <c r="J48" s="25"/>
      <c r="K48" s="26"/>
      <c r="L48" s="18"/>
      <c r="M48" s="16"/>
      <c r="N48" s="18"/>
    </row>
  </sheetData>
  <mergeCells count="1">
    <mergeCell ref="F1:K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topLeftCell="A94" zoomScale="85" zoomScaleNormal="85" workbookViewId="0">
      <selection activeCell="H130" sqref="H130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10</v>
      </c>
      <c r="C82">
        <v>10</v>
      </c>
      <c r="D82">
        <v>10</v>
      </c>
      <c r="E82">
        <v>10</v>
      </c>
      <c r="F82">
        <v>10</v>
      </c>
      <c r="G82">
        <v>10</v>
      </c>
      <c r="H82">
        <v>10</v>
      </c>
      <c r="I82">
        <v>10</v>
      </c>
      <c r="J82">
        <v>10</v>
      </c>
      <c r="K82">
        <v>10</v>
      </c>
      <c r="L82">
        <v>10</v>
      </c>
      <c r="M82">
        <v>10</v>
      </c>
      <c r="N82">
        <v>10</v>
      </c>
      <c r="O82">
        <v>10</v>
      </c>
      <c r="P82">
        <v>10</v>
      </c>
      <c r="Q82">
        <v>10</v>
      </c>
    </row>
    <row r="83" spans="1:17">
      <c r="A83" t="str">
        <v>Afar</v>
      </c>
      <c r="B83">
        <v>10</v>
      </c>
      <c r="C83">
        <v>10</v>
      </c>
      <c r="D83">
        <v>10</v>
      </c>
      <c r="E83">
        <v>10</v>
      </c>
      <c r="F83">
        <v>10</v>
      </c>
      <c r="G83">
        <v>10</v>
      </c>
      <c r="H83">
        <v>10</v>
      </c>
      <c r="I83">
        <v>10</v>
      </c>
      <c r="J83">
        <v>10</v>
      </c>
      <c r="K83">
        <v>10</v>
      </c>
      <c r="L83">
        <v>10</v>
      </c>
      <c r="M83">
        <v>10</v>
      </c>
      <c r="N83">
        <v>10</v>
      </c>
      <c r="O83">
        <v>10</v>
      </c>
      <c r="P83">
        <v>10</v>
      </c>
      <c r="Q83">
        <v>10</v>
      </c>
    </row>
    <row r="84" spans="1:17">
      <c r="A84" t="str">
        <v>Amhara</v>
      </c>
      <c r="B84">
        <v>10</v>
      </c>
      <c r="C84">
        <v>10</v>
      </c>
      <c r="D84">
        <v>10</v>
      </c>
      <c r="E84">
        <v>10</v>
      </c>
      <c r="F84">
        <v>10</v>
      </c>
      <c r="G84">
        <v>10</v>
      </c>
      <c r="H84">
        <v>10</v>
      </c>
      <c r="I84">
        <v>10</v>
      </c>
      <c r="J84">
        <v>10</v>
      </c>
      <c r="K84">
        <v>10</v>
      </c>
      <c r="L84">
        <v>10</v>
      </c>
      <c r="M84">
        <v>10</v>
      </c>
      <c r="N84">
        <v>10</v>
      </c>
      <c r="O84">
        <v>10</v>
      </c>
      <c r="P84">
        <v>10</v>
      </c>
      <c r="Q84">
        <v>10</v>
      </c>
    </row>
    <row r="85" spans="1:17">
      <c r="A85" t="str">
        <v>Gumuz</v>
      </c>
      <c r="B85">
        <v>10</v>
      </c>
      <c r="C85">
        <v>10</v>
      </c>
      <c r="D85">
        <v>10</v>
      </c>
      <c r="E85">
        <v>10</v>
      </c>
      <c r="F85">
        <v>10</v>
      </c>
      <c r="G85">
        <v>10</v>
      </c>
      <c r="H85">
        <v>10</v>
      </c>
      <c r="I85">
        <v>10</v>
      </c>
      <c r="J85">
        <v>10</v>
      </c>
      <c r="K85">
        <v>10</v>
      </c>
      <c r="L85">
        <v>10</v>
      </c>
      <c r="M85">
        <v>10</v>
      </c>
      <c r="N85">
        <v>10</v>
      </c>
      <c r="O85">
        <v>10</v>
      </c>
      <c r="P85">
        <v>10</v>
      </c>
      <c r="Q85">
        <v>10</v>
      </c>
    </row>
    <row r="86" spans="1:17">
      <c r="A86" t="str">
        <v>DireDawa</v>
      </c>
      <c r="B86">
        <v>10</v>
      </c>
      <c r="C86">
        <v>10</v>
      </c>
      <c r="D86">
        <v>10</v>
      </c>
      <c r="E86">
        <v>10</v>
      </c>
      <c r="F86">
        <v>10</v>
      </c>
      <c r="G86">
        <v>10</v>
      </c>
      <c r="H86">
        <v>10</v>
      </c>
      <c r="I86">
        <v>10</v>
      </c>
      <c r="J86">
        <v>10</v>
      </c>
      <c r="K86">
        <v>10</v>
      </c>
      <c r="L86">
        <v>10</v>
      </c>
      <c r="M86">
        <v>10</v>
      </c>
      <c r="N86">
        <v>10</v>
      </c>
      <c r="O86">
        <v>10</v>
      </c>
      <c r="P86">
        <v>10</v>
      </c>
      <c r="Q86">
        <v>10</v>
      </c>
    </row>
    <row r="87" spans="1:17">
      <c r="A87" t="str">
        <v>Gambela</v>
      </c>
      <c r="B87">
        <v>10</v>
      </c>
      <c r="C87">
        <v>10</v>
      </c>
      <c r="D87">
        <v>10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</row>
    <row r="88" spans="1:17">
      <c r="A88" t="str">
        <v>Harari</v>
      </c>
      <c r="B88">
        <v>10</v>
      </c>
      <c r="C88">
        <v>10</v>
      </c>
      <c r="D88">
        <v>10</v>
      </c>
      <c r="E88">
        <v>10</v>
      </c>
      <c r="F88">
        <v>10</v>
      </c>
      <c r="G88">
        <v>10</v>
      </c>
      <c r="H88">
        <v>10</v>
      </c>
      <c r="I88">
        <v>10</v>
      </c>
      <c r="J88">
        <v>10</v>
      </c>
      <c r="K88">
        <v>10</v>
      </c>
      <c r="L88">
        <v>10</v>
      </c>
      <c r="M88">
        <v>10</v>
      </c>
      <c r="N88">
        <v>10</v>
      </c>
      <c r="O88">
        <v>10</v>
      </c>
      <c r="P88">
        <v>10</v>
      </c>
      <c r="Q88">
        <v>10</v>
      </c>
    </row>
    <row r="89" spans="1:17">
      <c r="A89" t="str">
        <v>Oromia</v>
      </c>
      <c r="B89">
        <v>10</v>
      </c>
      <c r="C89">
        <v>10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10</v>
      </c>
      <c r="Q89">
        <v>10</v>
      </c>
    </row>
    <row r="90" spans="1:17">
      <c r="A90" t="str">
        <v>Somali</v>
      </c>
      <c r="B90">
        <v>10</v>
      </c>
      <c r="C90">
        <v>10</v>
      </c>
      <c r="D90">
        <v>10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</row>
    <row r="91" spans="1:17">
      <c r="A91" t="str">
        <v>SNNPR</v>
      </c>
      <c r="B91">
        <v>10</v>
      </c>
      <c r="C91">
        <v>10</v>
      </c>
      <c r="D91">
        <v>10</v>
      </c>
      <c r="E91">
        <v>10</v>
      </c>
      <c r="F91">
        <v>10</v>
      </c>
      <c r="G91">
        <v>10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10</v>
      </c>
      <c r="O91">
        <v>10</v>
      </c>
      <c r="P91">
        <v>10</v>
      </c>
      <c r="Q91">
        <v>10</v>
      </c>
    </row>
    <row r="92" spans="1:17">
      <c r="A92" t="str">
        <v>Tigray</v>
      </c>
      <c r="B92">
        <v>10</v>
      </c>
      <c r="C92">
        <v>10</v>
      </c>
      <c r="D92">
        <v>10</v>
      </c>
      <c r="E92">
        <v>10</v>
      </c>
      <c r="F92">
        <v>10</v>
      </c>
      <c r="G92">
        <v>10</v>
      </c>
      <c r="H92">
        <v>10</v>
      </c>
      <c r="I92">
        <v>10</v>
      </c>
      <c r="J92">
        <v>10</v>
      </c>
      <c r="K92">
        <v>10</v>
      </c>
      <c r="L92">
        <v>10</v>
      </c>
      <c r="M92">
        <v>10</v>
      </c>
      <c r="N92">
        <v>10</v>
      </c>
      <c r="O92">
        <v>10</v>
      </c>
      <c r="P92">
        <v>10</v>
      </c>
      <c r="Q92">
        <v>10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10</v>
      </c>
      <c r="F121" t="str">
        <f t="array" ref="F121:F131">Nodes</f>
        <v>AddisAbaba</v>
      </c>
      <c r="G121">
        <f>B121-1</f>
        <v>9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B121+0.5</f>
        <v>10.5</v>
      </c>
      <c r="F122" t="str">
        <v>Afar</v>
      </c>
      <c r="G122">
        <f t="shared" ref="G122:G131" si="0">B122-1</f>
        <v>9.5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B122+0.5</f>
        <v>11</v>
      </c>
      <c r="F123" t="str">
        <v>Amhara</v>
      </c>
      <c r="G123">
        <f t="shared" si="0"/>
        <v>10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11.5</v>
      </c>
      <c r="F124" t="str">
        <v>Gumuz</v>
      </c>
      <c r="G124">
        <f t="shared" si="0"/>
        <v>10.5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12</v>
      </c>
      <c r="F125" t="str">
        <v>DireDawa</v>
      </c>
      <c r="G125">
        <f t="shared" si="0"/>
        <v>11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12.5</v>
      </c>
      <c r="F126" t="str">
        <v>Gambela</v>
      </c>
      <c r="G126">
        <f t="shared" si="0"/>
        <v>11.5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13</v>
      </c>
      <c r="F127" t="str">
        <v>Harari</v>
      </c>
      <c r="G127">
        <f t="shared" si="0"/>
        <v>12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13.5</v>
      </c>
      <c r="F128" t="str">
        <v>Oromia</v>
      </c>
      <c r="G128">
        <f t="shared" si="0"/>
        <v>12.5</v>
      </c>
      <c r="K128" t="str">
        <v>Oromia</v>
      </c>
      <c r="L128">
        <v>0.3</v>
      </c>
    </row>
    <row r="129" spans="1:17">
      <c r="A129" t="str">
        <v>Somali</v>
      </c>
      <c r="B129">
        <f t="shared" si="1"/>
        <v>14</v>
      </c>
      <c r="F129" t="str">
        <v>Somali</v>
      </c>
      <c r="G129">
        <f t="shared" si="0"/>
        <v>13</v>
      </c>
      <c r="K129" t="str">
        <v>Somali</v>
      </c>
      <c r="L129">
        <v>0.3</v>
      </c>
    </row>
    <row r="130" spans="1:17">
      <c r="A130" t="str">
        <v>SNNPR</v>
      </c>
      <c r="B130">
        <f t="shared" si="1"/>
        <v>14.5</v>
      </c>
      <c r="F130" t="str">
        <v>SNNPR</v>
      </c>
      <c r="G130">
        <f t="shared" si="0"/>
        <v>13.5</v>
      </c>
      <c r="K130" t="str">
        <v>SNNPR</v>
      </c>
      <c r="L130">
        <v>0.3</v>
      </c>
    </row>
    <row r="131" spans="1:17">
      <c r="A131" t="str">
        <v>Tigray</v>
      </c>
      <c r="B131">
        <f t="shared" si="1"/>
        <v>15</v>
      </c>
      <c r="F131" t="str">
        <v>Tigray</v>
      </c>
      <c r="G131">
        <f t="shared" si="0"/>
        <v>14</v>
      </c>
      <c r="K131" t="str">
        <v>Tigray</v>
      </c>
      <c r="L131">
        <v>0.3</v>
      </c>
    </row>
    <row r="141" spans="1:17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</row>
    <row r="142" spans="1:17">
      <c r="A142" t="str">
        <f t="array" ref="A142:A152">Nodes</f>
        <v>AddisAbaba</v>
      </c>
      <c r="B142" s="2">
        <f t="array" ref="B142:Q152" ca="1">5+RAND()*3</f>
        <v>5.9678715983777684</v>
      </c>
      <c r="C142" s="2">
        <f ca="1"/>
        <v>6.055663493056322</v>
      </c>
      <c r="D142" s="2">
        <f ca="1"/>
        <v>7.4278009238254388</v>
      </c>
      <c r="E142" s="2">
        <f ca="1"/>
        <v>6.9844560139916592</v>
      </c>
      <c r="F142" s="2">
        <f ca="1"/>
        <v>7.2735308128123801</v>
      </c>
      <c r="G142" s="2">
        <f ca="1"/>
        <v>7.9368122172519886</v>
      </c>
      <c r="H142" s="2">
        <f ca="1"/>
        <v>7.890419535207311</v>
      </c>
      <c r="I142" s="2">
        <f ca="1"/>
        <v>7.6526342306998636</v>
      </c>
      <c r="J142" s="2">
        <f ca="1"/>
        <v>5.3607250913774891</v>
      </c>
      <c r="K142" s="2">
        <f ca="1"/>
        <v>5.3379192889469227</v>
      </c>
      <c r="L142" s="2">
        <f ca="1"/>
        <v>7.7107199479397961</v>
      </c>
      <c r="M142" s="2">
        <f ca="1"/>
        <v>5.3675526637374906</v>
      </c>
      <c r="N142" s="2">
        <f ca="1"/>
        <v>6.8992023082039697</v>
      </c>
      <c r="O142" s="2">
        <f ca="1"/>
        <v>7.2186208978622917</v>
      </c>
      <c r="P142" s="2">
        <f ca="1"/>
        <v>7.4576444267393942</v>
      </c>
      <c r="Q142" s="2">
        <f ca="1"/>
        <v>5.9498824327205506</v>
      </c>
    </row>
    <row r="143" spans="1:17">
      <c r="A143" t="str">
        <v>Afar</v>
      </c>
      <c r="B143" s="2">
        <f ca="1"/>
        <v>6.9153880585617413</v>
      </c>
      <c r="C143" s="2">
        <f ca="1"/>
        <v>6.3206470303071303</v>
      </c>
      <c r="D143" s="2">
        <f ca="1"/>
        <v>7.3955262197142728</v>
      </c>
      <c r="E143" s="2">
        <f ca="1"/>
        <v>7.7237196194721376</v>
      </c>
      <c r="F143" s="2">
        <f ca="1"/>
        <v>7.1433930599141924</v>
      </c>
      <c r="G143" s="2">
        <f ca="1"/>
        <v>6.635845581942581</v>
      </c>
      <c r="H143" s="2">
        <f ca="1"/>
        <v>6.1910560096243632</v>
      </c>
      <c r="I143" s="2">
        <f ca="1"/>
        <v>6.7380863513922371</v>
      </c>
      <c r="J143" s="2">
        <f ca="1"/>
        <v>5.2514782739349961</v>
      </c>
      <c r="K143" s="2">
        <f ca="1"/>
        <v>7.6038232433872404</v>
      </c>
      <c r="L143" s="2">
        <f ca="1"/>
        <v>7.7765600916273634</v>
      </c>
      <c r="M143" s="2">
        <f ca="1"/>
        <v>5.5713299022028009</v>
      </c>
      <c r="N143" s="2">
        <f ca="1"/>
        <v>7.324682508609067</v>
      </c>
      <c r="O143" s="2">
        <f ca="1"/>
        <v>7.6776751639789342</v>
      </c>
      <c r="P143" s="2">
        <f ca="1"/>
        <v>7.8031674194931639</v>
      </c>
      <c r="Q143" s="2">
        <f ca="1"/>
        <v>6.5396805044968369</v>
      </c>
    </row>
    <row r="144" spans="1:17">
      <c r="A144" t="str">
        <v>Amhara</v>
      </c>
      <c r="B144" s="2">
        <f ca="1"/>
        <v>5.0724161686034543</v>
      </c>
      <c r="C144" s="2">
        <f ca="1"/>
        <v>6.4437505335239997</v>
      </c>
      <c r="D144" s="2">
        <f ca="1"/>
        <v>7.9382967092386503</v>
      </c>
      <c r="E144" s="2">
        <f ca="1"/>
        <v>6.0955904885396386</v>
      </c>
      <c r="F144" s="2">
        <f ca="1"/>
        <v>6.7609157211141602</v>
      </c>
      <c r="G144" s="2">
        <f ca="1"/>
        <v>6.5395527071410653</v>
      </c>
      <c r="H144" s="2">
        <f ca="1"/>
        <v>5.5443481597848354</v>
      </c>
      <c r="I144" s="2">
        <f ca="1"/>
        <v>6.0407050888294673</v>
      </c>
      <c r="J144" s="2">
        <f ca="1"/>
        <v>7.3209979843509636</v>
      </c>
      <c r="K144" s="2">
        <f ca="1"/>
        <v>7.0458658044280975</v>
      </c>
      <c r="L144" s="2">
        <f ca="1"/>
        <v>7.5920211032675926</v>
      </c>
      <c r="M144" s="2">
        <f ca="1"/>
        <v>5.3090673908671722</v>
      </c>
      <c r="N144" s="2">
        <f ca="1"/>
        <v>5.6027415668485725</v>
      </c>
      <c r="O144" s="2">
        <f ca="1"/>
        <v>5.8115823027565741</v>
      </c>
      <c r="P144" s="2">
        <f ca="1"/>
        <v>6.5261059439884734</v>
      </c>
      <c r="Q144" s="2">
        <f ca="1"/>
        <v>6.5395504717200268</v>
      </c>
    </row>
    <row r="145" spans="1:17">
      <c r="A145" t="str">
        <v>Gumuz</v>
      </c>
      <c r="B145" s="2">
        <f ca="1"/>
        <v>7.0415855422152012</v>
      </c>
      <c r="C145" s="2">
        <f ca="1"/>
        <v>7.3983406415524513</v>
      </c>
      <c r="D145" s="2">
        <f ca="1"/>
        <v>6.5475089187200961</v>
      </c>
      <c r="E145" s="2">
        <f ca="1"/>
        <v>7.097438789281501</v>
      </c>
      <c r="F145" s="2">
        <f ca="1"/>
        <v>6.9845998795010935</v>
      </c>
      <c r="G145" s="2">
        <f ca="1"/>
        <v>5.6513818932928528</v>
      </c>
      <c r="H145" s="2">
        <f ca="1"/>
        <v>6.1730505910948317</v>
      </c>
      <c r="I145" s="2">
        <f ca="1"/>
        <v>7.3669076637616033</v>
      </c>
      <c r="J145" s="2">
        <f ca="1"/>
        <v>5.5016980123847858</v>
      </c>
      <c r="K145" s="2">
        <f ca="1"/>
        <v>5.7187478988620377</v>
      </c>
      <c r="L145" s="2">
        <f ca="1"/>
        <v>7.009791917461107</v>
      </c>
      <c r="M145" s="2">
        <f ca="1"/>
        <v>7.4310072556404059</v>
      </c>
      <c r="N145" s="2">
        <f ca="1"/>
        <v>5.4799477815430135</v>
      </c>
      <c r="O145" s="2">
        <f ca="1"/>
        <v>7.9630080389550795</v>
      </c>
      <c r="P145" s="2">
        <f ca="1"/>
        <v>7.2485167966953732</v>
      </c>
      <c r="Q145" s="2">
        <f ca="1"/>
        <v>7.0722203394769689</v>
      </c>
    </row>
    <row r="146" spans="1:17">
      <c r="A146" t="str">
        <v>DireDawa</v>
      </c>
      <c r="B146" s="2">
        <f ca="1"/>
        <v>6.2570422179792429</v>
      </c>
      <c r="C146" s="2">
        <f ca="1"/>
        <v>6.1749163949683794</v>
      </c>
      <c r="D146" s="2">
        <f ca="1"/>
        <v>7.3197245792002388</v>
      </c>
      <c r="E146" s="2">
        <f ca="1"/>
        <v>7.8749723827161962</v>
      </c>
      <c r="F146" s="2">
        <f ca="1"/>
        <v>7.2731488751802083</v>
      </c>
      <c r="G146" s="2">
        <f ca="1"/>
        <v>5.4728876851568957</v>
      </c>
      <c r="H146" s="2">
        <f ca="1"/>
        <v>5.9038915193839205</v>
      </c>
      <c r="I146" s="2">
        <f ca="1"/>
        <v>7.3331527080874048</v>
      </c>
      <c r="J146" s="2">
        <f ca="1"/>
        <v>5.5493108843634147</v>
      </c>
      <c r="K146" s="2">
        <f ca="1"/>
        <v>7.7418930818333225</v>
      </c>
      <c r="L146" s="2">
        <f ca="1"/>
        <v>5.3225030402649463</v>
      </c>
      <c r="M146" s="2">
        <f ca="1"/>
        <v>5.6589222800967844</v>
      </c>
      <c r="N146" s="2">
        <f ca="1"/>
        <v>5.2644424949819042</v>
      </c>
      <c r="O146" s="2">
        <f ca="1"/>
        <v>5.4541851981280987</v>
      </c>
      <c r="P146" s="2">
        <f ca="1"/>
        <v>6.0863011739720143</v>
      </c>
      <c r="Q146" s="2">
        <f ca="1"/>
        <v>5.6803607836739509</v>
      </c>
    </row>
    <row r="147" spans="1:17">
      <c r="A147" t="str">
        <v>Gambela</v>
      </c>
      <c r="B147" s="2">
        <f ca="1"/>
        <v>7.3286167715917543</v>
      </c>
      <c r="C147" s="2">
        <f ca="1"/>
        <v>6.3532402769157406</v>
      </c>
      <c r="D147" s="2">
        <f ca="1"/>
        <v>6.423476852360066</v>
      </c>
      <c r="E147" s="2">
        <f ca="1"/>
        <v>7.5898122994932304</v>
      </c>
      <c r="F147" s="2">
        <f ca="1"/>
        <v>6.2878035374644892</v>
      </c>
      <c r="G147" s="2">
        <f ca="1"/>
        <v>7.6459083199054394</v>
      </c>
      <c r="H147" s="2">
        <f ca="1"/>
        <v>7.1117469456035813</v>
      </c>
      <c r="I147" s="2">
        <f ca="1"/>
        <v>7.1500741198467903</v>
      </c>
      <c r="J147" s="2">
        <f ca="1"/>
        <v>7.8510272101860687</v>
      </c>
      <c r="K147" s="2">
        <f ca="1"/>
        <v>7.103994195073712</v>
      </c>
      <c r="L147" s="2">
        <f ca="1"/>
        <v>5.5531325396477289</v>
      </c>
      <c r="M147" s="2">
        <f ca="1"/>
        <v>6.5406439334138273</v>
      </c>
      <c r="N147" s="2">
        <f ca="1"/>
        <v>6.769870956525641</v>
      </c>
      <c r="O147" s="2">
        <f ca="1"/>
        <v>7.4029211741856296</v>
      </c>
      <c r="P147" s="2">
        <f ca="1"/>
        <v>5.4501983094365247</v>
      </c>
      <c r="Q147" s="2">
        <f ca="1"/>
        <v>5.2138041364318504</v>
      </c>
    </row>
    <row r="148" spans="1:17">
      <c r="A148" t="str">
        <v>Harari</v>
      </c>
      <c r="B148" s="2">
        <f ca="1"/>
        <v>6.7200093296025818</v>
      </c>
      <c r="C148" s="2">
        <f ca="1"/>
        <v>6.6020191500125671</v>
      </c>
      <c r="D148" s="2">
        <f ca="1"/>
        <v>6.096912982580168</v>
      </c>
      <c r="E148" s="2">
        <f ca="1"/>
        <v>5.595580680070622</v>
      </c>
      <c r="F148" s="2">
        <f ca="1"/>
        <v>7.7824615196164455</v>
      </c>
      <c r="G148" s="2">
        <f ca="1"/>
        <v>6.9538657871629317</v>
      </c>
      <c r="H148" s="2">
        <f ca="1"/>
        <v>6.6087560674818695</v>
      </c>
      <c r="I148" s="2">
        <f ca="1"/>
        <v>7.9159377021908783</v>
      </c>
      <c r="J148" s="2">
        <f ca="1"/>
        <v>5.1924274862118667</v>
      </c>
      <c r="K148" s="2">
        <f ca="1"/>
        <v>5.9464572189262794</v>
      </c>
      <c r="L148" s="2">
        <f ca="1"/>
        <v>7.4266373111965205</v>
      </c>
      <c r="M148" s="2">
        <f ca="1"/>
        <v>6.8799242905508731</v>
      </c>
      <c r="N148" s="2">
        <f ca="1"/>
        <v>5.6923352201143178</v>
      </c>
      <c r="O148" s="2">
        <f ca="1"/>
        <v>6.5520163599126819</v>
      </c>
      <c r="P148" s="2">
        <f ca="1"/>
        <v>7.6944041821838258</v>
      </c>
      <c r="Q148" s="2">
        <f ca="1"/>
        <v>5.7568460752424979</v>
      </c>
    </row>
    <row r="149" spans="1:17">
      <c r="A149" t="str">
        <v>Oromia</v>
      </c>
      <c r="B149" s="2">
        <f ca="1"/>
        <v>7.9674680145477232</v>
      </c>
      <c r="C149" s="2">
        <f ca="1"/>
        <v>7.0142890975083105</v>
      </c>
      <c r="D149" s="2">
        <f ca="1"/>
        <v>7.0735604228358007</v>
      </c>
      <c r="E149" s="2">
        <f ca="1"/>
        <v>6.4747943607187484</v>
      </c>
      <c r="F149" s="2">
        <f ca="1"/>
        <v>7.9885088362152494</v>
      </c>
      <c r="G149" s="2">
        <f ca="1"/>
        <v>7.6929316038046558</v>
      </c>
      <c r="H149" s="2">
        <f ca="1"/>
        <v>7.9401479980356342</v>
      </c>
      <c r="I149" s="2">
        <f ca="1"/>
        <v>6.1956658704832446</v>
      </c>
      <c r="J149" s="2">
        <f ca="1"/>
        <v>6.0398052507166184</v>
      </c>
      <c r="K149" s="2">
        <f ca="1"/>
        <v>5.3034305465090315</v>
      </c>
      <c r="L149" s="2">
        <f ca="1"/>
        <v>5.2590930558649731</v>
      </c>
      <c r="M149" s="2">
        <f ca="1"/>
        <v>6.7749183757530638</v>
      </c>
      <c r="N149" s="2">
        <f ca="1"/>
        <v>7.7481348937817875</v>
      </c>
      <c r="O149" s="2">
        <f ca="1"/>
        <v>7.2590542865605006</v>
      </c>
      <c r="P149" s="2">
        <f ca="1"/>
        <v>7.9484528809718746</v>
      </c>
      <c r="Q149" s="2">
        <f ca="1"/>
        <v>7.2026489250926202</v>
      </c>
    </row>
    <row r="150" spans="1:17">
      <c r="A150" t="str">
        <v>Somali</v>
      </c>
      <c r="B150" s="2">
        <f ca="1"/>
        <v>7.0286898165774057</v>
      </c>
      <c r="C150" s="2">
        <f ca="1"/>
        <v>6.4793499370155345</v>
      </c>
      <c r="D150" s="2">
        <f ca="1"/>
        <v>5.9749658645339947</v>
      </c>
      <c r="E150" s="2">
        <f ca="1"/>
        <v>5.5099592347688509</v>
      </c>
      <c r="F150" s="2">
        <f ca="1"/>
        <v>6.9382224276383919</v>
      </c>
      <c r="G150" s="2">
        <f ca="1"/>
        <v>5.3394306668078562</v>
      </c>
      <c r="H150" s="2">
        <f ca="1"/>
        <v>5.4068814396593687</v>
      </c>
      <c r="I150" s="2">
        <f ca="1"/>
        <v>7.0492917581523908</v>
      </c>
      <c r="J150" s="2">
        <f ca="1"/>
        <v>7.2868465032040044</v>
      </c>
      <c r="K150" s="2">
        <f ca="1"/>
        <v>5.880539266058241</v>
      </c>
      <c r="L150" s="2">
        <f ca="1"/>
        <v>5.5915477836787879</v>
      </c>
      <c r="M150" s="2">
        <f ca="1"/>
        <v>5.256330937861355</v>
      </c>
      <c r="N150" s="2">
        <f ca="1"/>
        <v>6.0190975083821519</v>
      </c>
      <c r="O150" s="2">
        <f ca="1"/>
        <v>6.084305476270373</v>
      </c>
      <c r="P150" s="2">
        <f ca="1"/>
        <v>6.6309044304141187</v>
      </c>
      <c r="Q150" s="2">
        <f ca="1"/>
        <v>5.7051494139613519</v>
      </c>
    </row>
    <row r="151" spans="1:17">
      <c r="A151" t="str">
        <v>SNNPR</v>
      </c>
      <c r="B151" s="2">
        <f ca="1"/>
        <v>7.8789360711827676</v>
      </c>
      <c r="C151" s="2">
        <f ca="1"/>
        <v>6.9639524334248506</v>
      </c>
      <c r="D151" s="2">
        <f ca="1"/>
        <v>6.5159521151987541</v>
      </c>
      <c r="E151" s="2">
        <f ca="1"/>
        <v>6.0759007768746436</v>
      </c>
      <c r="F151" s="2">
        <f ca="1"/>
        <v>7.8665500747289059</v>
      </c>
      <c r="G151" s="2">
        <f ca="1"/>
        <v>5.579069139086295</v>
      </c>
      <c r="H151" s="2">
        <f ca="1"/>
        <v>6.1160653978207975</v>
      </c>
      <c r="I151" s="2">
        <f ca="1"/>
        <v>7.0413821451989129</v>
      </c>
      <c r="J151" s="2">
        <f ca="1"/>
        <v>5.4188758278961</v>
      </c>
      <c r="K151" s="2">
        <f ca="1"/>
        <v>7.7131702013697359</v>
      </c>
      <c r="L151" s="2">
        <f ca="1"/>
        <v>6.9882505362444016</v>
      </c>
      <c r="M151" s="2">
        <f ca="1"/>
        <v>5.2631839769654079</v>
      </c>
      <c r="N151" s="2">
        <f ca="1"/>
        <v>6.1801011329103259</v>
      </c>
      <c r="O151" s="2">
        <f ca="1"/>
        <v>5.5741939036170356</v>
      </c>
      <c r="P151" s="2">
        <f ca="1"/>
        <v>6.8760880419241772</v>
      </c>
      <c r="Q151" s="2">
        <f ca="1"/>
        <v>5.0921392347405954</v>
      </c>
    </row>
    <row r="152" spans="1:17">
      <c r="A152" t="str">
        <v>Tigray</v>
      </c>
      <c r="B152" s="2">
        <f ca="1"/>
        <v>7.3062239325578231</v>
      </c>
      <c r="C152" s="2">
        <f ca="1"/>
        <v>6.3909641599460869</v>
      </c>
      <c r="D152" s="2">
        <f ca="1"/>
        <v>5.3653445514020621</v>
      </c>
      <c r="E152" s="2">
        <f ca="1"/>
        <v>5.7192473034862532</v>
      </c>
      <c r="F152" s="2">
        <f ca="1"/>
        <v>5.8246819219546291</v>
      </c>
      <c r="G152" s="2">
        <f ca="1"/>
        <v>5.9568163420534539</v>
      </c>
      <c r="H152" s="2">
        <f ca="1"/>
        <v>7.1828106692378499</v>
      </c>
      <c r="I152" s="2">
        <f ca="1"/>
        <v>7.8345171846300854</v>
      </c>
      <c r="J152" s="2">
        <f ca="1"/>
        <v>6.8947565923095624</v>
      </c>
      <c r="K152" s="2">
        <f ca="1"/>
        <v>6.5622635660969086</v>
      </c>
      <c r="L152" s="2">
        <f ca="1"/>
        <v>7.934152758169188</v>
      </c>
      <c r="M152" s="2">
        <f ca="1"/>
        <v>5.1228288412256635</v>
      </c>
      <c r="N152" s="2">
        <f ca="1"/>
        <v>7.1050153509817502</v>
      </c>
      <c r="O152" s="2">
        <f ca="1"/>
        <v>6.5837588673185152</v>
      </c>
      <c r="P152" s="2">
        <f ca="1"/>
        <v>6.8175109102457299</v>
      </c>
      <c r="Q152" s="2">
        <f ca="1"/>
        <v>5.8400590100503482</v>
      </c>
    </row>
    <row r="161" spans="1:17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</row>
    <row r="162" spans="1:17">
      <c r="A162" t="str">
        <f t="array" ref="A162:A172">Nodes</f>
        <v>AddisAbaba</v>
      </c>
      <c r="B162" s="2">
        <f ca="1">2+COLUMN()*2 + ROW()/4-40 +RAND()*2</f>
        <v>8.1306537388269895</v>
      </c>
      <c r="C162" s="2">
        <f t="shared" ref="C162:Q162" ca="1" si="2">2+COLUMN()*2 + ROW()/4-40 +RAND()*2</f>
        <v>8.9751359595152618</v>
      </c>
      <c r="D162" s="2">
        <f t="shared" ca="1" si="2"/>
        <v>12.106239038294753</v>
      </c>
      <c r="E162" s="2">
        <f t="shared" ca="1" si="2"/>
        <v>13.244818245402545</v>
      </c>
      <c r="F162" s="2">
        <f t="shared" ca="1" si="2"/>
        <v>16.036076970469818</v>
      </c>
      <c r="G162" s="2">
        <f t="shared" ca="1" si="2"/>
        <v>17.70626172856208</v>
      </c>
      <c r="H162" s="2">
        <f t="shared" ca="1" si="2"/>
        <v>20.438084616641106</v>
      </c>
      <c r="I162" s="2">
        <f t="shared" ca="1" si="2"/>
        <v>20.723744883585962</v>
      </c>
      <c r="J162" s="2">
        <f t="shared" ca="1" si="2"/>
        <v>23.969783219031765</v>
      </c>
      <c r="K162" s="2">
        <f t="shared" ca="1" si="2"/>
        <v>25.469317298352159</v>
      </c>
      <c r="L162" s="2">
        <f t="shared" ca="1" si="2"/>
        <v>28.19163575151072</v>
      </c>
      <c r="M162" s="2">
        <f t="shared" ca="1" si="2"/>
        <v>29.050658699861682</v>
      </c>
      <c r="N162" s="2">
        <f t="shared" ca="1" si="2"/>
        <v>32.482788198154601</v>
      </c>
      <c r="O162" s="2">
        <f t="shared" ca="1" si="2"/>
        <v>32.732450507376967</v>
      </c>
      <c r="P162" s="2">
        <f t="shared" ca="1" si="2"/>
        <v>34.54250708613219</v>
      </c>
      <c r="Q162" s="2">
        <f t="shared" ca="1" si="2"/>
        <v>36.579139028116927</v>
      </c>
    </row>
    <row r="163" spans="1:17">
      <c r="A163" t="str">
        <v>Afar</v>
      </c>
      <c r="B163" s="2">
        <f t="shared" ref="B163:Q172" ca="1" si="3">2+COLUMN()*2 + ROW()/4-40 +RAND()*2</f>
        <v>7.5672999024878429</v>
      </c>
      <c r="C163" s="2">
        <f t="shared" ca="1" si="3"/>
        <v>8.989840289643471</v>
      </c>
      <c r="D163" s="2">
        <f t="shared" ca="1" si="3"/>
        <v>12.068223515475244</v>
      </c>
      <c r="E163" s="2">
        <f t="shared" ca="1" si="3"/>
        <v>14.172392633728091</v>
      </c>
      <c r="F163" s="2">
        <f t="shared" ca="1" si="3"/>
        <v>16.210134439843316</v>
      </c>
      <c r="G163" s="2">
        <f t="shared" ca="1" si="3"/>
        <v>16.881464448996759</v>
      </c>
      <c r="H163" s="2">
        <f t="shared" ca="1" si="3"/>
        <v>20.173027793169151</v>
      </c>
      <c r="I163" s="2">
        <f t="shared" ca="1" si="3"/>
        <v>22.341037962765817</v>
      </c>
      <c r="J163" s="2">
        <f t="shared" ca="1" si="3"/>
        <v>23.512330927241642</v>
      </c>
      <c r="K163" s="2">
        <f t="shared" ca="1" si="3"/>
        <v>26.191285687889511</v>
      </c>
      <c r="L163" s="2">
        <f t="shared" ca="1" si="3"/>
        <v>27.440169717990813</v>
      </c>
      <c r="M163" s="2">
        <f t="shared" ca="1" si="3"/>
        <v>29.216566916205949</v>
      </c>
      <c r="N163" s="2">
        <f t="shared" ca="1" si="3"/>
        <v>32.002494758173647</v>
      </c>
      <c r="O163" s="2">
        <f t="shared" ca="1" si="3"/>
        <v>34.018726685002306</v>
      </c>
      <c r="P163" s="2">
        <f t="shared" ca="1" si="3"/>
        <v>35.635458207411745</v>
      </c>
      <c r="Q163" s="2">
        <f t="shared" ca="1" si="3"/>
        <v>38.330384695270055</v>
      </c>
    </row>
    <row r="164" spans="1:17">
      <c r="A164" t="str">
        <v>Amhara</v>
      </c>
      <c r="B164" s="2">
        <f t="shared" ca="1" si="3"/>
        <v>7.718859464225841</v>
      </c>
      <c r="C164" s="2">
        <f t="shared" ca="1" si="3"/>
        <v>10.347841432837333</v>
      </c>
      <c r="D164" s="2">
        <f t="shared" ca="1" si="3"/>
        <v>12.203192125375875</v>
      </c>
      <c r="E164" s="2">
        <f t="shared" ca="1" si="3"/>
        <v>13.808059169250402</v>
      </c>
      <c r="F164" s="2">
        <f t="shared" ca="1" si="3"/>
        <v>15.947550319202072</v>
      </c>
      <c r="G164" s="2">
        <f t="shared" ca="1" si="3"/>
        <v>17.024310423269217</v>
      </c>
      <c r="H164" s="2">
        <f t="shared" ca="1" si="3"/>
        <v>19.102995645622205</v>
      </c>
      <c r="I164" s="2">
        <f t="shared" ca="1" si="3"/>
        <v>22.895570045922462</v>
      </c>
      <c r="J164" s="2">
        <f t="shared" ca="1" si="3"/>
        <v>23.062168168560511</v>
      </c>
      <c r="K164" s="2">
        <f t="shared" ca="1" si="3"/>
        <v>26.501935431460495</v>
      </c>
      <c r="L164" s="2">
        <f t="shared" ca="1" si="3"/>
        <v>27.107537916406127</v>
      </c>
      <c r="M164" s="2">
        <f t="shared" ca="1" si="3"/>
        <v>29.146207688061665</v>
      </c>
      <c r="N164" s="2">
        <f t="shared" ca="1" si="3"/>
        <v>31.408580770754941</v>
      </c>
      <c r="O164" s="2">
        <f t="shared" ca="1" si="3"/>
        <v>33.778489812393673</v>
      </c>
      <c r="P164" s="2">
        <f t="shared" ca="1" si="3"/>
        <v>36.173139053213603</v>
      </c>
      <c r="Q164" s="2">
        <f t="shared" ca="1" si="3"/>
        <v>37.120836419046519</v>
      </c>
    </row>
    <row r="165" spans="1:17">
      <c r="A165" t="str">
        <v>Gumuz</v>
      </c>
      <c r="B165" s="2">
        <f t="shared" ca="1" si="3"/>
        <v>7.8616460220306035</v>
      </c>
      <c r="C165" s="2">
        <f t="shared" ca="1" si="3"/>
        <v>9.9000923566733423</v>
      </c>
      <c r="D165" s="2">
        <f t="shared" ca="1" si="3"/>
        <v>12.544121432960708</v>
      </c>
      <c r="E165" s="2">
        <f t="shared" ca="1" si="3"/>
        <v>14.009200975959176</v>
      </c>
      <c r="F165" s="2">
        <f t="shared" ca="1" si="3"/>
        <v>16.442421411666714</v>
      </c>
      <c r="G165" s="2">
        <f t="shared" ca="1" si="3"/>
        <v>19.167303319957572</v>
      </c>
      <c r="H165" s="2">
        <f t="shared" ca="1" si="3"/>
        <v>20.078359180217348</v>
      </c>
      <c r="I165" s="2">
        <f t="shared" ca="1" si="3"/>
        <v>23.210697455549827</v>
      </c>
      <c r="J165" s="2">
        <f t="shared" ca="1" si="3"/>
        <v>23.424305435365021</v>
      </c>
      <c r="K165" s="2">
        <f t="shared" ca="1" si="3"/>
        <v>25.72475251996601</v>
      </c>
      <c r="L165" s="2">
        <f t="shared" ca="1" si="3"/>
        <v>27.992171773856544</v>
      </c>
      <c r="M165" s="2">
        <f t="shared" ca="1" si="3"/>
        <v>30.464667947730362</v>
      </c>
      <c r="N165" s="2">
        <f t="shared" ca="1" si="3"/>
        <v>32.525991959542097</v>
      </c>
      <c r="O165" s="2">
        <f t="shared" ca="1" si="3"/>
        <v>33.792592101880842</v>
      </c>
      <c r="P165" s="2">
        <f t="shared" ca="1" si="3"/>
        <v>35.814100302177557</v>
      </c>
      <c r="Q165" s="2">
        <f t="shared" ca="1" si="3"/>
        <v>37.506660614967039</v>
      </c>
    </row>
    <row r="166" spans="1:17">
      <c r="A166" t="str">
        <v>DireDawa</v>
      </c>
      <c r="B166" s="2">
        <f t="shared" ca="1" si="3"/>
        <v>8.2033282878876719</v>
      </c>
      <c r="C166" s="2">
        <f t="shared" ca="1" si="3"/>
        <v>9.6028276836602338</v>
      </c>
      <c r="D166" s="2">
        <f t="shared" ca="1" si="3"/>
        <v>12.470339621495224</v>
      </c>
      <c r="E166" s="2">
        <f t="shared" ca="1" si="3"/>
        <v>15.194067686411504</v>
      </c>
      <c r="F166" s="2">
        <f t="shared" ca="1" si="3"/>
        <v>15.80433499573553</v>
      </c>
      <c r="G166" s="2">
        <f t="shared" ca="1" si="3"/>
        <v>19.07003573546282</v>
      </c>
      <c r="H166" s="2">
        <f t="shared" ca="1" si="3"/>
        <v>19.989316398771788</v>
      </c>
      <c r="I166" s="2">
        <f t="shared" ca="1" si="3"/>
        <v>22.913596718074565</v>
      </c>
      <c r="J166" s="2">
        <f t="shared" ca="1" si="3"/>
        <v>23.554432995861763</v>
      </c>
      <c r="K166" s="2">
        <f t="shared" ca="1" si="3"/>
        <v>26.553741139220989</v>
      </c>
      <c r="L166" s="2">
        <f t="shared" ca="1" si="3"/>
        <v>28.928883762229098</v>
      </c>
      <c r="M166" s="2">
        <f t="shared" ca="1" si="3"/>
        <v>30.404929131537692</v>
      </c>
      <c r="N166" s="2">
        <f t="shared" ca="1" si="3"/>
        <v>31.933613725045248</v>
      </c>
      <c r="O166" s="2">
        <f t="shared" ca="1" si="3"/>
        <v>34.349930834953526</v>
      </c>
      <c r="P166" s="2">
        <f t="shared" ca="1" si="3"/>
        <v>36.23857184880098</v>
      </c>
      <c r="Q166" s="2">
        <f t="shared" ca="1" si="3"/>
        <v>37.56196260081979</v>
      </c>
    </row>
    <row r="167" spans="1:17">
      <c r="A167" t="str">
        <v>Gambela</v>
      </c>
      <c r="B167" s="2">
        <f t="shared" ca="1" si="3"/>
        <v>8.1427111820753879</v>
      </c>
      <c r="C167" s="2">
        <f t="shared" ca="1" si="3"/>
        <v>11.056255140716585</v>
      </c>
      <c r="D167" s="2">
        <f t="shared" ca="1" si="3"/>
        <v>13.113904964428357</v>
      </c>
      <c r="E167" s="2">
        <f t="shared" ca="1" si="3"/>
        <v>15.746385365086297</v>
      </c>
      <c r="F167" s="2">
        <f t="shared" ca="1" si="3"/>
        <v>17.158526748720217</v>
      </c>
      <c r="G167" s="2">
        <f t="shared" ca="1" si="3"/>
        <v>19.674990186344477</v>
      </c>
      <c r="H167" s="2">
        <f t="shared" ca="1" si="3"/>
        <v>20.221273082587611</v>
      </c>
      <c r="I167" s="2">
        <f t="shared" ca="1" si="3"/>
        <v>23.256716471096496</v>
      </c>
      <c r="J167" s="2">
        <f t="shared" ca="1" si="3"/>
        <v>25.524064873223061</v>
      </c>
      <c r="K167" s="2">
        <f t="shared" ca="1" si="3"/>
        <v>25.825119642647316</v>
      </c>
      <c r="L167" s="2">
        <f t="shared" ca="1" si="3"/>
        <v>29.745137199550289</v>
      </c>
      <c r="M167" s="2">
        <f t="shared" ca="1" si="3"/>
        <v>29.944794080857001</v>
      </c>
      <c r="N167" s="2">
        <f t="shared" ca="1" si="3"/>
        <v>33.009932299232339</v>
      </c>
      <c r="O167" s="2">
        <f t="shared" ca="1" si="3"/>
        <v>35.560472759686398</v>
      </c>
      <c r="P167" s="2">
        <f t="shared" ca="1" si="3"/>
        <v>35.861654528852256</v>
      </c>
      <c r="Q167" s="2">
        <f t="shared" ca="1" si="3"/>
        <v>39.091506051144712</v>
      </c>
    </row>
    <row r="168" spans="1:17">
      <c r="A168" t="str">
        <v>Harari</v>
      </c>
      <c r="B168" s="2">
        <f t="shared" ca="1" si="3"/>
        <v>8.9277575520102044</v>
      </c>
      <c r="C168" s="2">
        <f t="shared" ca="1" si="3"/>
        <v>11.727376054040784</v>
      </c>
      <c r="D168" s="2">
        <f t="shared" ca="1" si="3"/>
        <v>13.147950813327142</v>
      </c>
      <c r="E168" s="2">
        <f t="shared" ca="1" si="3"/>
        <v>14.407449524660878</v>
      </c>
      <c r="F168" s="2">
        <f t="shared" ca="1" si="3"/>
        <v>17.64321410605401</v>
      </c>
      <c r="G168" s="2">
        <f t="shared" ca="1" si="3"/>
        <v>19.899073676590039</v>
      </c>
      <c r="H168" s="2">
        <f t="shared" ca="1" si="3"/>
        <v>20.528992723302629</v>
      </c>
      <c r="I168" s="2">
        <f t="shared" ca="1" si="3"/>
        <v>22.971134235622507</v>
      </c>
      <c r="J168" s="2">
        <f t="shared" ca="1" si="3"/>
        <v>24.961256014256318</v>
      </c>
      <c r="K168" s="2">
        <f t="shared" ca="1" si="3"/>
        <v>26.54087097534731</v>
      </c>
      <c r="L168" s="2">
        <f t="shared" ca="1" si="3"/>
        <v>28.718545372340134</v>
      </c>
      <c r="M168" s="2">
        <f t="shared" ca="1" si="3"/>
        <v>31.396806209903854</v>
      </c>
      <c r="N168" s="2">
        <f t="shared" ca="1" si="3"/>
        <v>32.26982246065986</v>
      </c>
      <c r="O168" s="2">
        <f t="shared" ca="1" si="3"/>
        <v>35.408468014930229</v>
      </c>
      <c r="P168" s="2">
        <f t="shared" ca="1" si="3"/>
        <v>36.630763973039947</v>
      </c>
      <c r="Q168" s="2">
        <f t="shared" ca="1" si="3"/>
        <v>38.843883636074537</v>
      </c>
    </row>
    <row r="169" spans="1:17">
      <c r="A169" t="str">
        <v>Oromia</v>
      </c>
      <c r="B169" s="2">
        <f t="shared" ca="1" si="3"/>
        <v>8.9133943889999561</v>
      </c>
      <c r="C169" s="2">
        <f t="shared" ca="1" si="3"/>
        <v>10.824310105644274</v>
      </c>
      <c r="D169" s="2">
        <f t="shared" ca="1" si="3"/>
        <v>12.38484619069758</v>
      </c>
      <c r="E169" s="2">
        <f t="shared" ca="1" si="3"/>
        <v>15.455075182530168</v>
      </c>
      <c r="F169" s="2">
        <f t="shared" ca="1" si="3"/>
        <v>17.53176833605167</v>
      </c>
      <c r="G169" s="2">
        <f t="shared" ca="1" si="3"/>
        <v>19.525364454716144</v>
      </c>
      <c r="H169" s="2">
        <f t="shared" ca="1" si="3"/>
        <v>21.428902910405064</v>
      </c>
      <c r="I169" s="2">
        <f t="shared" ca="1" si="3"/>
        <v>22.381194418892399</v>
      </c>
      <c r="J169" s="2">
        <f t="shared" ca="1" si="3"/>
        <v>24.958813585000371</v>
      </c>
      <c r="K169" s="2">
        <f t="shared" ca="1" si="3"/>
        <v>26.270681477624535</v>
      </c>
      <c r="L169" s="2">
        <f t="shared" ca="1" si="3"/>
        <v>29.846833279987287</v>
      </c>
      <c r="M169" s="2">
        <f t="shared" ca="1" si="3"/>
        <v>31.606987622112012</v>
      </c>
      <c r="N169" s="2">
        <f t="shared" ca="1" si="3"/>
        <v>32.840665422748884</v>
      </c>
      <c r="O169" s="2">
        <f t="shared" ca="1" si="3"/>
        <v>34.71685556904292</v>
      </c>
      <c r="P169" s="2">
        <f t="shared" ca="1" si="3"/>
        <v>38.164148018037487</v>
      </c>
      <c r="Q169" s="2">
        <f t="shared" ca="1" si="3"/>
        <v>40.179278511449091</v>
      </c>
    </row>
    <row r="170" spans="1:17">
      <c r="A170" t="str">
        <v>Somali</v>
      </c>
      <c r="B170" s="2">
        <f t="shared" ca="1" si="3"/>
        <v>10.015484491112382</v>
      </c>
      <c r="C170" s="2">
        <f t="shared" ca="1" si="3"/>
        <v>12.020667731953548</v>
      </c>
      <c r="D170" s="2">
        <f t="shared" ca="1" si="3"/>
        <v>14.469425900562804</v>
      </c>
      <c r="E170" s="2">
        <f t="shared" ca="1" si="3"/>
        <v>15.443308094831055</v>
      </c>
      <c r="F170" s="2">
        <f t="shared" ca="1" si="3"/>
        <v>17.915682457832556</v>
      </c>
      <c r="G170" s="2">
        <f t="shared" ca="1" si="3"/>
        <v>19.032724860286883</v>
      </c>
      <c r="H170" s="2">
        <f t="shared" ca="1" si="3"/>
        <v>20.649568870976069</v>
      </c>
      <c r="I170" s="2">
        <f t="shared" ca="1" si="3"/>
        <v>23.956950298344381</v>
      </c>
      <c r="J170" s="2">
        <f t="shared" ca="1" si="3"/>
        <v>26.209718036719352</v>
      </c>
      <c r="K170" s="2">
        <f t="shared" ca="1" si="3"/>
        <v>27.738216928763467</v>
      </c>
      <c r="L170" s="2">
        <f t="shared" ca="1" si="3"/>
        <v>28.59486025542288</v>
      </c>
      <c r="M170" s="2">
        <f t="shared" ca="1" si="3"/>
        <v>31.628541519515665</v>
      </c>
      <c r="N170" s="2">
        <f t="shared" ca="1" si="3"/>
        <v>34.356224455936037</v>
      </c>
      <c r="O170" s="2">
        <f t="shared" ca="1" si="3"/>
        <v>34.781189615387376</v>
      </c>
      <c r="P170" s="2">
        <f t="shared" ca="1" si="3"/>
        <v>37.582329294258244</v>
      </c>
      <c r="Q170" s="2">
        <f t="shared" ca="1" si="3"/>
        <v>39.926932659272801</v>
      </c>
    </row>
    <row r="171" spans="1:17">
      <c r="A171" t="str">
        <v>SNNPR</v>
      </c>
      <c r="B171" s="2">
        <f t="shared" ca="1" si="3"/>
        <v>9.7758371423366022</v>
      </c>
      <c r="C171" s="2">
        <f t="shared" ca="1" si="3"/>
        <v>12.448883078560609</v>
      </c>
      <c r="D171" s="2">
        <f t="shared" ca="1" si="3"/>
        <v>13.561297652764795</v>
      </c>
      <c r="E171" s="2">
        <f t="shared" ca="1" si="3"/>
        <v>15.759018055503123</v>
      </c>
      <c r="F171" s="2">
        <f t="shared" ca="1" si="3"/>
        <v>18.687878480433046</v>
      </c>
      <c r="G171" s="2">
        <f t="shared" ca="1" si="3"/>
        <v>20.18990811925174</v>
      </c>
      <c r="H171" s="2">
        <f t="shared" ca="1" si="3"/>
        <v>22.128367918629955</v>
      </c>
      <c r="I171" s="2">
        <f t="shared" ca="1" si="3"/>
        <v>23.108460221841085</v>
      </c>
      <c r="J171" s="2">
        <f t="shared" ca="1" si="3"/>
        <v>26.599874966271216</v>
      </c>
      <c r="K171" s="2">
        <f t="shared" ca="1" si="3"/>
        <v>27.861687504008337</v>
      </c>
      <c r="L171" s="2">
        <f t="shared" ca="1" si="3"/>
        <v>30.522224948370226</v>
      </c>
      <c r="M171" s="2">
        <f t="shared" ca="1" si="3"/>
        <v>32.632593932207747</v>
      </c>
      <c r="N171" s="2">
        <f t="shared" ca="1" si="3"/>
        <v>33.899137483117748</v>
      </c>
      <c r="O171" s="2">
        <f t="shared" ca="1" si="3"/>
        <v>35.857739195103477</v>
      </c>
      <c r="P171" s="2">
        <f t="shared" ca="1" si="3"/>
        <v>37.971574737320701</v>
      </c>
      <c r="Q171" s="2">
        <f t="shared" ca="1" si="3"/>
        <v>40.191206564970791</v>
      </c>
    </row>
    <row r="172" spans="1:17">
      <c r="A172" t="str">
        <v>Tigray</v>
      </c>
      <c r="B172" s="2">
        <f t="shared" ca="1" si="3"/>
        <v>9.2458975636258423</v>
      </c>
      <c r="C172" s="2">
        <f t="shared" ca="1" si="3"/>
        <v>12.53619741674294</v>
      </c>
      <c r="D172" s="2">
        <f t="shared" ca="1" si="3"/>
        <v>14.996561340230667</v>
      </c>
      <c r="E172" s="2">
        <f t="shared" ca="1" si="3"/>
        <v>15.497544108910585</v>
      </c>
      <c r="F172" s="2">
        <f t="shared" ca="1" si="3"/>
        <v>17.816736001555185</v>
      </c>
      <c r="G172" s="2">
        <f t="shared" ca="1" si="3"/>
        <v>20.176035492112181</v>
      </c>
      <c r="H172" s="2">
        <f t="shared" ca="1" si="3"/>
        <v>22.002926485496229</v>
      </c>
      <c r="I172" s="2">
        <f t="shared" ca="1" si="3"/>
        <v>23.547343974668337</v>
      </c>
      <c r="J172" s="2">
        <f t="shared" ca="1" si="3"/>
        <v>26.77032802546676</v>
      </c>
      <c r="K172" s="2">
        <f t="shared" ca="1" si="3"/>
        <v>28.687004928128683</v>
      </c>
      <c r="L172" s="2">
        <f t="shared" ca="1" si="3"/>
        <v>30.383576348580988</v>
      </c>
      <c r="M172" s="2">
        <f t="shared" ca="1" si="3"/>
        <v>32.290987864034037</v>
      </c>
      <c r="N172" s="2">
        <f t="shared" ca="1" si="3"/>
        <v>34.730821387003623</v>
      </c>
      <c r="O172" s="2">
        <f t="shared" ca="1" si="3"/>
        <v>35.191678868279212</v>
      </c>
      <c r="P172" s="2">
        <f t="shared" ca="1" si="3"/>
        <v>38.891573728401085</v>
      </c>
      <c r="Q172" s="2">
        <f t="shared" ca="1" si="3"/>
        <v>40.340233809062958</v>
      </c>
    </row>
  </sheetData>
  <pageMargins left="0.75" right="0.75" top="1" bottom="1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18"/>
  <sheetViews>
    <sheetView zoomScale="85" zoomScaleNormal="85" workbookViewId="0">
      <selection activeCell="I26" sqref="H26:I27"/>
    </sheetView>
  </sheetViews>
  <sheetFormatPr defaultColWidth="11" defaultRowHeight="15.75"/>
  <sheetData>
    <row r="2" spans="2:12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2">
      <c r="B3">
        <v>2015</v>
      </c>
      <c r="D3" t="s">
        <v>3</v>
      </c>
      <c r="F3" t="s">
        <v>5</v>
      </c>
      <c r="H3" t="s">
        <v>16</v>
      </c>
      <c r="J3" t="s">
        <v>16</v>
      </c>
      <c r="L3" t="s">
        <v>95</v>
      </c>
    </row>
    <row r="4" spans="2:12">
      <c r="B4">
        <f>B3+1</f>
        <v>2016</v>
      </c>
      <c r="D4" t="s">
        <v>2</v>
      </c>
      <c r="F4" t="s">
        <v>6</v>
      </c>
      <c r="H4" t="s">
        <v>20</v>
      </c>
      <c r="J4" t="s">
        <v>20</v>
      </c>
      <c r="L4" t="s">
        <v>100</v>
      </c>
    </row>
    <row r="5" spans="2:12">
      <c r="B5">
        <f t="shared" ref="B5:B18" si="0">B4+1</f>
        <v>2017</v>
      </c>
      <c r="F5" t="s">
        <v>7</v>
      </c>
      <c r="H5" t="s">
        <v>17</v>
      </c>
      <c r="J5" t="s">
        <v>17</v>
      </c>
      <c r="L5" t="s">
        <v>96</v>
      </c>
    </row>
    <row r="6" spans="2:12">
      <c r="B6">
        <f t="shared" si="0"/>
        <v>2018</v>
      </c>
      <c r="F6" t="s">
        <v>8</v>
      </c>
      <c r="H6" t="s">
        <v>24</v>
      </c>
      <c r="J6" t="s">
        <v>24</v>
      </c>
      <c r="L6" t="s">
        <v>97</v>
      </c>
    </row>
    <row r="7" spans="2:12">
      <c r="B7">
        <f t="shared" si="0"/>
        <v>2019</v>
      </c>
      <c r="F7" t="s">
        <v>9</v>
      </c>
      <c r="H7" t="s">
        <v>21</v>
      </c>
      <c r="J7" t="s">
        <v>21</v>
      </c>
      <c r="L7" t="s">
        <v>98</v>
      </c>
    </row>
    <row r="8" spans="2:12">
      <c r="B8">
        <f t="shared" si="0"/>
        <v>2020</v>
      </c>
      <c r="F8" t="s">
        <v>10</v>
      </c>
      <c r="H8" t="s">
        <v>18</v>
      </c>
      <c r="J8" t="s">
        <v>18</v>
      </c>
      <c r="L8" t="s">
        <v>99</v>
      </c>
    </row>
    <row r="9" spans="2:12">
      <c r="B9">
        <f t="shared" si="0"/>
        <v>2021</v>
      </c>
      <c r="F9" t="s">
        <v>11</v>
      </c>
      <c r="H9" t="s">
        <v>22</v>
      </c>
    </row>
    <row r="10" spans="2:12">
      <c r="B10">
        <f t="shared" si="0"/>
        <v>2022</v>
      </c>
      <c r="F10" t="s">
        <v>12</v>
      </c>
      <c r="H10" t="s">
        <v>23</v>
      </c>
    </row>
    <row r="11" spans="2:12">
      <c r="B11">
        <f t="shared" si="0"/>
        <v>2023</v>
      </c>
      <c r="F11" t="s">
        <v>13</v>
      </c>
    </row>
    <row r="12" spans="2:12">
      <c r="B12">
        <f t="shared" si="0"/>
        <v>2024</v>
      </c>
      <c r="F12" t="s">
        <v>19</v>
      </c>
    </row>
    <row r="13" spans="2:12">
      <c r="B13">
        <f t="shared" si="0"/>
        <v>2025</v>
      </c>
      <c r="F13" t="s">
        <v>14</v>
      </c>
    </row>
    <row r="14" spans="2:12">
      <c r="B14">
        <f t="shared" si="0"/>
        <v>2026</v>
      </c>
    </row>
    <row r="15" spans="2:12">
      <c r="B15">
        <f t="shared" si="0"/>
        <v>2027</v>
      </c>
    </row>
    <row r="16" spans="2:12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>
      <selection activeCell="S2" sqref="S2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No</v>
      </c>
      <c r="D2" s="4" t="str">
        <f t="shared" si="0"/>
        <v>No</v>
      </c>
      <c r="E2" s="4" t="str">
        <f t="shared" si="0"/>
        <v>No</v>
      </c>
      <c r="F2" s="4" t="str">
        <f t="shared" si="0"/>
        <v>No</v>
      </c>
      <c r="G2" s="4" t="str">
        <f t="shared" si="0"/>
        <v>No</v>
      </c>
      <c r="H2" s="4" t="str">
        <f t="shared" si="0"/>
        <v>No</v>
      </c>
      <c r="I2" s="4" t="str">
        <f t="shared" si="0"/>
        <v>Yes</v>
      </c>
      <c r="J2" s="4" t="str">
        <f t="shared" si="0"/>
        <v>No</v>
      </c>
      <c r="K2" s="4" t="str">
        <f t="shared" si="0"/>
        <v>Yes</v>
      </c>
      <c r="L2" s="4" t="str">
        <f t="shared" si="0"/>
        <v>No</v>
      </c>
      <c r="N2" s="1" t="s">
        <v>5</v>
      </c>
      <c r="O2" t="str">
        <f t="shared" ref="O2:O12" ca="1" si="1">IF(B2="Yes",10+5*RAND(),"")</f>
        <v/>
      </c>
      <c r="P2" t="str">
        <f t="shared" ref="P2:P3" ca="1" si="2">IF(C2="Yes",10+5*RAND(),"")</f>
        <v/>
      </c>
      <c r="Q2" t="str">
        <f t="shared" ref="Q2:Q12" ca="1" si="3">IF(D2="Yes",10+5*RAND(),"")</f>
        <v/>
      </c>
      <c r="R2" t="str">
        <f t="shared" ref="R2:R12" ca="1" si="4">IF(E2="Yes",10+5*RAND(),"")</f>
        <v/>
      </c>
      <c r="S2" t="str">
        <f t="shared" ref="S2:S12" ca="1" si="5">IF(F2="Yes",10+5*RAND(),"")</f>
        <v/>
      </c>
      <c r="T2" t="str">
        <f t="shared" ref="T2:T12" ca="1" si="6">IF(G2="Yes",10+5*RAND(),"")</f>
        <v/>
      </c>
      <c r="U2" t="str">
        <f t="shared" ref="U2:U12" ca="1" si="7">IF(H2="Yes",10+5*RAND(),"")</f>
        <v/>
      </c>
      <c r="V2">
        <f t="shared" ref="V2:V12" ca="1" si="8">IF(I2="Yes",10+5*RAND(),"")</f>
        <v>13.509190709423631</v>
      </c>
      <c r="W2" t="str">
        <f t="shared" ref="W2:W12" ca="1" si="9">IF(J2="Yes",10+5*RAND(),"")</f>
        <v/>
      </c>
      <c r="X2">
        <f t="shared" ref="X2:X12" ca="1" si="10">IF(K2="Yes",10+5*RAND(),"")</f>
        <v>10.043912036846104</v>
      </c>
      <c r="Y2" t="str">
        <f t="shared" ref="Y2:Y12" ca="1" si="11">IF(L2="Yes",10+5*RAND(),"")</f>
        <v/>
      </c>
      <c r="AA2" s="1" t="s">
        <v>5</v>
      </c>
      <c r="AB2" t="str">
        <f ca="1">IF(O2="Yes",10+5*RAND(),"")</f>
        <v/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2">IF(ISERROR(MATCH($A3,F$22:F$330,0)),"No","Yes")</f>
        <v>No</v>
      </c>
      <c r="C3" s="4" t="str">
        <f t="shared" ref="C3:C12" si="13">IF(ISERROR(MATCH($A3,G$22:G$330,0)),"No","Yes")</f>
        <v>No</v>
      </c>
      <c r="D3" s="4" t="str">
        <f t="shared" ref="D3:D12" si="14">IF(ISERROR(MATCH($A3,H$22:H$330,0)),"No","Yes")</f>
        <v>Yes</v>
      </c>
      <c r="E3" s="4" t="str">
        <f t="shared" ref="E3:E12" si="15">IF(ISERROR(MATCH($A3,I$22:I$330,0)),"No","Yes")</f>
        <v>No</v>
      </c>
      <c r="F3" s="4" t="str">
        <f t="shared" ref="F3:F12" si="16">IF(ISERROR(MATCH($A3,J$22:J$330,0)),"No","Yes")</f>
        <v>No</v>
      </c>
      <c r="G3" s="4" t="str">
        <f t="shared" ref="G3:G12" si="17">IF(ISERROR(MATCH($A3,K$22:K$330,0)),"No","Yes")</f>
        <v>No</v>
      </c>
      <c r="H3" s="4" t="str">
        <f t="shared" ref="H3:H12" si="18">IF(ISERROR(MATCH($A3,L$22:L$330,0)),"No","Yes")</f>
        <v>No</v>
      </c>
      <c r="I3" s="4" t="str">
        <f t="shared" ref="I3:I12" si="19">IF(ISERROR(MATCH($A3,M$22:M$330,0)),"No","Yes")</f>
        <v>Yes</v>
      </c>
      <c r="J3" s="4" t="str">
        <f t="shared" ref="J3:J12" si="20">IF(ISERROR(MATCH($A3,N$22:N$330,0)),"No","Yes")</f>
        <v>No</v>
      </c>
      <c r="K3" s="4" t="str">
        <f t="shared" ref="K3:K12" si="21">IF(ISERROR(MATCH($A3,O$22:O$330,0)),"No","Yes")</f>
        <v>No</v>
      </c>
      <c r="L3" s="4" t="str">
        <f t="shared" ref="L3:L12" si="22">IF(ISERROR(MATCH($A3,P$22:P$330,0)),"No","Yes")</f>
        <v>Yes</v>
      </c>
      <c r="N3" s="1" t="s">
        <v>6</v>
      </c>
      <c r="O3" t="str">
        <f t="shared" ca="1" si="1"/>
        <v/>
      </c>
      <c r="P3" t="str">
        <f t="shared" ca="1" si="2"/>
        <v/>
      </c>
      <c r="Q3">
        <f t="shared" ca="1" si="3"/>
        <v>14.734908891381835</v>
      </c>
      <c r="R3" t="str">
        <f t="shared" ca="1" si="4"/>
        <v/>
      </c>
      <c r="S3" t="str">
        <f t="shared" ca="1" si="5"/>
        <v/>
      </c>
      <c r="T3" t="str">
        <f t="shared" ca="1" si="6"/>
        <v/>
      </c>
      <c r="U3" t="str">
        <f t="shared" ca="1" si="7"/>
        <v/>
      </c>
      <c r="V3">
        <f t="shared" ca="1" si="8"/>
        <v>11.657671573904922</v>
      </c>
      <c r="W3" t="str">
        <f t="shared" ca="1" si="9"/>
        <v/>
      </c>
      <c r="X3" t="str">
        <f t="shared" ca="1" si="10"/>
        <v/>
      </c>
      <c r="Y3">
        <f t="shared" ca="1" si="11"/>
        <v>14.215645604577452</v>
      </c>
      <c r="AA3" s="1" t="s">
        <v>6</v>
      </c>
      <c r="AB3">
        <v>500</v>
      </c>
      <c r="AD3">
        <f t="shared" ref="AC3:AL12" ca="1" si="23">300-50*RAND()</f>
        <v>271.67492497062727</v>
      </c>
      <c r="AE3">
        <f t="shared" ca="1" si="23"/>
        <v>275.09076592684301</v>
      </c>
      <c r="AF3">
        <f t="shared" ca="1" si="23"/>
        <v>288.05262764498082</v>
      </c>
      <c r="AG3">
        <f t="shared" ca="1" si="23"/>
        <v>260.3534507814532</v>
      </c>
      <c r="AH3">
        <f t="shared" ca="1" si="23"/>
        <v>292.66948677765686</v>
      </c>
      <c r="AI3">
        <f t="shared" ca="1" si="23"/>
        <v>257.63965249900355</v>
      </c>
      <c r="AJ3">
        <f t="shared" ca="1" si="23"/>
        <v>260.7781340976839</v>
      </c>
      <c r="AK3">
        <f t="shared" ca="1" si="23"/>
        <v>254.26285081751675</v>
      </c>
      <c r="AL3">
        <f t="shared" ca="1" si="23"/>
        <v>288.27701901800265</v>
      </c>
    </row>
    <row r="4" spans="1:38">
      <c r="A4" s="1" t="s">
        <v>7</v>
      </c>
      <c r="B4" s="4" t="str">
        <f t="shared" si="12"/>
        <v>No</v>
      </c>
      <c r="C4" s="4" t="str">
        <f t="shared" si="13"/>
        <v>Yes</v>
      </c>
      <c r="D4" s="4" t="str">
        <f t="shared" si="14"/>
        <v>No</v>
      </c>
      <c r="E4" s="4" t="str">
        <f t="shared" si="15"/>
        <v>Yes</v>
      </c>
      <c r="F4" s="4" t="str">
        <f t="shared" si="16"/>
        <v>No</v>
      </c>
      <c r="G4" s="4" t="str">
        <f t="shared" si="17"/>
        <v>No</v>
      </c>
      <c r="H4" s="4" t="str">
        <f t="shared" si="18"/>
        <v>No</v>
      </c>
      <c r="I4" s="4" t="str">
        <f t="shared" si="19"/>
        <v>Yes</v>
      </c>
      <c r="J4" s="4" t="str">
        <f t="shared" si="20"/>
        <v>No</v>
      </c>
      <c r="K4" s="4" t="str">
        <f t="shared" si="21"/>
        <v>No</v>
      </c>
      <c r="L4" s="4" t="str">
        <f t="shared" si="22"/>
        <v>Yes</v>
      </c>
      <c r="N4" s="1" t="s">
        <v>7</v>
      </c>
      <c r="O4" t="str">
        <f t="shared" ca="1" si="1"/>
        <v/>
      </c>
      <c r="P4">
        <f ca="1">IF(C4="Yes",10+5*RAND(),"")</f>
        <v>14.377933639042876</v>
      </c>
      <c r="Q4" t="str">
        <f t="shared" ca="1" si="3"/>
        <v/>
      </c>
      <c r="R4">
        <f t="shared" ca="1" si="4"/>
        <v>14.678172501811886</v>
      </c>
      <c r="S4" t="str">
        <f t="shared" ca="1" si="5"/>
        <v/>
      </c>
      <c r="T4" t="str">
        <f t="shared" ca="1" si="6"/>
        <v/>
      </c>
      <c r="U4" t="str">
        <f t="shared" ca="1" si="7"/>
        <v/>
      </c>
      <c r="V4">
        <f t="shared" ca="1" si="8"/>
        <v>11.94897217927145</v>
      </c>
      <c r="W4" t="str">
        <f t="shared" ca="1" si="9"/>
        <v/>
      </c>
      <c r="X4" t="str">
        <f t="shared" ca="1" si="10"/>
        <v/>
      </c>
      <c r="Y4">
        <f t="shared" ca="1" si="11"/>
        <v>11.336827582127889</v>
      </c>
      <c r="AA4" s="1" t="s">
        <v>7</v>
      </c>
      <c r="AB4">
        <v>500</v>
      </c>
      <c r="AC4">
        <f t="shared" ca="1" si="23"/>
        <v>283.97956873287148</v>
      </c>
      <c r="AE4">
        <f t="shared" ca="1" si="23"/>
        <v>263.55540723814977</v>
      </c>
      <c r="AF4">
        <f t="shared" ca="1" si="23"/>
        <v>274.06798042600747</v>
      </c>
      <c r="AG4">
        <f t="shared" ca="1" si="23"/>
        <v>274.5867263056042</v>
      </c>
      <c r="AH4">
        <f t="shared" ca="1" si="23"/>
        <v>260.34343588659618</v>
      </c>
      <c r="AI4">
        <f t="shared" ca="1" si="23"/>
        <v>267.26382151326919</v>
      </c>
      <c r="AJ4">
        <f t="shared" ca="1" si="23"/>
        <v>267.08884926419449</v>
      </c>
      <c r="AK4">
        <f t="shared" ca="1" si="23"/>
        <v>287.84243067216028</v>
      </c>
      <c r="AL4">
        <f t="shared" ca="1" si="23"/>
        <v>258.4386910911233</v>
      </c>
    </row>
    <row r="5" spans="1:38">
      <c r="A5" s="1" t="s">
        <v>8</v>
      </c>
      <c r="B5" s="4" t="str">
        <f t="shared" si="12"/>
        <v>No</v>
      </c>
      <c r="C5" s="4" t="str">
        <f t="shared" si="13"/>
        <v>No</v>
      </c>
      <c r="D5" s="4" t="str">
        <f t="shared" si="14"/>
        <v>Yes</v>
      </c>
      <c r="E5" s="4" t="str">
        <f t="shared" si="15"/>
        <v>No</v>
      </c>
      <c r="F5" s="4" t="str">
        <f t="shared" si="16"/>
        <v>No</v>
      </c>
      <c r="G5" s="4" t="str">
        <f t="shared" si="17"/>
        <v>No</v>
      </c>
      <c r="H5" s="4" t="str">
        <f t="shared" si="18"/>
        <v>No</v>
      </c>
      <c r="I5" s="4" t="str">
        <f t="shared" si="19"/>
        <v>Yes</v>
      </c>
      <c r="J5" s="4" t="str">
        <f t="shared" si="20"/>
        <v>No</v>
      </c>
      <c r="K5" s="4" t="str">
        <f t="shared" si="21"/>
        <v>No</v>
      </c>
      <c r="L5" s="4" t="str">
        <f t="shared" si="22"/>
        <v>No</v>
      </c>
      <c r="N5" s="1" t="s">
        <v>8</v>
      </c>
      <c r="O5" t="str">
        <f t="shared" ca="1" si="1"/>
        <v/>
      </c>
      <c r="P5" t="str">
        <f t="shared" ref="P5:P12" ca="1" si="24">IF(C5="Yes",10+5*RAND(),"")</f>
        <v/>
      </c>
      <c r="Q5">
        <f t="shared" ca="1" si="3"/>
        <v>14.927084361313769</v>
      </c>
      <c r="R5" t="str">
        <f t="shared" ca="1" si="4"/>
        <v/>
      </c>
      <c r="S5" t="str">
        <f t="shared" ca="1" si="5"/>
        <v/>
      </c>
      <c r="T5" t="str">
        <f t="shared" ca="1" si="6"/>
        <v/>
      </c>
      <c r="U5" t="str">
        <f t="shared" ca="1" si="7"/>
        <v/>
      </c>
      <c r="V5">
        <f t="shared" ca="1" si="8"/>
        <v>10.853117328799001</v>
      </c>
      <c r="W5" t="str">
        <f t="shared" ca="1" si="9"/>
        <v/>
      </c>
      <c r="X5" t="str">
        <f t="shared" ca="1" si="10"/>
        <v/>
      </c>
      <c r="Y5" t="str">
        <f t="shared" ca="1" si="11"/>
        <v/>
      </c>
      <c r="AA5" s="1" t="s">
        <v>8</v>
      </c>
      <c r="AB5">
        <v>500</v>
      </c>
      <c r="AC5">
        <f t="shared" ca="1" si="23"/>
        <v>256.65787705841217</v>
      </c>
      <c r="AD5">
        <f t="shared" ca="1" si="23"/>
        <v>274.04577793767055</v>
      </c>
      <c r="AF5">
        <f t="shared" ca="1" si="23"/>
        <v>295.92939931942328</v>
      </c>
      <c r="AG5">
        <f t="shared" ca="1" si="23"/>
        <v>263.50094099942385</v>
      </c>
      <c r="AH5">
        <f t="shared" ca="1" si="23"/>
        <v>269.44157578050908</v>
      </c>
      <c r="AI5">
        <f t="shared" ca="1" si="23"/>
        <v>272.85496016002526</v>
      </c>
      <c r="AJ5">
        <f t="shared" ca="1" si="23"/>
        <v>296.08905876888429</v>
      </c>
      <c r="AK5">
        <f t="shared" ca="1" si="23"/>
        <v>289.47786810785692</v>
      </c>
      <c r="AL5">
        <f t="shared" ca="1" si="23"/>
        <v>268.22331786740472</v>
      </c>
    </row>
    <row r="6" spans="1:38">
      <c r="A6" s="1" t="s">
        <v>9</v>
      </c>
      <c r="B6" s="4" t="str">
        <f t="shared" si="12"/>
        <v>No</v>
      </c>
      <c r="C6" s="4" t="str">
        <f t="shared" si="13"/>
        <v>No</v>
      </c>
      <c r="D6" s="4" t="str">
        <f t="shared" si="14"/>
        <v>No</v>
      </c>
      <c r="E6" s="4" t="str">
        <f t="shared" si="15"/>
        <v>No</v>
      </c>
      <c r="F6" s="4" t="str">
        <f t="shared" si="16"/>
        <v>No</v>
      </c>
      <c r="G6" s="4" t="str">
        <f t="shared" si="17"/>
        <v>No</v>
      </c>
      <c r="H6" s="4" t="str">
        <f t="shared" si="18"/>
        <v>Yes</v>
      </c>
      <c r="I6" s="4" t="str">
        <f t="shared" si="19"/>
        <v>Yes</v>
      </c>
      <c r="J6" s="4" t="str">
        <f t="shared" si="20"/>
        <v>Yes</v>
      </c>
      <c r="K6" s="4" t="str">
        <f t="shared" si="21"/>
        <v>No</v>
      </c>
      <c r="L6" s="4" t="str">
        <f t="shared" si="22"/>
        <v>No</v>
      </c>
      <c r="N6" s="1" t="s">
        <v>9</v>
      </c>
      <c r="O6" t="str">
        <f t="shared" ca="1" si="1"/>
        <v/>
      </c>
      <c r="P6" t="str">
        <f t="shared" ca="1" si="24"/>
        <v/>
      </c>
      <c r="Q6" t="str">
        <f t="shared" ca="1" si="3"/>
        <v/>
      </c>
      <c r="R6" t="str">
        <f t="shared" ca="1" si="4"/>
        <v/>
      </c>
      <c r="S6" t="str">
        <f t="shared" ca="1" si="5"/>
        <v/>
      </c>
      <c r="T6" t="str">
        <f t="shared" ca="1" si="6"/>
        <v/>
      </c>
      <c r="U6">
        <f t="shared" ca="1" si="7"/>
        <v>12.818476448020355</v>
      </c>
      <c r="V6">
        <f t="shared" ca="1" si="8"/>
        <v>13.933720911486125</v>
      </c>
      <c r="W6">
        <f t="shared" ca="1" si="9"/>
        <v>11.627367404435685</v>
      </c>
      <c r="X6" t="str">
        <f t="shared" ca="1" si="10"/>
        <v/>
      </c>
      <c r="Y6" t="str">
        <f t="shared" ca="1" si="11"/>
        <v/>
      </c>
      <c r="AA6" s="1" t="s">
        <v>9</v>
      </c>
      <c r="AB6">
        <v>500</v>
      </c>
      <c r="AC6">
        <f t="shared" ca="1" si="23"/>
        <v>273.59619437953086</v>
      </c>
      <c r="AD6">
        <f t="shared" ca="1" si="23"/>
        <v>263.7064226458873</v>
      </c>
      <c r="AE6">
        <f t="shared" ca="1" si="23"/>
        <v>296.76062986500796</v>
      </c>
      <c r="AG6">
        <f t="shared" ca="1" si="23"/>
        <v>297.70929151719372</v>
      </c>
      <c r="AH6">
        <f t="shared" ca="1" si="23"/>
        <v>275.21654375038617</v>
      </c>
      <c r="AI6">
        <f t="shared" ca="1" si="23"/>
        <v>266.65493567320658</v>
      </c>
      <c r="AJ6">
        <f t="shared" ca="1" si="23"/>
        <v>268.1879392187426</v>
      </c>
      <c r="AK6">
        <f t="shared" ca="1" si="23"/>
        <v>250.13360570352856</v>
      </c>
      <c r="AL6">
        <f t="shared" ca="1" si="23"/>
        <v>299.74734768521165</v>
      </c>
    </row>
    <row r="7" spans="1:38">
      <c r="A7" s="1" t="s">
        <v>10</v>
      </c>
      <c r="B7" s="4" t="str">
        <f t="shared" si="12"/>
        <v>No</v>
      </c>
      <c r="C7" s="4" t="str">
        <f t="shared" si="13"/>
        <v>No</v>
      </c>
      <c r="D7" s="4" t="str">
        <f t="shared" si="14"/>
        <v>No</v>
      </c>
      <c r="E7" s="4" t="str">
        <f t="shared" si="15"/>
        <v>No</v>
      </c>
      <c r="F7" s="4" t="str">
        <f t="shared" si="16"/>
        <v>No</v>
      </c>
      <c r="G7" s="4" t="str">
        <f t="shared" si="17"/>
        <v>No</v>
      </c>
      <c r="H7" s="4" t="str">
        <f t="shared" si="18"/>
        <v>No</v>
      </c>
      <c r="I7" s="4" t="str">
        <f t="shared" si="19"/>
        <v>Yes</v>
      </c>
      <c r="J7" s="4" t="str">
        <f t="shared" si="20"/>
        <v>No</v>
      </c>
      <c r="K7" s="4" t="str">
        <f t="shared" si="21"/>
        <v>Yes</v>
      </c>
      <c r="L7" s="4" t="str">
        <f t="shared" si="22"/>
        <v>No</v>
      </c>
      <c r="N7" s="1" t="s">
        <v>10</v>
      </c>
      <c r="O7" t="str">
        <f t="shared" ca="1" si="1"/>
        <v/>
      </c>
      <c r="P7" t="str">
        <f t="shared" ca="1" si="24"/>
        <v/>
      </c>
      <c r="Q7" t="str">
        <f t="shared" ca="1" si="3"/>
        <v/>
      </c>
      <c r="R7" t="str">
        <f t="shared" ca="1" si="4"/>
        <v/>
      </c>
      <c r="S7" t="str">
        <f t="shared" ca="1" si="5"/>
        <v/>
      </c>
      <c r="T7" t="str">
        <f t="shared" ca="1" si="6"/>
        <v/>
      </c>
      <c r="U7" t="str">
        <f t="shared" ca="1" si="7"/>
        <v/>
      </c>
      <c r="V7">
        <f t="shared" ca="1" si="8"/>
        <v>11.111448921415048</v>
      </c>
      <c r="W7" t="str">
        <f t="shared" ca="1" si="9"/>
        <v/>
      </c>
      <c r="X7">
        <f t="shared" ca="1" si="10"/>
        <v>10.067419752493715</v>
      </c>
      <c r="Y7" t="str">
        <f t="shared" ca="1" si="11"/>
        <v/>
      </c>
      <c r="AA7" s="1" t="s">
        <v>10</v>
      </c>
      <c r="AB7">
        <v>500</v>
      </c>
      <c r="AC7">
        <f t="shared" ca="1" si="23"/>
        <v>252.11602307233304</v>
      </c>
      <c r="AD7">
        <f t="shared" ca="1" si="23"/>
        <v>295.24216047218931</v>
      </c>
      <c r="AE7">
        <f t="shared" ca="1" si="23"/>
        <v>287.25128714721308</v>
      </c>
      <c r="AF7">
        <f t="shared" ca="1" si="23"/>
        <v>253.73503777137626</v>
      </c>
      <c r="AH7">
        <f t="shared" ca="1" si="23"/>
        <v>297.53489558517663</v>
      </c>
      <c r="AI7">
        <f t="shared" ca="1" si="23"/>
        <v>286.07187985907387</v>
      </c>
      <c r="AJ7">
        <f t="shared" ca="1" si="23"/>
        <v>273.12796362801168</v>
      </c>
      <c r="AK7">
        <f t="shared" ca="1" si="23"/>
        <v>287.14377285525842</v>
      </c>
      <c r="AL7">
        <f t="shared" ca="1" si="23"/>
        <v>263.291273065626</v>
      </c>
    </row>
    <row r="8" spans="1:38">
      <c r="A8" s="1" t="s">
        <v>11</v>
      </c>
      <c r="B8" s="4" t="str">
        <f t="shared" si="12"/>
        <v>No</v>
      </c>
      <c r="C8" s="4" t="str">
        <f t="shared" si="13"/>
        <v>No</v>
      </c>
      <c r="D8" s="4" t="str">
        <f t="shared" si="14"/>
        <v>No</v>
      </c>
      <c r="E8" s="4" t="str">
        <f t="shared" si="15"/>
        <v>No</v>
      </c>
      <c r="F8" s="4" t="str">
        <f t="shared" si="16"/>
        <v>Yes</v>
      </c>
      <c r="G8" s="4" t="str">
        <f t="shared" si="17"/>
        <v>No</v>
      </c>
      <c r="H8" s="4" t="str">
        <f t="shared" si="18"/>
        <v>No</v>
      </c>
      <c r="I8" s="4" t="str">
        <f t="shared" si="19"/>
        <v>Yes</v>
      </c>
      <c r="J8" s="4" t="str">
        <f t="shared" si="20"/>
        <v>Yes</v>
      </c>
      <c r="K8" s="4" t="str">
        <f t="shared" si="21"/>
        <v>No</v>
      </c>
      <c r="L8" s="4" t="str">
        <f t="shared" si="22"/>
        <v>No</v>
      </c>
      <c r="N8" s="1" t="s">
        <v>11</v>
      </c>
      <c r="O8" t="str">
        <f t="shared" ca="1" si="1"/>
        <v/>
      </c>
      <c r="P8" t="str">
        <f t="shared" ca="1" si="24"/>
        <v/>
      </c>
      <c r="Q8" t="str">
        <f t="shared" ca="1" si="3"/>
        <v/>
      </c>
      <c r="R8" t="str">
        <f t="shared" ca="1" si="4"/>
        <v/>
      </c>
      <c r="S8">
        <f t="shared" ca="1" si="5"/>
        <v>14.707404246363962</v>
      </c>
      <c r="T8" t="str">
        <f t="shared" ca="1" si="6"/>
        <v/>
      </c>
      <c r="U8" t="str">
        <f t="shared" ca="1" si="7"/>
        <v/>
      </c>
      <c r="V8">
        <f t="shared" ca="1" si="8"/>
        <v>10.973541396034078</v>
      </c>
      <c r="W8">
        <f t="shared" ca="1" si="9"/>
        <v>12.944927816996719</v>
      </c>
      <c r="X8" t="str">
        <f t="shared" ca="1" si="10"/>
        <v/>
      </c>
      <c r="Y8" t="str">
        <f t="shared" ca="1" si="11"/>
        <v/>
      </c>
      <c r="AA8" s="1" t="s">
        <v>11</v>
      </c>
      <c r="AB8">
        <v>500</v>
      </c>
      <c r="AC8">
        <f t="shared" ca="1" si="23"/>
        <v>250.87195258465212</v>
      </c>
      <c r="AD8">
        <f t="shared" ca="1" si="23"/>
        <v>288.00182743684326</v>
      </c>
      <c r="AE8">
        <f t="shared" ca="1" si="23"/>
        <v>265.98750736143478</v>
      </c>
      <c r="AF8">
        <f t="shared" ca="1" si="23"/>
        <v>274.9234699393424</v>
      </c>
      <c r="AG8">
        <f t="shared" ca="1" si="23"/>
        <v>287.12843604620298</v>
      </c>
      <c r="AI8">
        <f t="shared" ca="1" si="23"/>
        <v>266.27135814373759</v>
      </c>
      <c r="AJ8">
        <f t="shared" ca="1" si="23"/>
        <v>288.64695165875418</v>
      </c>
      <c r="AK8">
        <f t="shared" ca="1" si="23"/>
        <v>253.38405947237788</v>
      </c>
      <c r="AL8">
        <f t="shared" ca="1" si="23"/>
        <v>253.34602041327273</v>
      </c>
    </row>
    <row r="9" spans="1:38">
      <c r="A9" s="1" t="s">
        <v>12</v>
      </c>
      <c r="B9" s="4" t="str">
        <f t="shared" si="12"/>
        <v>Yes</v>
      </c>
      <c r="C9" s="4" t="str">
        <f t="shared" si="13"/>
        <v>Yes</v>
      </c>
      <c r="D9" s="4" t="str">
        <f t="shared" si="14"/>
        <v>Yes</v>
      </c>
      <c r="E9" s="4" t="str">
        <f t="shared" si="15"/>
        <v>Yes</v>
      </c>
      <c r="F9" s="4" t="str">
        <f t="shared" si="16"/>
        <v>Yes</v>
      </c>
      <c r="G9" s="4" t="str">
        <f t="shared" si="17"/>
        <v>Yes</v>
      </c>
      <c r="H9" s="4" t="str">
        <f t="shared" si="18"/>
        <v>Yes</v>
      </c>
      <c r="I9" s="4" t="str">
        <f t="shared" si="19"/>
        <v>No</v>
      </c>
      <c r="J9" s="4" t="str">
        <f t="shared" si="20"/>
        <v>Yes</v>
      </c>
      <c r="K9" s="4" t="str">
        <f t="shared" si="21"/>
        <v>Yes</v>
      </c>
      <c r="L9" s="4" t="str">
        <f t="shared" si="22"/>
        <v>No</v>
      </c>
      <c r="N9" s="1" t="s">
        <v>12</v>
      </c>
      <c r="O9">
        <f t="shared" ca="1" si="1"/>
        <v>14.831366893357462</v>
      </c>
      <c r="P9">
        <f t="shared" ca="1" si="24"/>
        <v>11.566440371864648</v>
      </c>
      <c r="Q9">
        <f t="shared" ca="1" si="3"/>
        <v>10.486388629154511</v>
      </c>
      <c r="R9">
        <f t="shared" ca="1" si="4"/>
        <v>14.862865229641795</v>
      </c>
      <c r="S9">
        <f t="shared" ca="1" si="5"/>
        <v>13.865618635907051</v>
      </c>
      <c r="T9">
        <f t="shared" ca="1" si="6"/>
        <v>14.433383899995619</v>
      </c>
      <c r="U9">
        <f t="shared" ca="1" si="7"/>
        <v>14.449826686473731</v>
      </c>
      <c r="V9" t="str">
        <f t="shared" ca="1" si="8"/>
        <v/>
      </c>
      <c r="W9">
        <f t="shared" ca="1" si="9"/>
        <v>10.066313040987417</v>
      </c>
      <c r="X9">
        <f t="shared" ca="1" si="10"/>
        <v>10.744383755659438</v>
      </c>
      <c r="Y9" t="str">
        <f t="shared" ca="1" si="11"/>
        <v/>
      </c>
      <c r="AA9" s="1" t="s">
        <v>12</v>
      </c>
      <c r="AB9">
        <v>500</v>
      </c>
      <c r="AC9">
        <f t="shared" ca="1" si="23"/>
        <v>293.98488398168041</v>
      </c>
      <c r="AD9">
        <f t="shared" ca="1" si="23"/>
        <v>281.25863028562804</v>
      </c>
      <c r="AE9">
        <f t="shared" ca="1" si="23"/>
        <v>276.49931944138206</v>
      </c>
      <c r="AF9">
        <f t="shared" ca="1" si="23"/>
        <v>273.59377582370524</v>
      </c>
      <c r="AG9">
        <f t="shared" ca="1" si="23"/>
        <v>256.00791762700015</v>
      </c>
      <c r="AH9">
        <f t="shared" ca="1" si="23"/>
        <v>293.534702696034</v>
      </c>
      <c r="AJ9">
        <f t="shared" ca="1" si="23"/>
        <v>273.86451423152977</v>
      </c>
      <c r="AK9">
        <f t="shared" ca="1" si="23"/>
        <v>286.78661267409234</v>
      </c>
      <c r="AL9">
        <f t="shared" ca="1" si="23"/>
        <v>283.22950506434614</v>
      </c>
    </row>
    <row r="10" spans="1:38">
      <c r="A10" s="1" t="s">
        <v>13</v>
      </c>
      <c r="B10" s="4" t="str">
        <f t="shared" si="12"/>
        <v>No</v>
      </c>
      <c r="C10" s="4" t="str">
        <f t="shared" si="13"/>
        <v>Yes</v>
      </c>
      <c r="D10" s="4" t="str">
        <f t="shared" si="14"/>
        <v>No</v>
      </c>
      <c r="E10" s="4" t="str">
        <f t="shared" si="15"/>
        <v>No</v>
      </c>
      <c r="F10" s="4" t="str">
        <f t="shared" si="16"/>
        <v>Yes</v>
      </c>
      <c r="G10" s="4" t="str">
        <f t="shared" si="17"/>
        <v>No</v>
      </c>
      <c r="H10" s="4" t="str">
        <f t="shared" si="18"/>
        <v>Yes</v>
      </c>
      <c r="I10" s="4" t="str">
        <f t="shared" si="19"/>
        <v>Yes</v>
      </c>
      <c r="J10" s="4" t="str">
        <f t="shared" si="20"/>
        <v>No</v>
      </c>
      <c r="K10" s="4" t="str">
        <f t="shared" si="21"/>
        <v>No</v>
      </c>
      <c r="L10" s="4" t="str">
        <f t="shared" si="22"/>
        <v>No</v>
      </c>
      <c r="N10" s="1" t="s">
        <v>13</v>
      </c>
      <c r="O10" t="str">
        <f t="shared" ca="1" si="1"/>
        <v/>
      </c>
      <c r="P10">
        <f t="shared" ca="1" si="24"/>
        <v>13.955764626763141</v>
      </c>
      <c r="Q10" t="str">
        <f t="shared" ca="1" si="3"/>
        <v/>
      </c>
      <c r="R10" t="str">
        <f t="shared" ca="1" si="4"/>
        <v/>
      </c>
      <c r="S10">
        <f t="shared" ca="1" si="5"/>
        <v>14.591437490015636</v>
      </c>
      <c r="T10" t="str">
        <f t="shared" ca="1" si="6"/>
        <v/>
      </c>
      <c r="U10">
        <f t="shared" ca="1" si="7"/>
        <v>14.444751301193293</v>
      </c>
      <c r="V10">
        <f t="shared" ca="1" si="8"/>
        <v>12.759354721436296</v>
      </c>
      <c r="W10" t="str">
        <f t="shared" ca="1" si="9"/>
        <v/>
      </c>
      <c r="X10" t="str">
        <f t="shared" ca="1" si="10"/>
        <v/>
      </c>
      <c r="Y10" t="str">
        <f t="shared" ca="1" si="11"/>
        <v/>
      </c>
      <c r="AA10" s="1" t="s">
        <v>13</v>
      </c>
      <c r="AB10">
        <v>500</v>
      </c>
      <c r="AC10">
        <f t="shared" ca="1" si="23"/>
        <v>287.26046587629583</v>
      </c>
      <c r="AD10">
        <f t="shared" ca="1" si="23"/>
        <v>296.65329836661704</v>
      </c>
      <c r="AE10">
        <f t="shared" ca="1" si="23"/>
        <v>272.21174668441762</v>
      </c>
      <c r="AF10">
        <f t="shared" ca="1" si="23"/>
        <v>282.84719249475796</v>
      </c>
      <c r="AG10">
        <f t="shared" ca="1" si="23"/>
        <v>271.14715806509179</v>
      </c>
      <c r="AH10">
        <f t="shared" ca="1" si="23"/>
        <v>277.07667855889645</v>
      </c>
      <c r="AI10">
        <f t="shared" ca="1" si="23"/>
        <v>279.7443382344112</v>
      </c>
      <c r="AK10">
        <f t="shared" ca="1" si="23"/>
        <v>254.91257247381776</v>
      </c>
      <c r="AL10">
        <f t="shared" ca="1" si="23"/>
        <v>254.75107187493151</v>
      </c>
    </row>
    <row r="11" spans="1:38">
      <c r="A11" s="1" t="s">
        <v>19</v>
      </c>
      <c r="B11" s="4" t="str">
        <f t="shared" si="12"/>
        <v>Yes</v>
      </c>
      <c r="C11" s="4" t="str">
        <f t="shared" si="13"/>
        <v>No</v>
      </c>
      <c r="D11" s="4" t="str">
        <f t="shared" si="14"/>
        <v>No</v>
      </c>
      <c r="E11" s="4" t="str">
        <f t="shared" si="15"/>
        <v>No</v>
      </c>
      <c r="F11" s="4" t="str">
        <f t="shared" si="16"/>
        <v>No</v>
      </c>
      <c r="G11" s="4" t="str">
        <f t="shared" si="17"/>
        <v>Yes</v>
      </c>
      <c r="H11" s="4" t="str">
        <f t="shared" si="18"/>
        <v>No</v>
      </c>
      <c r="I11" s="4" t="str">
        <f t="shared" si="19"/>
        <v>Yes</v>
      </c>
      <c r="J11" s="4" t="str">
        <f t="shared" si="20"/>
        <v>No</v>
      </c>
      <c r="K11" s="4" t="str">
        <f t="shared" si="21"/>
        <v>No</v>
      </c>
      <c r="L11" s="4" t="str">
        <f t="shared" si="22"/>
        <v>No</v>
      </c>
      <c r="N11" s="1" t="s">
        <v>19</v>
      </c>
      <c r="O11">
        <f t="shared" ca="1" si="1"/>
        <v>11.459868018901183</v>
      </c>
      <c r="P11" t="str">
        <f t="shared" ca="1" si="24"/>
        <v/>
      </c>
      <c r="Q11" t="str">
        <f t="shared" ca="1" si="3"/>
        <v/>
      </c>
      <c r="R11" t="str">
        <f t="shared" ca="1" si="4"/>
        <v/>
      </c>
      <c r="S11" t="str">
        <f t="shared" ca="1" si="5"/>
        <v/>
      </c>
      <c r="T11">
        <f t="shared" ca="1" si="6"/>
        <v>14.667115995929322</v>
      </c>
      <c r="U11" t="str">
        <f t="shared" ca="1" si="7"/>
        <v/>
      </c>
      <c r="V11">
        <f t="shared" ca="1" si="8"/>
        <v>14.236965730712614</v>
      </c>
      <c r="W11" t="str">
        <f t="shared" ca="1" si="9"/>
        <v/>
      </c>
      <c r="X11" t="str">
        <f t="shared" ca="1" si="10"/>
        <v/>
      </c>
      <c r="Y11" t="str">
        <f t="shared" ca="1" si="11"/>
        <v/>
      </c>
      <c r="AA11" s="1" t="s">
        <v>19</v>
      </c>
      <c r="AB11">
        <v>500</v>
      </c>
      <c r="AC11">
        <f t="shared" ca="1" si="23"/>
        <v>263.47186498431341</v>
      </c>
      <c r="AD11">
        <f t="shared" ca="1" si="23"/>
        <v>299.19314671837105</v>
      </c>
      <c r="AE11">
        <f t="shared" ca="1" si="23"/>
        <v>289.27957015818799</v>
      </c>
      <c r="AF11">
        <f t="shared" ca="1" si="23"/>
        <v>259.88247154574287</v>
      </c>
      <c r="AG11">
        <f t="shared" ca="1" si="23"/>
        <v>293.68150409025014</v>
      </c>
      <c r="AH11">
        <f t="shared" ca="1" si="23"/>
        <v>256.72907371193162</v>
      </c>
      <c r="AI11">
        <f t="shared" ca="1" si="23"/>
        <v>291.43503955254005</v>
      </c>
      <c r="AJ11">
        <f t="shared" ca="1" si="23"/>
        <v>297.98825051914537</v>
      </c>
      <c r="AL11">
        <f t="shared" ca="1" si="23"/>
        <v>274.59374167652504</v>
      </c>
    </row>
    <row r="12" spans="1:38">
      <c r="A12" s="1" t="s">
        <v>14</v>
      </c>
      <c r="B12" s="4" t="str">
        <f t="shared" si="12"/>
        <v>No</v>
      </c>
      <c r="C12" s="4" t="str">
        <f t="shared" si="13"/>
        <v>Yes</v>
      </c>
      <c r="D12" s="4" t="str">
        <f t="shared" si="14"/>
        <v>Yes</v>
      </c>
      <c r="E12" s="4" t="str">
        <f t="shared" si="15"/>
        <v>No</v>
      </c>
      <c r="F12" s="4" t="str">
        <f t="shared" si="16"/>
        <v>No</v>
      </c>
      <c r="G12" s="4" t="str">
        <f t="shared" si="17"/>
        <v>No</v>
      </c>
      <c r="H12" s="4" t="str">
        <f t="shared" si="18"/>
        <v>No</v>
      </c>
      <c r="I12" s="4" t="str">
        <f t="shared" si="19"/>
        <v>No</v>
      </c>
      <c r="J12" s="4" t="str">
        <f t="shared" si="20"/>
        <v>No</v>
      </c>
      <c r="K12" s="4" t="str">
        <f t="shared" si="21"/>
        <v>No</v>
      </c>
      <c r="L12" s="4" t="str">
        <f t="shared" si="22"/>
        <v>No</v>
      </c>
      <c r="N12" s="1" t="s">
        <v>14</v>
      </c>
      <c r="O12" t="str">
        <f t="shared" ca="1" si="1"/>
        <v/>
      </c>
      <c r="P12">
        <f t="shared" ca="1" si="24"/>
        <v>10.277788889306889</v>
      </c>
      <c r="Q12">
        <f t="shared" ca="1" si="3"/>
        <v>14.190082961357803</v>
      </c>
      <c r="R12" t="str">
        <f t="shared" ca="1" si="4"/>
        <v/>
      </c>
      <c r="S12" t="str">
        <f t="shared" ca="1" si="5"/>
        <v/>
      </c>
      <c r="T12" t="str">
        <f t="shared" ca="1" si="6"/>
        <v/>
      </c>
      <c r="U12" t="str">
        <f t="shared" ca="1" si="7"/>
        <v/>
      </c>
      <c r="V12" t="str">
        <f t="shared" ca="1" si="8"/>
        <v/>
      </c>
      <c r="W12" t="str">
        <f t="shared" ca="1" si="9"/>
        <v/>
      </c>
      <c r="X12" t="str">
        <f t="shared" ca="1" si="10"/>
        <v/>
      </c>
      <c r="Y12" t="str">
        <f t="shared" ca="1" si="11"/>
        <v/>
      </c>
      <c r="AA12" s="1" t="s">
        <v>14</v>
      </c>
      <c r="AB12">
        <v>500</v>
      </c>
      <c r="AC12">
        <f t="shared" ca="1" si="23"/>
        <v>273.68081586262684</v>
      </c>
      <c r="AD12">
        <f t="shared" ca="1" si="23"/>
        <v>270.76526136709077</v>
      </c>
      <c r="AE12">
        <f t="shared" ca="1" si="23"/>
        <v>295.77266350712353</v>
      </c>
      <c r="AF12">
        <f t="shared" ca="1" si="23"/>
        <v>275.63714372451869</v>
      </c>
      <c r="AG12">
        <f t="shared" ca="1" si="23"/>
        <v>267.10877835108357</v>
      </c>
      <c r="AH12">
        <f t="shared" ca="1" si="23"/>
        <v>291.33884819857474</v>
      </c>
      <c r="AI12">
        <f t="shared" ca="1" si="23"/>
        <v>297.08054960731204</v>
      </c>
      <c r="AJ12">
        <f t="shared" ca="1" si="23"/>
        <v>269.16277840830452</v>
      </c>
      <c r="AK12">
        <f t="shared" ca="1" si="23"/>
        <v>250.80498491676695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12</v>
      </c>
      <c r="B22" s="5" t="s">
        <v>5</v>
      </c>
      <c r="C22" t="s">
        <v>5</v>
      </c>
      <c r="D22" t="s">
        <v>6</v>
      </c>
      <c r="E22" s="6">
        <v>1</v>
      </c>
      <c r="F22" s="6" t="str">
        <f t="array" ref="F22">IFERROR(INDEX($B$22:$B$610,SMALL(IF($A$22:$A$610=F$21,ROW(Roads!$A$22:$A$610)),Roads!$E22)-ROW(RoadList)),"")</f>
        <v>Oromia</v>
      </c>
      <c r="G22" s="6" t="str">
        <f t="array" ref="G22">IFERROR(INDEX($B$22:$B$610,SMALL(IF($A$22:$A$610=G$21,ROW(Roads!$A$22:$A$610)),Roads!$E22)-ROW(RoadList)),"")</f>
        <v>Oromia</v>
      </c>
      <c r="H22" s="6" t="str">
        <f t="array" ref="H22">IFERROR(INDEX($B$22:$B$610,SMALL(IF($A$22:$A$610=H$21,ROW(Roads!$A$22:$A$610)),Roads!$E22)-ROW(RoadList)),"")</f>
        <v>Oromia</v>
      </c>
      <c r="I22" s="6" t="str">
        <f t="array" ref="I22">IFERROR(INDEX($B$22:$B$610,SMALL(IF($A$22:$A$610=I$21,ROW(Roads!$A$22:$A$610)),Roads!$E22)-ROW(RoadList)),"")</f>
        <v>Oromia</v>
      </c>
      <c r="J22" s="6" t="str">
        <f t="array" ref="J22">IFERROR(INDEX($B$22:$B$610,SMALL(IF($A$22:$A$610=J$21,ROW(Roads!$A$22:$A$610)),Roads!$E22)-ROW(RoadList)),"")</f>
        <v>Oromia</v>
      </c>
      <c r="K22" s="6" t="str">
        <f t="array" ref="K22">IFERROR(INDEX($B$22:$B$610,SMALL(IF($A$22:$A$610=K$21,ROW(Roads!$A$22:$A$610)),Roads!$E22)-ROW(RoadList)),"")</f>
        <v>Oromia</v>
      </c>
      <c r="L22" s="6" t="str">
        <f t="array" ref="L22">IFERROR(INDEX($B$22:$B$610,SMALL(IF($A$22:$A$610=L$21,ROW(Roads!$A$22:$A$610)),Roads!$E22)-ROW(RoadList)),"")</f>
        <v>Oromia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Oromia</v>
      </c>
      <c r="O22" s="6" t="str">
        <f t="array" ref="O22">IFERROR(INDEX($B$22:$B$610,SMALL(IF($A$22:$A$610=O$21,ROW(Roads!$A$22:$A$610)),Roads!$E22)-ROW(RoadList)),"")</f>
        <v>Oromia</v>
      </c>
      <c r="P22" s="6" t="str">
        <f t="array" ref="P22">IFERROR(INDEX($B$22:$B$610,SMALL(IF($A$22:$A$610=P$21,ROW(Roads!$A$22:$A$610)),Roads!$E22)-ROW(RoadList)),"")</f>
        <v>Amhara</v>
      </c>
    </row>
    <row r="23" spans="1:21">
      <c r="A23" s="5" t="s">
        <v>12</v>
      </c>
      <c r="B23" s="5" t="s">
        <v>7</v>
      </c>
      <c r="C23" t="s">
        <v>5</v>
      </c>
      <c r="D23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SNNPR</v>
      </c>
      <c r="G23" s="6" t="str">
        <f t="array" ref="G23">IFERROR(INDEX($B$22:$B$610,SMALL(IF($A$22:$A$610=G$21,ROW(Roads!$A$22:$A$610)),Roads!$E23)-ROW(RoadList)),"")</f>
        <v>Tigray</v>
      </c>
      <c r="H23" s="6" t="str">
        <f t="array" ref="H23">IFERROR(INDEX($B$22:$B$610,SMALL(IF($A$22:$A$610=H$21,ROW(Roads!$A$22:$A$610)),Roads!$E23)-ROW(RoadList)),"")</f>
        <v>Tigray</v>
      </c>
      <c r="I23" s="6" t="str">
        <f t="array" ref="I23">IFERROR(INDEX($B$22:$B$610,SMALL(IF($A$22:$A$610=I$21,ROW(Roads!$A$22:$A$610)),Roads!$E23)-ROW(RoadList)),"")</f>
        <v>Amhara</v>
      </c>
      <c r="J23" s="6" t="str">
        <f t="array" ref="J23">IFERROR(INDEX($B$22:$B$610,SMALL(IF($A$22:$A$610=J$21,ROW(Roads!$A$22:$A$610)),Roads!$E23)-ROW(RoadList)),"")</f>
        <v>Somali</v>
      </c>
      <c r="K23" s="6" t="str">
        <f t="array" ref="K23">IFERROR(INDEX($B$22:$B$610,SMALL(IF($A$22:$A$610=K$21,ROW(Roads!$A$22:$A$610)),Roads!$E23)-ROW(RoadList)),"")</f>
        <v>SNNPR</v>
      </c>
      <c r="L23" s="6" t="str">
        <f t="array" ref="L23">IFERROR(INDEX($B$22:$B$610,SMALL(IF($A$22:$A$610=L$21,ROW(Roads!$A$22:$A$610)),Roads!$E23)-ROW(RoadList)),"")</f>
        <v>DireDawa</v>
      </c>
      <c r="M23" s="6" t="str">
        <f t="array" ref="M23">IFERROR(INDEX($B$22:$B$610,SMALL(IF($A$22:$A$610=M$21,ROW(Roads!$A$22:$A$610)),Roads!$E23)-ROW(RoadList)),"")</f>
        <v>Amhara</v>
      </c>
      <c r="N23" s="6" t="str">
        <f t="array" ref="N23">IFERROR(INDEX($B$22:$B$610,SMALL(IF($A$22:$A$610=N$21,ROW(Roads!$A$22:$A$610)),Roads!$E23)-ROW(RoadList)),"")</f>
        <v>DireDawa</v>
      </c>
      <c r="O23" s="6" t="str">
        <f t="array" ref="O23">IFERROR(INDEX($B$22:$B$610,SMALL(IF($A$22:$A$610=O$21,ROW(Roads!$A$22:$A$610)),Roads!$E23)-ROW(RoadList)),"")</f>
        <v>Gambela</v>
      </c>
      <c r="P23" s="6" t="str">
        <f t="array" ref="P23">IFERROR(INDEX($B$22:$B$610,SMALL(IF($A$22:$A$610=P$21,ROW(Roads!$A$22:$A$610)),Roads!$E23)-ROW(RoadList)),"")</f>
        <v>Afar</v>
      </c>
    </row>
    <row r="24" spans="1:21">
      <c r="A24" s="5" t="s">
        <v>12</v>
      </c>
      <c r="B24" s="5" t="s">
        <v>6</v>
      </c>
      <c r="C24" t="s">
        <v>5</v>
      </c>
      <c r="D24" t="s">
        <v>9</v>
      </c>
      <c r="E24" s="6">
        <f t="shared" ref="E24:E32" si="25">E23+1</f>
        <v>3</v>
      </c>
      <c r="F24" s="6" t="str">
        <f t="array" ref="F24">IFERROR(INDEX($B$22:$B$610,SMALL(IF($A$22:$A$610=F$21,ROW(Roads!$A$22:$A$610)),Roads!$E24)-ROW(RoadList)),"")</f>
        <v/>
      </c>
      <c r="G24" s="6" t="str">
        <f t="array" ref="G24">IFERROR(INDEX($B$22:$B$610,SMALL(IF($A$22:$A$610=G$21,ROW(Roads!$A$22:$A$610)),Roads!$E24)-ROW(RoadList)),"")</f>
        <v>Amhara</v>
      </c>
      <c r="H24" s="6" t="str">
        <f t="array" ref="H24">IFERROR(INDEX($B$22:$B$610,SMALL(IF($A$22:$A$610=H$21,ROW(Roads!$A$22:$A$610)),Roads!$E24)-ROW(RoadList)),"")</f>
        <v>Afar</v>
      </c>
      <c r="I24" s="6" t="str">
        <f t="array" ref="I24">IFERROR(INDEX($B$22:$B$610,SMALL(IF($A$22:$A$610=I$21,ROW(Roads!$A$22:$A$610)),Roads!$E24)-ROW(RoadList)),"")</f>
        <v/>
      </c>
      <c r="J24" s="6" t="str">
        <f t="array" ref="J24">IFERROR(INDEX($B$22:$B$610,SMALL(IF($A$22:$A$610=J$21,ROW(Roads!$A$22:$A$610)),Roads!$E24)-ROW(RoadList)),"")</f>
        <v>Harari</v>
      </c>
      <c r="K24" s="6" t="str">
        <f t="array" ref="K24">IFERROR(INDEX($B$22:$B$610,SMALL(IF($A$22:$A$610=K$21,ROW(Roads!$A$22:$A$610)),Roads!$E24)-ROW(RoadList)),"")</f>
        <v/>
      </c>
      <c r="L24" s="6" t="str">
        <f t="array" ref="L24">IFERROR(INDEX($B$22:$B$610,SMALL(IF($A$22:$A$610=L$21,ROW(Roads!$A$22:$A$610)),Roads!$E24)-ROW(RoadList)),"")</f>
        <v>Somali</v>
      </c>
      <c r="M24" s="6" t="str">
        <f t="array" ref="M24">IFERROR(INDEX($B$22:$B$610,SMALL(IF($A$22:$A$610=M$21,ROW(Roads!$A$22:$A$610)),Roads!$E24)-ROW(RoadList)),"")</f>
        <v>Afar</v>
      </c>
      <c r="N24" s="6" t="str">
        <f t="array" ref="N24">IFERROR(INDEX($B$22:$B$610,SMALL(IF($A$22:$A$610=N$21,ROW(Roads!$A$22:$A$610)),Roads!$E24)-ROW(RoadList)),"")</f>
        <v>Harari</v>
      </c>
      <c r="O24" s="6" t="str">
        <f t="array" ref="O24">IFERROR(INDEX($B$22:$B$610,SMALL(IF($A$22:$A$610=O$21,ROW(Roads!$A$22:$A$610)),Roads!$E24)-ROW(RoadList)),"")</f>
        <v>AddisAbaba</v>
      </c>
      <c r="P24" s="6" t="str">
        <f t="array" ref="P24">IFERROR(INDEX($B$22:$B$610,SMALL(IF($A$22:$A$610=P$21,ROW(Roads!$A$22:$A$610)),Roads!$E24)-ROW(RoadList)),"")</f>
        <v/>
      </c>
    </row>
    <row r="25" spans="1:21">
      <c r="A25" s="5" t="s">
        <v>12</v>
      </c>
      <c r="B25" s="5" t="s">
        <v>11</v>
      </c>
      <c r="C25" t="s">
        <v>5</v>
      </c>
      <c r="D25" t="s">
        <v>10</v>
      </c>
      <c r="E25" s="6">
        <f t="shared" si="25"/>
        <v>4</v>
      </c>
      <c r="F25" s="6" t="str">
        <f t="array" ref="F25">IFERROR(INDEX($B$22:$B$610,SMALL(IF($A$22:$A$610=F$21,ROW(Roads!$A$22:$A$610)),Roads!$E25)-ROW(RoadList)),"")</f>
        <v/>
      </c>
      <c r="G25" s="6" t="str">
        <f t="array" ref="G25">IFERROR(INDEX($B$22:$B$610,SMALL(IF($A$22:$A$610=G$21,ROW(Roads!$A$22:$A$610)),Roads!$E25)-ROW(RoadList)),"")</f>
        <v>Somali</v>
      </c>
      <c r="H25" s="6" t="str">
        <f t="array" ref="H25">IFERROR(INDEX($B$22:$B$610,SMALL(IF($A$22:$A$610=H$21,ROW(Roads!$A$22:$A$610)),Roads!$E25)-ROW(RoadList)),"")</f>
        <v>Gumuz</v>
      </c>
      <c r="I25" s="6" t="str">
        <f t="array" ref="I25">IFERROR(INDEX($B$22:$B$610,SMALL(IF($A$22:$A$610=I$21,ROW(Roads!$A$22:$A$610)),Roads!$E25)-ROW(RoadList)),"")</f>
        <v/>
      </c>
      <c r="J25" s="6" t="str">
        <f t="array" ref="J25">IFERROR(INDEX($B$22:$B$610,SMALL(IF($A$22:$A$610=J$21,ROW(Roads!$A$22:$A$610)),Roads!$E25)-ROW(RoadList)),"")</f>
        <v/>
      </c>
      <c r="K25" s="6" t="str">
        <f t="array" ref="K25">IFERROR(INDEX($B$22:$B$610,SMALL(IF($A$22:$A$610=K$21,ROW(Roads!$A$22:$A$610)),Roads!$E25)-ROW(RoadList)),"")</f>
        <v/>
      </c>
      <c r="L25" s="6" t="str">
        <f t="array" ref="L25">IFERROR(INDEX($B$22:$B$610,SMALL(IF($A$22:$A$610=L$21,ROW(Roads!$A$22:$A$610)),Roads!$E25)-ROW(RoadList)),"")</f>
        <v/>
      </c>
      <c r="M25" s="6" t="str">
        <f t="array" ref="M25">IFERROR(INDEX($B$22:$B$610,SMALL(IF($A$22:$A$610=M$21,ROW(Roads!$A$22:$A$610)),Roads!$E25)-ROW(RoadList)),"")</f>
        <v>Harari</v>
      </c>
      <c r="N25" s="6" t="str">
        <f t="array" ref="N25">IFERROR(INDEX($B$22:$B$610,SMALL(IF($A$22:$A$610=N$21,ROW(Roads!$A$22:$A$610)),Roads!$E25)-ROW(RoadList)),"")</f>
        <v/>
      </c>
      <c r="O25" s="6" t="str">
        <f t="array" ref="O25">IFERROR(INDEX($B$22:$B$610,SMALL(IF($A$22:$A$610=O$21,ROW(Roads!$A$22:$A$610)),Roads!$E25)-ROW(RoadList)),"")</f>
        <v/>
      </c>
      <c r="P25" s="6" t="str">
        <f t="array" ref="P25">IFERROR(INDEX($B$22:$B$610,SMALL(IF($A$22:$A$610=P$21,ROW(Roads!$A$22:$A$610)),Roads!$E25)-ROW(RoadList)),"")</f>
        <v/>
      </c>
    </row>
    <row r="26" spans="1:21">
      <c r="A26" s="5" t="s">
        <v>12</v>
      </c>
      <c r="B26" s="5" t="s">
        <v>9</v>
      </c>
      <c r="C26" t="s">
        <v>5</v>
      </c>
      <c r="D26" t="s">
        <v>8</v>
      </c>
      <c r="E26" s="6">
        <f t="shared" si="25"/>
        <v>5</v>
      </c>
      <c r="F26" s="6" t="str">
        <f t="array" ref="F26">IFERROR(INDEX($B$22:$B$610,SMALL(IF($A$22:$A$610=F$21,ROW(Roads!$A$22:$A$610)),Roads!$E26)-ROW(RoadList)),"")</f>
        <v/>
      </c>
      <c r="G26" s="6" t="str">
        <f t="array" ref="G26">IFERROR(INDEX($B$22:$B$610,SMALL(IF($A$22:$A$610=G$21,ROW(Roads!$A$22:$A$610)),Roads!$E26)-ROW(RoadList)),"")</f>
        <v/>
      </c>
      <c r="H26" s="6" t="str">
        <f t="array" ref="H26">IFERROR(INDEX($B$22:$B$610,SMALL(IF($A$22:$A$610=H$21,ROW(Roads!$A$22:$A$610)),Roads!$E26)-ROW(RoadList)),"")</f>
        <v/>
      </c>
      <c r="I26" s="6" t="str">
        <f t="array" ref="I26">IFERROR(INDEX($B$22:$B$610,SMALL(IF($A$22:$A$610=I$21,ROW(Roads!$A$22:$A$610)),Roads!$E26)-ROW(RoadList)),"")</f>
        <v/>
      </c>
      <c r="J26" s="6" t="str">
        <f t="array" ref="J26">IFERROR(INDEX($B$22:$B$610,SMALL(IF($A$22:$A$610=J$21,ROW(Roads!$A$22:$A$610)),Roads!$E26)-ROW(RoadList)),"")</f>
        <v/>
      </c>
      <c r="K26" s="6" t="str">
        <f t="array" ref="K26">IFERROR(INDEX($B$22:$B$610,SMALL(IF($A$22:$A$610=K$21,ROW(Roads!$A$22:$A$610)),Roads!$E26)-ROW(RoadList)),"")</f>
        <v/>
      </c>
      <c r="L26" s="6" t="str">
        <f t="array" ref="L26">IFERROR(INDEX($B$22:$B$610,SMALL(IF($A$22:$A$610=L$21,ROW(Roads!$A$22:$A$610)),Roads!$E26)-ROW(RoadList)),"")</f>
        <v/>
      </c>
      <c r="M26" s="6" t="str">
        <f t="array" ref="M26">IFERROR(INDEX($B$22:$B$610,SMALL(IF($A$22:$A$610=M$21,ROW(Roads!$A$22:$A$610)),Roads!$E26)-ROW(RoadList)),"")</f>
        <v>DireDawa</v>
      </c>
      <c r="N26" s="6" t="str">
        <f t="array" ref="N26">IFERROR(INDEX($B$22:$B$610,SMALL(IF($A$22:$A$610=N$21,ROW(Roads!$A$22:$A$610)),Roads!$E26)-ROW(RoadList)),"")</f>
        <v/>
      </c>
      <c r="O26" s="6" t="str">
        <f t="array" ref="O26">IFERROR(INDEX($B$22:$B$610,SMALL(IF($A$22:$A$610=O$21,ROW(Roads!$A$22:$A$610)),Roads!$E26)-ROW(RoadList)),"")</f>
        <v/>
      </c>
      <c r="P26" s="6" t="str">
        <f t="array" ref="P26">IFERROR(INDEX($B$22:$B$610,SMALL(IF($A$22:$A$610=P$21,ROW(Roads!$A$22:$A$610)),Roads!$E26)-ROW(RoadList)),"")</f>
        <v/>
      </c>
    </row>
    <row r="27" spans="1:21">
      <c r="A27" s="5" t="s">
        <v>12</v>
      </c>
      <c r="B27" s="5" t="s">
        <v>13</v>
      </c>
      <c r="C27" t="s">
        <v>5</v>
      </c>
      <c r="D27" t="s">
        <v>11</v>
      </c>
      <c r="E27" s="6">
        <f t="shared" si="25"/>
        <v>6</v>
      </c>
      <c r="F27" s="6" t="str">
        <f t="array" ref="F27">IFERROR(INDEX($B$22:$B$610,SMALL(IF($A$22:$A$610=F$21,ROW(Roads!$A$22:$A$610)),Roads!$E27)-ROW(RoadList)),"")</f>
        <v/>
      </c>
      <c r="G27" s="6" t="str">
        <f t="array" ref="G27">IFERROR(INDEX($B$22:$B$610,SMALL(IF($A$22:$A$610=G$21,ROW(Roads!$A$22:$A$610)),Roads!$E27)-ROW(RoadList)),"")</f>
        <v/>
      </c>
      <c r="H27" s="6" t="str">
        <f t="array" ref="H27">IFERROR(INDEX($B$22:$B$610,SMALL(IF($A$22:$A$610=H$21,ROW(Roads!$A$22:$A$610)),Roads!$E27)-ROW(RoadList)),"")</f>
        <v/>
      </c>
      <c r="I27" s="6" t="str">
        <f t="array" ref="I27">IFERROR(INDEX($B$22:$B$610,SMALL(IF($A$22:$A$610=I$21,ROW(Roads!$A$22:$A$610)),Roads!$E27)-ROW(RoadList)),"")</f>
        <v/>
      </c>
      <c r="J27" s="6" t="str">
        <f t="array" ref="J27">IFERROR(INDEX($B$22:$B$610,SMALL(IF($A$22:$A$610=J$21,ROW(Roads!$A$22:$A$610)),Roads!$E27)-ROW(RoadList)),"")</f>
        <v/>
      </c>
      <c r="K27" s="6" t="str">
        <f t="array" ref="K27">IFERROR(INDEX($B$22:$B$610,SMALL(IF($A$22:$A$610=K$21,ROW(Roads!$A$22:$A$610)),Roads!$E27)-ROW(RoadList)),"")</f>
        <v/>
      </c>
      <c r="L27" s="6" t="str">
        <f t="array" ref="L27">IFERROR(INDEX($B$22:$B$610,SMALL(IF($A$22:$A$610=L$21,ROW(Roads!$A$22:$A$610)),Roads!$E27)-ROW(RoadList)),"")</f>
        <v/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/>
      </c>
      <c r="O27" s="6" t="str">
        <f t="array" ref="O27">IFERROR(INDEX($B$22:$B$610,SMALL(IF($A$22:$A$610=O$21,ROW(Roads!$A$22:$A$610)),Roads!$E27)-ROW(RoadList)),"")</f>
        <v/>
      </c>
      <c r="P27" s="6" t="str">
        <f t="array" ref="P27">IFERROR(INDEX($B$22:$B$610,SMALL(IF($A$22:$A$610=P$21,ROW(Roads!$A$22:$A$610)),Roads!$E27)-ROW(RoadList)),"")</f>
        <v/>
      </c>
    </row>
    <row r="28" spans="1:21">
      <c r="A28" s="5" t="s">
        <v>12</v>
      </c>
      <c r="B28" s="5" t="s">
        <v>19</v>
      </c>
      <c r="C28" t="s">
        <v>5</v>
      </c>
      <c r="D28" t="s">
        <v>12</v>
      </c>
      <c r="E28" s="6">
        <f t="shared" si="25"/>
        <v>7</v>
      </c>
      <c r="F28" s="6" t="str">
        <f t="array" ref="F28">IFERROR(INDEX($B$22:$B$610,SMALL(IF($A$22:$A$610=F$21,ROW(Roads!$A$22:$A$610)),Roads!$E28)-ROW(RoadList)),"")</f>
        <v/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/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>SNNPR</v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/>
      </c>
      <c r="P28" s="6" t="str">
        <f t="array" ref="P28">IFERROR(INDEX($B$22:$B$610,SMALL(IF($A$22:$A$610=P$21,ROW(Roads!$A$22:$A$610)),Roads!$E28)-ROW(RoadList)),"")</f>
        <v/>
      </c>
    </row>
    <row r="29" spans="1:21">
      <c r="A29" s="5" t="s">
        <v>12</v>
      </c>
      <c r="B29" s="5" t="s">
        <v>10</v>
      </c>
      <c r="C29" t="s">
        <v>5</v>
      </c>
      <c r="D29" t="s">
        <v>19</v>
      </c>
      <c r="E29" s="6">
        <f t="shared" si="25"/>
        <v>8</v>
      </c>
      <c r="F29" s="6" t="str">
        <f t="array" ref="F29">IFERROR(INDEX($B$22:$B$610,SMALL(IF($A$22:$A$610=F$21,ROW(Roads!$A$22:$A$610)),Roads!$E29)-ROW(RoadList)),"")</f>
        <v/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>Gambela</v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12</v>
      </c>
      <c r="B30" s="5" t="s">
        <v>8</v>
      </c>
      <c r="C30" t="s">
        <v>5</v>
      </c>
      <c r="D30" t="s">
        <v>13</v>
      </c>
      <c r="E30" s="6">
        <f t="shared" si="25"/>
        <v>9</v>
      </c>
      <c r="F30" s="6" t="str">
        <f t="array" ref="F30">IFERROR(INDEX($B$22:$B$610,SMALL(IF($A$22:$A$610=F$21,ROW(Roads!$A$22:$A$610)),Roads!$E30)-ROW(RoadList)),"")</f>
        <v/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>Gumuz</v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12</v>
      </c>
      <c r="C31" t="s">
        <v>5</v>
      </c>
      <c r="D31" t="s">
        <v>14</v>
      </c>
      <c r="E31" s="6">
        <f t="shared" si="25"/>
        <v>10</v>
      </c>
      <c r="F31" s="6" t="str">
        <f t="array" ref="F31">IFERROR(INDEX($B$22:$B$610,SMALL(IF($A$22:$A$610=F$21,ROW(Roads!$A$22:$A$610)),Roads!$E31)-ROW(RoadList)),"")</f>
        <v/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7</v>
      </c>
      <c r="B32" s="5" t="s">
        <v>12</v>
      </c>
      <c r="C32" t="s">
        <v>6</v>
      </c>
      <c r="D32" t="s">
        <v>5</v>
      </c>
      <c r="E32" s="6">
        <f t="shared" si="25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12</v>
      </c>
      <c r="C33" t="s">
        <v>6</v>
      </c>
      <c r="D33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11</v>
      </c>
      <c r="B34" s="5" t="s">
        <v>12</v>
      </c>
      <c r="C34" t="s">
        <v>6</v>
      </c>
      <c r="D34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9</v>
      </c>
      <c r="B35" s="5" t="s">
        <v>12</v>
      </c>
      <c r="C35" t="s">
        <v>6</v>
      </c>
      <c r="D3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13</v>
      </c>
      <c r="B36" s="5" t="s">
        <v>12</v>
      </c>
      <c r="C36" t="s">
        <v>6</v>
      </c>
      <c r="D36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19</v>
      </c>
      <c r="B37" s="5" t="s">
        <v>12</v>
      </c>
      <c r="C37" t="s">
        <v>6</v>
      </c>
      <c r="D37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10</v>
      </c>
      <c r="B38" s="5" t="s">
        <v>12</v>
      </c>
      <c r="C38" t="s">
        <v>7</v>
      </c>
      <c r="D38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8</v>
      </c>
      <c r="B39" s="5" t="s">
        <v>12</v>
      </c>
      <c r="C39" t="s">
        <v>7</v>
      </c>
      <c r="D39" t="s">
        <v>8</v>
      </c>
    </row>
    <row r="40" spans="1:16">
      <c r="A40" s="5" t="s">
        <v>6</v>
      </c>
      <c r="B40" s="5" t="s">
        <v>14</v>
      </c>
      <c r="C40" t="s">
        <v>7</v>
      </c>
      <c r="D40" t="s">
        <v>11</v>
      </c>
    </row>
    <row r="41" spans="1:16">
      <c r="A41" s="5" t="s">
        <v>6</v>
      </c>
      <c r="B41" s="5" t="s">
        <v>7</v>
      </c>
      <c r="C41" t="s">
        <v>7</v>
      </c>
      <c r="D41" t="s">
        <v>19</v>
      </c>
    </row>
    <row r="42" spans="1:16">
      <c r="A42" s="5" t="s">
        <v>6</v>
      </c>
      <c r="B42" s="5" t="s">
        <v>13</v>
      </c>
      <c r="C42" t="s">
        <v>7</v>
      </c>
      <c r="D42" t="s">
        <v>13</v>
      </c>
    </row>
    <row r="43" spans="1:16">
      <c r="A43" s="5" t="s">
        <v>7</v>
      </c>
      <c r="B43" s="5" t="s">
        <v>14</v>
      </c>
      <c r="C43" t="s">
        <v>7</v>
      </c>
      <c r="D43" t="s">
        <v>14</v>
      </c>
    </row>
    <row r="44" spans="1:16">
      <c r="A44" s="5" t="s">
        <v>7</v>
      </c>
      <c r="B44" s="5" t="s">
        <v>6</v>
      </c>
      <c r="C44" t="s">
        <v>9</v>
      </c>
      <c r="D44" t="s">
        <v>5</v>
      </c>
    </row>
    <row r="45" spans="1:16">
      <c r="A45" s="5" t="s">
        <v>7</v>
      </c>
      <c r="B45" s="5" t="s">
        <v>8</v>
      </c>
      <c r="C45" t="s">
        <v>9</v>
      </c>
      <c r="D45" t="s">
        <v>10</v>
      </c>
    </row>
    <row r="46" spans="1:16">
      <c r="A46" s="5" t="s">
        <v>8</v>
      </c>
      <c r="B46" s="5" t="s">
        <v>7</v>
      </c>
      <c r="C46" t="s">
        <v>9</v>
      </c>
      <c r="D46" t="s">
        <v>8</v>
      </c>
    </row>
    <row r="47" spans="1:16">
      <c r="A47" s="5" t="s">
        <v>9</v>
      </c>
      <c r="B47" s="5" t="s">
        <v>13</v>
      </c>
      <c r="C47" t="s">
        <v>9</v>
      </c>
      <c r="D47" t="s">
        <v>11</v>
      </c>
    </row>
    <row r="48" spans="1:16">
      <c r="A48" s="5" t="s">
        <v>9</v>
      </c>
      <c r="B48" s="5" t="s">
        <v>11</v>
      </c>
      <c r="C48" t="s">
        <v>9</v>
      </c>
      <c r="D48" t="s">
        <v>12</v>
      </c>
    </row>
    <row r="49" spans="1:4">
      <c r="A49" s="5" t="s">
        <v>10</v>
      </c>
      <c r="B49" s="5" t="s">
        <v>19</v>
      </c>
      <c r="C49" t="s">
        <v>9</v>
      </c>
      <c r="D49" t="s">
        <v>14</v>
      </c>
    </row>
    <row r="50" spans="1:4">
      <c r="A50" s="5" t="s">
        <v>11</v>
      </c>
      <c r="B50" s="5" t="s">
        <v>9</v>
      </c>
      <c r="C50" t="s">
        <v>10</v>
      </c>
      <c r="D50" t="s">
        <v>5</v>
      </c>
    </row>
    <row r="51" spans="1:4">
      <c r="A51" s="5" t="s">
        <v>13</v>
      </c>
      <c r="B51" s="5" t="s">
        <v>9</v>
      </c>
      <c r="C51" t="s">
        <v>10</v>
      </c>
      <c r="D51" t="s">
        <v>6</v>
      </c>
    </row>
    <row r="52" spans="1:4">
      <c r="A52" s="5" t="s">
        <v>13</v>
      </c>
      <c r="B52" s="5" t="s">
        <v>11</v>
      </c>
      <c r="C52" t="s">
        <v>10</v>
      </c>
      <c r="D52" t="s">
        <v>9</v>
      </c>
    </row>
    <row r="53" spans="1:4">
      <c r="A53" s="5" t="s">
        <v>11</v>
      </c>
      <c r="B53" s="5" t="s">
        <v>13</v>
      </c>
      <c r="C53" t="s">
        <v>10</v>
      </c>
      <c r="D53" t="s">
        <v>12</v>
      </c>
    </row>
    <row r="54" spans="1:4">
      <c r="A54" s="5" t="s">
        <v>19</v>
      </c>
      <c r="B54" s="5" t="s">
        <v>10</v>
      </c>
      <c r="C54" t="s">
        <v>10</v>
      </c>
      <c r="D54" t="s">
        <v>19</v>
      </c>
    </row>
    <row r="55" spans="1:4">
      <c r="A55" s="5" t="s">
        <v>19</v>
      </c>
      <c r="B55" s="5" t="s">
        <v>5</v>
      </c>
      <c r="C55" t="s">
        <v>10</v>
      </c>
      <c r="D55" t="s">
        <v>13</v>
      </c>
    </row>
    <row r="56" spans="1:4">
      <c r="A56" s="5" t="s">
        <v>5</v>
      </c>
      <c r="B56" s="5" t="s">
        <v>19</v>
      </c>
      <c r="C56" t="s">
        <v>10</v>
      </c>
      <c r="D56" t="s">
        <v>14</v>
      </c>
    </row>
    <row r="57" spans="1:4">
      <c r="A57" s="5" t="s">
        <v>14</v>
      </c>
      <c r="B57" s="5" t="s">
        <v>7</v>
      </c>
      <c r="C57" t="s">
        <v>8</v>
      </c>
      <c r="D57" t="s">
        <v>5</v>
      </c>
    </row>
    <row r="58" spans="1:4">
      <c r="A58" s="5" t="s">
        <v>14</v>
      </c>
      <c r="B58" s="5" t="s">
        <v>6</v>
      </c>
      <c r="C58" t="s">
        <v>8</v>
      </c>
      <c r="D58" t="s">
        <v>6</v>
      </c>
    </row>
    <row r="59" spans="1:4">
      <c r="A59" s="5"/>
      <c r="B59" s="5"/>
      <c r="C59" t="s">
        <v>8</v>
      </c>
      <c r="D59" t="s">
        <v>7</v>
      </c>
    </row>
    <row r="60" spans="1:4">
      <c r="A60" s="5"/>
      <c r="B60" s="5"/>
      <c r="C60" t="s">
        <v>8</v>
      </c>
      <c r="D60" t="s">
        <v>9</v>
      </c>
    </row>
    <row r="61" spans="1:4">
      <c r="A61" s="5"/>
      <c r="B61" s="5"/>
      <c r="C61" t="s">
        <v>8</v>
      </c>
      <c r="D61" t="s">
        <v>12</v>
      </c>
    </row>
    <row r="62" spans="1:4">
      <c r="A62" s="5"/>
      <c r="B62" s="5"/>
      <c r="C62" t="s">
        <v>8</v>
      </c>
      <c r="D62" t="s">
        <v>14</v>
      </c>
    </row>
    <row r="63" spans="1:4">
      <c r="A63" s="5"/>
      <c r="B63" s="5"/>
      <c r="C63" t="s">
        <v>11</v>
      </c>
      <c r="D63" t="s">
        <v>5</v>
      </c>
    </row>
    <row r="64" spans="1:4">
      <c r="A64" s="5"/>
      <c r="B64" s="5"/>
      <c r="C64" t="s">
        <v>11</v>
      </c>
      <c r="D64" t="s">
        <v>6</v>
      </c>
    </row>
    <row r="65" spans="1:4">
      <c r="A65" s="5"/>
      <c r="B65" s="5"/>
      <c r="C65" t="s">
        <v>11</v>
      </c>
      <c r="D65" t="s">
        <v>7</v>
      </c>
    </row>
    <row r="66" spans="1:4">
      <c r="A66" s="5"/>
      <c r="B66" s="5"/>
      <c r="C66" t="s">
        <v>11</v>
      </c>
      <c r="D66" t="s">
        <v>9</v>
      </c>
    </row>
    <row r="67" spans="1:4">
      <c r="A67" s="5"/>
      <c r="B67" s="5"/>
      <c r="C67" t="s">
        <v>11</v>
      </c>
      <c r="D67" t="s">
        <v>19</v>
      </c>
    </row>
    <row r="68" spans="1:4">
      <c r="A68" s="5"/>
      <c r="B68" s="5"/>
      <c r="C68" t="s">
        <v>11</v>
      </c>
      <c r="D68" t="s">
        <v>13</v>
      </c>
    </row>
    <row r="69" spans="1:4">
      <c r="A69" s="5"/>
      <c r="B69" s="5"/>
      <c r="C69" t="s">
        <v>12</v>
      </c>
      <c r="D69" t="s">
        <v>5</v>
      </c>
    </row>
    <row r="70" spans="1:4">
      <c r="A70" s="5"/>
      <c r="B70" s="5"/>
      <c r="C70" t="s">
        <v>12</v>
      </c>
      <c r="D70" t="s">
        <v>6</v>
      </c>
    </row>
    <row r="71" spans="1:4">
      <c r="A71" s="5"/>
      <c r="B71" s="5"/>
      <c r="C71" t="s">
        <v>12</v>
      </c>
      <c r="D71" t="s">
        <v>9</v>
      </c>
    </row>
    <row r="72" spans="1:4">
      <c r="A72" s="5"/>
      <c r="B72" s="5"/>
      <c r="C72" t="s">
        <v>12</v>
      </c>
      <c r="D72" t="s">
        <v>10</v>
      </c>
    </row>
    <row r="73" spans="1:4">
      <c r="A73" s="5"/>
      <c r="B73" s="5"/>
      <c r="C73" t="s">
        <v>12</v>
      </c>
      <c r="D73" t="s">
        <v>8</v>
      </c>
    </row>
    <row r="74" spans="1:4">
      <c r="A74" s="5"/>
      <c r="B74" s="5"/>
      <c r="C74" t="s">
        <v>12</v>
      </c>
      <c r="D74" t="s">
        <v>13</v>
      </c>
    </row>
    <row r="75" spans="1:4">
      <c r="A75" s="5"/>
      <c r="B75" s="5"/>
      <c r="C75" t="s">
        <v>19</v>
      </c>
      <c r="D75" t="s">
        <v>5</v>
      </c>
    </row>
    <row r="76" spans="1:4">
      <c r="A76" s="5"/>
      <c r="B76" s="5"/>
      <c r="C76" t="s">
        <v>19</v>
      </c>
      <c r="D76" t="s">
        <v>6</v>
      </c>
    </row>
    <row r="77" spans="1:4">
      <c r="A77" s="5"/>
      <c r="B77" s="5"/>
      <c r="C77" t="s">
        <v>19</v>
      </c>
      <c r="D77" t="s">
        <v>7</v>
      </c>
    </row>
    <row r="78" spans="1:4">
      <c r="A78" s="5"/>
      <c r="B78" s="5"/>
      <c r="C78" t="s">
        <v>19</v>
      </c>
      <c r="D78" t="s">
        <v>10</v>
      </c>
    </row>
    <row r="79" spans="1:4">
      <c r="A79" s="5"/>
      <c r="B79" s="5"/>
      <c r="C79" t="s">
        <v>19</v>
      </c>
      <c r="D79" t="s">
        <v>11</v>
      </c>
    </row>
    <row r="80" spans="1:4">
      <c r="A80" s="5"/>
      <c r="B80" s="5"/>
      <c r="C80" t="s">
        <v>19</v>
      </c>
      <c r="D80" t="s">
        <v>13</v>
      </c>
    </row>
    <row r="81" spans="1:4">
      <c r="A81" s="5"/>
      <c r="B81" s="5"/>
      <c r="C81" t="s">
        <v>19</v>
      </c>
      <c r="D81" t="s">
        <v>14</v>
      </c>
    </row>
    <row r="82" spans="1:4">
      <c r="A82" s="5"/>
      <c r="B82" s="5"/>
      <c r="C82" t="s">
        <v>13</v>
      </c>
      <c r="D82" t="s">
        <v>5</v>
      </c>
    </row>
    <row r="83" spans="1:4">
      <c r="A83" s="5"/>
      <c r="B83" s="5"/>
      <c r="C83" t="s">
        <v>13</v>
      </c>
      <c r="D83" t="s">
        <v>7</v>
      </c>
    </row>
    <row r="84" spans="1:4">
      <c r="A84" s="5"/>
      <c r="B84" s="5"/>
      <c r="C84" t="s">
        <v>13</v>
      </c>
      <c r="D84" t="s">
        <v>10</v>
      </c>
    </row>
    <row r="85" spans="1:4">
      <c r="A85" s="5"/>
      <c r="B85" s="5"/>
      <c r="C85" t="s">
        <v>13</v>
      </c>
      <c r="D85" t="s">
        <v>11</v>
      </c>
    </row>
    <row r="86" spans="1:4">
      <c r="A86" s="5"/>
      <c r="B86" s="5"/>
      <c r="C86" t="s">
        <v>13</v>
      </c>
      <c r="D86" t="s">
        <v>12</v>
      </c>
    </row>
    <row r="87" spans="1:4">
      <c r="A87" s="5"/>
      <c r="B87" s="5"/>
      <c r="C87" t="s">
        <v>13</v>
      </c>
      <c r="D87" t="s">
        <v>19</v>
      </c>
    </row>
    <row r="88" spans="1:4">
      <c r="A88" s="5"/>
      <c r="B88" s="5"/>
      <c r="C88" t="s">
        <v>14</v>
      </c>
      <c r="D88" t="s">
        <v>5</v>
      </c>
    </row>
    <row r="89" spans="1:4">
      <c r="A89" s="5"/>
      <c r="B89" s="5"/>
      <c r="C89" t="s">
        <v>14</v>
      </c>
      <c r="D89" t="s">
        <v>7</v>
      </c>
    </row>
    <row r="90" spans="1:4">
      <c r="A90" s="5"/>
      <c r="B90" s="5"/>
      <c r="C90" t="s">
        <v>14</v>
      </c>
      <c r="D90" t="s">
        <v>9</v>
      </c>
    </row>
    <row r="91" spans="1:4">
      <c r="A91" s="5"/>
      <c r="B91" s="5"/>
      <c r="C91" t="s">
        <v>14</v>
      </c>
      <c r="D91" t="s">
        <v>10</v>
      </c>
    </row>
    <row r="92" spans="1:4">
      <c r="A92" s="5"/>
      <c r="B92" s="5"/>
      <c r="C92" t="s">
        <v>14</v>
      </c>
      <c r="D92" t="s">
        <v>8</v>
      </c>
    </row>
    <row r="93" spans="1:4">
      <c r="A93" s="5"/>
      <c r="B93" s="5"/>
      <c r="C93" t="s">
        <v>14</v>
      </c>
      <c r="D93" t="s">
        <v>11</v>
      </c>
    </row>
    <row r="94" spans="1:4">
      <c r="A94" s="5"/>
      <c r="B94" s="5"/>
      <c r="C94" t="s">
        <v>14</v>
      </c>
      <c r="D94" t="s">
        <v>19</v>
      </c>
    </row>
    <row r="95" spans="1:4">
      <c r="A95" s="5"/>
      <c r="B95" s="5"/>
    </row>
    <row r="96" spans="1:4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14.828100418072516</v>
      </c>
      <c r="R3">
        <f t="shared" ca="1" si="2"/>
        <v>14.434817700635769</v>
      </c>
      <c r="S3">
        <f t="shared" ca="1" si="2"/>
        <v>14.613773341058401</v>
      </c>
      <c r="T3">
        <f t="shared" ca="1" si="2"/>
        <v>10.837130483384037</v>
      </c>
      <c r="U3">
        <f t="shared" ca="1" si="2"/>
        <v>12.511670000509307</v>
      </c>
      <c r="V3">
        <f t="shared" ca="1" si="2"/>
        <v>14.077199519353744</v>
      </c>
      <c r="W3">
        <f t="shared" ca="1" si="2"/>
        <v>14.104561945205464</v>
      </c>
      <c r="X3">
        <f t="shared" ca="1" si="2"/>
        <v>10.829202223502296</v>
      </c>
      <c r="Y3">
        <f t="shared" ca="1" si="2"/>
        <v>11.935743821773796</v>
      </c>
      <c r="AA3" s="1" t="s">
        <v>6</v>
      </c>
      <c r="AB3">
        <v>500</v>
      </c>
      <c r="AD3">
        <f t="shared" ref="AC3:AL12" ca="1" si="3">300-50*RAND()</f>
        <v>273.40771548963136</v>
      </c>
      <c r="AE3">
        <f t="shared" ca="1" si="3"/>
        <v>276.64609326949505</v>
      </c>
      <c r="AF3">
        <f t="shared" ca="1" si="3"/>
        <v>285.62499426738907</v>
      </c>
      <c r="AG3">
        <f t="shared" ca="1" si="3"/>
        <v>290.17202476890117</v>
      </c>
      <c r="AH3">
        <f t="shared" ca="1" si="3"/>
        <v>280.91728722593075</v>
      </c>
      <c r="AI3">
        <f t="shared" ca="1" si="3"/>
        <v>260.54986661887796</v>
      </c>
      <c r="AJ3">
        <f t="shared" ca="1" si="3"/>
        <v>259.47636869474854</v>
      </c>
      <c r="AK3">
        <f t="shared" ca="1" si="3"/>
        <v>284.99795480952588</v>
      </c>
      <c r="AL3">
        <f t="shared" ca="1" si="3"/>
        <v>266.84692946617639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14.458458053550389</v>
      </c>
      <c r="R4">
        <f t="shared" ca="1" si="2"/>
        <v>12.32447925332718</v>
      </c>
      <c r="S4">
        <f t="shared" ca="1" si="2"/>
        <v>13.141153761737451</v>
      </c>
      <c r="T4">
        <f t="shared" ca="1" si="2"/>
        <v>12.646260750128803</v>
      </c>
      <c r="U4">
        <f t="shared" ca="1" si="2"/>
        <v>10.155372484590924</v>
      </c>
      <c r="V4">
        <f t="shared" ca="1" si="2"/>
        <v>12.324135243054577</v>
      </c>
      <c r="W4">
        <f t="shared" ca="1" si="2"/>
        <v>11.654183151069349</v>
      </c>
      <c r="X4">
        <f t="shared" ca="1" si="2"/>
        <v>14.661526606951249</v>
      </c>
      <c r="Y4">
        <f t="shared" ca="1" si="2"/>
        <v>10.316856549696931</v>
      </c>
      <c r="AA4" s="1" t="s">
        <v>7</v>
      </c>
      <c r="AB4">
        <v>500</v>
      </c>
      <c r="AC4">
        <f t="shared" ca="1" si="3"/>
        <v>258.55788228066331</v>
      </c>
      <c r="AE4">
        <f t="shared" ca="1" si="3"/>
        <v>261.79141019807844</v>
      </c>
      <c r="AF4">
        <f t="shared" ca="1" si="3"/>
        <v>285.93161903491273</v>
      </c>
      <c r="AG4">
        <f t="shared" ca="1" si="3"/>
        <v>287.0596744534684</v>
      </c>
      <c r="AH4">
        <f t="shared" ca="1" si="3"/>
        <v>276.65095470901616</v>
      </c>
      <c r="AI4">
        <f t="shared" ca="1" si="3"/>
        <v>296.62484499839269</v>
      </c>
      <c r="AJ4">
        <f t="shared" ca="1" si="3"/>
        <v>250.0343528175228</v>
      </c>
      <c r="AK4">
        <f t="shared" ca="1" si="3"/>
        <v>279.25211066901858</v>
      </c>
      <c r="AL4">
        <f t="shared" ca="1" si="3"/>
        <v>284.11223493550807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10.646031912327958</v>
      </c>
      <c r="Q5">
        <f t="shared" ca="1" si="2"/>
        <v>12.522742231491522</v>
      </c>
      <c r="S5">
        <f t="shared" ca="1" si="2"/>
        <v>12.973466028358192</v>
      </c>
      <c r="T5">
        <f t="shared" ca="1" si="2"/>
        <v>10.535621381821549</v>
      </c>
      <c r="U5">
        <f t="shared" ca="1" si="2"/>
        <v>13.966144789203208</v>
      </c>
      <c r="V5">
        <f t="shared" ca="1" si="2"/>
        <v>11.143863829404346</v>
      </c>
      <c r="W5">
        <f t="shared" ca="1" si="2"/>
        <v>13.622352543872537</v>
      </c>
      <c r="X5">
        <f t="shared" ca="1" si="2"/>
        <v>14.211426044201309</v>
      </c>
      <c r="Y5">
        <f t="shared" ca="1" si="2"/>
        <v>13.812983664740891</v>
      </c>
      <c r="AA5" s="1" t="s">
        <v>8</v>
      </c>
      <c r="AB5">
        <v>500</v>
      </c>
      <c r="AC5">
        <f t="shared" ca="1" si="3"/>
        <v>269.03079693114148</v>
      </c>
      <c r="AD5">
        <f t="shared" ca="1" si="3"/>
        <v>278.52428188130705</v>
      </c>
      <c r="AF5">
        <f t="shared" ca="1" si="3"/>
        <v>292.34023434917361</v>
      </c>
      <c r="AG5">
        <f t="shared" ca="1" si="3"/>
        <v>265.97657248011734</v>
      </c>
      <c r="AH5">
        <f t="shared" ca="1" si="3"/>
        <v>257.18124853783831</v>
      </c>
      <c r="AI5">
        <f t="shared" ca="1" si="3"/>
        <v>291.97936491109493</v>
      </c>
      <c r="AJ5">
        <f t="shared" ca="1" si="3"/>
        <v>293.9050805251203</v>
      </c>
      <c r="AK5">
        <f t="shared" ca="1" si="3"/>
        <v>261.52855030146077</v>
      </c>
      <c r="AL5">
        <f t="shared" ca="1" si="3"/>
        <v>262.93439577411351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13.970581657987385</v>
      </c>
      <c r="Q6">
        <f t="shared" ca="1" si="2"/>
        <v>14.586809717705044</v>
      </c>
      <c r="R6">
        <f t="shared" ca="1" si="2"/>
        <v>11.796678906839851</v>
      </c>
      <c r="T6">
        <f t="shared" ca="1" si="2"/>
        <v>14.904599838081152</v>
      </c>
      <c r="U6">
        <f t="shared" ca="1" si="2"/>
        <v>12.863902994090161</v>
      </c>
      <c r="V6">
        <f t="shared" ca="1" si="2"/>
        <v>14.368913725724905</v>
      </c>
      <c r="W6">
        <f t="shared" ca="1" si="2"/>
        <v>13.502819556336483</v>
      </c>
      <c r="X6">
        <f t="shared" ca="1" si="2"/>
        <v>11.898708906621042</v>
      </c>
      <c r="Y6">
        <f t="shared" ca="1" si="2"/>
        <v>11.907909767957641</v>
      </c>
      <c r="AA6" s="1" t="s">
        <v>9</v>
      </c>
      <c r="AB6">
        <v>500</v>
      </c>
      <c r="AC6">
        <f t="shared" ca="1" si="3"/>
        <v>254.88222153544697</v>
      </c>
      <c r="AD6">
        <f t="shared" ca="1" si="3"/>
        <v>268.92247331222734</v>
      </c>
      <c r="AE6">
        <f t="shared" ca="1" si="3"/>
        <v>253.30957739481912</v>
      </c>
      <c r="AG6">
        <f t="shared" ca="1" si="3"/>
        <v>258.9070216684147</v>
      </c>
      <c r="AH6">
        <f t="shared" ca="1" si="3"/>
        <v>284.6024642557598</v>
      </c>
      <c r="AI6">
        <f t="shared" ca="1" si="3"/>
        <v>289.35570261331213</v>
      </c>
      <c r="AJ6">
        <f t="shared" ca="1" si="3"/>
        <v>254.06765996941499</v>
      </c>
      <c r="AK6">
        <f t="shared" ca="1" si="3"/>
        <v>271.93934497452221</v>
      </c>
      <c r="AL6">
        <f t="shared" ca="1" si="3"/>
        <v>266.33838001371964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14.562408394751605</v>
      </c>
      <c r="Q7">
        <f t="shared" ca="1" si="2"/>
        <v>13.590104837691678</v>
      </c>
      <c r="R7">
        <f t="shared" ca="1" si="2"/>
        <v>13.015724106165218</v>
      </c>
      <c r="S7">
        <f t="shared" ca="1" si="2"/>
        <v>10.489614812132277</v>
      </c>
      <c r="U7">
        <f t="shared" ca="1" si="2"/>
        <v>11.09568136991858</v>
      </c>
      <c r="V7">
        <f t="shared" ca="1" si="2"/>
        <v>11.166646976349835</v>
      </c>
      <c r="W7">
        <f t="shared" ca="1" si="2"/>
        <v>12.104267011543612</v>
      </c>
      <c r="X7">
        <f t="shared" ca="1" si="2"/>
        <v>12.265834203778047</v>
      </c>
      <c r="Y7">
        <f t="shared" ca="1" si="2"/>
        <v>10.376579900400033</v>
      </c>
      <c r="AA7" s="1" t="s">
        <v>10</v>
      </c>
      <c r="AB7">
        <v>500</v>
      </c>
      <c r="AC7">
        <f t="shared" ca="1" si="3"/>
        <v>295.01802789456701</v>
      </c>
      <c r="AD7">
        <f t="shared" ca="1" si="3"/>
        <v>260.57121441978484</v>
      </c>
      <c r="AE7">
        <f t="shared" ca="1" si="3"/>
        <v>269.42118556714968</v>
      </c>
      <c r="AF7">
        <f t="shared" ca="1" si="3"/>
        <v>291.1255413290308</v>
      </c>
      <c r="AH7">
        <f t="shared" ca="1" si="3"/>
        <v>297.54592765892988</v>
      </c>
      <c r="AI7">
        <f t="shared" ca="1" si="3"/>
        <v>281.35746942279752</v>
      </c>
      <c r="AJ7">
        <f t="shared" ca="1" si="3"/>
        <v>290.93182960133635</v>
      </c>
      <c r="AK7">
        <f t="shared" ca="1" si="3"/>
        <v>282.09538978182042</v>
      </c>
      <c r="AL7">
        <f t="shared" ca="1" si="3"/>
        <v>285.30018145252581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14.270338738065755</v>
      </c>
      <c r="Q8">
        <f t="shared" ca="1" si="2"/>
        <v>10.283093429915324</v>
      </c>
      <c r="R8">
        <f t="shared" ca="1" si="2"/>
        <v>12.779335144725586</v>
      </c>
      <c r="S8">
        <f t="shared" ca="1" si="2"/>
        <v>11.524612194493033</v>
      </c>
      <c r="T8">
        <f t="shared" ca="1" si="2"/>
        <v>14.020632643824667</v>
      </c>
      <c r="V8">
        <f t="shared" ca="1" si="2"/>
        <v>10.351104897974613</v>
      </c>
      <c r="W8">
        <f t="shared" ca="1" si="2"/>
        <v>10.577054825894056</v>
      </c>
      <c r="X8">
        <f t="shared" ca="1" si="2"/>
        <v>13.795296656033033</v>
      </c>
      <c r="Y8">
        <f t="shared" ca="1" si="2"/>
        <v>14.340396734574707</v>
      </c>
      <c r="AA8" s="1" t="s">
        <v>11</v>
      </c>
      <c r="AB8">
        <v>500</v>
      </c>
      <c r="AC8">
        <f t="shared" ca="1" si="3"/>
        <v>270.24431837933167</v>
      </c>
      <c r="AD8">
        <f t="shared" ca="1" si="3"/>
        <v>287.34345636606696</v>
      </c>
      <c r="AE8">
        <f t="shared" ca="1" si="3"/>
        <v>299.04622457306488</v>
      </c>
      <c r="AF8">
        <f t="shared" ca="1" si="3"/>
        <v>287.20103021398688</v>
      </c>
      <c r="AG8">
        <f t="shared" ca="1" si="3"/>
        <v>296.18064158373971</v>
      </c>
      <c r="AI8">
        <f t="shared" ca="1" si="3"/>
        <v>275.56344047420521</v>
      </c>
      <c r="AJ8">
        <f t="shared" ca="1" si="3"/>
        <v>265.66528209640029</v>
      </c>
      <c r="AK8">
        <f t="shared" ca="1" si="3"/>
        <v>277.38296945088558</v>
      </c>
      <c r="AL8">
        <f t="shared" ca="1" si="3"/>
        <v>278.78841541787352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10.122071764960031</v>
      </c>
      <c r="Q9">
        <f t="shared" ca="1" si="2"/>
        <v>14.79365780779986</v>
      </c>
      <c r="R9">
        <f t="shared" ca="1" si="2"/>
        <v>11.406493060636556</v>
      </c>
      <c r="S9">
        <f t="shared" ca="1" si="2"/>
        <v>11.278411349745999</v>
      </c>
      <c r="T9">
        <f t="shared" ca="1" si="2"/>
        <v>11.690475511493096</v>
      </c>
      <c r="U9">
        <f t="shared" ca="1" si="2"/>
        <v>11.771499099783142</v>
      </c>
      <c r="W9">
        <f t="shared" ca="1" si="2"/>
        <v>12.931447583794254</v>
      </c>
      <c r="X9">
        <f t="shared" ca="1" si="2"/>
        <v>14.49193636982079</v>
      </c>
      <c r="Y9">
        <f t="shared" ca="1" si="2"/>
        <v>10.083752996183774</v>
      </c>
      <c r="AA9" s="1" t="s">
        <v>12</v>
      </c>
      <c r="AB9">
        <v>500</v>
      </c>
      <c r="AC9">
        <f t="shared" ca="1" si="3"/>
        <v>265.7009184353231</v>
      </c>
      <c r="AD9">
        <f t="shared" ca="1" si="3"/>
        <v>295.48641979408711</v>
      </c>
      <c r="AE9">
        <f t="shared" ca="1" si="3"/>
        <v>263.52146472288325</v>
      </c>
      <c r="AF9">
        <f t="shared" ca="1" si="3"/>
        <v>282.95801175010774</v>
      </c>
      <c r="AG9">
        <f t="shared" ca="1" si="3"/>
        <v>270.83806018455891</v>
      </c>
      <c r="AH9">
        <f t="shared" ca="1" si="3"/>
        <v>258.07465479600859</v>
      </c>
      <c r="AJ9">
        <f t="shared" ca="1" si="3"/>
        <v>274.93930809830658</v>
      </c>
      <c r="AK9">
        <f t="shared" ca="1" si="3"/>
        <v>289.31351788665751</v>
      </c>
      <c r="AL9">
        <f t="shared" ca="1" si="3"/>
        <v>281.11032473269262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10.411104145632313</v>
      </c>
      <c r="Q10">
        <f t="shared" ca="1" si="2"/>
        <v>12.308615021922584</v>
      </c>
      <c r="R10">
        <f t="shared" ca="1" si="2"/>
        <v>10.761836811276689</v>
      </c>
      <c r="S10">
        <f t="shared" ca="1" si="2"/>
        <v>14.406626602198148</v>
      </c>
      <c r="T10">
        <f t="shared" ca="1" si="2"/>
        <v>11.520877799652164</v>
      </c>
      <c r="U10">
        <f t="shared" ca="1" si="2"/>
        <v>14.927975623116598</v>
      </c>
      <c r="V10">
        <f t="shared" ca="1" si="2"/>
        <v>11.315857910240666</v>
      </c>
      <c r="X10">
        <f t="shared" ca="1" si="2"/>
        <v>14.916747630127034</v>
      </c>
      <c r="Y10">
        <f t="shared" ca="1" si="2"/>
        <v>13.768492354051364</v>
      </c>
      <c r="AA10" s="1" t="s">
        <v>13</v>
      </c>
      <c r="AB10">
        <v>500</v>
      </c>
      <c r="AC10">
        <f t="shared" ca="1" si="3"/>
        <v>285.14091991885294</v>
      </c>
      <c r="AD10">
        <f t="shared" ca="1" si="3"/>
        <v>266.61271984523785</v>
      </c>
      <c r="AE10">
        <f t="shared" ca="1" si="3"/>
        <v>259.16223634052426</v>
      </c>
      <c r="AF10">
        <f t="shared" ca="1" si="3"/>
        <v>258.81073359138259</v>
      </c>
      <c r="AG10">
        <f t="shared" ca="1" si="3"/>
        <v>256.18444364440137</v>
      </c>
      <c r="AH10">
        <f t="shared" ca="1" si="3"/>
        <v>252.07008864569841</v>
      </c>
      <c r="AI10">
        <f t="shared" ca="1" si="3"/>
        <v>259.83967002273084</v>
      </c>
      <c r="AK10">
        <f t="shared" ca="1" si="3"/>
        <v>287.15330389897747</v>
      </c>
      <c r="AL10">
        <f t="shared" ca="1" si="3"/>
        <v>299.88927873892771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14.687283056202613</v>
      </c>
      <c r="Q11">
        <f t="shared" ca="1" si="2"/>
        <v>12.038522697737228</v>
      </c>
      <c r="R11">
        <f t="shared" ca="1" si="2"/>
        <v>12.76708997371126</v>
      </c>
      <c r="S11">
        <f t="shared" ca="1" si="2"/>
        <v>10.370210764615242</v>
      </c>
      <c r="T11">
        <f t="shared" ca="1" si="2"/>
        <v>13.486863966447348</v>
      </c>
      <c r="U11">
        <f t="shared" ca="1" si="2"/>
        <v>11.790012353723936</v>
      </c>
      <c r="V11">
        <f t="shared" ca="1" si="2"/>
        <v>10.492857326272803</v>
      </c>
      <c r="W11">
        <f t="shared" ca="1" si="2"/>
        <v>13.683004563258812</v>
      </c>
      <c r="Y11">
        <f t="shared" ca="1" si="2"/>
        <v>11.87832189880324</v>
      </c>
      <c r="AA11" s="1" t="s">
        <v>19</v>
      </c>
      <c r="AB11">
        <v>500</v>
      </c>
      <c r="AC11">
        <f t="shared" ca="1" si="3"/>
        <v>256.1681314965748</v>
      </c>
      <c r="AD11">
        <f t="shared" ca="1" si="3"/>
        <v>299.77639193765918</v>
      </c>
      <c r="AE11">
        <f t="shared" ca="1" si="3"/>
        <v>258.91515581121138</v>
      </c>
      <c r="AF11">
        <f t="shared" ca="1" si="3"/>
        <v>250.12222405991827</v>
      </c>
      <c r="AG11">
        <f t="shared" ca="1" si="3"/>
        <v>291.47206540379182</v>
      </c>
      <c r="AH11">
        <f t="shared" ca="1" si="3"/>
        <v>254.12925775530755</v>
      </c>
      <c r="AI11">
        <f t="shared" ca="1" si="3"/>
        <v>274.18942392751904</v>
      </c>
      <c r="AJ11">
        <f t="shared" ca="1" si="3"/>
        <v>267.70900330166165</v>
      </c>
      <c r="AL11">
        <f t="shared" ca="1" si="3"/>
        <v>277.45451562761593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13.613446998860617</v>
      </c>
      <c r="Q12">
        <f t="shared" ca="1" si="2"/>
        <v>12.293510171903765</v>
      </c>
      <c r="R12">
        <f t="shared" ca="1" si="2"/>
        <v>11.081157031865004</v>
      </c>
      <c r="S12">
        <f t="shared" ca="1" si="2"/>
        <v>10.195268570760437</v>
      </c>
      <c r="T12">
        <f t="shared" ca="1" si="2"/>
        <v>12.972115650017486</v>
      </c>
      <c r="U12">
        <f t="shared" ca="1" si="2"/>
        <v>10.547380015999618</v>
      </c>
      <c r="V12">
        <f t="shared" ca="1" si="2"/>
        <v>10.962553855761962</v>
      </c>
      <c r="W12">
        <f t="shared" ca="1" si="2"/>
        <v>10.37837117412116</v>
      </c>
      <c r="X12">
        <f t="shared" ca="1" si="2"/>
        <v>13.386265988812795</v>
      </c>
      <c r="AA12" s="1" t="s">
        <v>14</v>
      </c>
      <c r="AB12">
        <v>500</v>
      </c>
      <c r="AC12">
        <f t="shared" ca="1" si="3"/>
        <v>268.25692200781162</v>
      </c>
      <c r="AD12">
        <f t="shared" ca="1" si="3"/>
        <v>265.11899582134322</v>
      </c>
      <c r="AE12">
        <f t="shared" ca="1" si="3"/>
        <v>284.89116206177749</v>
      </c>
      <c r="AF12">
        <f t="shared" ca="1" si="3"/>
        <v>284.2196915464416</v>
      </c>
      <c r="AG12">
        <f t="shared" ca="1" si="3"/>
        <v>298.91974968076994</v>
      </c>
      <c r="AH12">
        <f t="shared" ca="1" si="3"/>
        <v>270.25070185427694</v>
      </c>
      <c r="AI12">
        <f t="shared" ca="1" si="3"/>
        <v>273.56443563989637</v>
      </c>
      <c r="AJ12">
        <f t="shared" ca="1" si="3"/>
        <v>266.53274009076699</v>
      </c>
      <c r="AK12">
        <f t="shared" ca="1" si="3"/>
        <v>273.51347292449526</v>
      </c>
    </row>
    <row r="18" spans="1:21">
      <c r="A18" t="s">
        <v>61</v>
      </c>
    </row>
    <row r="19" spans="1:21">
      <c r="A19" t="s">
        <v>60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82"/>
  <sheetViews>
    <sheetView tabSelected="1" topLeftCell="B1" zoomScale="85" zoomScaleNormal="85" workbookViewId="0">
      <selection activeCell="F9" sqref="F9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  <row r="17" spans="23:23">
      <c r="W17" s="27"/>
    </row>
    <row r="18" spans="23:23">
      <c r="W18" s="27"/>
    </row>
    <row r="19" spans="23:23">
      <c r="W19" s="27"/>
    </row>
    <row r="20" spans="23:23">
      <c r="W20" s="27"/>
    </row>
    <row r="21" spans="23:23">
      <c r="W21" s="27"/>
    </row>
    <row r="22" spans="23:23">
      <c r="W22" s="27"/>
    </row>
    <row r="23" spans="23:23">
      <c r="W23" s="27"/>
    </row>
    <row r="24" spans="23:23">
      <c r="W24" s="27"/>
    </row>
    <row r="25" spans="23:23">
      <c r="W25" s="27"/>
    </row>
    <row r="26" spans="23:23">
      <c r="W26" s="27"/>
    </row>
    <row r="27" spans="23:23">
      <c r="W27" s="27"/>
    </row>
    <row r="28" spans="23:23">
      <c r="W28" s="27"/>
    </row>
    <row r="29" spans="23:23">
      <c r="W29" s="27"/>
    </row>
    <row r="30" spans="23:23">
      <c r="W30" s="27"/>
    </row>
    <row r="31" spans="23:23">
      <c r="W31" s="27"/>
    </row>
    <row r="32" spans="23:23">
      <c r="W32" s="27"/>
    </row>
    <row r="33" spans="23:23">
      <c r="W33" s="27"/>
    </row>
    <row r="34" spans="23:23">
      <c r="W34" s="27"/>
    </row>
    <row r="35" spans="23:23">
      <c r="W35" s="27"/>
    </row>
    <row r="36" spans="23:23">
      <c r="W36" s="27"/>
    </row>
    <row r="37" spans="23:23">
      <c r="W37" s="27"/>
    </row>
    <row r="38" spans="23:23">
      <c r="W38" s="27"/>
    </row>
    <row r="39" spans="23:23">
      <c r="W39" s="27"/>
    </row>
    <row r="40" spans="23:23">
      <c r="W40" s="27"/>
    </row>
    <row r="41" spans="23:23">
      <c r="W41" s="27"/>
    </row>
    <row r="42" spans="23:23">
      <c r="W42" s="27"/>
    </row>
    <row r="43" spans="23:23">
      <c r="W43" s="27"/>
    </row>
    <row r="44" spans="23:23">
      <c r="W44" s="27"/>
    </row>
    <row r="45" spans="23:23">
      <c r="W45" s="27"/>
    </row>
    <row r="46" spans="23:23">
      <c r="W46" s="27"/>
    </row>
    <row r="47" spans="23:23">
      <c r="W47" s="27"/>
    </row>
    <row r="48" spans="23:23">
      <c r="W48" s="27"/>
    </row>
    <row r="49" spans="23:23">
      <c r="W49" s="27"/>
    </row>
    <row r="50" spans="23:23">
      <c r="W50" s="27"/>
    </row>
    <row r="51" spans="23:23">
      <c r="W51" s="27"/>
    </row>
    <row r="52" spans="23:23">
      <c r="W52" s="27"/>
    </row>
    <row r="53" spans="23:23">
      <c r="W53" s="27"/>
    </row>
    <row r="54" spans="23:23">
      <c r="W54" s="27"/>
    </row>
    <row r="55" spans="23:23">
      <c r="W55" s="27"/>
    </row>
    <row r="56" spans="23:23">
      <c r="W56" s="27"/>
    </row>
    <row r="57" spans="23:23">
      <c r="W57" s="27"/>
    </row>
    <row r="58" spans="23:23">
      <c r="W58" s="27"/>
    </row>
    <row r="59" spans="23:23">
      <c r="W59" s="27"/>
    </row>
    <row r="60" spans="23:23">
      <c r="W60" s="27"/>
    </row>
    <row r="61" spans="23:23">
      <c r="W61" s="27"/>
    </row>
    <row r="62" spans="23:23">
      <c r="W62" s="27"/>
    </row>
    <row r="63" spans="23:23">
      <c r="W63" s="27"/>
    </row>
    <row r="64" spans="23:23">
      <c r="W64" s="27"/>
    </row>
    <row r="65" spans="23:23">
      <c r="W65" s="27"/>
    </row>
    <row r="66" spans="23:23">
      <c r="W66" s="27"/>
    </row>
    <row r="67" spans="23:23">
      <c r="W67" s="27"/>
    </row>
    <row r="68" spans="23:23">
      <c r="W68" s="27"/>
    </row>
    <row r="69" spans="23:23">
      <c r="W69" s="27"/>
    </row>
    <row r="70" spans="23:23">
      <c r="W70" s="27"/>
    </row>
    <row r="71" spans="23:23">
      <c r="W71" s="27"/>
    </row>
    <row r="72" spans="23:23">
      <c r="W72" s="27"/>
    </row>
    <row r="73" spans="23:23">
      <c r="W73" s="27"/>
    </row>
    <row r="74" spans="23:23">
      <c r="W74" s="27"/>
    </row>
    <row r="75" spans="23:23">
      <c r="W75" s="27"/>
    </row>
    <row r="76" spans="23:23">
      <c r="W76" s="27"/>
    </row>
    <row r="77" spans="23:23">
      <c r="W77" s="27"/>
    </row>
    <row r="78" spans="23:23">
      <c r="W78" s="27"/>
    </row>
    <row r="79" spans="23:23">
      <c r="W79" s="27"/>
    </row>
    <row r="80" spans="23:23">
      <c r="W80" s="27"/>
    </row>
    <row r="81" spans="23:23">
      <c r="W81" s="27"/>
    </row>
    <row r="82" spans="23:23">
      <c r="W82" s="27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92"/>
  <sheetViews>
    <sheetView zoomScale="85" zoomScaleNormal="85" workbookViewId="0">
      <selection activeCell="E3" sqref="E3:AH68"/>
    </sheetView>
  </sheetViews>
  <sheetFormatPr defaultColWidth="8.875" defaultRowHeight="15.75"/>
  <cols>
    <col min="1" max="1" width="10.625" bestFit="1" customWidth="1"/>
    <col min="2" max="2" width="10.5" bestFit="1" customWidth="1"/>
    <col min="6" max="6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v>8.2032296901532824</v>
      </c>
      <c r="D3">
        <v>9.1520905916315538</v>
      </c>
      <c r="E3">
        <f>C3</f>
        <v>8.2032296901532824</v>
      </c>
      <c r="F3">
        <f t="shared" ref="F3:AH3" si="2">D3</f>
        <v>9.1520905916315538</v>
      </c>
      <c r="G3">
        <f t="shared" si="2"/>
        <v>8.2032296901532824</v>
      </c>
      <c r="H3">
        <f t="shared" si="2"/>
        <v>9.1520905916315538</v>
      </c>
      <c r="I3">
        <f t="shared" si="2"/>
        <v>8.2032296901532824</v>
      </c>
      <c r="J3">
        <f t="shared" si="2"/>
        <v>9.1520905916315538</v>
      </c>
      <c r="K3">
        <f t="shared" si="2"/>
        <v>8.2032296901532824</v>
      </c>
      <c r="L3">
        <f t="shared" si="2"/>
        <v>9.1520905916315538</v>
      </c>
      <c r="M3">
        <f t="shared" si="2"/>
        <v>8.2032296901532824</v>
      </c>
      <c r="N3">
        <f t="shared" si="2"/>
        <v>9.1520905916315538</v>
      </c>
      <c r="O3">
        <f t="shared" si="2"/>
        <v>8.2032296901532824</v>
      </c>
      <c r="P3">
        <f t="shared" si="2"/>
        <v>9.1520905916315538</v>
      </c>
      <c r="Q3">
        <f t="shared" si="2"/>
        <v>8.2032296901532824</v>
      </c>
      <c r="R3">
        <f t="shared" si="2"/>
        <v>9.1520905916315538</v>
      </c>
      <c r="S3">
        <f t="shared" si="2"/>
        <v>8.2032296901532824</v>
      </c>
      <c r="T3">
        <f t="shared" si="2"/>
        <v>9.1520905916315538</v>
      </c>
      <c r="U3">
        <f t="shared" si="2"/>
        <v>8.2032296901532824</v>
      </c>
      <c r="V3">
        <f t="shared" si="2"/>
        <v>9.1520905916315538</v>
      </c>
      <c r="W3">
        <f t="shared" si="2"/>
        <v>8.2032296901532824</v>
      </c>
      <c r="X3">
        <f t="shared" si="2"/>
        <v>9.1520905916315538</v>
      </c>
      <c r="Y3">
        <f t="shared" si="2"/>
        <v>8.2032296901532824</v>
      </c>
      <c r="Z3">
        <f t="shared" si="2"/>
        <v>9.1520905916315538</v>
      </c>
      <c r="AA3">
        <f t="shared" si="2"/>
        <v>8.2032296901532824</v>
      </c>
      <c r="AB3">
        <f t="shared" si="2"/>
        <v>9.1520905916315538</v>
      </c>
      <c r="AC3">
        <f t="shared" si="2"/>
        <v>8.2032296901532824</v>
      </c>
      <c r="AD3">
        <f t="shared" si="2"/>
        <v>9.1520905916315538</v>
      </c>
      <c r="AE3">
        <f t="shared" si="2"/>
        <v>8.2032296901532824</v>
      </c>
      <c r="AF3">
        <f t="shared" si="2"/>
        <v>9.1520905916315538</v>
      </c>
      <c r="AG3">
        <f t="shared" si="2"/>
        <v>8.2032296901532824</v>
      </c>
      <c r="AH3">
        <f t="shared" si="2"/>
        <v>9.1520905916315538</v>
      </c>
    </row>
    <row r="4" spans="1:34">
      <c r="A4" t="str">
        <f>CYF!A4</f>
        <v>Teff</v>
      </c>
      <c r="B4" t="str">
        <f>CYF!B4</f>
        <v>Afar</v>
      </c>
      <c r="C4">
        <v>8.4192825563799154</v>
      </c>
      <c r="D4">
        <v>9.4013070325917081</v>
      </c>
      <c r="E4">
        <f t="shared" ref="E4:E67" si="3">C4</f>
        <v>8.4192825563799154</v>
      </c>
      <c r="F4">
        <f t="shared" ref="F4:F67" si="4">D4</f>
        <v>9.4013070325917081</v>
      </c>
      <c r="G4">
        <f t="shared" ref="G4:G67" si="5">E4</f>
        <v>8.4192825563799154</v>
      </c>
      <c r="H4">
        <f t="shared" ref="H4:H67" si="6">F4</f>
        <v>9.4013070325917081</v>
      </c>
      <c r="I4">
        <f t="shared" ref="I4:I67" si="7">G4</f>
        <v>8.4192825563799154</v>
      </c>
      <c r="J4">
        <f t="shared" ref="J4:J67" si="8">H4</f>
        <v>9.4013070325917081</v>
      </c>
      <c r="K4">
        <f t="shared" ref="K4:K67" si="9">I4</f>
        <v>8.4192825563799154</v>
      </c>
      <c r="L4">
        <f t="shared" ref="L4:L67" si="10">J4</f>
        <v>9.4013070325917081</v>
      </c>
      <c r="M4">
        <f t="shared" ref="M4:M67" si="11">K4</f>
        <v>8.4192825563799154</v>
      </c>
      <c r="N4">
        <f t="shared" ref="N4:N67" si="12">L4</f>
        <v>9.4013070325917081</v>
      </c>
      <c r="O4">
        <f t="shared" ref="O4:O67" si="13">M4</f>
        <v>8.4192825563799154</v>
      </c>
      <c r="P4">
        <f t="shared" ref="P4:P67" si="14">N4</f>
        <v>9.4013070325917081</v>
      </c>
      <c r="Q4">
        <f t="shared" ref="Q4:Q67" si="15">O4</f>
        <v>8.4192825563799154</v>
      </c>
      <c r="R4">
        <f t="shared" ref="R4:R67" si="16">P4</f>
        <v>9.4013070325917081</v>
      </c>
      <c r="S4">
        <f t="shared" ref="S4:S67" si="17">Q4</f>
        <v>8.4192825563799154</v>
      </c>
      <c r="T4">
        <f t="shared" ref="T4:T67" si="18">R4</f>
        <v>9.4013070325917081</v>
      </c>
      <c r="U4">
        <f t="shared" ref="U4:U67" si="19">S4</f>
        <v>8.4192825563799154</v>
      </c>
      <c r="V4">
        <f t="shared" ref="V4:V67" si="20">T4</f>
        <v>9.4013070325917081</v>
      </c>
      <c r="W4">
        <f t="shared" ref="W4:W67" si="21">U4</f>
        <v>8.4192825563799154</v>
      </c>
      <c r="X4">
        <f t="shared" ref="X4:X67" si="22">V4</f>
        <v>9.4013070325917081</v>
      </c>
      <c r="Y4">
        <f t="shared" ref="Y4:Y67" si="23">W4</f>
        <v>8.4192825563799154</v>
      </c>
      <c r="Z4">
        <f t="shared" ref="Z4:Z67" si="24">X4</f>
        <v>9.4013070325917081</v>
      </c>
      <c r="AA4">
        <f t="shared" ref="AA4:AA67" si="25">Y4</f>
        <v>8.4192825563799154</v>
      </c>
      <c r="AB4">
        <f t="shared" ref="AB4:AB67" si="26">Z4</f>
        <v>9.4013070325917081</v>
      </c>
      <c r="AC4">
        <f t="shared" ref="AC4:AC67" si="27">AA4</f>
        <v>8.4192825563799154</v>
      </c>
      <c r="AD4">
        <f t="shared" ref="AD4:AD67" si="28">AB4</f>
        <v>9.4013070325917081</v>
      </c>
      <c r="AE4">
        <f t="shared" ref="AE4:AE67" si="29">AC4</f>
        <v>8.4192825563799154</v>
      </c>
      <c r="AF4">
        <f t="shared" ref="AF4:AF67" si="30">AD4</f>
        <v>9.4013070325917081</v>
      </c>
      <c r="AG4">
        <f t="shared" ref="AG4:AG67" si="31">AE4</f>
        <v>8.4192825563799154</v>
      </c>
      <c r="AH4">
        <f t="shared" ref="AH4:AH67" si="32">AF4</f>
        <v>9.4013070325917081</v>
      </c>
    </row>
    <row r="5" spans="1:34">
      <c r="A5" t="str">
        <f>CYF!A5</f>
        <v>Teff</v>
      </c>
      <c r="B5" t="str">
        <f>CYF!B5</f>
        <v>Amhara</v>
      </c>
      <c r="C5">
        <v>7.9341573729935231</v>
      </c>
      <c r="D5">
        <v>8.5851901713346201</v>
      </c>
      <c r="E5">
        <f t="shared" si="3"/>
        <v>7.9341573729935231</v>
      </c>
      <c r="F5">
        <f t="shared" si="4"/>
        <v>8.5851901713346201</v>
      </c>
      <c r="G5">
        <f t="shared" si="5"/>
        <v>7.9341573729935231</v>
      </c>
      <c r="H5">
        <f t="shared" si="6"/>
        <v>8.5851901713346201</v>
      </c>
      <c r="I5">
        <f t="shared" si="7"/>
        <v>7.9341573729935231</v>
      </c>
      <c r="J5">
        <f t="shared" si="8"/>
        <v>8.5851901713346201</v>
      </c>
      <c r="K5">
        <f t="shared" si="9"/>
        <v>7.9341573729935231</v>
      </c>
      <c r="L5">
        <f t="shared" si="10"/>
        <v>8.5851901713346201</v>
      </c>
      <c r="M5">
        <f t="shared" si="11"/>
        <v>7.9341573729935231</v>
      </c>
      <c r="N5">
        <f t="shared" si="12"/>
        <v>8.5851901713346201</v>
      </c>
      <c r="O5">
        <f t="shared" si="13"/>
        <v>7.9341573729935231</v>
      </c>
      <c r="P5">
        <f t="shared" si="14"/>
        <v>8.5851901713346201</v>
      </c>
      <c r="Q5">
        <f t="shared" si="15"/>
        <v>7.9341573729935231</v>
      </c>
      <c r="R5">
        <f t="shared" si="16"/>
        <v>8.5851901713346201</v>
      </c>
      <c r="S5">
        <f t="shared" si="17"/>
        <v>7.9341573729935231</v>
      </c>
      <c r="T5">
        <f t="shared" si="18"/>
        <v>8.5851901713346201</v>
      </c>
      <c r="U5">
        <f t="shared" si="19"/>
        <v>7.9341573729935231</v>
      </c>
      <c r="V5">
        <f t="shared" si="20"/>
        <v>8.5851901713346201</v>
      </c>
      <c r="W5">
        <f t="shared" si="21"/>
        <v>7.9341573729935231</v>
      </c>
      <c r="X5">
        <f t="shared" si="22"/>
        <v>8.5851901713346201</v>
      </c>
      <c r="Y5">
        <f t="shared" si="23"/>
        <v>7.9341573729935231</v>
      </c>
      <c r="Z5">
        <f t="shared" si="24"/>
        <v>8.5851901713346201</v>
      </c>
      <c r="AA5">
        <f t="shared" si="25"/>
        <v>7.9341573729935231</v>
      </c>
      <c r="AB5">
        <f t="shared" si="26"/>
        <v>8.5851901713346201</v>
      </c>
      <c r="AC5">
        <f t="shared" si="27"/>
        <v>7.9341573729935231</v>
      </c>
      <c r="AD5">
        <f t="shared" si="28"/>
        <v>8.5851901713346201</v>
      </c>
      <c r="AE5">
        <f t="shared" si="29"/>
        <v>7.9341573729935231</v>
      </c>
      <c r="AF5">
        <f t="shared" si="30"/>
        <v>8.5851901713346201</v>
      </c>
      <c r="AG5">
        <f t="shared" si="31"/>
        <v>7.9341573729935231</v>
      </c>
      <c r="AH5">
        <f t="shared" si="32"/>
        <v>8.5851901713346201</v>
      </c>
    </row>
    <row r="6" spans="1:34">
      <c r="A6" t="str">
        <f>CYF!A6</f>
        <v>Teff</v>
      </c>
      <c r="B6" t="str">
        <f>CYF!B6</f>
        <v>Gumuz</v>
      </c>
      <c r="C6">
        <v>7.2439129650074587</v>
      </c>
      <c r="D6">
        <v>8.7832835745166129</v>
      </c>
      <c r="E6">
        <f t="shared" si="3"/>
        <v>7.2439129650074587</v>
      </c>
      <c r="F6">
        <f t="shared" si="4"/>
        <v>8.7832835745166129</v>
      </c>
      <c r="G6">
        <f t="shared" si="5"/>
        <v>7.2439129650074587</v>
      </c>
      <c r="H6">
        <f t="shared" si="6"/>
        <v>8.7832835745166129</v>
      </c>
      <c r="I6">
        <f t="shared" si="7"/>
        <v>7.2439129650074587</v>
      </c>
      <c r="J6">
        <f t="shared" si="8"/>
        <v>8.7832835745166129</v>
      </c>
      <c r="K6">
        <f t="shared" si="9"/>
        <v>7.2439129650074587</v>
      </c>
      <c r="L6">
        <f t="shared" si="10"/>
        <v>8.7832835745166129</v>
      </c>
      <c r="M6">
        <f t="shared" si="11"/>
        <v>7.2439129650074587</v>
      </c>
      <c r="N6">
        <f t="shared" si="12"/>
        <v>8.7832835745166129</v>
      </c>
      <c r="O6">
        <f t="shared" si="13"/>
        <v>7.2439129650074587</v>
      </c>
      <c r="P6">
        <f t="shared" si="14"/>
        <v>8.7832835745166129</v>
      </c>
      <c r="Q6">
        <f t="shared" si="15"/>
        <v>7.2439129650074587</v>
      </c>
      <c r="R6">
        <f t="shared" si="16"/>
        <v>8.7832835745166129</v>
      </c>
      <c r="S6">
        <f t="shared" si="17"/>
        <v>7.2439129650074587</v>
      </c>
      <c r="T6">
        <f t="shared" si="18"/>
        <v>8.7832835745166129</v>
      </c>
      <c r="U6">
        <f t="shared" si="19"/>
        <v>7.2439129650074587</v>
      </c>
      <c r="V6">
        <f t="shared" si="20"/>
        <v>8.7832835745166129</v>
      </c>
      <c r="W6">
        <f t="shared" si="21"/>
        <v>7.2439129650074587</v>
      </c>
      <c r="X6">
        <f t="shared" si="22"/>
        <v>8.7832835745166129</v>
      </c>
      <c r="Y6">
        <f t="shared" si="23"/>
        <v>7.2439129650074587</v>
      </c>
      <c r="Z6">
        <f t="shared" si="24"/>
        <v>8.7832835745166129</v>
      </c>
      <c r="AA6">
        <f t="shared" si="25"/>
        <v>7.2439129650074587</v>
      </c>
      <c r="AB6">
        <f t="shared" si="26"/>
        <v>8.7832835745166129</v>
      </c>
      <c r="AC6">
        <f t="shared" si="27"/>
        <v>7.2439129650074587</v>
      </c>
      <c r="AD6">
        <f t="shared" si="28"/>
        <v>8.7832835745166129</v>
      </c>
      <c r="AE6">
        <f t="shared" si="29"/>
        <v>7.2439129650074587</v>
      </c>
      <c r="AF6">
        <f t="shared" si="30"/>
        <v>8.7832835745166129</v>
      </c>
      <c r="AG6">
        <f t="shared" si="31"/>
        <v>7.2439129650074587</v>
      </c>
      <c r="AH6">
        <f t="shared" si="32"/>
        <v>8.7832835745166129</v>
      </c>
    </row>
    <row r="7" spans="1:34">
      <c r="A7" t="str">
        <f>CYF!A7</f>
        <v>Teff</v>
      </c>
      <c r="B7" t="str">
        <f>CYF!B7</f>
        <v>DireDawa</v>
      </c>
      <c r="C7">
        <v>7.1508163709979877</v>
      </c>
      <c r="D7">
        <v>9.0209007068553753</v>
      </c>
      <c r="E7">
        <f t="shared" si="3"/>
        <v>7.1508163709979877</v>
      </c>
      <c r="F7">
        <f t="shared" si="4"/>
        <v>9.0209007068553753</v>
      </c>
      <c r="G7">
        <f t="shared" si="5"/>
        <v>7.1508163709979877</v>
      </c>
      <c r="H7">
        <f t="shared" si="6"/>
        <v>9.0209007068553753</v>
      </c>
      <c r="I7">
        <f t="shared" si="7"/>
        <v>7.1508163709979877</v>
      </c>
      <c r="J7">
        <f t="shared" si="8"/>
        <v>9.0209007068553753</v>
      </c>
      <c r="K7">
        <f t="shared" si="9"/>
        <v>7.1508163709979877</v>
      </c>
      <c r="L7">
        <f t="shared" si="10"/>
        <v>9.0209007068553753</v>
      </c>
      <c r="M7">
        <f t="shared" si="11"/>
        <v>7.1508163709979877</v>
      </c>
      <c r="N7">
        <f t="shared" si="12"/>
        <v>9.0209007068553753</v>
      </c>
      <c r="O7">
        <f t="shared" si="13"/>
        <v>7.1508163709979877</v>
      </c>
      <c r="P7">
        <f t="shared" si="14"/>
        <v>9.0209007068553753</v>
      </c>
      <c r="Q7">
        <f t="shared" si="15"/>
        <v>7.1508163709979877</v>
      </c>
      <c r="R7">
        <f t="shared" si="16"/>
        <v>9.0209007068553753</v>
      </c>
      <c r="S7">
        <f t="shared" si="17"/>
        <v>7.1508163709979877</v>
      </c>
      <c r="T7">
        <f t="shared" si="18"/>
        <v>9.0209007068553753</v>
      </c>
      <c r="U7">
        <f t="shared" si="19"/>
        <v>7.1508163709979877</v>
      </c>
      <c r="V7">
        <f t="shared" si="20"/>
        <v>9.0209007068553753</v>
      </c>
      <c r="W7">
        <f t="shared" si="21"/>
        <v>7.1508163709979877</v>
      </c>
      <c r="X7">
        <f t="shared" si="22"/>
        <v>9.0209007068553753</v>
      </c>
      <c r="Y7">
        <f t="shared" si="23"/>
        <v>7.1508163709979877</v>
      </c>
      <c r="Z7">
        <f t="shared" si="24"/>
        <v>9.0209007068553753</v>
      </c>
      <c r="AA7">
        <f t="shared" si="25"/>
        <v>7.1508163709979877</v>
      </c>
      <c r="AB7">
        <f t="shared" si="26"/>
        <v>9.0209007068553753</v>
      </c>
      <c r="AC7">
        <f t="shared" si="27"/>
        <v>7.1508163709979877</v>
      </c>
      <c r="AD7">
        <f t="shared" si="28"/>
        <v>9.0209007068553753</v>
      </c>
      <c r="AE7">
        <f t="shared" si="29"/>
        <v>7.1508163709979877</v>
      </c>
      <c r="AF7">
        <f t="shared" si="30"/>
        <v>9.0209007068553753</v>
      </c>
      <c r="AG7">
        <f t="shared" si="31"/>
        <v>7.1508163709979877</v>
      </c>
      <c r="AH7">
        <f t="shared" si="32"/>
        <v>9.0209007068553753</v>
      </c>
    </row>
    <row r="8" spans="1:34">
      <c r="A8" t="str">
        <f>CYF!A8</f>
        <v>Teff</v>
      </c>
      <c r="B8" t="str">
        <f>CYF!B8</f>
        <v>Gambela</v>
      </c>
      <c r="C8">
        <v>6.8198536305750661</v>
      </c>
      <c r="D8">
        <v>9.0177836502940885</v>
      </c>
      <c r="E8">
        <f t="shared" si="3"/>
        <v>6.8198536305750661</v>
      </c>
      <c r="F8">
        <f t="shared" si="4"/>
        <v>9.0177836502940885</v>
      </c>
      <c r="G8">
        <f t="shared" si="5"/>
        <v>6.8198536305750661</v>
      </c>
      <c r="H8">
        <f t="shared" si="6"/>
        <v>9.0177836502940885</v>
      </c>
      <c r="I8">
        <f t="shared" si="7"/>
        <v>6.8198536305750661</v>
      </c>
      <c r="J8">
        <f t="shared" si="8"/>
        <v>9.0177836502940885</v>
      </c>
      <c r="K8">
        <f t="shared" si="9"/>
        <v>6.8198536305750661</v>
      </c>
      <c r="L8">
        <f t="shared" si="10"/>
        <v>9.0177836502940885</v>
      </c>
      <c r="M8">
        <f t="shared" si="11"/>
        <v>6.8198536305750661</v>
      </c>
      <c r="N8">
        <f t="shared" si="12"/>
        <v>9.0177836502940885</v>
      </c>
      <c r="O8">
        <f t="shared" si="13"/>
        <v>6.8198536305750661</v>
      </c>
      <c r="P8">
        <f t="shared" si="14"/>
        <v>9.0177836502940885</v>
      </c>
      <c r="Q8">
        <f t="shared" si="15"/>
        <v>6.8198536305750661</v>
      </c>
      <c r="R8">
        <f t="shared" si="16"/>
        <v>9.0177836502940885</v>
      </c>
      <c r="S8">
        <f t="shared" si="17"/>
        <v>6.8198536305750661</v>
      </c>
      <c r="T8">
        <f t="shared" si="18"/>
        <v>9.0177836502940885</v>
      </c>
      <c r="U8">
        <f t="shared" si="19"/>
        <v>6.8198536305750661</v>
      </c>
      <c r="V8">
        <f t="shared" si="20"/>
        <v>9.0177836502940885</v>
      </c>
      <c r="W8">
        <f t="shared" si="21"/>
        <v>6.8198536305750661</v>
      </c>
      <c r="X8">
        <f t="shared" si="22"/>
        <v>9.0177836502940885</v>
      </c>
      <c r="Y8">
        <f t="shared" si="23"/>
        <v>6.8198536305750661</v>
      </c>
      <c r="Z8">
        <f t="shared" si="24"/>
        <v>9.0177836502940885</v>
      </c>
      <c r="AA8">
        <f t="shared" si="25"/>
        <v>6.8198536305750661</v>
      </c>
      <c r="AB8">
        <f t="shared" si="26"/>
        <v>9.0177836502940885</v>
      </c>
      <c r="AC8">
        <f t="shared" si="27"/>
        <v>6.8198536305750661</v>
      </c>
      <c r="AD8">
        <f t="shared" si="28"/>
        <v>9.0177836502940885</v>
      </c>
      <c r="AE8">
        <f t="shared" si="29"/>
        <v>6.8198536305750661</v>
      </c>
      <c r="AF8">
        <f t="shared" si="30"/>
        <v>9.0177836502940885</v>
      </c>
      <c r="AG8">
        <f t="shared" si="31"/>
        <v>6.8198536305750661</v>
      </c>
      <c r="AH8">
        <f t="shared" si="32"/>
        <v>9.0177836502940885</v>
      </c>
    </row>
    <row r="9" spans="1:34">
      <c r="A9" t="str">
        <f>CYF!A9</f>
        <v>Teff</v>
      </c>
      <c r="B9" t="str">
        <f>CYF!B9</f>
        <v>Harari</v>
      </c>
      <c r="C9">
        <v>7.4062089084530403</v>
      </c>
      <c r="D9">
        <v>9.1625111392166083</v>
      </c>
      <c r="E9">
        <f t="shared" si="3"/>
        <v>7.4062089084530403</v>
      </c>
      <c r="F9">
        <f t="shared" si="4"/>
        <v>9.1625111392166083</v>
      </c>
      <c r="G9">
        <f t="shared" si="5"/>
        <v>7.4062089084530403</v>
      </c>
      <c r="H9">
        <f t="shared" si="6"/>
        <v>9.1625111392166083</v>
      </c>
      <c r="I9">
        <f t="shared" si="7"/>
        <v>7.4062089084530403</v>
      </c>
      <c r="J9">
        <f t="shared" si="8"/>
        <v>9.1625111392166083</v>
      </c>
      <c r="K9">
        <f t="shared" si="9"/>
        <v>7.4062089084530403</v>
      </c>
      <c r="L9">
        <f t="shared" si="10"/>
        <v>9.1625111392166083</v>
      </c>
      <c r="M9">
        <f t="shared" si="11"/>
        <v>7.4062089084530403</v>
      </c>
      <c r="N9">
        <f t="shared" si="12"/>
        <v>9.1625111392166083</v>
      </c>
      <c r="O9">
        <f t="shared" si="13"/>
        <v>7.4062089084530403</v>
      </c>
      <c r="P9">
        <f t="shared" si="14"/>
        <v>9.1625111392166083</v>
      </c>
      <c r="Q9">
        <f t="shared" si="15"/>
        <v>7.4062089084530403</v>
      </c>
      <c r="R9">
        <f t="shared" si="16"/>
        <v>9.1625111392166083</v>
      </c>
      <c r="S9">
        <f t="shared" si="17"/>
        <v>7.4062089084530403</v>
      </c>
      <c r="T9">
        <f t="shared" si="18"/>
        <v>9.1625111392166083</v>
      </c>
      <c r="U9">
        <f t="shared" si="19"/>
        <v>7.4062089084530403</v>
      </c>
      <c r="V9">
        <f t="shared" si="20"/>
        <v>9.1625111392166083</v>
      </c>
      <c r="W9">
        <f t="shared" si="21"/>
        <v>7.4062089084530403</v>
      </c>
      <c r="X9">
        <f t="shared" si="22"/>
        <v>9.1625111392166083</v>
      </c>
      <c r="Y9">
        <f t="shared" si="23"/>
        <v>7.4062089084530403</v>
      </c>
      <c r="Z9">
        <f t="shared" si="24"/>
        <v>9.1625111392166083</v>
      </c>
      <c r="AA9">
        <f t="shared" si="25"/>
        <v>7.4062089084530403</v>
      </c>
      <c r="AB9">
        <f t="shared" si="26"/>
        <v>9.1625111392166083</v>
      </c>
      <c r="AC9">
        <f t="shared" si="27"/>
        <v>7.4062089084530403</v>
      </c>
      <c r="AD9">
        <f t="shared" si="28"/>
        <v>9.1625111392166083</v>
      </c>
      <c r="AE9">
        <f t="shared" si="29"/>
        <v>7.4062089084530403</v>
      </c>
      <c r="AF9">
        <f t="shared" si="30"/>
        <v>9.1625111392166083</v>
      </c>
      <c r="AG9">
        <f t="shared" si="31"/>
        <v>7.4062089084530403</v>
      </c>
      <c r="AH9">
        <f t="shared" si="32"/>
        <v>9.1625111392166083</v>
      </c>
    </row>
    <row r="10" spans="1:34">
      <c r="A10" t="str">
        <f>CYF!A10</f>
        <v>Teff</v>
      </c>
      <c r="B10" t="str">
        <f>CYF!B10</f>
        <v>Oromia</v>
      </c>
      <c r="C10">
        <v>6.8667333715961805</v>
      </c>
      <c r="D10">
        <v>8.5612813192613171</v>
      </c>
      <c r="E10">
        <f t="shared" si="3"/>
        <v>6.8667333715961805</v>
      </c>
      <c r="F10">
        <f t="shared" si="4"/>
        <v>8.5612813192613171</v>
      </c>
      <c r="G10">
        <f t="shared" si="5"/>
        <v>6.8667333715961805</v>
      </c>
      <c r="H10">
        <f t="shared" si="6"/>
        <v>8.5612813192613171</v>
      </c>
      <c r="I10">
        <f t="shared" si="7"/>
        <v>6.8667333715961805</v>
      </c>
      <c r="J10">
        <f t="shared" si="8"/>
        <v>8.5612813192613171</v>
      </c>
      <c r="K10">
        <f t="shared" si="9"/>
        <v>6.8667333715961805</v>
      </c>
      <c r="L10">
        <f t="shared" si="10"/>
        <v>8.5612813192613171</v>
      </c>
      <c r="M10">
        <f t="shared" si="11"/>
        <v>6.8667333715961805</v>
      </c>
      <c r="N10">
        <f t="shared" si="12"/>
        <v>8.5612813192613171</v>
      </c>
      <c r="O10">
        <f t="shared" si="13"/>
        <v>6.8667333715961805</v>
      </c>
      <c r="P10">
        <f t="shared" si="14"/>
        <v>8.5612813192613171</v>
      </c>
      <c r="Q10">
        <f t="shared" si="15"/>
        <v>6.8667333715961805</v>
      </c>
      <c r="R10">
        <f t="shared" si="16"/>
        <v>8.5612813192613171</v>
      </c>
      <c r="S10">
        <f t="shared" si="17"/>
        <v>6.8667333715961805</v>
      </c>
      <c r="T10">
        <f t="shared" si="18"/>
        <v>8.5612813192613171</v>
      </c>
      <c r="U10">
        <f t="shared" si="19"/>
        <v>6.8667333715961805</v>
      </c>
      <c r="V10">
        <f t="shared" si="20"/>
        <v>8.5612813192613171</v>
      </c>
      <c r="W10">
        <f t="shared" si="21"/>
        <v>6.8667333715961805</v>
      </c>
      <c r="X10">
        <f t="shared" si="22"/>
        <v>8.5612813192613171</v>
      </c>
      <c r="Y10">
        <f t="shared" si="23"/>
        <v>6.8667333715961805</v>
      </c>
      <c r="Z10">
        <f t="shared" si="24"/>
        <v>8.5612813192613171</v>
      </c>
      <c r="AA10">
        <f t="shared" si="25"/>
        <v>6.8667333715961805</v>
      </c>
      <c r="AB10">
        <f t="shared" si="26"/>
        <v>8.5612813192613171</v>
      </c>
      <c r="AC10">
        <f t="shared" si="27"/>
        <v>6.8667333715961805</v>
      </c>
      <c r="AD10">
        <f t="shared" si="28"/>
        <v>8.5612813192613171</v>
      </c>
      <c r="AE10">
        <f t="shared" si="29"/>
        <v>6.8667333715961805</v>
      </c>
      <c r="AF10">
        <f t="shared" si="30"/>
        <v>8.5612813192613171</v>
      </c>
      <c r="AG10">
        <f t="shared" si="31"/>
        <v>6.8667333715961805</v>
      </c>
      <c r="AH10">
        <f t="shared" si="32"/>
        <v>8.5612813192613171</v>
      </c>
    </row>
    <row r="11" spans="1:34">
      <c r="A11" t="str">
        <f>CYF!A11</f>
        <v>Teff</v>
      </c>
      <c r="B11" t="str">
        <f>CYF!B11</f>
        <v>Somali</v>
      </c>
      <c r="C11">
        <v>6.5775925771723562</v>
      </c>
      <c r="D11">
        <v>8.5647561684122984</v>
      </c>
      <c r="E11">
        <f t="shared" si="3"/>
        <v>6.5775925771723562</v>
      </c>
      <c r="F11">
        <f t="shared" si="4"/>
        <v>8.5647561684122984</v>
      </c>
      <c r="G11">
        <f t="shared" si="5"/>
        <v>6.5775925771723562</v>
      </c>
      <c r="H11">
        <f t="shared" si="6"/>
        <v>8.5647561684122984</v>
      </c>
      <c r="I11">
        <f t="shared" si="7"/>
        <v>6.5775925771723562</v>
      </c>
      <c r="J11">
        <f t="shared" si="8"/>
        <v>8.5647561684122984</v>
      </c>
      <c r="K11">
        <f t="shared" si="9"/>
        <v>6.5775925771723562</v>
      </c>
      <c r="L11">
        <f t="shared" si="10"/>
        <v>8.5647561684122984</v>
      </c>
      <c r="M11">
        <f t="shared" si="11"/>
        <v>6.5775925771723562</v>
      </c>
      <c r="N11">
        <f t="shared" si="12"/>
        <v>8.5647561684122984</v>
      </c>
      <c r="O11">
        <f t="shared" si="13"/>
        <v>6.5775925771723562</v>
      </c>
      <c r="P11">
        <f t="shared" si="14"/>
        <v>8.5647561684122984</v>
      </c>
      <c r="Q11">
        <f t="shared" si="15"/>
        <v>6.5775925771723562</v>
      </c>
      <c r="R11">
        <f t="shared" si="16"/>
        <v>8.5647561684122984</v>
      </c>
      <c r="S11">
        <f t="shared" si="17"/>
        <v>6.5775925771723562</v>
      </c>
      <c r="T11">
        <f t="shared" si="18"/>
        <v>8.5647561684122984</v>
      </c>
      <c r="U11">
        <f t="shared" si="19"/>
        <v>6.5775925771723562</v>
      </c>
      <c r="V11">
        <f t="shared" si="20"/>
        <v>8.5647561684122984</v>
      </c>
      <c r="W11">
        <f t="shared" si="21"/>
        <v>6.5775925771723562</v>
      </c>
      <c r="X11">
        <f t="shared" si="22"/>
        <v>8.5647561684122984</v>
      </c>
      <c r="Y11">
        <f t="shared" si="23"/>
        <v>6.5775925771723562</v>
      </c>
      <c r="Z11">
        <f t="shared" si="24"/>
        <v>8.5647561684122984</v>
      </c>
      <c r="AA11">
        <f t="shared" si="25"/>
        <v>6.5775925771723562</v>
      </c>
      <c r="AB11">
        <f t="shared" si="26"/>
        <v>8.5647561684122984</v>
      </c>
      <c r="AC11">
        <f t="shared" si="27"/>
        <v>6.5775925771723562</v>
      </c>
      <c r="AD11">
        <f t="shared" si="28"/>
        <v>8.5647561684122984</v>
      </c>
      <c r="AE11">
        <f t="shared" si="29"/>
        <v>6.5775925771723562</v>
      </c>
      <c r="AF11">
        <f t="shared" si="30"/>
        <v>8.5647561684122984</v>
      </c>
      <c r="AG11">
        <f t="shared" si="31"/>
        <v>6.5775925771723562</v>
      </c>
      <c r="AH11">
        <f t="shared" si="32"/>
        <v>8.5647561684122984</v>
      </c>
    </row>
    <row r="12" spans="1:34">
      <c r="A12" t="str">
        <f>CYF!A12</f>
        <v>Teff</v>
      </c>
      <c r="B12" t="str">
        <f>CYF!B12</f>
        <v>SNNPR</v>
      </c>
      <c r="C12">
        <v>7.2914222872397083</v>
      </c>
      <c r="D12">
        <v>9.0532821190593804</v>
      </c>
      <c r="E12">
        <f t="shared" si="3"/>
        <v>7.2914222872397083</v>
      </c>
      <c r="F12">
        <f t="shared" si="4"/>
        <v>9.0532821190593804</v>
      </c>
      <c r="G12">
        <f t="shared" si="5"/>
        <v>7.2914222872397083</v>
      </c>
      <c r="H12">
        <f t="shared" si="6"/>
        <v>9.0532821190593804</v>
      </c>
      <c r="I12">
        <f t="shared" si="7"/>
        <v>7.2914222872397083</v>
      </c>
      <c r="J12">
        <f t="shared" si="8"/>
        <v>9.0532821190593804</v>
      </c>
      <c r="K12">
        <f t="shared" si="9"/>
        <v>7.2914222872397083</v>
      </c>
      <c r="L12">
        <f t="shared" si="10"/>
        <v>9.0532821190593804</v>
      </c>
      <c r="M12">
        <f t="shared" si="11"/>
        <v>7.2914222872397083</v>
      </c>
      <c r="N12">
        <f t="shared" si="12"/>
        <v>9.0532821190593804</v>
      </c>
      <c r="O12">
        <f t="shared" si="13"/>
        <v>7.2914222872397083</v>
      </c>
      <c r="P12">
        <f t="shared" si="14"/>
        <v>9.0532821190593804</v>
      </c>
      <c r="Q12">
        <f t="shared" si="15"/>
        <v>7.2914222872397083</v>
      </c>
      <c r="R12">
        <f t="shared" si="16"/>
        <v>9.0532821190593804</v>
      </c>
      <c r="S12">
        <f t="shared" si="17"/>
        <v>7.2914222872397083</v>
      </c>
      <c r="T12">
        <f t="shared" si="18"/>
        <v>9.0532821190593804</v>
      </c>
      <c r="U12">
        <f t="shared" si="19"/>
        <v>7.2914222872397083</v>
      </c>
      <c r="V12">
        <f t="shared" si="20"/>
        <v>9.0532821190593804</v>
      </c>
      <c r="W12">
        <f t="shared" si="21"/>
        <v>7.2914222872397083</v>
      </c>
      <c r="X12">
        <f t="shared" si="22"/>
        <v>9.0532821190593804</v>
      </c>
      <c r="Y12">
        <f t="shared" si="23"/>
        <v>7.2914222872397083</v>
      </c>
      <c r="Z12">
        <f t="shared" si="24"/>
        <v>9.0532821190593804</v>
      </c>
      <c r="AA12">
        <f t="shared" si="25"/>
        <v>7.2914222872397083</v>
      </c>
      <c r="AB12">
        <f t="shared" si="26"/>
        <v>9.0532821190593804</v>
      </c>
      <c r="AC12">
        <f t="shared" si="27"/>
        <v>7.2914222872397083</v>
      </c>
      <c r="AD12">
        <f t="shared" si="28"/>
        <v>9.0532821190593804</v>
      </c>
      <c r="AE12">
        <f t="shared" si="29"/>
        <v>7.2914222872397083</v>
      </c>
      <c r="AF12">
        <f t="shared" si="30"/>
        <v>9.0532821190593804</v>
      </c>
      <c r="AG12">
        <f t="shared" si="31"/>
        <v>7.2914222872397083</v>
      </c>
      <c r="AH12">
        <f t="shared" si="32"/>
        <v>9.0532821190593804</v>
      </c>
    </row>
    <row r="13" spans="1:34">
      <c r="A13" t="str">
        <f>CYF!A13</f>
        <v>Teff</v>
      </c>
      <c r="B13" t="str">
        <f>CYF!B13</f>
        <v>Tigray</v>
      </c>
      <c r="C13">
        <v>6.1372006895467903</v>
      </c>
      <c r="D13">
        <v>8.7128843276261421</v>
      </c>
      <c r="E13">
        <f t="shared" si="3"/>
        <v>6.1372006895467903</v>
      </c>
      <c r="F13">
        <f t="shared" si="4"/>
        <v>8.7128843276261421</v>
      </c>
      <c r="G13">
        <f t="shared" si="5"/>
        <v>6.1372006895467903</v>
      </c>
      <c r="H13">
        <f t="shared" si="6"/>
        <v>8.7128843276261421</v>
      </c>
      <c r="I13">
        <f t="shared" si="7"/>
        <v>6.1372006895467903</v>
      </c>
      <c r="J13">
        <f t="shared" si="8"/>
        <v>8.7128843276261421</v>
      </c>
      <c r="K13">
        <f t="shared" si="9"/>
        <v>6.1372006895467903</v>
      </c>
      <c r="L13">
        <f t="shared" si="10"/>
        <v>8.7128843276261421</v>
      </c>
      <c r="M13">
        <f t="shared" si="11"/>
        <v>6.1372006895467903</v>
      </c>
      <c r="N13">
        <f t="shared" si="12"/>
        <v>8.7128843276261421</v>
      </c>
      <c r="O13">
        <f t="shared" si="13"/>
        <v>6.1372006895467903</v>
      </c>
      <c r="P13">
        <f t="shared" si="14"/>
        <v>8.7128843276261421</v>
      </c>
      <c r="Q13">
        <f t="shared" si="15"/>
        <v>6.1372006895467903</v>
      </c>
      <c r="R13">
        <f t="shared" si="16"/>
        <v>8.7128843276261421</v>
      </c>
      <c r="S13">
        <f t="shared" si="17"/>
        <v>6.1372006895467903</v>
      </c>
      <c r="T13">
        <f t="shared" si="18"/>
        <v>8.7128843276261421</v>
      </c>
      <c r="U13">
        <f t="shared" si="19"/>
        <v>6.1372006895467903</v>
      </c>
      <c r="V13">
        <f t="shared" si="20"/>
        <v>8.7128843276261421</v>
      </c>
      <c r="W13">
        <f t="shared" si="21"/>
        <v>6.1372006895467903</v>
      </c>
      <c r="X13">
        <f t="shared" si="22"/>
        <v>8.7128843276261421</v>
      </c>
      <c r="Y13">
        <f t="shared" si="23"/>
        <v>6.1372006895467903</v>
      </c>
      <c r="Z13">
        <f t="shared" si="24"/>
        <v>8.7128843276261421</v>
      </c>
      <c r="AA13">
        <f t="shared" si="25"/>
        <v>6.1372006895467903</v>
      </c>
      <c r="AB13">
        <f t="shared" si="26"/>
        <v>8.7128843276261421</v>
      </c>
      <c r="AC13">
        <f t="shared" si="27"/>
        <v>6.1372006895467903</v>
      </c>
      <c r="AD13">
        <f t="shared" si="28"/>
        <v>8.7128843276261421</v>
      </c>
      <c r="AE13">
        <f t="shared" si="29"/>
        <v>6.1372006895467903</v>
      </c>
      <c r="AF13">
        <f t="shared" si="30"/>
        <v>8.7128843276261421</v>
      </c>
      <c r="AG13">
        <f t="shared" si="31"/>
        <v>6.1372006895467903</v>
      </c>
      <c r="AH13">
        <f t="shared" si="32"/>
        <v>8.7128843276261421</v>
      </c>
    </row>
    <row r="14" spans="1:34">
      <c r="A14" t="str">
        <f>CYF!A14</f>
        <v>Sorghum</v>
      </c>
      <c r="B14" t="str">
        <f>CYF!B14</f>
        <v>AddisAbaba</v>
      </c>
      <c r="C14">
        <v>9.28093011163641</v>
      </c>
      <c r="D14">
        <v>11.683484054323557</v>
      </c>
      <c r="E14">
        <f t="shared" si="3"/>
        <v>9.28093011163641</v>
      </c>
      <c r="F14">
        <f t="shared" si="4"/>
        <v>11.683484054323557</v>
      </c>
      <c r="G14">
        <f t="shared" si="5"/>
        <v>9.28093011163641</v>
      </c>
      <c r="H14">
        <f t="shared" si="6"/>
        <v>11.683484054323557</v>
      </c>
      <c r="I14">
        <f t="shared" si="7"/>
        <v>9.28093011163641</v>
      </c>
      <c r="J14">
        <f t="shared" si="8"/>
        <v>11.683484054323557</v>
      </c>
      <c r="K14">
        <f t="shared" si="9"/>
        <v>9.28093011163641</v>
      </c>
      <c r="L14">
        <f t="shared" si="10"/>
        <v>11.683484054323557</v>
      </c>
      <c r="M14">
        <f t="shared" si="11"/>
        <v>9.28093011163641</v>
      </c>
      <c r="N14">
        <f t="shared" si="12"/>
        <v>11.683484054323557</v>
      </c>
      <c r="O14">
        <f t="shared" si="13"/>
        <v>9.28093011163641</v>
      </c>
      <c r="P14">
        <f t="shared" si="14"/>
        <v>11.683484054323557</v>
      </c>
      <c r="Q14">
        <f t="shared" si="15"/>
        <v>9.28093011163641</v>
      </c>
      <c r="R14">
        <f t="shared" si="16"/>
        <v>11.683484054323557</v>
      </c>
      <c r="S14">
        <f t="shared" si="17"/>
        <v>9.28093011163641</v>
      </c>
      <c r="T14">
        <f t="shared" si="18"/>
        <v>11.683484054323557</v>
      </c>
      <c r="U14">
        <f t="shared" si="19"/>
        <v>9.28093011163641</v>
      </c>
      <c r="V14">
        <f t="shared" si="20"/>
        <v>11.683484054323557</v>
      </c>
      <c r="W14">
        <f t="shared" si="21"/>
        <v>9.28093011163641</v>
      </c>
      <c r="X14">
        <f t="shared" si="22"/>
        <v>11.683484054323557</v>
      </c>
      <c r="Y14">
        <f t="shared" si="23"/>
        <v>9.28093011163641</v>
      </c>
      <c r="Z14">
        <f t="shared" si="24"/>
        <v>11.683484054323557</v>
      </c>
      <c r="AA14">
        <f t="shared" si="25"/>
        <v>9.28093011163641</v>
      </c>
      <c r="AB14">
        <f t="shared" si="26"/>
        <v>11.683484054323557</v>
      </c>
      <c r="AC14">
        <f t="shared" si="27"/>
        <v>9.28093011163641</v>
      </c>
      <c r="AD14">
        <f t="shared" si="28"/>
        <v>11.683484054323557</v>
      </c>
      <c r="AE14">
        <f t="shared" si="29"/>
        <v>9.28093011163641</v>
      </c>
      <c r="AF14">
        <f t="shared" si="30"/>
        <v>11.683484054323557</v>
      </c>
      <c r="AG14">
        <f t="shared" si="31"/>
        <v>9.28093011163641</v>
      </c>
      <c r="AH14">
        <f t="shared" si="32"/>
        <v>11.683484054323557</v>
      </c>
    </row>
    <row r="15" spans="1:34">
      <c r="A15" t="str">
        <f>CYF!A15</f>
        <v>Sorghum</v>
      </c>
      <c r="B15" t="str">
        <f>CYF!B15</f>
        <v>Afar</v>
      </c>
      <c r="C15">
        <v>9.1063856840124426</v>
      </c>
      <c r="D15">
        <v>11.214383466588849</v>
      </c>
      <c r="E15">
        <f t="shared" si="3"/>
        <v>9.1063856840124426</v>
      </c>
      <c r="F15">
        <f t="shared" si="4"/>
        <v>11.214383466588849</v>
      </c>
      <c r="G15">
        <f t="shared" si="5"/>
        <v>9.1063856840124426</v>
      </c>
      <c r="H15">
        <f t="shared" si="6"/>
        <v>11.214383466588849</v>
      </c>
      <c r="I15">
        <f t="shared" si="7"/>
        <v>9.1063856840124426</v>
      </c>
      <c r="J15">
        <f t="shared" si="8"/>
        <v>11.214383466588849</v>
      </c>
      <c r="K15">
        <f t="shared" si="9"/>
        <v>9.1063856840124426</v>
      </c>
      <c r="L15">
        <f t="shared" si="10"/>
        <v>11.214383466588849</v>
      </c>
      <c r="M15">
        <f t="shared" si="11"/>
        <v>9.1063856840124426</v>
      </c>
      <c r="N15">
        <f t="shared" si="12"/>
        <v>11.214383466588849</v>
      </c>
      <c r="O15">
        <f t="shared" si="13"/>
        <v>9.1063856840124426</v>
      </c>
      <c r="P15">
        <f t="shared" si="14"/>
        <v>11.214383466588849</v>
      </c>
      <c r="Q15">
        <f t="shared" si="15"/>
        <v>9.1063856840124426</v>
      </c>
      <c r="R15">
        <f t="shared" si="16"/>
        <v>11.214383466588849</v>
      </c>
      <c r="S15">
        <f t="shared" si="17"/>
        <v>9.1063856840124426</v>
      </c>
      <c r="T15">
        <f t="shared" si="18"/>
        <v>11.214383466588849</v>
      </c>
      <c r="U15">
        <f t="shared" si="19"/>
        <v>9.1063856840124426</v>
      </c>
      <c r="V15">
        <f t="shared" si="20"/>
        <v>11.214383466588849</v>
      </c>
      <c r="W15">
        <f t="shared" si="21"/>
        <v>9.1063856840124426</v>
      </c>
      <c r="X15">
        <f t="shared" si="22"/>
        <v>11.214383466588849</v>
      </c>
      <c r="Y15">
        <f t="shared" si="23"/>
        <v>9.1063856840124426</v>
      </c>
      <c r="Z15">
        <f t="shared" si="24"/>
        <v>11.214383466588849</v>
      </c>
      <c r="AA15">
        <f t="shared" si="25"/>
        <v>9.1063856840124426</v>
      </c>
      <c r="AB15">
        <f t="shared" si="26"/>
        <v>11.214383466588849</v>
      </c>
      <c r="AC15">
        <f t="shared" si="27"/>
        <v>9.1063856840124426</v>
      </c>
      <c r="AD15">
        <f t="shared" si="28"/>
        <v>11.214383466588849</v>
      </c>
      <c r="AE15">
        <f t="shared" si="29"/>
        <v>9.1063856840124426</v>
      </c>
      <c r="AF15">
        <f t="shared" si="30"/>
        <v>11.214383466588849</v>
      </c>
      <c r="AG15">
        <f t="shared" si="31"/>
        <v>9.1063856840124426</v>
      </c>
      <c r="AH15">
        <f t="shared" si="32"/>
        <v>11.214383466588849</v>
      </c>
    </row>
    <row r="16" spans="1:34">
      <c r="A16" t="str">
        <f>CYF!A16</f>
        <v>Sorghum</v>
      </c>
      <c r="B16" t="str">
        <f>CYF!B16</f>
        <v>Amhara</v>
      </c>
      <c r="C16">
        <v>10.984022131135202</v>
      </c>
      <c r="D16">
        <v>11.001131184448109</v>
      </c>
      <c r="E16">
        <f t="shared" si="3"/>
        <v>10.984022131135202</v>
      </c>
      <c r="F16">
        <f t="shared" si="4"/>
        <v>11.001131184448109</v>
      </c>
      <c r="G16">
        <f t="shared" si="5"/>
        <v>10.984022131135202</v>
      </c>
      <c r="H16">
        <f t="shared" si="6"/>
        <v>11.001131184448109</v>
      </c>
      <c r="I16">
        <f t="shared" si="7"/>
        <v>10.984022131135202</v>
      </c>
      <c r="J16">
        <f t="shared" si="8"/>
        <v>11.001131184448109</v>
      </c>
      <c r="K16">
        <f t="shared" si="9"/>
        <v>10.984022131135202</v>
      </c>
      <c r="L16">
        <f t="shared" si="10"/>
        <v>11.001131184448109</v>
      </c>
      <c r="M16">
        <f t="shared" si="11"/>
        <v>10.984022131135202</v>
      </c>
      <c r="N16">
        <f t="shared" si="12"/>
        <v>11.001131184448109</v>
      </c>
      <c r="O16">
        <f t="shared" si="13"/>
        <v>10.984022131135202</v>
      </c>
      <c r="P16">
        <f t="shared" si="14"/>
        <v>11.001131184448109</v>
      </c>
      <c r="Q16">
        <f t="shared" si="15"/>
        <v>10.984022131135202</v>
      </c>
      <c r="R16">
        <f t="shared" si="16"/>
        <v>11.001131184448109</v>
      </c>
      <c r="S16">
        <f t="shared" si="17"/>
        <v>10.984022131135202</v>
      </c>
      <c r="T16">
        <f t="shared" si="18"/>
        <v>11.001131184448109</v>
      </c>
      <c r="U16">
        <f t="shared" si="19"/>
        <v>10.984022131135202</v>
      </c>
      <c r="V16">
        <f t="shared" si="20"/>
        <v>11.001131184448109</v>
      </c>
      <c r="W16">
        <f t="shared" si="21"/>
        <v>10.984022131135202</v>
      </c>
      <c r="X16">
        <f t="shared" si="22"/>
        <v>11.001131184448109</v>
      </c>
      <c r="Y16">
        <f t="shared" si="23"/>
        <v>10.984022131135202</v>
      </c>
      <c r="Z16">
        <f t="shared" si="24"/>
        <v>11.001131184448109</v>
      </c>
      <c r="AA16">
        <f t="shared" si="25"/>
        <v>10.984022131135202</v>
      </c>
      <c r="AB16">
        <f t="shared" si="26"/>
        <v>11.001131184448109</v>
      </c>
      <c r="AC16">
        <f t="shared" si="27"/>
        <v>10.984022131135202</v>
      </c>
      <c r="AD16">
        <f t="shared" si="28"/>
        <v>11.001131184448109</v>
      </c>
      <c r="AE16">
        <f t="shared" si="29"/>
        <v>10.984022131135202</v>
      </c>
      <c r="AF16">
        <f t="shared" si="30"/>
        <v>11.001131184448109</v>
      </c>
      <c r="AG16">
        <f t="shared" si="31"/>
        <v>10.984022131135202</v>
      </c>
      <c r="AH16">
        <f t="shared" si="32"/>
        <v>11.001131184448109</v>
      </c>
    </row>
    <row r="17" spans="1:34">
      <c r="A17" t="str">
        <f>CYF!A17</f>
        <v>Sorghum</v>
      </c>
      <c r="B17" t="str">
        <f>CYF!B17</f>
        <v>Gumuz</v>
      </c>
      <c r="C17">
        <v>10.381057669971467</v>
      </c>
      <c r="D17">
        <v>11.036798075850534</v>
      </c>
      <c r="E17">
        <f t="shared" si="3"/>
        <v>10.381057669971467</v>
      </c>
      <c r="F17">
        <f t="shared" si="4"/>
        <v>11.036798075850534</v>
      </c>
      <c r="G17">
        <f t="shared" si="5"/>
        <v>10.381057669971467</v>
      </c>
      <c r="H17">
        <f t="shared" si="6"/>
        <v>11.036798075850534</v>
      </c>
      <c r="I17">
        <f t="shared" si="7"/>
        <v>10.381057669971467</v>
      </c>
      <c r="J17">
        <f t="shared" si="8"/>
        <v>11.036798075850534</v>
      </c>
      <c r="K17">
        <f t="shared" si="9"/>
        <v>10.381057669971467</v>
      </c>
      <c r="L17">
        <f t="shared" si="10"/>
        <v>11.036798075850534</v>
      </c>
      <c r="M17">
        <f t="shared" si="11"/>
        <v>10.381057669971467</v>
      </c>
      <c r="N17">
        <f t="shared" si="12"/>
        <v>11.036798075850534</v>
      </c>
      <c r="O17">
        <f t="shared" si="13"/>
        <v>10.381057669971467</v>
      </c>
      <c r="P17">
        <f t="shared" si="14"/>
        <v>11.036798075850534</v>
      </c>
      <c r="Q17">
        <f t="shared" si="15"/>
        <v>10.381057669971467</v>
      </c>
      <c r="R17">
        <f t="shared" si="16"/>
        <v>11.036798075850534</v>
      </c>
      <c r="S17">
        <f t="shared" si="17"/>
        <v>10.381057669971467</v>
      </c>
      <c r="T17">
        <f t="shared" si="18"/>
        <v>11.036798075850534</v>
      </c>
      <c r="U17">
        <f t="shared" si="19"/>
        <v>10.381057669971467</v>
      </c>
      <c r="V17">
        <f t="shared" si="20"/>
        <v>11.036798075850534</v>
      </c>
      <c r="W17">
        <f t="shared" si="21"/>
        <v>10.381057669971467</v>
      </c>
      <c r="X17">
        <f t="shared" si="22"/>
        <v>11.036798075850534</v>
      </c>
      <c r="Y17">
        <f t="shared" si="23"/>
        <v>10.381057669971467</v>
      </c>
      <c r="Z17">
        <f t="shared" si="24"/>
        <v>11.036798075850534</v>
      </c>
      <c r="AA17">
        <f t="shared" si="25"/>
        <v>10.381057669971467</v>
      </c>
      <c r="AB17">
        <f t="shared" si="26"/>
        <v>11.036798075850534</v>
      </c>
      <c r="AC17">
        <f t="shared" si="27"/>
        <v>10.381057669971467</v>
      </c>
      <c r="AD17">
        <f t="shared" si="28"/>
        <v>11.036798075850534</v>
      </c>
      <c r="AE17">
        <f t="shared" si="29"/>
        <v>10.381057669971467</v>
      </c>
      <c r="AF17">
        <f t="shared" si="30"/>
        <v>11.036798075850534</v>
      </c>
      <c r="AG17">
        <f t="shared" si="31"/>
        <v>10.381057669971467</v>
      </c>
      <c r="AH17">
        <f t="shared" si="32"/>
        <v>11.036798075850534</v>
      </c>
    </row>
    <row r="18" spans="1:34">
      <c r="A18" t="str">
        <f>CYF!A18</f>
        <v>Sorghum</v>
      </c>
      <c r="B18" t="str">
        <f>CYF!B18</f>
        <v>DireDawa</v>
      </c>
      <c r="C18">
        <v>9.0134255124870855</v>
      </c>
      <c r="D18">
        <v>11.935879139236727</v>
      </c>
      <c r="E18">
        <f t="shared" si="3"/>
        <v>9.0134255124870855</v>
      </c>
      <c r="F18">
        <f t="shared" si="4"/>
        <v>11.935879139236727</v>
      </c>
      <c r="G18">
        <f t="shared" si="5"/>
        <v>9.0134255124870855</v>
      </c>
      <c r="H18">
        <f t="shared" si="6"/>
        <v>11.935879139236727</v>
      </c>
      <c r="I18">
        <f t="shared" si="7"/>
        <v>9.0134255124870855</v>
      </c>
      <c r="J18">
        <f t="shared" si="8"/>
        <v>11.935879139236727</v>
      </c>
      <c r="K18">
        <f t="shared" si="9"/>
        <v>9.0134255124870855</v>
      </c>
      <c r="L18">
        <f t="shared" si="10"/>
        <v>11.935879139236727</v>
      </c>
      <c r="M18">
        <f t="shared" si="11"/>
        <v>9.0134255124870855</v>
      </c>
      <c r="N18">
        <f t="shared" si="12"/>
        <v>11.935879139236727</v>
      </c>
      <c r="O18">
        <f t="shared" si="13"/>
        <v>9.0134255124870855</v>
      </c>
      <c r="P18">
        <f t="shared" si="14"/>
        <v>11.935879139236727</v>
      </c>
      <c r="Q18">
        <f t="shared" si="15"/>
        <v>9.0134255124870855</v>
      </c>
      <c r="R18">
        <f t="shared" si="16"/>
        <v>11.935879139236727</v>
      </c>
      <c r="S18">
        <f t="shared" si="17"/>
        <v>9.0134255124870855</v>
      </c>
      <c r="T18">
        <f t="shared" si="18"/>
        <v>11.935879139236727</v>
      </c>
      <c r="U18">
        <f t="shared" si="19"/>
        <v>9.0134255124870855</v>
      </c>
      <c r="V18">
        <f t="shared" si="20"/>
        <v>11.935879139236727</v>
      </c>
      <c r="W18">
        <f t="shared" si="21"/>
        <v>9.0134255124870855</v>
      </c>
      <c r="X18">
        <f t="shared" si="22"/>
        <v>11.935879139236727</v>
      </c>
      <c r="Y18">
        <f t="shared" si="23"/>
        <v>9.0134255124870855</v>
      </c>
      <c r="Z18">
        <f t="shared" si="24"/>
        <v>11.935879139236727</v>
      </c>
      <c r="AA18">
        <f t="shared" si="25"/>
        <v>9.0134255124870855</v>
      </c>
      <c r="AB18">
        <f t="shared" si="26"/>
        <v>11.935879139236727</v>
      </c>
      <c r="AC18">
        <f t="shared" si="27"/>
        <v>9.0134255124870855</v>
      </c>
      <c r="AD18">
        <f t="shared" si="28"/>
        <v>11.935879139236727</v>
      </c>
      <c r="AE18">
        <f t="shared" si="29"/>
        <v>9.0134255124870855</v>
      </c>
      <c r="AF18">
        <f t="shared" si="30"/>
        <v>11.935879139236727</v>
      </c>
      <c r="AG18">
        <f t="shared" si="31"/>
        <v>9.0134255124870855</v>
      </c>
      <c r="AH18">
        <f t="shared" si="32"/>
        <v>11.935879139236727</v>
      </c>
    </row>
    <row r="19" spans="1:34">
      <c r="A19" t="str">
        <f>CYF!A19</f>
        <v>Sorghum</v>
      </c>
      <c r="B19" t="str">
        <f>CYF!B19</f>
        <v>Gambela</v>
      </c>
      <c r="C19">
        <v>11.30736477696828</v>
      </c>
      <c r="D19">
        <v>12.178415554423651</v>
      </c>
      <c r="E19">
        <f t="shared" si="3"/>
        <v>11.30736477696828</v>
      </c>
      <c r="F19">
        <f t="shared" si="4"/>
        <v>12.178415554423651</v>
      </c>
      <c r="G19">
        <f t="shared" si="5"/>
        <v>11.30736477696828</v>
      </c>
      <c r="H19">
        <f t="shared" si="6"/>
        <v>12.178415554423651</v>
      </c>
      <c r="I19">
        <f t="shared" si="7"/>
        <v>11.30736477696828</v>
      </c>
      <c r="J19">
        <f t="shared" si="8"/>
        <v>12.178415554423651</v>
      </c>
      <c r="K19">
        <f t="shared" si="9"/>
        <v>11.30736477696828</v>
      </c>
      <c r="L19">
        <f t="shared" si="10"/>
        <v>12.178415554423651</v>
      </c>
      <c r="M19">
        <f t="shared" si="11"/>
        <v>11.30736477696828</v>
      </c>
      <c r="N19">
        <f t="shared" si="12"/>
        <v>12.178415554423651</v>
      </c>
      <c r="O19">
        <f t="shared" si="13"/>
        <v>11.30736477696828</v>
      </c>
      <c r="P19">
        <f t="shared" si="14"/>
        <v>12.178415554423651</v>
      </c>
      <c r="Q19">
        <f t="shared" si="15"/>
        <v>11.30736477696828</v>
      </c>
      <c r="R19">
        <f t="shared" si="16"/>
        <v>12.178415554423651</v>
      </c>
      <c r="S19">
        <f t="shared" si="17"/>
        <v>11.30736477696828</v>
      </c>
      <c r="T19">
        <f t="shared" si="18"/>
        <v>12.178415554423651</v>
      </c>
      <c r="U19">
        <f t="shared" si="19"/>
        <v>11.30736477696828</v>
      </c>
      <c r="V19">
        <f t="shared" si="20"/>
        <v>12.178415554423651</v>
      </c>
      <c r="W19">
        <f t="shared" si="21"/>
        <v>11.30736477696828</v>
      </c>
      <c r="X19">
        <f t="shared" si="22"/>
        <v>12.178415554423651</v>
      </c>
      <c r="Y19">
        <f t="shared" si="23"/>
        <v>11.30736477696828</v>
      </c>
      <c r="Z19">
        <f t="shared" si="24"/>
        <v>12.178415554423651</v>
      </c>
      <c r="AA19">
        <f t="shared" si="25"/>
        <v>11.30736477696828</v>
      </c>
      <c r="AB19">
        <f t="shared" si="26"/>
        <v>12.178415554423651</v>
      </c>
      <c r="AC19">
        <f t="shared" si="27"/>
        <v>11.30736477696828</v>
      </c>
      <c r="AD19">
        <f t="shared" si="28"/>
        <v>12.178415554423651</v>
      </c>
      <c r="AE19">
        <f t="shared" si="29"/>
        <v>11.30736477696828</v>
      </c>
      <c r="AF19">
        <f t="shared" si="30"/>
        <v>12.178415554423651</v>
      </c>
      <c r="AG19">
        <f t="shared" si="31"/>
        <v>11.30736477696828</v>
      </c>
      <c r="AH19">
        <f t="shared" si="32"/>
        <v>12.178415554423651</v>
      </c>
    </row>
    <row r="20" spans="1:34">
      <c r="A20" t="str">
        <f>CYF!A20</f>
        <v>Sorghum</v>
      </c>
      <c r="B20" t="str">
        <f>CYF!B20</f>
        <v>Harari</v>
      </c>
      <c r="C20">
        <v>11.100573292522057</v>
      </c>
      <c r="D20">
        <v>12.269182792477748</v>
      </c>
      <c r="E20">
        <f t="shared" si="3"/>
        <v>11.100573292522057</v>
      </c>
      <c r="F20">
        <f t="shared" si="4"/>
        <v>12.269182792477748</v>
      </c>
      <c r="G20">
        <f t="shared" si="5"/>
        <v>11.100573292522057</v>
      </c>
      <c r="H20">
        <f t="shared" si="6"/>
        <v>12.269182792477748</v>
      </c>
      <c r="I20">
        <f t="shared" si="7"/>
        <v>11.100573292522057</v>
      </c>
      <c r="J20">
        <f t="shared" si="8"/>
        <v>12.269182792477748</v>
      </c>
      <c r="K20">
        <f t="shared" si="9"/>
        <v>11.100573292522057</v>
      </c>
      <c r="L20">
        <f t="shared" si="10"/>
        <v>12.269182792477748</v>
      </c>
      <c r="M20">
        <f t="shared" si="11"/>
        <v>11.100573292522057</v>
      </c>
      <c r="N20">
        <f t="shared" si="12"/>
        <v>12.269182792477748</v>
      </c>
      <c r="O20">
        <f t="shared" si="13"/>
        <v>11.100573292522057</v>
      </c>
      <c r="P20">
        <f t="shared" si="14"/>
        <v>12.269182792477748</v>
      </c>
      <c r="Q20">
        <f t="shared" si="15"/>
        <v>11.100573292522057</v>
      </c>
      <c r="R20">
        <f t="shared" si="16"/>
        <v>12.269182792477748</v>
      </c>
      <c r="S20">
        <f t="shared" si="17"/>
        <v>11.100573292522057</v>
      </c>
      <c r="T20">
        <f t="shared" si="18"/>
        <v>12.269182792477748</v>
      </c>
      <c r="U20">
        <f t="shared" si="19"/>
        <v>11.100573292522057</v>
      </c>
      <c r="V20">
        <f t="shared" si="20"/>
        <v>12.269182792477748</v>
      </c>
      <c r="W20">
        <f t="shared" si="21"/>
        <v>11.100573292522057</v>
      </c>
      <c r="X20">
        <f t="shared" si="22"/>
        <v>12.269182792477748</v>
      </c>
      <c r="Y20">
        <f t="shared" si="23"/>
        <v>11.100573292522057</v>
      </c>
      <c r="Z20">
        <f t="shared" si="24"/>
        <v>12.269182792477748</v>
      </c>
      <c r="AA20">
        <f t="shared" si="25"/>
        <v>11.100573292522057</v>
      </c>
      <c r="AB20">
        <f t="shared" si="26"/>
        <v>12.269182792477748</v>
      </c>
      <c r="AC20">
        <f t="shared" si="27"/>
        <v>11.100573292522057</v>
      </c>
      <c r="AD20">
        <f t="shared" si="28"/>
        <v>12.269182792477748</v>
      </c>
      <c r="AE20">
        <f t="shared" si="29"/>
        <v>11.100573292522057</v>
      </c>
      <c r="AF20">
        <f t="shared" si="30"/>
        <v>12.269182792477748</v>
      </c>
      <c r="AG20">
        <f t="shared" si="31"/>
        <v>11.100573292522057</v>
      </c>
      <c r="AH20">
        <f t="shared" si="32"/>
        <v>12.269182792477748</v>
      </c>
    </row>
    <row r="21" spans="1:34">
      <c r="A21" t="str">
        <f>CYF!A21</f>
        <v>Sorghum</v>
      </c>
      <c r="B21" t="str">
        <f>CYF!B21</f>
        <v>Oromia</v>
      </c>
      <c r="C21">
        <v>9.2352354431304366</v>
      </c>
      <c r="D21">
        <v>11.534797533027227</v>
      </c>
      <c r="E21">
        <f t="shared" si="3"/>
        <v>9.2352354431304366</v>
      </c>
      <c r="F21">
        <f t="shared" si="4"/>
        <v>11.534797533027227</v>
      </c>
      <c r="G21">
        <f t="shared" si="5"/>
        <v>9.2352354431304366</v>
      </c>
      <c r="H21">
        <f t="shared" si="6"/>
        <v>11.534797533027227</v>
      </c>
      <c r="I21">
        <f t="shared" si="7"/>
        <v>9.2352354431304366</v>
      </c>
      <c r="J21">
        <f t="shared" si="8"/>
        <v>11.534797533027227</v>
      </c>
      <c r="K21">
        <f t="shared" si="9"/>
        <v>9.2352354431304366</v>
      </c>
      <c r="L21">
        <f t="shared" si="10"/>
        <v>11.534797533027227</v>
      </c>
      <c r="M21">
        <f t="shared" si="11"/>
        <v>9.2352354431304366</v>
      </c>
      <c r="N21">
        <f t="shared" si="12"/>
        <v>11.534797533027227</v>
      </c>
      <c r="O21">
        <f t="shared" si="13"/>
        <v>9.2352354431304366</v>
      </c>
      <c r="P21">
        <f t="shared" si="14"/>
        <v>11.534797533027227</v>
      </c>
      <c r="Q21">
        <f t="shared" si="15"/>
        <v>9.2352354431304366</v>
      </c>
      <c r="R21">
        <f t="shared" si="16"/>
        <v>11.534797533027227</v>
      </c>
      <c r="S21">
        <f t="shared" si="17"/>
        <v>9.2352354431304366</v>
      </c>
      <c r="T21">
        <f t="shared" si="18"/>
        <v>11.534797533027227</v>
      </c>
      <c r="U21">
        <f t="shared" si="19"/>
        <v>9.2352354431304366</v>
      </c>
      <c r="V21">
        <f t="shared" si="20"/>
        <v>11.534797533027227</v>
      </c>
      <c r="W21">
        <f t="shared" si="21"/>
        <v>9.2352354431304366</v>
      </c>
      <c r="X21">
        <f t="shared" si="22"/>
        <v>11.534797533027227</v>
      </c>
      <c r="Y21">
        <f t="shared" si="23"/>
        <v>9.2352354431304366</v>
      </c>
      <c r="Z21">
        <f t="shared" si="24"/>
        <v>11.534797533027227</v>
      </c>
      <c r="AA21">
        <f t="shared" si="25"/>
        <v>9.2352354431304366</v>
      </c>
      <c r="AB21">
        <f t="shared" si="26"/>
        <v>11.534797533027227</v>
      </c>
      <c r="AC21">
        <f t="shared" si="27"/>
        <v>9.2352354431304366</v>
      </c>
      <c r="AD21">
        <f t="shared" si="28"/>
        <v>11.534797533027227</v>
      </c>
      <c r="AE21">
        <f t="shared" si="29"/>
        <v>9.2352354431304366</v>
      </c>
      <c r="AF21">
        <f t="shared" si="30"/>
        <v>11.534797533027227</v>
      </c>
      <c r="AG21">
        <f t="shared" si="31"/>
        <v>9.2352354431304366</v>
      </c>
      <c r="AH21">
        <f t="shared" si="32"/>
        <v>11.534797533027227</v>
      </c>
    </row>
    <row r="22" spans="1:34">
      <c r="A22" t="str">
        <f>CYF!A22</f>
        <v>Sorghum</v>
      </c>
      <c r="B22" t="str">
        <f>CYF!B22</f>
        <v>Somali</v>
      </c>
      <c r="C22">
        <v>10.629981409646843</v>
      </c>
      <c r="D22">
        <v>11.385301540803951</v>
      </c>
      <c r="E22">
        <f t="shared" si="3"/>
        <v>10.629981409646843</v>
      </c>
      <c r="F22">
        <f t="shared" si="4"/>
        <v>11.385301540803951</v>
      </c>
      <c r="G22">
        <f t="shared" si="5"/>
        <v>10.629981409646843</v>
      </c>
      <c r="H22">
        <f t="shared" si="6"/>
        <v>11.385301540803951</v>
      </c>
      <c r="I22">
        <f t="shared" si="7"/>
        <v>10.629981409646843</v>
      </c>
      <c r="J22">
        <f t="shared" si="8"/>
        <v>11.385301540803951</v>
      </c>
      <c r="K22">
        <f t="shared" si="9"/>
        <v>10.629981409646843</v>
      </c>
      <c r="L22">
        <f t="shared" si="10"/>
        <v>11.385301540803951</v>
      </c>
      <c r="M22">
        <f t="shared" si="11"/>
        <v>10.629981409646843</v>
      </c>
      <c r="N22">
        <f t="shared" si="12"/>
        <v>11.385301540803951</v>
      </c>
      <c r="O22">
        <f t="shared" si="13"/>
        <v>10.629981409646843</v>
      </c>
      <c r="P22">
        <f t="shared" si="14"/>
        <v>11.385301540803951</v>
      </c>
      <c r="Q22">
        <f t="shared" si="15"/>
        <v>10.629981409646843</v>
      </c>
      <c r="R22">
        <f t="shared" si="16"/>
        <v>11.385301540803951</v>
      </c>
      <c r="S22">
        <f t="shared" si="17"/>
        <v>10.629981409646843</v>
      </c>
      <c r="T22">
        <f t="shared" si="18"/>
        <v>11.385301540803951</v>
      </c>
      <c r="U22">
        <f t="shared" si="19"/>
        <v>10.629981409646843</v>
      </c>
      <c r="V22">
        <f t="shared" si="20"/>
        <v>11.385301540803951</v>
      </c>
      <c r="W22">
        <f t="shared" si="21"/>
        <v>10.629981409646843</v>
      </c>
      <c r="X22">
        <f t="shared" si="22"/>
        <v>11.385301540803951</v>
      </c>
      <c r="Y22">
        <f t="shared" si="23"/>
        <v>10.629981409646843</v>
      </c>
      <c r="Z22">
        <f t="shared" si="24"/>
        <v>11.385301540803951</v>
      </c>
      <c r="AA22">
        <f t="shared" si="25"/>
        <v>10.629981409646843</v>
      </c>
      <c r="AB22">
        <f t="shared" si="26"/>
        <v>11.385301540803951</v>
      </c>
      <c r="AC22">
        <f t="shared" si="27"/>
        <v>10.629981409646843</v>
      </c>
      <c r="AD22">
        <f t="shared" si="28"/>
        <v>11.385301540803951</v>
      </c>
      <c r="AE22">
        <f t="shared" si="29"/>
        <v>10.629981409646843</v>
      </c>
      <c r="AF22">
        <f t="shared" si="30"/>
        <v>11.385301540803951</v>
      </c>
      <c r="AG22">
        <f t="shared" si="31"/>
        <v>10.629981409646843</v>
      </c>
      <c r="AH22">
        <f t="shared" si="32"/>
        <v>11.385301540803951</v>
      </c>
    </row>
    <row r="23" spans="1:34">
      <c r="A23" t="str">
        <f>CYF!A23</f>
        <v>Sorghum</v>
      </c>
      <c r="B23" t="str">
        <f>CYF!B23</f>
        <v>SNNPR</v>
      </c>
      <c r="C23">
        <v>10.973747216253322</v>
      </c>
      <c r="D23">
        <v>11.321924786299306</v>
      </c>
      <c r="E23">
        <f t="shared" si="3"/>
        <v>10.973747216253322</v>
      </c>
      <c r="F23">
        <f t="shared" si="4"/>
        <v>11.321924786299306</v>
      </c>
      <c r="G23">
        <f t="shared" si="5"/>
        <v>10.973747216253322</v>
      </c>
      <c r="H23">
        <f t="shared" si="6"/>
        <v>11.321924786299306</v>
      </c>
      <c r="I23">
        <f t="shared" si="7"/>
        <v>10.973747216253322</v>
      </c>
      <c r="J23">
        <f t="shared" si="8"/>
        <v>11.321924786299306</v>
      </c>
      <c r="K23">
        <f t="shared" si="9"/>
        <v>10.973747216253322</v>
      </c>
      <c r="L23">
        <f t="shared" si="10"/>
        <v>11.321924786299306</v>
      </c>
      <c r="M23">
        <f t="shared" si="11"/>
        <v>10.973747216253322</v>
      </c>
      <c r="N23">
        <f t="shared" si="12"/>
        <v>11.321924786299306</v>
      </c>
      <c r="O23">
        <f t="shared" si="13"/>
        <v>10.973747216253322</v>
      </c>
      <c r="P23">
        <f t="shared" si="14"/>
        <v>11.321924786299306</v>
      </c>
      <c r="Q23">
        <f t="shared" si="15"/>
        <v>10.973747216253322</v>
      </c>
      <c r="R23">
        <f t="shared" si="16"/>
        <v>11.321924786299306</v>
      </c>
      <c r="S23">
        <f t="shared" si="17"/>
        <v>10.973747216253322</v>
      </c>
      <c r="T23">
        <f t="shared" si="18"/>
        <v>11.321924786299306</v>
      </c>
      <c r="U23">
        <f t="shared" si="19"/>
        <v>10.973747216253322</v>
      </c>
      <c r="V23">
        <f t="shared" si="20"/>
        <v>11.321924786299306</v>
      </c>
      <c r="W23">
        <f t="shared" si="21"/>
        <v>10.973747216253322</v>
      </c>
      <c r="X23">
        <f t="shared" si="22"/>
        <v>11.321924786299306</v>
      </c>
      <c r="Y23">
        <f t="shared" si="23"/>
        <v>10.973747216253322</v>
      </c>
      <c r="Z23">
        <f t="shared" si="24"/>
        <v>11.321924786299306</v>
      </c>
      <c r="AA23">
        <f t="shared" si="25"/>
        <v>10.973747216253322</v>
      </c>
      <c r="AB23">
        <f t="shared" si="26"/>
        <v>11.321924786299306</v>
      </c>
      <c r="AC23">
        <f t="shared" si="27"/>
        <v>10.973747216253322</v>
      </c>
      <c r="AD23">
        <f t="shared" si="28"/>
        <v>11.321924786299306</v>
      </c>
      <c r="AE23">
        <f t="shared" si="29"/>
        <v>10.973747216253322</v>
      </c>
      <c r="AF23">
        <f t="shared" si="30"/>
        <v>11.321924786299306</v>
      </c>
      <c r="AG23">
        <f t="shared" si="31"/>
        <v>10.973747216253322</v>
      </c>
      <c r="AH23">
        <f t="shared" si="32"/>
        <v>11.321924786299306</v>
      </c>
    </row>
    <row r="24" spans="1:34">
      <c r="A24" t="str">
        <f>CYF!A24</f>
        <v>Sorghum</v>
      </c>
      <c r="B24" t="str">
        <f>CYF!B24</f>
        <v>Tigray</v>
      </c>
      <c r="C24">
        <v>10.204965276779255</v>
      </c>
      <c r="D24">
        <v>11.679533070821975</v>
      </c>
      <c r="E24">
        <f t="shared" si="3"/>
        <v>10.204965276779255</v>
      </c>
      <c r="F24">
        <f t="shared" si="4"/>
        <v>11.679533070821975</v>
      </c>
      <c r="G24">
        <f t="shared" si="5"/>
        <v>10.204965276779255</v>
      </c>
      <c r="H24">
        <f t="shared" si="6"/>
        <v>11.679533070821975</v>
      </c>
      <c r="I24">
        <f t="shared" si="7"/>
        <v>10.204965276779255</v>
      </c>
      <c r="J24">
        <f t="shared" si="8"/>
        <v>11.679533070821975</v>
      </c>
      <c r="K24">
        <f t="shared" si="9"/>
        <v>10.204965276779255</v>
      </c>
      <c r="L24">
        <f t="shared" si="10"/>
        <v>11.679533070821975</v>
      </c>
      <c r="M24">
        <f t="shared" si="11"/>
        <v>10.204965276779255</v>
      </c>
      <c r="N24">
        <f t="shared" si="12"/>
        <v>11.679533070821975</v>
      </c>
      <c r="O24">
        <f t="shared" si="13"/>
        <v>10.204965276779255</v>
      </c>
      <c r="P24">
        <f t="shared" si="14"/>
        <v>11.679533070821975</v>
      </c>
      <c r="Q24">
        <f t="shared" si="15"/>
        <v>10.204965276779255</v>
      </c>
      <c r="R24">
        <f t="shared" si="16"/>
        <v>11.679533070821975</v>
      </c>
      <c r="S24">
        <f t="shared" si="17"/>
        <v>10.204965276779255</v>
      </c>
      <c r="T24">
        <f t="shared" si="18"/>
        <v>11.679533070821975</v>
      </c>
      <c r="U24">
        <f t="shared" si="19"/>
        <v>10.204965276779255</v>
      </c>
      <c r="V24">
        <f t="shared" si="20"/>
        <v>11.679533070821975</v>
      </c>
      <c r="W24">
        <f t="shared" si="21"/>
        <v>10.204965276779255</v>
      </c>
      <c r="X24">
        <f t="shared" si="22"/>
        <v>11.679533070821975</v>
      </c>
      <c r="Y24">
        <f t="shared" si="23"/>
        <v>10.204965276779255</v>
      </c>
      <c r="Z24">
        <f t="shared" si="24"/>
        <v>11.679533070821975</v>
      </c>
      <c r="AA24">
        <f t="shared" si="25"/>
        <v>10.204965276779255</v>
      </c>
      <c r="AB24">
        <f t="shared" si="26"/>
        <v>11.679533070821975</v>
      </c>
      <c r="AC24">
        <f t="shared" si="27"/>
        <v>10.204965276779255</v>
      </c>
      <c r="AD24">
        <f t="shared" si="28"/>
        <v>11.679533070821975</v>
      </c>
      <c r="AE24">
        <f t="shared" si="29"/>
        <v>10.204965276779255</v>
      </c>
      <c r="AF24">
        <f t="shared" si="30"/>
        <v>11.679533070821975</v>
      </c>
      <c r="AG24">
        <f t="shared" si="31"/>
        <v>10.204965276779255</v>
      </c>
      <c r="AH24">
        <f t="shared" si="32"/>
        <v>11.679533070821975</v>
      </c>
    </row>
    <row r="25" spans="1:34">
      <c r="A25" t="str">
        <f>CYF!A25</f>
        <v>Maize</v>
      </c>
      <c r="B25" t="str">
        <f>CYF!B25</f>
        <v>AddisAbaba</v>
      </c>
      <c r="C25">
        <v>9.4823676394654335</v>
      </c>
      <c r="D25">
        <v>11.729205280251861</v>
      </c>
      <c r="E25">
        <f t="shared" si="3"/>
        <v>9.4823676394654335</v>
      </c>
      <c r="F25">
        <f t="shared" si="4"/>
        <v>11.729205280251861</v>
      </c>
      <c r="G25">
        <f t="shared" si="5"/>
        <v>9.4823676394654335</v>
      </c>
      <c r="H25">
        <f t="shared" si="6"/>
        <v>11.729205280251861</v>
      </c>
      <c r="I25">
        <f t="shared" si="7"/>
        <v>9.4823676394654335</v>
      </c>
      <c r="J25">
        <f t="shared" si="8"/>
        <v>11.729205280251861</v>
      </c>
      <c r="K25">
        <f t="shared" si="9"/>
        <v>9.4823676394654335</v>
      </c>
      <c r="L25">
        <f t="shared" si="10"/>
        <v>11.729205280251861</v>
      </c>
      <c r="M25">
        <f t="shared" si="11"/>
        <v>9.4823676394654335</v>
      </c>
      <c r="N25">
        <f t="shared" si="12"/>
        <v>11.729205280251861</v>
      </c>
      <c r="O25">
        <f t="shared" si="13"/>
        <v>9.4823676394654335</v>
      </c>
      <c r="P25">
        <f t="shared" si="14"/>
        <v>11.729205280251861</v>
      </c>
      <c r="Q25">
        <f t="shared" si="15"/>
        <v>9.4823676394654335</v>
      </c>
      <c r="R25">
        <f t="shared" si="16"/>
        <v>11.729205280251861</v>
      </c>
      <c r="S25">
        <f t="shared" si="17"/>
        <v>9.4823676394654335</v>
      </c>
      <c r="T25">
        <f t="shared" si="18"/>
        <v>11.729205280251861</v>
      </c>
      <c r="U25">
        <f t="shared" si="19"/>
        <v>9.4823676394654335</v>
      </c>
      <c r="V25">
        <f t="shared" si="20"/>
        <v>11.729205280251861</v>
      </c>
      <c r="W25">
        <f t="shared" si="21"/>
        <v>9.4823676394654335</v>
      </c>
      <c r="X25">
        <f t="shared" si="22"/>
        <v>11.729205280251861</v>
      </c>
      <c r="Y25">
        <f t="shared" si="23"/>
        <v>9.4823676394654335</v>
      </c>
      <c r="Z25">
        <f t="shared" si="24"/>
        <v>11.729205280251861</v>
      </c>
      <c r="AA25">
        <f t="shared" si="25"/>
        <v>9.4823676394654335</v>
      </c>
      <c r="AB25">
        <f t="shared" si="26"/>
        <v>11.729205280251861</v>
      </c>
      <c r="AC25">
        <f t="shared" si="27"/>
        <v>9.4823676394654335</v>
      </c>
      <c r="AD25">
        <f t="shared" si="28"/>
        <v>11.729205280251861</v>
      </c>
      <c r="AE25">
        <f t="shared" si="29"/>
        <v>9.4823676394654335</v>
      </c>
      <c r="AF25">
        <f t="shared" si="30"/>
        <v>11.729205280251861</v>
      </c>
      <c r="AG25">
        <f t="shared" si="31"/>
        <v>9.4823676394654335</v>
      </c>
      <c r="AH25">
        <f t="shared" si="32"/>
        <v>11.729205280251861</v>
      </c>
    </row>
    <row r="26" spans="1:34">
      <c r="A26" t="str">
        <f>CYF!A26</f>
        <v>Maize</v>
      </c>
      <c r="B26" t="str">
        <f>CYF!B26</f>
        <v>Afar</v>
      </c>
      <c r="C26">
        <v>9.6632700849909146</v>
      </c>
      <c r="D26">
        <v>12.011498201009323</v>
      </c>
      <c r="E26">
        <f t="shared" si="3"/>
        <v>9.6632700849909146</v>
      </c>
      <c r="F26">
        <f t="shared" si="4"/>
        <v>12.011498201009323</v>
      </c>
      <c r="G26">
        <f t="shared" si="5"/>
        <v>9.6632700849909146</v>
      </c>
      <c r="H26">
        <f t="shared" si="6"/>
        <v>12.011498201009323</v>
      </c>
      <c r="I26">
        <f t="shared" si="7"/>
        <v>9.6632700849909146</v>
      </c>
      <c r="J26">
        <f t="shared" si="8"/>
        <v>12.011498201009323</v>
      </c>
      <c r="K26">
        <f t="shared" si="9"/>
        <v>9.6632700849909146</v>
      </c>
      <c r="L26">
        <f t="shared" si="10"/>
        <v>12.011498201009323</v>
      </c>
      <c r="M26">
        <f t="shared" si="11"/>
        <v>9.6632700849909146</v>
      </c>
      <c r="N26">
        <f t="shared" si="12"/>
        <v>12.011498201009323</v>
      </c>
      <c r="O26">
        <f t="shared" si="13"/>
        <v>9.6632700849909146</v>
      </c>
      <c r="P26">
        <f t="shared" si="14"/>
        <v>12.011498201009323</v>
      </c>
      <c r="Q26">
        <f t="shared" si="15"/>
        <v>9.6632700849909146</v>
      </c>
      <c r="R26">
        <f t="shared" si="16"/>
        <v>12.011498201009323</v>
      </c>
      <c r="S26">
        <f t="shared" si="17"/>
        <v>9.6632700849909146</v>
      </c>
      <c r="T26">
        <f t="shared" si="18"/>
        <v>12.011498201009323</v>
      </c>
      <c r="U26">
        <f t="shared" si="19"/>
        <v>9.6632700849909146</v>
      </c>
      <c r="V26">
        <f t="shared" si="20"/>
        <v>12.011498201009323</v>
      </c>
      <c r="W26">
        <f t="shared" si="21"/>
        <v>9.6632700849909146</v>
      </c>
      <c r="X26">
        <f t="shared" si="22"/>
        <v>12.011498201009323</v>
      </c>
      <c r="Y26">
        <f t="shared" si="23"/>
        <v>9.6632700849909146</v>
      </c>
      <c r="Z26">
        <f t="shared" si="24"/>
        <v>12.011498201009323</v>
      </c>
      <c r="AA26">
        <f t="shared" si="25"/>
        <v>9.6632700849909146</v>
      </c>
      <c r="AB26">
        <f t="shared" si="26"/>
        <v>12.011498201009323</v>
      </c>
      <c r="AC26">
        <f t="shared" si="27"/>
        <v>9.6632700849909146</v>
      </c>
      <c r="AD26">
        <f t="shared" si="28"/>
        <v>12.011498201009323</v>
      </c>
      <c r="AE26">
        <f t="shared" si="29"/>
        <v>9.6632700849909146</v>
      </c>
      <c r="AF26">
        <f t="shared" si="30"/>
        <v>12.011498201009323</v>
      </c>
      <c r="AG26">
        <f t="shared" si="31"/>
        <v>9.6632700849909146</v>
      </c>
      <c r="AH26">
        <f t="shared" si="32"/>
        <v>12.011498201009323</v>
      </c>
    </row>
    <row r="27" spans="1:34">
      <c r="A27" t="str">
        <f>CYF!A27</f>
        <v>Maize</v>
      </c>
      <c r="B27" t="str">
        <f>CYF!B27</f>
        <v>Amhara</v>
      </c>
      <c r="C27">
        <v>9.4990792841971956</v>
      </c>
      <c r="D27">
        <v>12.35250899088215</v>
      </c>
      <c r="E27">
        <f t="shared" si="3"/>
        <v>9.4990792841971956</v>
      </c>
      <c r="F27">
        <f t="shared" si="4"/>
        <v>12.35250899088215</v>
      </c>
      <c r="G27">
        <f t="shared" si="5"/>
        <v>9.4990792841971956</v>
      </c>
      <c r="H27">
        <f t="shared" si="6"/>
        <v>12.35250899088215</v>
      </c>
      <c r="I27">
        <f t="shared" si="7"/>
        <v>9.4990792841971956</v>
      </c>
      <c r="J27">
        <f t="shared" si="8"/>
        <v>12.35250899088215</v>
      </c>
      <c r="K27">
        <f t="shared" si="9"/>
        <v>9.4990792841971956</v>
      </c>
      <c r="L27">
        <f t="shared" si="10"/>
        <v>12.35250899088215</v>
      </c>
      <c r="M27">
        <f t="shared" si="11"/>
        <v>9.4990792841971956</v>
      </c>
      <c r="N27">
        <f t="shared" si="12"/>
        <v>12.35250899088215</v>
      </c>
      <c r="O27">
        <f t="shared" si="13"/>
        <v>9.4990792841971956</v>
      </c>
      <c r="P27">
        <f t="shared" si="14"/>
        <v>12.35250899088215</v>
      </c>
      <c r="Q27">
        <f t="shared" si="15"/>
        <v>9.4990792841971956</v>
      </c>
      <c r="R27">
        <f t="shared" si="16"/>
        <v>12.35250899088215</v>
      </c>
      <c r="S27">
        <f t="shared" si="17"/>
        <v>9.4990792841971956</v>
      </c>
      <c r="T27">
        <f t="shared" si="18"/>
        <v>12.35250899088215</v>
      </c>
      <c r="U27">
        <f t="shared" si="19"/>
        <v>9.4990792841971956</v>
      </c>
      <c r="V27">
        <f t="shared" si="20"/>
        <v>12.35250899088215</v>
      </c>
      <c r="W27">
        <f t="shared" si="21"/>
        <v>9.4990792841971956</v>
      </c>
      <c r="X27">
        <f t="shared" si="22"/>
        <v>12.35250899088215</v>
      </c>
      <c r="Y27">
        <f t="shared" si="23"/>
        <v>9.4990792841971956</v>
      </c>
      <c r="Z27">
        <f t="shared" si="24"/>
        <v>12.35250899088215</v>
      </c>
      <c r="AA27">
        <f t="shared" si="25"/>
        <v>9.4990792841971956</v>
      </c>
      <c r="AB27">
        <f t="shared" si="26"/>
        <v>12.35250899088215</v>
      </c>
      <c r="AC27">
        <f t="shared" si="27"/>
        <v>9.4990792841971956</v>
      </c>
      <c r="AD27">
        <f t="shared" si="28"/>
        <v>12.35250899088215</v>
      </c>
      <c r="AE27">
        <f t="shared" si="29"/>
        <v>9.4990792841971956</v>
      </c>
      <c r="AF27">
        <f t="shared" si="30"/>
        <v>12.35250899088215</v>
      </c>
      <c r="AG27">
        <f t="shared" si="31"/>
        <v>9.4990792841971956</v>
      </c>
      <c r="AH27">
        <f t="shared" si="32"/>
        <v>12.35250899088215</v>
      </c>
    </row>
    <row r="28" spans="1:34">
      <c r="A28" t="str">
        <f>CYF!A28</f>
        <v>Maize</v>
      </c>
      <c r="B28" t="str">
        <f>CYF!B28</f>
        <v>Gumuz</v>
      </c>
      <c r="C28">
        <v>9.5158507493276812</v>
      </c>
      <c r="D28">
        <v>12.463236218999498</v>
      </c>
      <c r="E28">
        <f t="shared" si="3"/>
        <v>9.5158507493276812</v>
      </c>
      <c r="F28">
        <f t="shared" si="4"/>
        <v>12.463236218999498</v>
      </c>
      <c r="G28">
        <f t="shared" si="5"/>
        <v>9.5158507493276812</v>
      </c>
      <c r="H28">
        <f t="shared" si="6"/>
        <v>12.463236218999498</v>
      </c>
      <c r="I28">
        <f t="shared" si="7"/>
        <v>9.5158507493276812</v>
      </c>
      <c r="J28">
        <f t="shared" si="8"/>
        <v>12.463236218999498</v>
      </c>
      <c r="K28">
        <f t="shared" si="9"/>
        <v>9.5158507493276812</v>
      </c>
      <c r="L28">
        <f t="shared" si="10"/>
        <v>12.463236218999498</v>
      </c>
      <c r="M28">
        <f t="shared" si="11"/>
        <v>9.5158507493276812</v>
      </c>
      <c r="N28">
        <f t="shared" si="12"/>
        <v>12.463236218999498</v>
      </c>
      <c r="O28">
        <f t="shared" si="13"/>
        <v>9.5158507493276812</v>
      </c>
      <c r="P28">
        <f t="shared" si="14"/>
        <v>12.463236218999498</v>
      </c>
      <c r="Q28">
        <f t="shared" si="15"/>
        <v>9.5158507493276812</v>
      </c>
      <c r="R28">
        <f t="shared" si="16"/>
        <v>12.463236218999498</v>
      </c>
      <c r="S28">
        <f t="shared" si="17"/>
        <v>9.5158507493276812</v>
      </c>
      <c r="T28">
        <f t="shared" si="18"/>
        <v>12.463236218999498</v>
      </c>
      <c r="U28">
        <f t="shared" si="19"/>
        <v>9.5158507493276812</v>
      </c>
      <c r="V28">
        <f t="shared" si="20"/>
        <v>12.463236218999498</v>
      </c>
      <c r="W28">
        <f t="shared" si="21"/>
        <v>9.5158507493276812</v>
      </c>
      <c r="X28">
        <f t="shared" si="22"/>
        <v>12.463236218999498</v>
      </c>
      <c r="Y28">
        <f t="shared" si="23"/>
        <v>9.5158507493276812</v>
      </c>
      <c r="Z28">
        <f t="shared" si="24"/>
        <v>12.463236218999498</v>
      </c>
      <c r="AA28">
        <f t="shared" si="25"/>
        <v>9.5158507493276812</v>
      </c>
      <c r="AB28">
        <f t="shared" si="26"/>
        <v>12.463236218999498</v>
      </c>
      <c r="AC28">
        <f t="shared" si="27"/>
        <v>9.5158507493276812</v>
      </c>
      <c r="AD28">
        <f t="shared" si="28"/>
        <v>12.463236218999498</v>
      </c>
      <c r="AE28">
        <f t="shared" si="29"/>
        <v>9.5158507493276812</v>
      </c>
      <c r="AF28">
        <f t="shared" si="30"/>
        <v>12.463236218999498</v>
      </c>
      <c r="AG28">
        <f t="shared" si="31"/>
        <v>9.5158507493276812</v>
      </c>
      <c r="AH28">
        <f t="shared" si="32"/>
        <v>12.463236218999498</v>
      </c>
    </row>
    <row r="29" spans="1:34">
      <c r="A29" t="str">
        <f>CYF!A29</f>
        <v>Maize</v>
      </c>
      <c r="B29" t="str">
        <f>CYF!B29</f>
        <v>DireDawa</v>
      </c>
      <c r="C29">
        <v>11.496394010753693</v>
      </c>
      <c r="D29">
        <v>11.795228919641414</v>
      </c>
      <c r="E29">
        <f t="shared" si="3"/>
        <v>11.496394010753693</v>
      </c>
      <c r="F29">
        <f t="shared" si="4"/>
        <v>11.795228919641414</v>
      </c>
      <c r="G29">
        <f t="shared" si="5"/>
        <v>11.496394010753693</v>
      </c>
      <c r="H29">
        <f t="shared" si="6"/>
        <v>11.795228919641414</v>
      </c>
      <c r="I29">
        <f t="shared" si="7"/>
        <v>11.496394010753693</v>
      </c>
      <c r="J29">
        <f t="shared" si="8"/>
        <v>11.795228919641414</v>
      </c>
      <c r="K29">
        <f t="shared" si="9"/>
        <v>11.496394010753693</v>
      </c>
      <c r="L29">
        <f t="shared" si="10"/>
        <v>11.795228919641414</v>
      </c>
      <c r="M29">
        <f t="shared" si="11"/>
        <v>11.496394010753693</v>
      </c>
      <c r="N29">
        <f t="shared" si="12"/>
        <v>11.795228919641414</v>
      </c>
      <c r="O29">
        <f t="shared" si="13"/>
        <v>11.496394010753693</v>
      </c>
      <c r="P29">
        <f t="shared" si="14"/>
        <v>11.795228919641414</v>
      </c>
      <c r="Q29">
        <f t="shared" si="15"/>
        <v>11.496394010753693</v>
      </c>
      <c r="R29">
        <f t="shared" si="16"/>
        <v>11.795228919641414</v>
      </c>
      <c r="S29">
        <f t="shared" si="17"/>
        <v>11.496394010753693</v>
      </c>
      <c r="T29">
        <f t="shared" si="18"/>
        <v>11.795228919641414</v>
      </c>
      <c r="U29">
        <f t="shared" si="19"/>
        <v>11.496394010753693</v>
      </c>
      <c r="V29">
        <f t="shared" si="20"/>
        <v>11.795228919641414</v>
      </c>
      <c r="W29">
        <f t="shared" si="21"/>
        <v>11.496394010753693</v>
      </c>
      <c r="X29">
        <f t="shared" si="22"/>
        <v>11.795228919641414</v>
      </c>
      <c r="Y29">
        <f t="shared" si="23"/>
        <v>11.496394010753693</v>
      </c>
      <c r="Z29">
        <f t="shared" si="24"/>
        <v>11.795228919641414</v>
      </c>
      <c r="AA29">
        <f t="shared" si="25"/>
        <v>11.496394010753693</v>
      </c>
      <c r="AB29">
        <f t="shared" si="26"/>
        <v>11.795228919641414</v>
      </c>
      <c r="AC29">
        <f t="shared" si="27"/>
        <v>11.496394010753693</v>
      </c>
      <c r="AD29">
        <f t="shared" si="28"/>
        <v>11.795228919641414</v>
      </c>
      <c r="AE29">
        <f t="shared" si="29"/>
        <v>11.496394010753693</v>
      </c>
      <c r="AF29">
        <f t="shared" si="30"/>
        <v>11.795228919641414</v>
      </c>
      <c r="AG29">
        <f t="shared" si="31"/>
        <v>11.496394010753693</v>
      </c>
      <c r="AH29">
        <f t="shared" si="32"/>
        <v>11.795228919641414</v>
      </c>
    </row>
    <row r="30" spans="1:34">
      <c r="A30" t="str">
        <f>CYF!A30</f>
        <v>Maize</v>
      </c>
      <c r="B30" t="str">
        <f>CYF!B30</f>
        <v>Gambela</v>
      </c>
      <c r="C30">
        <v>11.444458250637998</v>
      </c>
      <c r="D30">
        <v>11.232499964969191</v>
      </c>
      <c r="E30">
        <f t="shared" si="3"/>
        <v>11.444458250637998</v>
      </c>
      <c r="F30">
        <f t="shared" si="4"/>
        <v>11.232499964969191</v>
      </c>
      <c r="G30">
        <f t="shared" si="5"/>
        <v>11.444458250637998</v>
      </c>
      <c r="H30">
        <f t="shared" si="6"/>
        <v>11.232499964969191</v>
      </c>
      <c r="I30">
        <f t="shared" si="7"/>
        <v>11.444458250637998</v>
      </c>
      <c r="J30">
        <f t="shared" si="8"/>
        <v>11.232499964969191</v>
      </c>
      <c r="K30">
        <f t="shared" si="9"/>
        <v>11.444458250637998</v>
      </c>
      <c r="L30">
        <f t="shared" si="10"/>
        <v>11.232499964969191</v>
      </c>
      <c r="M30">
        <f t="shared" si="11"/>
        <v>11.444458250637998</v>
      </c>
      <c r="N30">
        <f t="shared" si="12"/>
        <v>11.232499964969191</v>
      </c>
      <c r="O30">
        <f t="shared" si="13"/>
        <v>11.444458250637998</v>
      </c>
      <c r="P30">
        <f t="shared" si="14"/>
        <v>11.232499964969191</v>
      </c>
      <c r="Q30">
        <f t="shared" si="15"/>
        <v>11.444458250637998</v>
      </c>
      <c r="R30">
        <f t="shared" si="16"/>
        <v>11.232499964969191</v>
      </c>
      <c r="S30">
        <f t="shared" si="17"/>
        <v>11.444458250637998</v>
      </c>
      <c r="T30">
        <f t="shared" si="18"/>
        <v>11.232499964969191</v>
      </c>
      <c r="U30">
        <f t="shared" si="19"/>
        <v>11.444458250637998</v>
      </c>
      <c r="V30">
        <f t="shared" si="20"/>
        <v>11.232499964969191</v>
      </c>
      <c r="W30">
        <f t="shared" si="21"/>
        <v>11.444458250637998</v>
      </c>
      <c r="X30">
        <f t="shared" si="22"/>
        <v>11.232499964969191</v>
      </c>
      <c r="Y30">
        <f t="shared" si="23"/>
        <v>11.444458250637998</v>
      </c>
      <c r="Z30">
        <f t="shared" si="24"/>
        <v>11.232499964969191</v>
      </c>
      <c r="AA30">
        <f t="shared" si="25"/>
        <v>11.444458250637998</v>
      </c>
      <c r="AB30">
        <f t="shared" si="26"/>
        <v>11.232499964969191</v>
      </c>
      <c r="AC30">
        <f t="shared" si="27"/>
        <v>11.444458250637998</v>
      </c>
      <c r="AD30">
        <f t="shared" si="28"/>
        <v>11.232499964969191</v>
      </c>
      <c r="AE30">
        <f t="shared" si="29"/>
        <v>11.444458250637998</v>
      </c>
      <c r="AF30">
        <f t="shared" si="30"/>
        <v>11.232499964969191</v>
      </c>
      <c r="AG30">
        <f t="shared" si="31"/>
        <v>11.444458250637998</v>
      </c>
      <c r="AH30">
        <f t="shared" si="32"/>
        <v>11.232499964969191</v>
      </c>
    </row>
    <row r="31" spans="1:34">
      <c r="A31" t="str">
        <f>CYF!A31</f>
        <v>Maize</v>
      </c>
      <c r="B31" t="str">
        <f>CYF!B31</f>
        <v>Harari</v>
      </c>
      <c r="C31">
        <v>11.28647234589841</v>
      </c>
      <c r="D31">
        <v>12.011753318698069</v>
      </c>
      <c r="E31">
        <f t="shared" si="3"/>
        <v>11.28647234589841</v>
      </c>
      <c r="F31">
        <f t="shared" si="4"/>
        <v>12.011753318698069</v>
      </c>
      <c r="G31">
        <f t="shared" si="5"/>
        <v>11.28647234589841</v>
      </c>
      <c r="H31">
        <f t="shared" si="6"/>
        <v>12.011753318698069</v>
      </c>
      <c r="I31">
        <f t="shared" si="7"/>
        <v>11.28647234589841</v>
      </c>
      <c r="J31">
        <f t="shared" si="8"/>
        <v>12.011753318698069</v>
      </c>
      <c r="K31">
        <f t="shared" si="9"/>
        <v>11.28647234589841</v>
      </c>
      <c r="L31">
        <f t="shared" si="10"/>
        <v>12.011753318698069</v>
      </c>
      <c r="M31">
        <f t="shared" si="11"/>
        <v>11.28647234589841</v>
      </c>
      <c r="N31">
        <f t="shared" si="12"/>
        <v>12.011753318698069</v>
      </c>
      <c r="O31">
        <f t="shared" si="13"/>
        <v>11.28647234589841</v>
      </c>
      <c r="P31">
        <f t="shared" si="14"/>
        <v>12.011753318698069</v>
      </c>
      <c r="Q31">
        <f t="shared" si="15"/>
        <v>11.28647234589841</v>
      </c>
      <c r="R31">
        <f t="shared" si="16"/>
        <v>12.011753318698069</v>
      </c>
      <c r="S31">
        <f t="shared" si="17"/>
        <v>11.28647234589841</v>
      </c>
      <c r="T31">
        <f t="shared" si="18"/>
        <v>12.011753318698069</v>
      </c>
      <c r="U31">
        <f t="shared" si="19"/>
        <v>11.28647234589841</v>
      </c>
      <c r="V31">
        <f t="shared" si="20"/>
        <v>12.011753318698069</v>
      </c>
      <c r="W31">
        <f t="shared" si="21"/>
        <v>11.28647234589841</v>
      </c>
      <c r="X31">
        <f t="shared" si="22"/>
        <v>12.011753318698069</v>
      </c>
      <c r="Y31">
        <f t="shared" si="23"/>
        <v>11.28647234589841</v>
      </c>
      <c r="Z31">
        <f t="shared" si="24"/>
        <v>12.011753318698069</v>
      </c>
      <c r="AA31">
        <f t="shared" si="25"/>
        <v>11.28647234589841</v>
      </c>
      <c r="AB31">
        <f t="shared" si="26"/>
        <v>12.011753318698069</v>
      </c>
      <c r="AC31">
        <f t="shared" si="27"/>
        <v>11.28647234589841</v>
      </c>
      <c r="AD31">
        <f t="shared" si="28"/>
        <v>12.011753318698069</v>
      </c>
      <c r="AE31">
        <f t="shared" si="29"/>
        <v>11.28647234589841</v>
      </c>
      <c r="AF31">
        <f t="shared" si="30"/>
        <v>12.011753318698069</v>
      </c>
      <c r="AG31">
        <f t="shared" si="31"/>
        <v>11.28647234589841</v>
      </c>
      <c r="AH31">
        <f t="shared" si="32"/>
        <v>12.011753318698069</v>
      </c>
    </row>
    <row r="32" spans="1:34">
      <c r="A32" t="str">
        <f>CYF!A32</f>
        <v>Maize</v>
      </c>
      <c r="B32" t="str">
        <f>CYF!B32</f>
        <v>Oromia</v>
      </c>
      <c r="C32">
        <v>10.667887822134274</v>
      </c>
      <c r="D32">
        <v>11.541984375816543</v>
      </c>
      <c r="E32">
        <f t="shared" si="3"/>
        <v>10.667887822134274</v>
      </c>
      <c r="F32">
        <f t="shared" si="4"/>
        <v>11.541984375816543</v>
      </c>
      <c r="G32">
        <f t="shared" si="5"/>
        <v>10.667887822134274</v>
      </c>
      <c r="H32">
        <f t="shared" si="6"/>
        <v>11.541984375816543</v>
      </c>
      <c r="I32">
        <f t="shared" si="7"/>
        <v>10.667887822134274</v>
      </c>
      <c r="J32">
        <f t="shared" si="8"/>
        <v>11.541984375816543</v>
      </c>
      <c r="K32">
        <f t="shared" si="9"/>
        <v>10.667887822134274</v>
      </c>
      <c r="L32">
        <f t="shared" si="10"/>
        <v>11.541984375816543</v>
      </c>
      <c r="M32">
        <f t="shared" si="11"/>
        <v>10.667887822134274</v>
      </c>
      <c r="N32">
        <f t="shared" si="12"/>
        <v>11.541984375816543</v>
      </c>
      <c r="O32">
        <f t="shared" si="13"/>
        <v>10.667887822134274</v>
      </c>
      <c r="P32">
        <f t="shared" si="14"/>
        <v>11.541984375816543</v>
      </c>
      <c r="Q32">
        <f t="shared" si="15"/>
        <v>10.667887822134274</v>
      </c>
      <c r="R32">
        <f t="shared" si="16"/>
        <v>11.541984375816543</v>
      </c>
      <c r="S32">
        <f t="shared" si="17"/>
        <v>10.667887822134274</v>
      </c>
      <c r="T32">
        <f t="shared" si="18"/>
        <v>11.541984375816543</v>
      </c>
      <c r="U32">
        <f t="shared" si="19"/>
        <v>10.667887822134274</v>
      </c>
      <c r="V32">
        <f t="shared" si="20"/>
        <v>11.541984375816543</v>
      </c>
      <c r="W32">
        <f t="shared" si="21"/>
        <v>10.667887822134274</v>
      </c>
      <c r="X32">
        <f t="shared" si="22"/>
        <v>11.541984375816543</v>
      </c>
      <c r="Y32">
        <f t="shared" si="23"/>
        <v>10.667887822134274</v>
      </c>
      <c r="Z32">
        <f t="shared" si="24"/>
        <v>11.541984375816543</v>
      </c>
      <c r="AA32">
        <f t="shared" si="25"/>
        <v>10.667887822134274</v>
      </c>
      <c r="AB32">
        <f t="shared" si="26"/>
        <v>11.541984375816543</v>
      </c>
      <c r="AC32">
        <f t="shared" si="27"/>
        <v>10.667887822134274</v>
      </c>
      <c r="AD32">
        <f t="shared" si="28"/>
        <v>11.541984375816543</v>
      </c>
      <c r="AE32">
        <f t="shared" si="29"/>
        <v>10.667887822134274</v>
      </c>
      <c r="AF32">
        <f t="shared" si="30"/>
        <v>11.541984375816543</v>
      </c>
      <c r="AG32">
        <f t="shared" si="31"/>
        <v>10.667887822134274</v>
      </c>
      <c r="AH32">
        <f t="shared" si="32"/>
        <v>11.541984375816543</v>
      </c>
    </row>
    <row r="33" spans="1:34">
      <c r="A33" t="str">
        <f>CYF!A33</f>
        <v>Maize</v>
      </c>
      <c r="B33" t="str">
        <f>CYF!B33</f>
        <v>Somali</v>
      </c>
      <c r="C33">
        <v>10.121742773518056</v>
      </c>
      <c r="D33">
        <v>12.279776122714788</v>
      </c>
      <c r="E33">
        <f t="shared" si="3"/>
        <v>10.121742773518056</v>
      </c>
      <c r="F33">
        <f t="shared" si="4"/>
        <v>12.279776122714788</v>
      </c>
      <c r="G33">
        <f t="shared" si="5"/>
        <v>10.121742773518056</v>
      </c>
      <c r="H33">
        <f t="shared" si="6"/>
        <v>12.279776122714788</v>
      </c>
      <c r="I33">
        <f t="shared" si="7"/>
        <v>10.121742773518056</v>
      </c>
      <c r="J33">
        <f t="shared" si="8"/>
        <v>12.279776122714788</v>
      </c>
      <c r="K33">
        <f t="shared" si="9"/>
        <v>10.121742773518056</v>
      </c>
      <c r="L33">
        <f t="shared" si="10"/>
        <v>12.279776122714788</v>
      </c>
      <c r="M33">
        <f t="shared" si="11"/>
        <v>10.121742773518056</v>
      </c>
      <c r="N33">
        <f t="shared" si="12"/>
        <v>12.279776122714788</v>
      </c>
      <c r="O33">
        <f t="shared" si="13"/>
        <v>10.121742773518056</v>
      </c>
      <c r="P33">
        <f t="shared" si="14"/>
        <v>12.279776122714788</v>
      </c>
      <c r="Q33">
        <f t="shared" si="15"/>
        <v>10.121742773518056</v>
      </c>
      <c r="R33">
        <f t="shared" si="16"/>
        <v>12.279776122714788</v>
      </c>
      <c r="S33">
        <f t="shared" si="17"/>
        <v>10.121742773518056</v>
      </c>
      <c r="T33">
        <f t="shared" si="18"/>
        <v>12.279776122714788</v>
      </c>
      <c r="U33">
        <f t="shared" si="19"/>
        <v>10.121742773518056</v>
      </c>
      <c r="V33">
        <f t="shared" si="20"/>
        <v>12.279776122714788</v>
      </c>
      <c r="W33">
        <f t="shared" si="21"/>
        <v>10.121742773518056</v>
      </c>
      <c r="X33">
        <f t="shared" si="22"/>
        <v>12.279776122714788</v>
      </c>
      <c r="Y33">
        <f t="shared" si="23"/>
        <v>10.121742773518056</v>
      </c>
      <c r="Z33">
        <f t="shared" si="24"/>
        <v>12.279776122714788</v>
      </c>
      <c r="AA33">
        <f t="shared" si="25"/>
        <v>10.121742773518056</v>
      </c>
      <c r="AB33">
        <f t="shared" si="26"/>
        <v>12.279776122714788</v>
      </c>
      <c r="AC33">
        <f t="shared" si="27"/>
        <v>10.121742773518056</v>
      </c>
      <c r="AD33">
        <f t="shared" si="28"/>
        <v>12.279776122714788</v>
      </c>
      <c r="AE33">
        <f t="shared" si="29"/>
        <v>10.121742773518056</v>
      </c>
      <c r="AF33">
        <f t="shared" si="30"/>
        <v>12.279776122714788</v>
      </c>
      <c r="AG33">
        <f t="shared" si="31"/>
        <v>10.121742773518056</v>
      </c>
      <c r="AH33">
        <f t="shared" si="32"/>
        <v>12.279776122714788</v>
      </c>
    </row>
    <row r="34" spans="1:34">
      <c r="A34" t="str">
        <f>CYF!A34</f>
        <v>Maize</v>
      </c>
      <c r="B34" t="str">
        <f>CYF!B34</f>
        <v>SNNPR</v>
      </c>
      <c r="C34">
        <v>10.293277128691976</v>
      </c>
      <c r="D34">
        <v>12.3841300116847</v>
      </c>
      <c r="E34">
        <f t="shared" si="3"/>
        <v>10.293277128691976</v>
      </c>
      <c r="F34">
        <f t="shared" si="4"/>
        <v>12.3841300116847</v>
      </c>
      <c r="G34">
        <f t="shared" si="5"/>
        <v>10.293277128691976</v>
      </c>
      <c r="H34">
        <f t="shared" si="6"/>
        <v>12.3841300116847</v>
      </c>
      <c r="I34">
        <f t="shared" si="7"/>
        <v>10.293277128691976</v>
      </c>
      <c r="J34">
        <f t="shared" si="8"/>
        <v>12.3841300116847</v>
      </c>
      <c r="K34">
        <f t="shared" si="9"/>
        <v>10.293277128691976</v>
      </c>
      <c r="L34">
        <f t="shared" si="10"/>
        <v>12.3841300116847</v>
      </c>
      <c r="M34">
        <f t="shared" si="11"/>
        <v>10.293277128691976</v>
      </c>
      <c r="N34">
        <f t="shared" si="12"/>
        <v>12.3841300116847</v>
      </c>
      <c r="O34">
        <f t="shared" si="13"/>
        <v>10.293277128691976</v>
      </c>
      <c r="P34">
        <f t="shared" si="14"/>
        <v>12.3841300116847</v>
      </c>
      <c r="Q34">
        <f t="shared" si="15"/>
        <v>10.293277128691976</v>
      </c>
      <c r="R34">
        <f t="shared" si="16"/>
        <v>12.3841300116847</v>
      </c>
      <c r="S34">
        <f t="shared" si="17"/>
        <v>10.293277128691976</v>
      </c>
      <c r="T34">
        <f t="shared" si="18"/>
        <v>12.3841300116847</v>
      </c>
      <c r="U34">
        <f t="shared" si="19"/>
        <v>10.293277128691976</v>
      </c>
      <c r="V34">
        <f t="shared" si="20"/>
        <v>12.3841300116847</v>
      </c>
      <c r="W34">
        <f t="shared" si="21"/>
        <v>10.293277128691976</v>
      </c>
      <c r="X34">
        <f t="shared" si="22"/>
        <v>12.3841300116847</v>
      </c>
      <c r="Y34">
        <f t="shared" si="23"/>
        <v>10.293277128691976</v>
      </c>
      <c r="Z34">
        <f t="shared" si="24"/>
        <v>12.3841300116847</v>
      </c>
      <c r="AA34">
        <f t="shared" si="25"/>
        <v>10.293277128691976</v>
      </c>
      <c r="AB34">
        <f t="shared" si="26"/>
        <v>12.3841300116847</v>
      </c>
      <c r="AC34">
        <f t="shared" si="27"/>
        <v>10.293277128691976</v>
      </c>
      <c r="AD34">
        <f t="shared" si="28"/>
        <v>12.3841300116847</v>
      </c>
      <c r="AE34">
        <f t="shared" si="29"/>
        <v>10.293277128691976</v>
      </c>
      <c r="AF34">
        <f t="shared" si="30"/>
        <v>12.3841300116847</v>
      </c>
      <c r="AG34">
        <f t="shared" si="31"/>
        <v>10.293277128691976</v>
      </c>
      <c r="AH34">
        <f t="shared" si="32"/>
        <v>12.3841300116847</v>
      </c>
    </row>
    <row r="35" spans="1:34">
      <c r="A35" t="str">
        <f>CYF!A35</f>
        <v>Maize</v>
      </c>
      <c r="B35" t="str">
        <f>CYF!B35</f>
        <v>Tigray</v>
      </c>
      <c r="C35">
        <v>10.156810593788704</v>
      </c>
      <c r="D35">
        <v>12.034443187729797</v>
      </c>
      <c r="E35">
        <f t="shared" si="3"/>
        <v>10.156810593788704</v>
      </c>
      <c r="F35">
        <f t="shared" si="4"/>
        <v>12.034443187729797</v>
      </c>
      <c r="G35">
        <f t="shared" si="5"/>
        <v>10.156810593788704</v>
      </c>
      <c r="H35">
        <f t="shared" si="6"/>
        <v>12.034443187729797</v>
      </c>
      <c r="I35">
        <f t="shared" si="7"/>
        <v>10.156810593788704</v>
      </c>
      <c r="J35">
        <f t="shared" si="8"/>
        <v>12.034443187729797</v>
      </c>
      <c r="K35">
        <f t="shared" si="9"/>
        <v>10.156810593788704</v>
      </c>
      <c r="L35">
        <f t="shared" si="10"/>
        <v>12.034443187729797</v>
      </c>
      <c r="M35">
        <f t="shared" si="11"/>
        <v>10.156810593788704</v>
      </c>
      <c r="N35">
        <f t="shared" si="12"/>
        <v>12.034443187729797</v>
      </c>
      <c r="O35">
        <f t="shared" si="13"/>
        <v>10.156810593788704</v>
      </c>
      <c r="P35">
        <f t="shared" si="14"/>
        <v>12.034443187729797</v>
      </c>
      <c r="Q35">
        <f t="shared" si="15"/>
        <v>10.156810593788704</v>
      </c>
      <c r="R35">
        <f t="shared" si="16"/>
        <v>12.034443187729797</v>
      </c>
      <c r="S35">
        <f t="shared" si="17"/>
        <v>10.156810593788704</v>
      </c>
      <c r="T35">
        <f t="shared" si="18"/>
        <v>12.034443187729797</v>
      </c>
      <c r="U35">
        <f t="shared" si="19"/>
        <v>10.156810593788704</v>
      </c>
      <c r="V35">
        <f t="shared" si="20"/>
        <v>12.034443187729797</v>
      </c>
      <c r="W35">
        <f t="shared" si="21"/>
        <v>10.156810593788704</v>
      </c>
      <c r="X35">
        <f t="shared" si="22"/>
        <v>12.034443187729797</v>
      </c>
      <c r="Y35">
        <f t="shared" si="23"/>
        <v>10.156810593788704</v>
      </c>
      <c r="Z35">
        <f t="shared" si="24"/>
        <v>12.034443187729797</v>
      </c>
      <c r="AA35">
        <f t="shared" si="25"/>
        <v>10.156810593788704</v>
      </c>
      <c r="AB35">
        <f t="shared" si="26"/>
        <v>12.034443187729797</v>
      </c>
      <c r="AC35">
        <f t="shared" si="27"/>
        <v>10.156810593788704</v>
      </c>
      <c r="AD35">
        <f t="shared" si="28"/>
        <v>12.034443187729797</v>
      </c>
      <c r="AE35">
        <f t="shared" si="29"/>
        <v>10.156810593788704</v>
      </c>
      <c r="AF35">
        <f t="shared" si="30"/>
        <v>12.034443187729797</v>
      </c>
      <c r="AG35">
        <f t="shared" si="31"/>
        <v>10.156810593788704</v>
      </c>
      <c r="AH35">
        <f t="shared" si="32"/>
        <v>12.034443187729797</v>
      </c>
    </row>
    <row r="36" spans="1:34">
      <c r="A36" t="str">
        <f>CYF!A36</f>
        <v>Lentils</v>
      </c>
      <c r="B36" t="str">
        <f>CYF!B36</f>
        <v>AddisAbaba</v>
      </c>
      <c r="C36">
        <v>9.7448392790300016</v>
      </c>
      <c r="D36">
        <v>11.719312487218652</v>
      </c>
      <c r="E36">
        <f t="shared" si="3"/>
        <v>9.7448392790300016</v>
      </c>
      <c r="F36">
        <f t="shared" si="4"/>
        <v>11.719312487218652</v>
      </c>
      <c r="G36">
        <f t="shared" si="5"/>
        <v>9.7448392790300016</v>
      </c>
      <c r="H36">
        <f t="shared" si="6"/>
        <v>11.719312487218652</v>
      </c>
      <c r="I36">
        <f t="shared" si="7"/>
        <v>9.7448392790300016</v>
      </c>
      <c r="J36">
        <f t="shared" si="8"/>
        <v>11.719312487218652</v>
      </c>
      <c r="K36">
        <f t="shared" si="9"/>
        <v>9.7448392790300016</v>
      </c>
      <c r="L36">
        <f t="shared" si="10"/>
        <v>11.719312487218652</v>
      </c>
      <c r="M36">
        <f t="shared" si="11"/>
        <v>9.7448392790300016</v>
      </c>
      <c r="N36">
        <f t="shared" si="12"/>
        <v>11.719312487218652</v>
      </c>
      <c r="O36">
        <f t="shared" si="13"/>
        <v>9.7448392790300016</v>
      </c>
      <c r="P36">
        <f t="shared" si="14"/>
        <v>11.719312487218652</v>
      </c>
      <c r="Q36">
        <f t="shared" si="15"/>
        <v>9.7448392790300016</v>
      </c>
      <c r="R36">
        <f t="shared" si="16"/>
        <v>11.719312487218652</v>
      </c>
      <c r="S36">
        <f t="shared" si="17"/>
        <v>9.7448392790300016</v>
      </c>
      <c r="T36">
        <f t="shared" si="18"/>
        <v>11.719312487218652</v>
      </c>
      <c r="U36">
        <f t="shared" si="19"/>
        <v>9.7448392790300016</v>
      </c>
      <c r="V36">
        <f t="shared" si="20"/>
        <v>11.719312487218652</v>
      </c>
      <c r="W36">
        <f t="shared" si="21"/>
        <v>9.7448392790300016</v>
      </c>
      <c r="X36">
        <f t="shared" si="22"/>
        <v>11.719312487218652</v>
      </c>
      <c r="Y36">
        <f t="shared" si="23"/>
        <v>9.7448392790300016</v>
      </c>
      <c r="Z36">
        <f t="shared" si="24"/>
        <v>11.719312487218652</v>
      </c>
      <c r="AA36">
        <f t="shared" si="25"/>
        <v>9.7448392790300016</v>
      </c>
      <c r="AB36">
        <f t="shared" si="26"/>
        <v>11.719312487218652</v>
      </c>
      <c r="AC36">
        <f t="shared" si="27"/>
        <v>9.7448392790300016</v>
      </c>
      <c r="AD36">
        <f t="shared" si="28"/>
        <v>11.719312487218652</v>
      </c>
      <c r="AE36">
        <f t="shared" si="29"/>
        <v>9.7448392790300016</v>
      </c>
      <c r="AF36">
        <f t="shared" si="30"/>
        <v>11.719312487218652</v>
      </c>
      <c r="AG36">
        <f t="shared" si="31"/>
        <v>9.7448392790300016</v>
      </c>
      <c r="AH36">
        <f t="shared" si="32"/>
        <v>11.719312487218652</v>
      </c>
    </row>
    <row r="37" spans="1:34">
      <c r="A37" t="str">
        <f>CYF!A37</f>
        <v>Lentils</v>
      </c>
      <c r="B37" t="str">
        <f>CYF!B37</f>
        <v>Afar</v>
      </c>
      <c r="C37">
        <v>10.609994832645434</v>
      </c>
      <c r="D37">
        <v>11.549165100310628</v>
      </c>
      <c r="E37">
        <f t="shared" si="3"/>
        <v>10.609994832645434</v>
      </c>
      <c r="F37">
        <f t="shared" si="4"/>
        <v>11.549165100310628</v>
      </c>
      <c r="G37">
        <f t="shared" si="5"/>
        <v>10.609994832645434</v>
      </c>
      <c r="H37">
        <f t="shared" si="6"/>
        <v>11.549165100310628</v>
      </c>
      <c r="I37">
        <f t="shared" si="7"/>
        <v>10.609994832645434</v>
      </c>
      <c r="J37">
        <f t="shared" si="8"/>
        <v>11.549165100310628</v>
      </c>
      <c r="K37">
        <f t="shared" si="9"/>
        <v>10.609994832645434</v>
      </c>
      <c r="L37">
        <f t="shared" si="10"/>
        <v>11.549165100310628</v>
      </c>
      <c r="M37">
        <f t="shared" si="11"/>
        <v>10.609994832645434</v>
      </c>
      <c r="N37">
        <f t="shared" si="12"/>
        <v>11.549165100310628</v>
      </c>
      <c r="O37">
        <f t="shared" si="13"/>
        <v>10.609994832645434</v>
      </c>
      <c r="P37">
        <f t="shared" si="14"/>
        <v>11.549165100310628</v>
      </c>
      <c r="Q37">
        <f t="shared" si="15"/>
        <v>10.609994832645434</v>
      </c>
      <c r="R37">
        <f t="shared" si="16"/>
        <v>11.549165100310628</v>
      </c>
      <c r="S37">
        <f t="shared" si="17"/>
        <v>10.609994832645434</v>
      </c>
      <c r="T37">
        <f t="shared" si="18"/>
        <v>11.549165100310628</v>
      </c>
      <c r="U37">
        <f t="shared" si="19"/>
        <v>10.609994832645434</v>
      </c>
      <c r="V37">
        <f t="shared" si="20"/>
        <v>11.549165100310628</v>
      </c>
      <c r="W37">
        <f t="shared" si="21"/>
        <v>10.609994832645434</v>
      </c>
      <c r="X37">
        <f t="shared" si="22"/>
        <v>11.549165100310628</v>
      </c>
      <c r="Y37">
        <f t="shared" si="23"/>
        <v>10.609994832645434</v>
      </c>
      <c r="Z37">
        <f t="shared" si="24"/>
        <v>11.549165100310628</v>
      </c>
      <c r="AA37">
        <f t="shared" si="25"/>
        <v>10.609994832645434</v>
      </c>
      <c r="AB37">
        <f t="shared" si="26"/>
        <v>11.549165100310628</v>
      </c>
      <c r="AC37">
        <f t="shared" si="27"/>
        <v>10.609994832645434</v>
      </c>
      <c r="AD37">
        <f t="shared" si="28"/>
        <v>11.549165100310628</v>
      </c>
      <c r="AE37">
        <f t="shared" si="29"/>
        <v>10.609994832645434</v>
      </c>
      <c r="AF37">
        <f t="shared" si="30"/>
        <v>11.549165100310628</v>
      </c>
      <c r="AG37">
        <f t="shared" si="31"/>
        <v>10.609994832645434</v>
      </c>
      <c r="AH37">
        <f t="shared" si="32"/>
        <v>11.549165100310628</v>
      </c>
    </row>
    <row r="38" spans="1:34">
      <c r="A38" t="str">
        <f>CYF!A38</f>
        <v>Lentils</v>
      </c>
      <c r="B38" t="str">
        <f>CYF!B38</f>
        <v>Amhara</v>
      </c>
      <c r="C38">
        <v>9.6321855436496957</v>
      </c>
      <c r="D38">
        <v>11.878567062306622</v>
      </c>
      <c r="E38">
        <f t="shared" si="3"/>
        <v>9.6321855436496957</v>
      </c>
      <c r="F38">
        <f t="shared" si="4"/>
        <v>11.878567062306622</v>
      </c>
      <c r="G38">
        <f t="shared" si="5"/>
        <v>9.6321855436496957</v>
      </c>
      <c r="H38">
        <f t="shared" si="6"/>
        <v>11.878567062306622</v>
      </c>
      <c r="I38">
        <f t="shared" si="7"/>
        <v>9.6321855436496957</v>
      </c>
      <c r="J38">
        <f t="shared" si="8"/>
        <v>11.878567062306622</v>
      </c>
      <c r="K38">
        <f t="shared" si="9"/>
        <v>9.6321855436496957</v>
      </c>
      <c r="L38">
        <f t="shared" si="10"/>
        <v>11.878567062306622</v>
      </c>
      <c r="M38">
        <f t="shared" si="11"/>
        <v>9.6321855436496957</v>
      </c>
      <c r="N38">
        <f t="shared" si="12"/>
        <v>11.878567062306622</v>
      </c>
      <c r="O38">
        <f t="shared" si="13"/>
        <v>9.6321855436496957</v>
      </c>
      <c r="P38">
        <f t="shared" si="14"/>
        <v>11.878567062306622</v>
      </c>
      <c r="Q38">
        <f t="shared" si="15"/>
        <v>9.6321855436496957</v>
      </c>
      <c r="R38">
        <f t="shared" si="16"/>
        <v>11.878567062306622</v>
      </c>
      <c r="S38">
        <f t="shared" si="17"/>
        <v>9.6321855436496957</v>
      </c>
      <c r="T38">
        <f t="shared" si="18"/>
        <v>11.878567062306622</v>
      </c>
      <c r="U38">
        <f t="shared" si="19"/>
        <v>9.6321855436496957</v>
      </c>
      <c r="V38">
        <f t="shared" si="20"/>
        <v>11.878567062306622</v>
      </c>
      <c r="W38">
        <f t="shared" si="21"/>
        <v>9.6321855436496957</v>
      </c>
      <c r="X38">
        <f t="shared" si="22"/>
        <v>11.878567062306622</v>
      </c>
      <c r="Y38">
        <f t="shared" si="23"/>
        <v>9.6321855436496957</v>
      </c>
      <c r="Z38">
        <f t="shared" si="24"/>
        <v>11.878567062306622</v>
      </c>
      <c r="AA38">
        <f t="shared" si="25"/>
        <v>9.6321855436496957</v>
      </c>
      <c r="AB38">
        <f t="shared" si="26"/>
        <v>11.878567062306622</v>
      </c>
      <c r="AC38">
        <f t="shared" si="27"/>
        <v>9.6321855436496957</v>
      </c>
      <c r="AD38">
        <f t="shared" si="28"/>
        <v>11.878567062306622</v>
      </c>
      <c r="AE38">
        <f t="shared" si="29"/>
        <v>9.6321855436496957</v>
      </c>
      <c r="AF38">
        <f t="shared" si="30"/>
        <v>11.878567062306622</v>
      </c>
      <c r="AG38">
        <f t="shared" si="31"/>
        <v>9.6321855436496957</v>
      </c>
      <c r="AH38">
        <f t="shared" si="32"/>
        <v>11.878567062306622</v>
      </c>
    </row>
    <row r="39" spans="1:34">
      <c r="A39" t="str">
        <f>CYF!A39</f>
        <v>Lentils</v>
      </c>
      <c r="B39" t="str">
        <f>CYF!B39</f>
        <v>Gumuz</v>
      </c>
      <c r="C39">
        <v>11.167571282375622</v>
      </c>
      <c r="D39">
        <v>11.589546715021115</v>
      </c>
      <c r="E39">
        <f t="shared" si="3"/>
        <v>11.167571282375622</v>
      </c>
      <c r="F39">
        <f t="shared" si="4"/>
        <v>11.589546715021115</v>
      </c>
      <c r="G39">
        <f t="shared" si="5"/>
        <v>11.167571282375622</v>
      </c>
      <c r="H39">
        <f t="shared" si="6"/>
        <v>11.589546715021115</v>
      </c>
      <c r="I39">
        <f t="shared" si="7"/>
        <v>11.167571282375622</v>
      </c>
      <c r="J39">
        <f t="shared" si="8"/>
        <v>11.589546715021115</v>
      </c>
      <c r="K39">
        <f t="shared" si="9"/>
        <v>11.167571282375622</v>
      </c>
      <c r="L39">
        <f t="shared" si="10"/>
        <v>11.589546715021115</v>
      </c>
      <c r="M39">
        <f t="shared" si="11"/>
        <v>11.167571282375622</v>
      </c>
      <c r="N39">
        <f t="shared" si="12"/>
        <v>11.589546715021115</v>
      </c>
      <c r="O39">
        <f t="shared" si="13"/>
        <v>11.167571282375622</v>
      </c>
      <c r="P39">
        <f t="shared" si="14"/>
        <v>11.589546715021115</v>
      </c>
      <c r="Q39">
        <f t="shared" si="15"/>
        <v>11.167571282375622</v>
      </c>
      <c r="R39">
        <f t="shared" si="16"/>
        <v>11.589546715021115</v>
      </c>
      <c r="S39">
        <f t="shared" si="17"/>
        <v>11.167571282375622</v>
      </c>
      <c r="T39">
        <f t="shared" si="18"/>
        <v>11.589546715021115</v>
      </c>
      <c r="U39">
        <f t="shared" si="19"/>
        <v>11.167571282375622</v>
      </c>
      <c r="V39">
        <f t="shared" si="20"/>
        <v>11.589546715021115</v>
      </c>
      <c r="W39">
        <f t="shared" si="21"/>
        <v>11.167571282375622</v>
      </c>
      <c r="X39">
        <f t="shared" si="22"/>
        <v>11.589546715021115</v>
      </c>
      <c r="Y39">
        <f t="shared" si="23"/>
        <v>11.167571282375622</v>
      </c>
      <c r="Z39">
        <f t="shared" si="24"/>
        <v>11.589546715021115</v>
      </c>
      <c r="AA39">
        <f t="shared" si="25"/>
        <v>11.167571282375622</v>
      </c>
      <c r="AB39">
        <f t="shared" si="26"/>
        <v>11.589546715021115</v>
      </c>
      <c r="AC39">
        <f t="shared" si="27"/>
        <v>11.167571282375622</v>
      </c>
      <c r="AD39">
        <f t="shared" si="28"/>
        <v>11.589546715021115</v>
      </c>
      <c r="AE39">
        <f t="shared" si="29"/>
        <v>11.167571282375622</v>
      </c>
      <c r="AF39">
        <f t="shared" si="30"/>
        <v>11.589546715021115</v>
      </c>
      <c r="AG39">
        <f t="shared" si="31"/>
        <v>11.167571282375622</v>
      </c>
      <c r="AH39">
        <f t="shared" si="32"/>
        <v>11.589546715021115</v>
      </c>
    </row>
    <row r="40" spans="1:34">
      <c r="A40" t="str">
        <f>CYF!A40</f>
        <v>Lentils</v>
      </c>
      <c r="B40" t="str">
        <f>CYF!B40</f>
        <v>DireDawa</v>
      </c>
      <c r="C40">
        <v>11.463987333640606</v>
      </c>
      <c r="D40">
        <v>11.869371101063242</v>
      </c>
      <c r="E40">
        <f t="shared" si="3"/>
        <v>11.463987333640606</v>
      </c>
      <c r="F40">
        <f t="shared" si="4"/>
        <v>11.869371101063242</v>
      </c>
      <c r="G40">
        <f t="shared" si="5"/>
        <v>11.463987333640606</v>
      </c>
      <c r="H40">
        <f t="shared" si="6"/>
        <v>11.869371101063242</v>
      </c>
      <c r="I40">
        <f t="shared" si="7"/>
        <v>11.463987333640606</v>
      </c>
      <c r="J40">
        <f t="shared" si="8"/>
        <v>11.869371101063242</v>
      </c>
      <c r="K40">
        <f t="shared" si="9"/>
        <v>11.463987333640606</v>
      </c>
      <c r="L40">
        <f t="shared" si="10"/>
        <v>11.869371101063242</v>
      </c>
      <c r="M40">
        <f t="shared" si="11"/>
        <v>11.463987333640606</v>
      </c>
      <c r="N40">
        <f t="shared" si="12"/>
        <v>11.869371101063242</v>
      </c>
      <c r="O40">
        <f t="shared" si="13"/>
        <v>11.463987333640606</v>
      </c>
      <c r="P40">
        <f t="shared" si="14"/>
        <v>11.869371101063242</v>
      </c>
      <c r="Q40">
        <f t="shared" si="15"/>
        <v>11.463987333640606</v>
      </c>
      <c r="R40">
        <f t="shared" si="16"/>
        <v>11.869371101063242</v>
      </c>
      <c r="S40">
        <f t="shared" si="17"/>
        <v>11.463987333640606</v>
      </c>
      <c r="T40">
        <f t="shared" si="18"/>
        <v>11.869371101063242</v>
      </c>
      <c r="U40">
        <f t="shared" si="19"/>
        <v>11.463987333640606</v>
      </c>
      <c r="V40">
        <f t="shared" si="20"/>
        <v>11.869371101063242</v>
      </c>
      <c r="W40">
        <f t="shared" si="21"/>
        <v>11.463987333640606</v>
      </c>
      <c r="X40">
        <f t="shared" si="22"/>
        <v>11.869371101063242</v>
      </c>
      <c r="Y40">
        <f t="shared" si="23"/>
        <v>11.463987333640606</v>
      </c>
      <c r="Z40">
        <f t="shared" si="24"/>
        <v>11.869371101063242</v>
      </c>
      <c r="AA40">
        <f t="shared" si="25"/>
        <v>11.463987333640606</v>
      </c>
      <c r="AB40">
        <f t="shared" si="26"/>
        <v>11.869371101063242</v>
      </c>
      <c r="AC40">
        <f t="shared" si="27"/>
        <v>11.463987333640606</v>
      </c>
      <c r="AD40">
        <f t="shared" si="28"/>
        <v>11.869371101063242</v>
      </c>
      <c r="AE40">
        <f t="shared" si="29"/>
        <v>11.463987333640606</v>
      </c>
      <c r="AF40">
        <f t="shared" si="30"/>
        <v>11.869371101063242</v>
      </c>
      <c r="AG40">
        <f t="shared" si="31"/>
        <v>11.463987333640606</v>
      </c>
      <c r="AH40">
        <f t="shared" si="32"/>
        <v>11.869371101063242</v>
      </c>
    </row>
    <row r="41" spans="1:34">
      <c r="A41" t="str">
        <f>CYF!A41</f>
        <v>Lentils</v>
      </c>
      <c r="B41" t="str">
        <f>CYF!B41</f>
        <v>Gambela</v>
      </c>
      <c r="C41">
        <v>10.714749728732016</v>
      </c>
      <c r="D41">
        <v>11.037850414244176</v>
      </c>
      <c r="E41">
        <f t="shared" si="3"/>
        <v>10.714749728732016</v>
      </c>
      <c r="F41">
        <f t="shared" si="4"/>
        <v>11.037850414244176</v>
      </c>
      <c r="G41">
        <f t="shared" si="5"/>
        <v>10.714749728732016</v>
      </c>
      <c r="H41">
        <f t="shared" si="6"/>
        <v>11.037850414244176</v>
      </c>
      <c r="I41">
        <f t="shared" si="7"/>
        <v>10.714749728732016</v>
      </c>
      <c r="J41">
        <f t="shared" si="8"/>
        <v>11.037850414244176</v>
      </c>
      <c r="K41">
        <f t="shared" si="9"/>
        <v>10.714749728732016</v>
      </c>
      <c r="L41">
        <f t="shared" si="10"/>
        <v>11.037850414244176</v>
      </c>
      <c r="M41">
        <f t="shared" si="11"/>
        <v>10.714749728732016</v>
      </c>
      <c r="N41">
        <f t="shared" si="12"/>
        <v>11.037850414244176</v>
      </c>
      <c r="O41">
        <f t="shared" si="13"/>
        <v>10.714749728732016</v>
      </c>
      <c r="P41">
        <f t="shared" si="14"/>
        <v>11.037850414244176</v>
      </c>
      <c r="Q41">
        <f t="shared" si="15"/>
        <v>10.714749728732016</v>
      </c>
      <c r="R41">
        <f t="shared" si="16"/>
        <v>11.037850414244176</v>
      </c>
      <c r="S41">
        <f t="shared" si="17"/>
        <v>10.714749728732016</v>
      </c>
      <c r="T41">
        <f t="shared" si="18"/>
        <v>11.037850414244176</v>
      </c>
      <c r="U41">
        <f t="shared" si="19"/>
        <v>10.714749728732016</v>
      </c>
      <c r="V41">
        <f t="shared" si="20"/>
        <v>11.037850414244176</v>
      </c>
      <c r="W41">
        <f t="shared" si="21"/>
        <v>10.714749728732016</v>
      </c>
      <c r="X41">
        <f t="shared" si="22"/>
        <v>11.037850414244176</v>
      </c>
      <c r="Y41">
        <f t="shared" si="23"/>
        <v>10.714749728732016</v>
      </c>
      <c r="Z41">
        <f t="shared" si="24"/>
        <v>11.037850414244176</v>
      </c>
      <c r="AA41">
        <f t="shared" si="25"/>
        <v>10.714749728732016</v>
      </c>
      <c r="AB41">
        <f t="shared" si="26"/>
        <v>11.037850414244176</v>
      </c>
      <c r="AC41">
        <f t="shared" si="27"/>
        <v>10.714749728732016</v>
      </c>
      <c r="AD41">
        <f t="shared" si="28"/>
        <v>11.037850414244176</v>
      </c>
      <c r="AE41">
        <f t="shared" si="29"/>
        <v>10.714749728732016</v>
      </c>
      <c r="AF41">
        <f t="shared" si="30"/>
        <v>11.037850414244176</v>
      </c>
      <c r="AG41">
        <f t="shared" si="31"/>
        <v>10.714749728732016</v>
      </c>
      <c r="AH41">
        <f t="shared" si="32"/>
        <v>11.037850414244176</v>
      </c>
    </row>
    <row r="42" spans="1:34">
      <c r="A42" t="str">
        <f>CYF!A42</f>
        <v>Lentils</v>
      </c>
      <c r="B42" t="str">
        <f>CYF!B42</f>
        <v>Harari</v>
      </c>
      <c r="C42">
        <v>11.023782528428155</v>
      </c>
      <c r="D42">
        <v>12.290561566690494</v>
      </c>
      <c r="E42">
        <f t="shared" si="3"/>
        <v>11.023782528428155</v>
      </c>
      <c r="F42">
        <f t="shared" si="4"/>
        <v>12.290561566690494</v>
      </c>
      <c r="G42">
        <f t="shared" si="5"/>
        <v>11.023782528428155</v>
      </c>
      <c r="H42">
        <f t="shared" si="6"/>
        <v>12.290561566690494</v>
      </c>
      <c r="I42">
        <f t="shared" si="7"/>
        <v>11.023782528428155</v>
      </c>
      <c r="J42">
        <f t="shared" si="8"/>
        <v>12.290561566690494</v>
      </c>
      <c r="K42">
        <f t="shared" si="9"/>
        <v>11.023782528428155</v>
      </c>
      <c r="L42">
        <f t="shared" si="10"/>
        <v>12.290561566690494</v>
      </c>
      <c r="M42">
        <f t="shared" si="11"/>
        <v>11.023782528428155</v>
      </c>
      <c r="N42">
        <f t="shared" si="12"/>
        <v>12.290561566690494</v>
      </c>
      <c r="O42">
        <f t="shared" si="13"/>
        <v>11.023782528428155</v>
      </c>
      <c r="P42">
        <f t="shared" si="14"/>
        <v>12.290561566690494</v>
      </c>
      <c r="Q42">
        <f t="shared" si="15"/>
        <v>11.023782528428155</v>
      </c>
      <c r="R42">
        <f t="shared" si="16"/>
        <v>12.290561566690494</v>
      </c>
      <c r="S42">
        <f t="shared" si="17"/>
        <v>11.023782528428155</v>
      </c>
      <c r="T42">
        <f t="shared" si="18"/>
        <v>12.290561566690494</v>
      </c>
      <c r="U42">
        <f t="shared" si="19"/>
        <v>11.023782528428155</v>
      </c>
      <c r="V42">
        <f t="shared" si="20"/>
        <v>12.290561566690494</v>
      </c>
      <c r="W42">
        <f t="shared" si="21"/>
        <v>11.023782528428155</v>
      </c>
      <c r="X42">
        <f t="shared" si="22"/>
        <v>12.290561566690494</v>
      </c>
      <c r="Y42">
        <f t="shared" si="23"/>
        <v>11.023782528428155</v>
      </c>
      <c r="Z42">
        <f t="shared" si="24"/>
        <v>12.290561566690494</v>
      </c>
      <c r="AA42">
        <f t="shared" si="25"/>
        <v>11.023782528428155</v>
      </c>
      <c r="AB42">
        <f t="shared" si="26"/>
        <v>12.290561566690494</v>
      </c>
      <c r="AC42">
        <f t="shared" si="27"/>
        <v>11.023782528428155</v>
      </c>
      <c r="AD42">
        <f t="shared" si="28"/>
        <v>12.290561566690494</v>
      </c>
      <c r="AE42">
        <f t="shared" si="29"/>
        <v>11.023782528428155</v>
      </c>
      <c r="AF42">
        <f t="shared" si="30"/>
        <v>12.290561566690494</v>
      </c>
      <c r="AG42">
        <f t="shared" si="31"/>
        <v>11.023782528428155</v>
      </c>
      <c r="AH42">
        <f t="shared" si="32"/>
        <v>12.290561566690494</v>
      </c>
    </row>
    <row r="43" spans="1:34">
      <c r="A43" t="str">
        <f>CYF!A43</f>
        <v>Lentils</v>
      </c>
      <c r="B43" t="str">
        <f>CYF!B43</f>
        <v>Oromia</v>
      </c>
      <c r="C43">
        <v>10.179109658482382</v>
      </c>
      <c r="D43">
        <v>11.92902717698988</v>
      </c>
      <c r="E43">
        <f t="shared" si="3"/>
        <v>10.179109658482382</v>
      </c>
      <c r="F43">
        <f t="shared" si="4"/>
        <v>11.92902717698988</v>
      </c>
      <c r="G43">
        <f t="shared" si="5"/>
        <v>10.179109658482382</v>
      </c>
      <c r="H43">
        <f t="shared" si="6"/>
        <v>11.92902717698988</v>
      </c>
      <c r="I43">
        <f t="shared" si="7"/>
        <v>10.179109658482382</v>
      </c>
      <c r="J43">
        <f t="shared" si="8"/>
        <v>11.92902717698988</v>
      </c>
      <c r="K43">
        <f t="shared" si="9"/>
        <v>10.179109658482382</v>
      </c>
      <c r="L43">
        <f t="shared" si="10"/>
        <v>11.92902717698988</v>
      </c>
      <c r="M43">
        <f t="shared" si="11"/>
        <v>10.179109658482382</v>
      </c>
      <c r="N43">
        <f t="shared" si="12"/>
        <v>11.92902717698988</v>
      </c>
      <c r="O43">
        <f t="shared" si="13"/>
        <v>10.179109658482382</v>
      </c>
      <c r="P43">
        <f t="shared" si="14"/>
        <v>11.92902717698988</v>
      </c>
      <c r="Q43">
        <f t="shared" si="15"/>
        <v>10.179109658482382</v>
      </c>
      <c r="R43">
        <f t="shared" si="16"/>
        <v>11.92902717698988</v>
      </c>
      <c r="S43">
        <f t="shared" si="17"/>
        <v>10.179109658482382</v>
      </c>
      <c r="T43">
        <f t="shared" si="18"/>
        <v>11.92902717698988</v>
      </c>
      <c r="U43">
        <f t="shared" si="19"/>
        <v>10.179109658482382</v>
      </c>
      <c r="V43">
        <f t="shared" si="20"/>
        <v>11.92902717698988</v>
      </c>
      <c r="W43">
        <f t="shared" si="21"/>
        <v>10.179109658482382</v>
      </c>
      <c r="X43">
        <f t="shared" si="22"/>
        <v>11.92902717698988</v>
      </c>
      <c r="Y43">
        <f t="shared" si="23"/>
        <v>10.179109658482382</v>
      </c>
      <c r="Z43">
        <f t="shared" si="24"/>
        <v>11.92902717698988</v>
      </c>
      <c r="AA43">
        <f t="shared" si="25"/>
        <v>10.179109658482382</v>
      </c>
      <c r="AB43">
        <f t="shared" si="26"/>
        <v>11.92902717698988</v>
      </c>
      <c r="AC43">
        <f t="shared" si="27"/>
        <v>10.179109658482382</v>
      </c>
      <c r="AD43">
        <f t="shared" si="28"/>
        <v>11.92902717698988</v>
      </c>
      <c r="AE43">
        <f t="shared" si="29"/>
        <v>10.179109658482382</v>
      </c>
      <c r="AF43">
        <f t="shared" si="30"/>
        <v>11.92902717698988</v>
      </c>
      <c r="AG43">
        <f t="shared" si="31"/>
        <v>10.179109658482382</v>
      </c>
      <c r="AH43">
        <f t="shared" si="32"/>
        <v>11.92902717698988</v>
      </c>
    </row>
    <row r="44" spans="1:34">
      <c r="A44" t="str">
        <f>CYF!A44</f>
        <v>Lentils</v>
      </c>
      <c r="B44" t="str">
        <f>CYF!B44</f>
        <v>Somali</v>
      </c>
      <c r="C44">
        <v>9.5488050169298226</v>
      </c>
      <c r="D44">
        <v>12.1136384818116</v>
      </c>
      <c r="E44">
        <f t="shared" si="3"/>
        <v>9.5488050169298226</v>
      </c>
      <c r="F44">
        <f t="shared" si="4"/>
        <v>12.1136384818116</v>
      </c>
      <c r="G44">
        <f t="shared" si="5"/>
        <v>9.5488050169298226</v>
      </c>
      <c r="H44">
        <f t="shared" si="6"/>
        <v>12.1136384818116</v>
      </c>
      <c r="I44">
        <f t="shared" si="7"/>
        <v>9.5488050169298226</v>
      </c>
      <c r="J44">
        <f t="shared" si="8"/>
        <v>12.1136384818116</v>
      </c>
      <c r="K44">
        <f t="shared" si="9"/>
        <v>9.5488050169298226</v>
      </c>
      <c r="L44">
        <f t="shared" si="10"/>
        <v>12.1136384818116</v>
      </c>
      <c r="M44">
        <f t="shared" si="11"/>
        <v>9.5488050169298226</v>
      </c>
      <c r="N44">
        <f t="shared" si="12"/>
        <v>12.1136384818116</v>
      </c>
      <c r="O44">
        <f t="shared" si="13"/>
        <v>9.5488050169298226</v>
      </c>
      <c r="P44">
        <f t="shared" si="14"/>
        <v>12.1136384818116</v>
      </c>
      <c r="Q44">
        <f t="shared" si="15"/>
        <v>9.5488050169298226</v>
      </c>
      <c r="R44">
        <f t="shared" si="16"/>
        <v>12.1136384818116</v>
      </c>
      <c r="S44">
        <f t="shared" si="17"/>
        <v>9.5488050169298226</v>
      </c>
      <c r="T44">
        <f t="shared" si="18"/>
        <v>12.1136384818116</v>
      </c>
      <c r="U44">
        <f t="shared" si="19"/>
        <v>9.5488050169298226</v>
      </c>
      <c r="V44">
        <f t="shared" si="20"/>
        <v>12.1136384818116</v>
      </c>
      <c r="W44">
        <f t="shared" si="21"/>
        <v>9.5488050169298226</v>
      </c>
      <c r="X44">
        <f t="shared" si="22"/>
        <v>12.1136384818116</v>
      </c>
      <c r="Y44">
        <f t="shared" si="23"/>
        <v>9.5488050169298226</v>
      </c>
      <c r="Z44">
        <f t="shared" si="24"/>
        <v>12.1136384818116</v>
      </c>
      <c r="AA44">
        <f t="shared" si="25"/>
        <v>9.5488050169298226</v>
      </c>
      <c r="AB44">
        <f t="shared" si="26"/>
        <v>12.1136384818116</v>
      </c>
      <c r="AC44">
        <f t="shared" si="27"/>
        <v>9.5488050169298226</v>
      </c>
      <c r="AD44">
        <f t="shared" si="28"/>
        <v>12.1136384818116</v>
      </c>
      <c r="AE44">
        <f t="shared" si="29"/>
        <v>9.5488050169298226</v>
      </c>
      <c r="AF44">
        <f t="shared" si="30"/>
        <v>12.1136384818116</v>
      </c>
      <c r="AG44">
        <f t="shared" si="31"/>
        <v>9.5488050169298226</v>
      </c>
      <c r="AH44">
        <f t="shared" si="32"/>
        <v>12.1136384818116</v>
      </c>
    </row>
    <row r="45" spans="1:34">
      <c r="A45" t="str">
        <f>CYF!A45</f>
        <v>Lentils</v>
      </c>
      <c r="B45" t="str">
        <f>CYF!B45</f>
        <v>SNNPR</v>
      </c>
      <c r="C45">
        <v>10.658050047838831</v>
      </c>
      <c r="D45">
        <v>12.27115304278815</v>
      </c>
      <c r="E45">
        <f t="shared" si="3"/>
        <v>10.658050047838831</v>
      </c>
      <c r="F45">
        <f t="shared" si="4"/>
        <v>12.27115304278815</v>
      </c>
      <c r="G45">
        <f t="shared" si="5"/>
        <v>10.658050047838831</v>
      </c>
      <c r="H45">
        <f t="shared" si="6"/>
        <v>12.27115304278815</v>
      </c>
      <c r="I45">
        <f t="shared" si="7"/>
        <v>10.658050047838831</v>
      </c>
      <c r="J45">
        <f t="shared" si="8"/>
        <v>12.27115304278815</v>
      </c>
      <c r="K45">
        <f t="shared" si="9"/>
        <v>10.658050047838831</v>
      </c>
      <c r="L45">
        <f t="shared" si="10"/>
        <v>12.27115304278815</v>
      </c>
      <c r="M45">
        <f t="shared" si="11"/>
        <v>10.658050047838831</v>
      </c>
      <c r="N45">
        <f t="shared" si="12"/>
        <v>12.27115304278815</v>
      </c>
      <c r="O45">
        <f t="shared" si="13"/>
        <v>10.658050047838831</v>
      </c>
      <c r="P45">
        <f t="shared" si="14"/>
        <v>12.27115304278815</v>
      </c>
      <c r="Q45">
        <f t="shared" si="15"/>
        <v>10.658050047838831</v>
      </c>
      <c r="R45">
        <f t="shared" si="16"/>
        <v>12.27115304278815</v>
      </c>
      <c r="S45">
        <f t="shared" si="17"/>
        <v>10.658050047838831</v>
      </c>
      <c r="T45">
        <f t="shared" si="18"/>
        <v>12.27115304278815</v>
      </c>
      <c r="U45">
        <f t="shared" si="19"/>
        <v>10.658050047838831</v>
      </c>
      <c r="V45">
        <f t="shared" si="20"/>
        <v>12.27115304278815</v>
      </c>
      <c r="W45">
        <f t="shared" si="21"/>
        <v>10.658050047838831</v>
      </c>
      <c r="X45">
        <f t="shared" si="22"/>
        <v>12.27115304278815</v>
      </c>
      <c r="Y45">
        <f t="shared" si="23"/>
        <v>10.658050047838831</v>
      </c>
      <c r="Z45">
        <f t="shared" si="24"/>
        <v>12.27115304278815</v>
      </c>
      <c r="AA45">
        <f t="shared" si="25"/>
        <v>10.658050047838831</v>
      </c>
      <c r="AB45">
        <f t="shared" si="26"/>
        <v>12.27115304278815</v>
      </c>
      <c r="AC45">
        <f t="shared" si="27"/>
        <v>10.658050047838831</v>
      </c>
      <c r="AD45">
        <f t="shared" si="28"/>
        <v>12.27115304278815</v>
      </c>
      <c r="AE45">
        <f t="shared" si="29"/>
        <v>10.658050047838831</v>
      </c>
      <c r="AF45">
        <f t="shared" si="30"/>
        <v>12.27115304278815</v>
      </c>
      <c r="AG45">
        <f t="shared" si="31"/>
        <v>10.658050047838831</v>
      </c>
      <c r="AH45">
        <f t="shared" si="32"/>
        <v>12.27115304278815</v>
      </c>
    </row>
    <row r="46" spans="1:34">
      <c r="A46" t="str">
        <f>CYF!A46</f>
        <v>Lentils</v>
      </c>
      <c r="B46" t="str">
        <f>CYF!B46</f>
        <v>Tigray</v>
      </c>
      <c r="C46">
        <v>11.071948212284292</v>
      </c>
      <c r="D46">
        <v>11.145174279846628</v>
      </c>
      <c r="E46">
        <f t="shared" si="3"/>
        <v>11.071948212284292</v>
      </c>
      <c r="F46">
        <f t="shared" si="4"/>
        <v>11.145174279846628</v>
      </c>
      <c r="G46">
        <f t="shared" si="5"/>
        <v>11.071948212284292</v>
      </c>
      <c r="H46">
        <f t="shared" si="6"/>
        <v>11.145174279846628</v>
      </c>
      <c r="I46">
        <f t="shared" si="7"/>
        <v>11.071948212284292</v>
      </c>
      <c r="J46">
        <f t="shared" si="8"/>
        <v>11.145174279846628</v>
      </c>
      <c r="K46">
        <f t="shared" si="9"/>
        <v>11.071948212284292</v>
      </c>
      <c r="L46">
        <f t="shared" si="10"/>
        <v>11.145174279846628</v>
      </c>
      <c r="M46">
        <f t="shared" si="11"/>
        <v>11.071948212284292</v>
      </c>
      <c r="N46">
        <f t="shared" si="12"/>
        <v>11.145174279846628</v>
      </c>
      <c r="O46">
        <f t="shared" si="13"/>
        <v>11.071948212284292</v>
      </c>
      <c r="P46">
        <f t="shared" si="14"/>
        <v>11.145174279846628</v>
      </c>
      <c r="Q46">
        <f t="shared" si="15"/>
        <v>11.071948212284292</v>
      </c>
      <c r="R46">
        <f t="shared" si="16"/>
        <v>11.145174279846628</v>
      </c>
      <c r="S46">
        <f t="shared" si="17"/>
        <v>11.071948212284292</v>
      </c>
      <c r="T46">
        <f t="shared" si="18"/>
        <v>11.145174279846628</v>
      </c>
      <c r="U46">
        <f t="shared" si="19"/>
        <v>11.071948212284292</v>
      </c>
      <c r="V46">
        <f t="shared" si="20"/>
        <v>11.145174279846628</v>
      </c>
      <c r="W46">
        <f t="shared" si="21"/>
        <v>11.071948212284292</v>
      </c>
      <c r="X46">
        <f t="shared" si="22"/>
        <v>11.145174279846628</v>
      </c>
      <c r="Y46">
        <f t="shared" si="23"/>
        <v>11.071948212284292</v>
      </c>
      <c r="Z46">
        <f t="shared" si="24"/>
        <v>11.145174279846628</v>
      </c>
      <c r="AA46">
        <f t="shared" si="25"/>
        <v>11.071948212284292</v>
      </c>
      <c r="AB46">
        <f t="shared" si="26"/>
        <v>11.145174279846628</v>
      </c>
      <c r="AC46">
        <f t="shared" si="27"/>
        <v>11.071948212284292</v>
      </c>
      <c r="AD46">
        <f t="shared" si="28"/>
        <v>11.145174279846628</v>
      </c>
      <c r="AE46">
        <f t="shared" si="29"/>
        <v>11.071948212284292</v>
      </c>
      <c r="AF46">
        <f t="shared" si="30"/>
        <v>11.145174279846628</v>
      </c>
      <c r="AG46">
        <f t="shared" si="31"/>
        <v>11.071948212284292</v>
      </c>
      <c r="AH46">
        <f t="shared" si="32"/>
        <v>11.145174279846628</v>
      </c>
    </row>
    <row r="47" spans="1:34">
      <c r="A47" t="str">
        <f>CYF!A47</f>
        <v>Vegetables</v>
      </c>
      <c r="B47" t="str">
        <f>CYF!B47</f>
        <v>AddisAbaba</v>
      </c>
      <c r="C47">
        <v>10.533244375499761</v>
      </c>
      <c r="D47">
        <v>12.17291349701094</v>
      </c>
      <c r="E47">
        <f t="shared" si="3"/>
        <v>10.533244375499761</v>
      </c>
      <c r="F47">
        <f t="shared" si="4"/>
        <v>12.17291349701094</v>
      </c>
      <c r="G47">
        <f t="shared" si="5"/>
        <v>10.533244375499761</v>
      </c>
      <c r="H47">
        <f t="shared" si="6"/>
        <v>12.17291349701094</v>
      </c>
      <c r="I47">
        <f t="shared" si="7"/>
        <v>10.533244375499761</v>
      </c>
      <c r="J47">
        <f t="shared" si="8"/>
        <v>12.17291349701094</v>
      </c>
      <c r="K47">
        <f t="shared" si="9"/>
        <v>10.533244375499761</v>
      </c>
      <c r="L47">
        <f t="shared" si="10"/>
        <v>12.17291349701094</v>
      </c>
      <c r="M47">
        <f t="shared" si="11"/>
        <v>10.533244375499761</v>
      </c>
      <c r="N47">
        <f t="shared" si="12"/>
        <v>12.17291349701094</v>
      </c>
      <c r="O47">
        <f t="shared" si="13"/>
        <v>10.533244375499761</v>
      </c>
      <c r="P47">
        <f t="shared" si="14"/>
        <v>12.17291349701094</v>
      </c>
      <c r="Q47">
        <f t="shared" si="15"/>
        <v>10.533244375499761</v>
      </c>
      <c r="R47">
        <f t="shared" si="16"/>
        <v>12.17291349701094</v>
      </c>
      <c r="S47">
        <f t="shared" si="17"/>
        <v>10.533244375499761</v>
      </c>
      <c r="T47">
        <f t="shared" si="18"/>
        <v>12.17291349701094</v>
      </c>
      <c r="U47">
        <f t="shared" si="19"/>
        <v>10.533244375499761</v>
      </c>
      <c r="V47">
        <f t="shared" si="20"/>
        <v>12.17291349701094</v>
      </c>
      <c r="W47">
        <f t="shared" si="21"/>
        <v>10.533244375499761</v>
      </c>
      <c r="X47">
        <f t="shared" si="22"/>
        <v>12.17291349701094</v>
      </c>
      <c r="Y47">
        <f t="shared" si="23"/>
        <v>10.533244375499761</v>
      </c>
      <c r="Z47">
        <f t="shared" si="24"/>
        <v>12.17291349701094</v>
      </c>
      <c r="AA47">
        <f t="shared" si="25"/>
        <v>10.533244375499761</v>
      </c>
      <c r="AB47">
        <f t="shared" si="26"/>
        <v>12.17291349701094</v>
      </c>
      <c r="AC47">
        <f t="shared" si="27"/>
        <v>10.533244375499761</v>
      </c>
      <c r="AD47">
        <f t="shared" si="28"/>
        <v>12.17291349701094</v>
      </c>
      <c r="AE47">
        <f t="shared" si="29"/>
        <v>10.533244375499761</v>
      </c>
      <c r="AF47">
        <f t="shared" si="30"/>
        <v>12.17291349701094</v>
      </c>
      <c r="AG47">
        <f t="shared" si="31"/>
        <v>10.533244375499761</v>
      </c>
      <c r="AH47">
        <f t="shared" si="32"/>
        <v>12.17291349701094</v>
      </c>
    </row>
    <row r="48" spans="1:34">
      <c r="A48" t="str">
        <f>CYF!A48</f>
        <v>Vegetables</v>
      </c>
      <c r="B48" t="str">
        <f>CYF!B48</f>
        <v>Afar</v>
      </c>
      <c r="C48">
        <v>11.197244435974032</v>
      </c>
      <c r="D48">
        <v>11.280745849151865</v>
      </c>
      <c r="E48">
        <f t="shared" si="3"/>
        <v>11.197244435974032</v>
      </c>
      <c r="F48">
        <f t="shared" si="4"/>
        <v>11.280745849151865</v>
      </c>
      <c r="G48">
        <f t="shared" si="5"/>
        <v>11.197244435974032</v>
      </c>
      <c r="H48">
        <f t="shared" si="6"/>
        <v>11.280745849151865</v>
      </c>
      <c r="I48">
        <f t="shared" si="7"/>
        <v>11.197244435974032</v>
      </c>
      <c r="J48">
        <f t="shared" si="8"/>
        <v>11.280745849151865</v>
      </c>
      <c r="K48">
        <f t="shared" si="9"/>
        <v>11.197244435974032</v>
      </c>
      <c r="L48">
        <f t="shared" si="10"/>
        <v>11.280745849151865</v>
      </c>
      <c r="M48">
        <f t="shared" si="11"/>
        <v>11.197244435974032</v>
      </c>
      <c r="N48">
        <f t="shared" si="12"/>
        <v>11.280745849151865</v>
      </c>
      <c r="O48">
        <f t="shared" si="13"/>
        <v>11.197244435974032</v>
      </c>
      <c r="P48">
        <f t="shared" si="14"/>
        <v>11.280745849151865</v>
      </c>
      <c r="Q48">
        <f t="shared" si="15"/>
        <v>11.197244435974032</v>
      </c>
      <c r="R48">
        <f t="shared" si="16"/>
        <v>11.280745849151865</v>
      </c>
      <c r="S48">
        <f t="shared" si="17"/>
        <v>11.197244435974032</v>
      </c>
      <c r="T48">
        <f t="shared" si="18"/>
        <v>11.280745849151865</v>
      </c>
      <c r="U48">
        <f t="shared" si="19"/>
        <v>11.197244435974032</v>
      </c>
      <c r="V48">
        <f t="shared" si="20"/>
        <v>11.280745849151865</v>
      </c>
      <c r="W48">
        <f t="shared" si="21"/>
        <v>11.197244435974032</v>
      </c>
      <c r="X48">
        <f t="shared" si="22"/>
        <v>11.280745849151865</v>
      </c>
      <c r="Y48">
        <f t="shared" si="23"/>
        <v>11.197244435974032</v>
      </c>
      <c r="Z48">
        <f t="shared" si="24"/>
        <v>11.280745849151865</v>
      </c>
      <c r="AA48">
        <f t="shared" si="25"/>
        <v>11.197244435974032</v>
      </c>
      <c r="AB48">
        <f t="shared" si="26"/>
        <v>11.280745849151865</v>
      </c>
      <c r="AC48">
        <f t="shared" si="27"/>
        <v>11.197244435974032</v>
      </c>
      <c r="AD48">
        <f t="shared" si="28"/>
        <v>11.280745849151865</v>
      </c>
      <c r="AE48">
        <f t="shared" si="29"/>
        <v>11.197244435974032</v>
      </c>
      <c r="AF48">
        <f t="shared" si="30"/>
        <v>11.280745849151865</v>
      </c>
      <c r="AG48">
        <f t="shared" si="31"/>
        <v>11.197244435974032</v>
      </c>
      <c r="AH48">
        <f t="shared" si="32"/>
        <v>11.280745849151865</v>
      </c>
    </row>
    <row r="49" spans="1:34">
      <c r="A49" t="str">
        <f>CYF!A49</f>
        <v>Vegetables</v>
      </c>
      <c r="B49" t="str">
        <f>CYF!B49</f>
        <v>Amhara</v>
      </c>
      <c r="C49">
        <v>9.4921488772895053</v>
      </c>
      <c r="D49">
        <v>11.792245705966888</v>
      </c>
      <c r="E49">
        <f t="shared" si="3"/>
        <v>9.4921488772895053</v>
      </c>
      <c r="F49">
        <f t="shared" si="4"/>
        <v>11.792245705966888</v>
      </c>
      <c r="G49">
        <f t="shared" si="5"/>
        <v>9.4921488772895053</v>
      </c>
      <c r="H49">
        <f t="shared" si="6"/>
        <v>11.792245705966888</v>
      </c>
      <c r="I49">
        <f t="shared" si="7"/>
        <v>9.4921488772895053</v>
      </c>
      <c r="J49">
        <f t="shared" si="8"/>
        <v>11.792245705966888</v>
      </c>
      <c r="K49">
        <f t="shared" si="9"/>
        <v>9.4921488772895053</v>
      </c>
      <c r="L49">
        <f t="shared" si="10"/>
        <v>11.792245705966888</v>
      </c>
      <c r="M49">
        <f t="shared" si="11"/>
        <v>9.4921488772895053</v>
      </c>
      <c r="N49">
        <f t="shared" si="12"/>
        <v>11.792245705966888</v>
      </c>
      <c r="O49">
        <f t="shared" si="13"/>
        <v>9.4921488772895053</v>
      </c>
      <c r="P49">
        <f t="shared" si="14"/>
        <v>11.792245705966888</v>
      </c>
      <c r="Q49">
        <f t="shared" si="15"/>
        <v>9.4921488772895053</v>
      </c>
      <c r="R49">
        <f t="shared" si="16"/>
        <v>11.792245705966888</v>
      </c>
      <c r="S49">
        <f t="shared" si="17"/>
        <v>9.4921488772895053</v>
      </c>
      <c r="T49">
        <f t="shared" si="18"/>
        <v>11.792245705966888</v>
      </c>
      <c r="U49">
        <f t="shared" si="19"/>
        <v>9.4921488772895053</v>
      </c>
      <c r="V49">
        <f t="shared" si="20"/>
        <v>11.792245705966888</v>
      </c>
      <c r="W49">
        <f t="shared" si="21"/>
        <v>9.4921488772895053</v>
      </c>
      <c r="X49">
        <f t="shared" si="22"/>
        <v>11.792245705966888</v>
      </c>
      <c r="Y49">
        <f t="shared" si="23"/>
        <v>9.4921488772895053</v>
      </c>
      <c r="Z49">
        <f t="shared" si="24"/>
        <v>11.792245705966888</v>
      </c>
      <c r="AA49">
        <f t="shared" si="25"/>
        <v>9.4921488772895053</v>
      </c>
      <c r="AB49">
        <f t="shared" si="26"/>
        <v>11.792245705966888</v>
      </c>
      <c r="AC49">
        <f t="shared" si="27"/>
        <v>9.4921488772895053</v>
      </c>
      <c r="AD49">
        <f t="shared" si="28"/>
        <v>11.792245705966888</v>
      </c>
      <c r="AE49">
        <f t="shared" si="29"/>
        <v>9.4921488772895053</v>
      </c>
      <c r="AF49">
        <f t="shared" si="30"/>
        <v>11.792245705966888</v>
      </c>
      <c r="AG49">
        <f t="shared" si="31"/>
        <v>9.4921488772895053</v>
      </c>
      <c r="AH49">
        <f t="shared" si="32"/>
        <v>11.792245705966888</v>
      </c>
    </row>
    <row r="50" spans="1:34">
      <c r="A50" t="str">
        <f>CYF!A50</f>
        <v>Vegetables</v>
      </c>
      <c r="B50" t="str">
        <f>CYF!B50</f>
        <v>Gumuz</v>
      </c>
      <c r="C50">
        <v>10.31359835092649</v>
      </c>
      <c r="D50">
        <v>11.71322449089176</v>
      </c>
      <c r="E50">
        <f t="shared" si="3"/>
        <v>10.31359835092649</v>
      </c>
      <c r="F50">
        <f t="shared" si="4"/>
        <v>11.71322449089176</v>
      </c>
      <c r="G50">
        <f t="shared" si="5"/>
        <v>10.31359835092649</v>
      </c>
      <c r="H50">
        <f t="shared" si="6"/>
        <v>11.71322449089176</v>
      </c>
      <c r="I50">
        <f t="shared" si="7"/>
        <v>10.31359835092649</v>
      </c>
      <c r="J50">
        <f t="shared" si="8"/>
        <v>11.71322449089176</v>
      </c>
      <c r="K50">
        <f t="shared" si="9"/>
        <v>10.31359835092649</v>
      </c>
      <c r="L50">
        <f t="shared" si="10"/>
        <v>11.71322449089176</v>
      </c>
      <c r="M50">
        <f t="shared" si="11"/>
        <v>10.31359835092649</v>
      </c>
      <c r="N50">
        <f t="shared" si="12"/>
        <v>11.71322449089176</v>
      </c>
      <c r="O50">
        <f t="shared" si="13"/>
        <v>10.31359835092649</v>
      </c>
      <c r="P50">
        <f t="shared" si="14"/>
        <v>11.71322449089176</v>
      </c>
      <c r="Q50">
        <f t="shared" si="15"/>
        <v>10.31359835092649</v>
      </c>
      <c r="R50">
        <f t="shared" si="16"/>
        <v>11.71322449089176</v>
      </c>
      <c r="S50">
        <f t="shared" si="17"/>
        <v>10.31359835092649</v>
      </c>
      <c r="T50">
        <f t="shared" si="18"/>
        <v>11.71322449089176</v>
      </c>
      <c r="U50">
        <f t="shared" si="19"/>
        <v>10.31359835092649</v>
      </c>
      <c r="V50">
        <f t="shared" si="20"/>
        <v>11.71322449089176</v>
      </c>
      <c r="W50">
        <f t="shared" si="21"/>
        <v>10.31359835092649</v>
      </c>
      <c r="X50">
        <f t="shared" si="22"/>
        <v>11.71322449089176</v>
      </c>
      <c r="Y50">
        <f t="shared" si="23"/>
        <v>10.31359835092649</v>
      </c>
      <c r="Z50">
        <f t="shared" si="24"/>
        <v>11.71322449089176</v>
      </c>
      <c r="AA50">
        <f t="shared" si="25"/>
        <v>10.31359835092649</v>
      </c>
      <c r="AB50">
        <f t="shared" si="26"/>
        <v>11.71322449089176</v>
      </c>
      <c r="AC50">
        <f t="shared" si="27"/>
        <v>10.31359835092649</v>
      </c>
      <c r="AD50">
        <f t="shared" si="28"/>
        <v>11.71322449089176</v>
      </c>
      <c r="AE50">
        <f t="shared" si="29"/>
        <v>10.31359835092649</v>
      </c>
      <c r="AF50">
        <f t="shared" si="30"/>
        <v>11.71322449089176</v>
      </c>
      <c r="AG50">
        <f t="shared" si="31"/>
        <v>10.31359835092649</v>
      </c>
      <c r="AH50">
        <f t="shared" si="32"/>
        <v>11.71322449089176</v>
      </c>
    </row>
    <row r="51" spans="1:34">
      <c r="A51" t="str">
        <f>CYF!A51</f>
        <v>Vegetables</v>
      </c>
      <c r="B51" t="str">
        <f>CYF!B51</f>
        <v>DireDawa</v>
      </c>
      <c r="C51">
        <v>10.863251937335612</v>
      </c>
      <c r="D51">
        <v>11.012655797975237</v>
      </c>
      <c r="E51">
        <f t="shared" si="3"/>
        <v>10.863251937335612</v>
      </c>
      <c r="F51">
        <f t="shared" si="4"/>
        <v>11.012655797975237</v>
      </c>
      <c r="G51">
        <f t="shared" si="5"/>
        <v>10.863251937335612</v>
      </c>
      <c r="H51">
        <f t="shared" si="6"/>
        <v>11.012655797975237</v>
      </c>
      <c r="I51">
        <f t="shared" si="7"/>
        <v>10.863251937335612</v>
      </c>
      <c r="J51">
        <f t="shared" si="8"/>
        <v>11.012655797975237</v>
      </c>
      <c r="K51">
        <f t="shared" si="9"/>
        <v>10.863251937335612</v>
      </c>
      <c r="L51">
        <f t="shared" si="10"/>
        <v>11.012655797975237</v>
      </c>
      <c r="M51">
        <f t="shared" si="11"/>
        <v>10.863251937335612</v>
      </c>
      <c r="N51">
        <f t="shared" si="12"/>
        <v>11.012655797975237</v>
      </c>
      <c r="O51">
        <f t="shared" si="13"/>
        <v>10.863251937335612</v>
      </c>
      <c r="P51">
        <f t="shared" si="14"/>
        <v>11.012655797975237</v>
      </c>
      <c r="Q51">
        <f t="shared" si="15"/>
        <v>10.863251937335612</v>
      </c>
      <c r="R51">
        <f t="shared" si="16"/>
        <v>11.012655797975237</v>
      </c>
      <c r="S51">
        <f t="shared" si="17"/>
        <v>10.863251937335612</v>
      </c>
      <c r="T51">
        <f t="shared" si="18"/>
        <v>11.012655797975237</v>
      </c>
      <c r="U51">
        <f t="shared" si="19"/>
        <v>10.863251937335612</v>
      </c>
      <c r="V51">
        <f t="shared" si="20"/>
        <v>11.012655797975237</v>
      </c>
      <c r="W51">
        <f t="shared" si="21"/>
        <v>10.863251937335612</v>
      </c>
      <c r="X51">
        <f t="shared" si="22"/>
        <v>11.012655797975237</v>
      </c>
      <c r="Y51">
        <f t="shared" si="23"/>
        <v>10.863251937335612</v>
      </c>
      <c r="Z51">
        <f t="shared" si="24"/>
        <v>11.012655797975237</v>
      </c>
      <c r="AA51">
        <f t="shared" si="25"/>
        <v>10.863251937335612</v>
      </c>
      <c r="AB51">
        <f t="shared" si="26"/>
        <v>11.012655797975237</v>
      </c>
      <c r="AC51">
        <f t="shared" si="27"/>
        <v>10.863251937335612</v>
      </c>
      <c r="AD51">
        <f t="shared" si="28"/>
        <v>11.012655797975237</v>
      </c>
      <c r="AE51">
        <f t="shared" si="29"/>
        <v>10.863251937335612</v>
      </c>
      <c r="AF51">
        <f t="shared" si="30"/>
        <v>11.012655797975237</v>
      </c>
      <c r="AG51">
        <f t="shared" si="31"/>
        <v>10.863251937335612</v>
      </c>
      <c r="AH51">
        <f t="shared" si="32"/>
        <v>11.012655797975237</v>
      </c>
    </row>
    <row r="52" spans="1:34">
      <c r="A52" t="str">
        <f>CYF!A52</f>
        <v>Vegetables</v>
      </c>
      <c r="B52" t="str">
        <f>CYF!B52</f>
        <v>Gambela</v>
      </c>
      <c r="C52">
        <v>10.375587044155775</v>
      </c>
      <c r="D52">
        <v>11.642274804443295</v>
      </c>
      <c r="E52">
        <f t="shared" si="3"/>
        <v>10.375587044155775</v>
      </c>
      <c r="F52">
        <f t="shared" si="4"/>
        <v>11.642274804443295</v>
      </c>
      <c r="G52">
        <f t="shared" si="5"/>
        <v>10.375587044155775</v>
      </c>
      <c r="H52">
        <f t="shared" si="6"/>
        <v>11.642274804443295</v>
      </c>
      <c r="I52">
        <f t="shared" si="7"/>
        <v>10.375587044155775</v>
      </c>
      <c r="J52">
        <f t="shared" si="8"/>
        <v>11.642274804443295</v>
      </c>
      <c r="K52">
        <f t="shared" si="9"/>
        <v>10.375587044155775</v>
      </c>
      <c r="L52">
        <f t="shared" si="10"/>
        <v>11.642274804443295</v>
      </c>
      <c r="M52">
        <f t="shared" si="11"/>
        <v>10.375587044155775</v>
      </c>
      <c r="N52">
        <f t="shared" si="12"/>
        <v>11.642274804443295</v>
      </c>
      <c r="O52">
        <f t="shared" si="13"/>
        <v>10.375587044155775</v>
      </c>
      <c r="P52">
        <f t="shared" si="14"/>
        <v>11.642274804443295</v>
      </c>
      <c r="Q52">
        <f t="shared" si="15"/>
        <v>10.375587044155775</v>
      </c>
      <c r="R52">
        <f t="shared" si="16"/>
        <v>11.642274804443295</v>
      </c>
      <c r="S52">
        <f t="shared" si="17"/>
        <v>10.375587044155775</v>
      </c>
      <c r="T52">
        <f t="shared" si="18"/>
        <v>11.642274804443295</v>
      </c>
      <c r="U52">
        <f t="shared" si="19"/>
        <v>10.375587044155775</v>
      </c>
      <c r="V52">
        <f t="shared" si="20"/>
        <v>11.642274804443295</v>
      </c>
      <c r="W52">
        <f t="shared" si="21"/>
        <v>10.375587044155775</v>
      </c>
      <c r="X52">
        <f t="shared" si="22"/>
        <v>11.642274804443295</v>
      </c>
      <c r="Y52">
        <f t="shared" si="23"/>
        <v>10.375587044155775</v>
      </c>
      <c r="Z52">
        <f t="shared" si="24"/>
        <v>11.642274804443295</v>
      </c>
      <c r="AA52">
        <f t="shared" si="25"/>
        <v>10.375587044155775</v>
      </c>
      <c r="AB52">
        <f t="shared" si="26"/>
        <v>11.642274804443295</v>
      </c>
      <c r="AC52">
        <f t="shared" si="27"/>
        <v>10.375587044155775</v>
      </c>
      <c r="AD52">
        <f t="shared" si="28"/>
        <v>11.642274804443295</v>
      </c>
      <c r="AE52">
        <f t="shared" si="29"/>
        <v>10.375587044155775</v>
      </c>
      <c r="AF52">
        <f t="shared" si="30"/>
        <v>11.642274804443295</v>
      </c>
      <c r="AG52">
        <f t="shared" si="31"/>
        <v>10.375587044155775</v>
      </c>
      <c r="AH52">
        <f t="shared" si="32"/>
        <v>11.642274804443295</v>
      </c>
    </row>
    <row r="53" spans="1:34">
      <c r="A53" t="str">
        <f>CYF!A53</f>
        <v>Vegetables</v>
      </c>
      <c r="B53" t="str">
        <f>CYF!B53</f>
        <v>Harari</v>
      </c>
      <c r="C53">
        <v>10.149327469652242</v>
      </c>
      <c r="D53">
        <v>12.267414688006918</v>
      </c>
      <c r="E53">
        <f t="shared" si="3"/>
        <v>10.149327469652242</v>
      </c>
      <c r="F53">
        <f t="shared" si="4"/>
        <v>12.267414688006918</v>
      </c>
      <c r="G53">
        <f t="shared" si="5"/>
        <v>10.149327469652242</v>
      </c>
      <c r="H53">
        <f t="shared" si="6"/>
        <v>12.267414688006918</v>
      </c>
      <c r="I53">
        <f t="shared" si="7"/>
        <v>10.149327469652242</v>
      </c>
      <c r="J53">
        <f t="shared" si="8"/>
        <v>12.267414688006918</v>
      </c>
      <c r="K53">
        <f t="shared" si="9"/>
        <v>10.149327469652242</v>
      </c>
      <c r="L53">
        <f t="shared" si="10"/>
        <v>12.267414688006918</v>
      </c>
      <c r="M53">
        <f t="shared" si="11"/>
        <v>10.149327469652242</v>
      </c>
      <c r="N53">
        <f t="shared" si="12"/>
        <v>12.267414688006918</v>
      </c>
      <c r="O53">
        <f t="shared" si="13"/>
        <v>10.149327469652242</v>
      </c>
      <c r="P53">
        <f t="shared" si="14"/>
        <v>12.267414688006918</v>
      </c>
      <c r="Q53">
        <f t="shared" si="15"/>
        <v>10.149327469652242</v>
      </c>
      <c r="R53">
        <f t="shared" si="16"/>
        <v>12.267414688006918</v>
      </c>
      <c r="S53">
        <f t="shared" si="17"/>
        <v>10.149327469652242</v>
      </c>
      <c r="T53">
        <f t="shared" si="18"/>
        <v>12.267414688006918</v>
      </c>
      <c r="U53">
        <f t="shared" si="19"/>
        <v>10.149327469652242</v>
      </c>
      <c r="V53">
        <f t="shared" si="20"/>
        <v>12.267414688006918</v>
      </c>
      <c r="W53">
        <f t="shared" si="21"/>
        <v>10.149327469652242</v>
      </c>
      <c r="X53">
        <f t="shared" si="22"/>
        <v>12.267414688006918</v>
      </c>
      <c r="Y53">
        <f t="shared" si="23"/>
        <v>10.149327469652242</v>
      </c>
      <c r="Z53">
        <f t="shared" si="24"/>
        <v>12.267414688006918</v>
      </c>
      <c r="AA53">
        <f t="shared" si="25"/>
        <v>10.149327469652242</v>
      </c>
      <c r="AB53">
        <f t="shared" si="26"/>
        <v>12.267414688006918</v>
      </c>
      <c r="AC53">
        <f t="shared" si="27"/>
        <v>10.149327469652242</v>
      </c>
      <c r="AD53">
        <f t="shared" si="28"/>
        <v>12.267414688006918</v>
      </c>
      <c r="AE53">
        <f t="shared" si="29"/>
        <v>10.149327469652242</v>
      </c>
      <c r="AF53">
        <f t="shared" si="30"/>
        <v>12.267414688006918</v>
      </c>
      <c r="AG53">
        <f t="shared" si="31"/>
        <v>10.149327469652242</v>
      </c>
      <c r="AH53">
        <f t="shared" si="32"/>
        <v>12.267414688006918</v>
      </c>
    </row>
    <row r="54" spans="1:34">
      <c r="A54" t="str">
        <f>CYF!A54</f>
        <v>Vegetables</v>
      </c>
      <c r="B54" t="str">
        <f>CYF!B54</f>
        <v>Oromia</v>
      </c>
      <c r="C54">
        <v>10.26695913021803</v>
      </c>
      <c r="D54">
        <v>12.436216286895498</v>
      </c>
      <c r="E54">
        <f t="shared" si="3"/>
        <v>10.26695913021803</v>
      </c>
      <c r="F54">
        <f t="shared" si="4"/>
        <v>12.436216286895498</v>
      </c>
      <c r="G54">
        <f t="shared" si="5"/>
        <v>10.26695913021803</v>
      </c>
      <c r="H54">
        <f t="shared" si="6"/>
        <v>12.436216286895498</v>
      </c>
      <c r="I54">
        <f t="shared" si="7"/>
        <v>10.26695913021803</v>
      </c>
      <c r="J54">
        <f t="shared" si="8"/>
        <v>12.436216286895498</v>
      </c>
      <c r="K54">
        <f t="shared" si="9"/>
        <v>10.26695913021803</v>
      </c>
      <c r="L54">
        <f t="shared" si="10"/>
        <v>12.436216286895498</v>
      </c>
      <c r="M54">
        <f t="shared" si="11"/>
        <v>10.26695913021803</v>
      </c>
      <c r="N54">
        <f t="shared" si="12"/>
        <v>12.436216286895498</v>
      </c>
      <c r="O54">
        <f t="shared" si="13"/>
        <v>10.26695913021803</v>
      </c>
      <c r="P54">
        <f t="shared" si="14"/>
        <v>12.436216286895498</v>
      </c>
      <c r="Q54">
        <f t="shared" si="15"/>
        <v>10.26695913021803</v>
      </c>
      <c r="R54">
        <f t="shared" si="16"/>
        <v>12.436216286895498</v>
      </c>
      <c r="S54">
        <f t="shared" si="17"/>
        <v>10.26695913021803</v>
      </c>
      <c r="T54">
        <f t="shared" si="18"/>
        <v>12.436216286895498</v>
      </c>
      <c r="U54">
        <f t="shared" si="19"/>
        <v>10.26695913021803</v>
      </c>
      <c r="V54">
        <f t="shared" si="20"/>
        <v>12.436216286895498</v>
      </c>
      <c r="W54">
        <f t="shared" si="21"/>
        <v>10.26695913021803</v>
      </c>
      <c r="X54">
        <f t="shared" si="22"/>
        <v>12.436216286895498</v>
      </c>
      <c r="Y54">
        <f t="shared" si="23"/>
        <v>10.26695913021803</v>
      </c>
      <c r="Z54">
        <f t="shared" si="24"/>
        <v>12.436216286895498</v>
      </c>
      <c r="AA54">
        <f t="shared" si="25"/>
        <v>10.26695913021803</v>
      </c>
      <c r="AB54">
        <f t="shared" si="26"/>
        <v>12.436216286895498</v>
      </c>
      <c r="AC54">
        <f t="shared" si="27"/>
        <v>10.26695913021803</v>
      </c>
      <c r="AD54">
        <f t="shared" si="28"/>
        <v>12.436216286895498</v>
      </c>
      <c r="AE54">
        <f t="shared" si="29"/>
        <v>10.26695913021803</v>
      </c>
      <c r="AF54">
        <f t="shared" si="30"/>
        <v>12.436216286895498</v>
      </c>
      <c r="AG54">
        <f t="shared" si="31"/>
        <v>10.26695913021803</v>
      </c>
      <c r="AH54">
        <f t="shared" si="32"/>
        <v>12.436216286895498</v>
      </c>
    </row>
    <row r="55" spans="1:34">
      <c r="A55" t="str">
        <f>CYF!A55</f>
        <v>Vegetables</v>
      </c>
      <c r="B55" t="str">
        <f>CYF!B55</f>
        <v>Somali</v>
      </c>
      <c r="C55">
        <v>9.2075442895403761</v>
      </c>
      <c r="D55">
        <v>11.290796500814974</v>
      </c>
      <c r="E55">
        <f t="shared" si="3"/>
        <v>9.2075442895403761</v>
      </c>
      <c r="F55">
        <f t="shared" si="4"/>
        <v>11.290796500814974</v>
      </c>
      <c r="G55">
        <f t="shared" si="5"/>
        <v>9.2075442895403761</v>
      </c>
      <c r="H55">
        <f t="shared" si="6"/>
        <v>11.290796500814974</v>
      </c>
      <c r="I55">
        <f t="shared" si="7"/>
        <v>9.2075442895403761</v>
      </c>
      <c r="J55">
        <f t="shared" si="8"/>
        <v>11.290796500814974</v>
      </c>
      <c r="K55">
        <f t="shared" si="9"/>
        <v>9.2075442895403761</v>
      </c>
      <c r="L55">
        <f t="shared" si="10"/>
        <v>11.290796500814974</v>
      </c>
      <c r="M55">
        <f t="shared" si="11"/>
        <v>9.2075442895403761</v>
      </c>
      <c r="N55">
        <f t="shared" si="12"/>
        <v>11.290796500814974</v>
      </c>
      <c r="O55">
        <f t="shared" si="13"/>
        <v>9.2075442895403761</v>
      </c>
      <c r="P55">
        <f t="shared" si="14"/>
        <v>11.290796500814974</v>
      </c>
      <c r="Q55">
        <f t="shared" si="15"/>
        <v>9.2075442895403761</v>
      </c>
      <c r="R55">
        <f t="shared" si="16"/>
        <v>11.290796500814974</v>
      </c>
      <c r="S55">
        <f t="shared" si="17"/>
        <v>9.2075442895403761</v>
      </c>
      <c r="T55">
        <f t="shared" si="18"/>
        <v>11.290796500814974</v>
      </c>
      <c r="U55">
        <f t="shared" si="19"/>
        <v>9.2075442895403761</v>
      </c>
      <c r="V55">
        <f t="shared" si="20"/>
        <v>11.290796500814974</v>
      </c>
      <c r="W55">
        <f t="shared" si="21"/>
        <v>9.2075442895403761</v>
      </c>
      <c r="X55">
        <f t="shared" si="22"/>
        <v>11.290796500814974</v>
      </c>
      <c r="Y55">
        <f t="shared" si="23"/>
        <v>9.2075442895403761</v>
      </c>
      <c r="Z55">
        <f t="shared" si="24"/>
        <v>11.290796500814974</v>
      </c>
      <c r="AA55">
        <f t="shared" si="25"/>
        <v>9.2075442895403761</v>
      </c>
      <c r="AB55">
        <f t="shared" si="26"/>
        <v>11.290796500814974</v>
      </c>
      <c r="AC55">
        <f t="shared" si="27"/>
        <v>9.2075442895403761</v>
      </c>
      <c r="AD55">
        <f t="shared" si="28"/>
        <v>11.290796500814974</v>
      </c>
      <c r="AE55">
        <f t="shared" si="29"/>
        <v>9.2075442895403761</v>
      </c>
      <c r="AF55">
        <f t="shared" si="30"/>
        <v>11.290796500814974</v>
      </c>
      <c r="AG55">
        <f t="shared" si="31"/>
        <v>9.2075442895403761</v>
      </c>
      <c r="AH55">
        <f t="shared" si="32"/>
        <v>11.290796500814974</v>
      </c>
    </row>
    <row r="56" spans="1:34">
      <c r="A56" t="str">
        <f>CYF!A56</f>
        <v>Vegetables</v>
      </c>
      <c r="B56" t="str">
        <f>CYF!B56</f>
        <v>SNNPR</v>
      </c>
      <c r="C56">
        <v>9.4483342351319433</v>
      </c>
      <c r="D56">
        <v>11.477140134409117</v>
      </c>
      <c r="E56">
        <f t="shared" si="3"/>
        <v>9.4483342351319433</v>
      </c>
      <c r="F56">
        <f t="shared" si="4"/>
        <v>11.477140134409117</v>
      </c>
      <c r="G56">
        <f t="shared" si="5"/>
        <v>9.4483342351319433</v>
      </c>
      <c r="H56">
        <f t="shared" si="6"/>
        <v>11.477140134409117</v>
      </c>
      <c r="I56">
        <f t="shared" si="7"/>
        <v>9.4483342351319433</v>
      </c>
      <c r="J56">
        <f t="shared" si="8"/>
        <v>11.477140134409117</v>
      </c>
      <c r="K56">
        <f t="shared" si="9"/>
        <v>9.4483342351319433</v>
      </c>
      <c r="L56">
        <f t="shared" si="10"/>
        <v>11.477140134409117</v>
      </c>
      <c r="M56">
        <f t="shared" si="11"/>
        <v>9.4483342351319433</v>
      </c>
      <c r="N56">
        <f t="shared" si="12"/>
        <v>11.477140134409117</v>
      </c>
      <c r="O56">
        <f t="shared" si="13"/>
        <v>9.4483342351319433</v>
      </c>
      <c r="P56">
        <f t="shared" si="14"/>
        <v>11.477140134409117</v>
      </c>
      <c r="Q56">
        <f t="shared" si="15"/>
        <v>9.4483342351319433</v>
      </c>
      <c r="R56">
        <f t="shared" si="16"/>
        <v>11.477140134409117</v>
      </c>
      <c r="S56">
        <f t="shared" si="17"/>
        <v>9.4483342351319433</v>
      </c>
      <c r="T56">
        <f t="shared" si="18"/>
        <v>11.477140134409117</v>
      </c>
      <c r="U56">
        <f t="shared" si="19"/>
        <v>9.4483342351319433</v>
      </c>
      <c r="V56">
        <f t="shared" si="20"/>
        <v>11.477140134409117</v>
      </c>
      <c r="W56">
        <f t="shared" si="21"/>
        <v>9.4483342351319433</v>
      </c>
      <c r="X56">
        <f t="shared" si="22"/>
        <v>11.477140134409117</v>
      </c>
      <c r="Y56">
        <f t="shared" si="23"/>
        <v>9.4483342351319433</v>
      </c>
      <c r="Z56">
        <f t="shared" si="24"/>
        <v>11.477140134409117</v>
      </c>
      <c r="AA56">
        <f t="shared" si="25"/>
        <v>9.4483342351319433</v>
      </c>
      <c r="AB56">
        <f t="shared" si="26"/>
        <v>11.477140134409117</v>
      </c>
      <c r="AC56">
        <f t="shared" si="27"/>
        <v>9.4483342351319433</v>
      </c>
      <c r="AD56">
        <f t="shared" si="28"/>
        <v>11.477140134409117</v>
      </c>
      <c r="AE56">
        <f t="shared" si="29"/>
        <v>9.4483342351319433</v>
      </c>
      <c r="AF56">
        <f t="shared" si="30"/>
        <v>11.477140134409117</v>
      </c>
      <c r="AG56">
        <f t="shared" si="31"/>
        <v>9.4483342351319433</v>
      </c>
      <c r="AH56">
        <f t="shared" si="32"/>
        <v>11.477140134409117</v>
      </c>
    </row>
    <row r="57" spans="1:34">
      <c r="A57" t="str">
        <f>CYF!A57</f>
        <v>Vegetables</v>
      </c>
      <c r="B57" t="str">
        <f>CYF!B57</f>
        <v>Tigray</v>
      </c>
      <c r="C57">
        <v>10.568899353921891</v>
      </c>
      <c r="D57">
        <v>11.111727200697551</v>
      </c>
      <c r="E57">
        <f t="shared" si="3"/>
        <v>10.568899353921891</v>
      </c>
      <c r="F57">
        <f t="shared" si="4"/>
        <v>11.111727200697551</v>
      </c>
      <c r="G57">
        <f t="shared" si="5"/>
        <v>10.568899353921891</v>
      </c>
      <c r="H57">
        <f t="shared" si="6"/>
        <v>11.111727200697551</v>
      </c>
      <c r="I57">
        <f t="shared" si="7"/>
        <v>10.568899353921891</v>
      </c>
      <c r="J57">
        <f t="shared" si="8"/>
        <v>11.111727200697551</v>
      </c>
      <c r="K57">
        <f t="shared" si="9"/>
        <v>10.568899353921891</v>
      </c>
      <c r="L57">
        <f t="shared" si="10"/>
        <v>11.111727200697551</v>
      </c>
      <c r="M57">
        <f t="shared" si="11"/>
        <v>10.568899353921891</v>
      </c>
      <c r="N57">
        <f t="shared" si="12"/>
        <v>11.111727200697551</v>
      </c>
      <c r="O57">
        <f t="shared" si="13"/>
        <v>10.568899353921891</v>
      </c>
      <c r="P57">
        <f t="shared" si="14"/>
        <v>11.111727200697551</v>
      </c>
      <c r="Q57">
        <f t="shared" si="15"/>
        <v>10.568899353921891</v>
      </c>
      <c r="R57">
        <f t="shared" si="16"/>
        <v>11.111727200697551</v>
      </c>
      <c r="S57">
        <f t="shared" si="17"/>
        <v>10.568899353921891</v>
      </c>
      <c r="T57">
        <f t="shared" si="18"/>
        <v>11.111727200697551</v>
      </c>
      <c r="U57">
        <f t="shared" si="19"/>
        <v>10.568899353921891</v>
      </c>
      <c r="V57">
        <f t="shared" si="20"/>
        <v>11.111727200697551</v>
      </c>
      <c r="W57">
        <f t="shared" si="21"/>
        <v>10.568899353921891</v>
      </c>
      <c r="X57">
        <f t="shared" si="22"/>
        <v>11.111727200697551</v>
      </c>
      <c r="Y57">
        <f t="shared" si="23"/>
        <v>10.568899353921891</v>
      </c>
      <c r="Z57">
        <f t="shared" si="24"/>
        <v>11.111727200697551</v>
      </c>
      <c r="AA57">
        <f t="shared" si="25"/>
        <v>10.568899353921891</v>
      </c>
      <c r="AB57">
        <f t="shared" si="26"/>
        <v>11.111727200697551</v>
      </c>
      <c r="AC57">
        <f t="shared" si="27"/>
        <v>10.568899353921891</v>
      </c>
      <c r="AD57">
        <f t="shared" si="28"/>
        <v>11.111727200697551</v>
      </c>
      <c r="AE57">
        <f t="shared" si="29"/>
        <v>10.568899353921891</v>
      </c>
      <c r="AF57">
        <f t="shared" si="30"/>
        <v>11.111727200697551</v>
      </c>
      <c r="AG57">
        <f t="shared" si="31"/>
        <v>10.568899353921891</v>
      </c>
      <c r="AH57">
        <f t="shared" si="32"/>
        <v>11.111727200697551</v>
      </c>
    </row>
    <row r="58" spans="1:34">
      <c r="A58" t="str">
        <f>CYF!A58</f>
        <v>Coffee</v>
      </c>
      <c r="B58" t="str">
        <f>CYF!B58</f>
        <v>AddisAbaba</v>
      </c>
      <c r="C58">
        <v>10.391865263697968</v>
      </c>
      <c r="D58">
        <v>11.774006313736475</v>
      </c>
      <c r="E58">
        <f t="shared" si="3"/>
        <v>10.391865263697968</v>
      </c>
      <c r="F58">
        <f t="shared" si="4"/>
        <v>11.774006313736475</v>
      </c>
      <c r="G58">
        <f t="shared" si="5"/>
        <v>10.391865263697968</v>
      </c>
      <c r="H58">
        <f t="shared" si="6"/>
        <v>11.774006313736475</v>
      </c>
      <c r="I58">
        <f t="shared" si="7"/>
        <v>10.391865263697968</v>
      </c>
      <c r="J58">
        <f t="shared" si="8"/>
        <v>11.774006313736475</v>
      </c>
      <c r="K58">
        <f t="shared" si="9"/>
        <v>10.391865263697968</v>
      </c>
      <c r="L58">
        <f t="shared" si="10"/>
        <v>11.774006313736475</v>
      </c>
      <c r="M58">
        <f t="shared" si="11"/>
        <v>10.391865263697968</v>
      </c>
      <c r="N58">
        <f t="shared" si="12"/>
        <v>11.774006313736475</v>
      </c>
      <c r="O58">
        <f t="shared" si="13"/>
        <v>10.391865263697968</v>
      </c>
      <c r="P58">
        <f t="shared" si="14"/>
        <v>11.774006313736475</v>
      </c>
      <c r="Q58">
        <f t="shared" si="15"/>
        <v>10.391865263697968</v>
      </c>
      <c r="R58">
        <f t="shared" si="16"/>
        <v>11.774006313736475</v>
      </c>
      <c r="S58">
        <f t="shared" si="17"/>
        <v>10.391865263697968</v>
      </c>
      <c r="T58">
        <f t="shared" si="18"/>
        <v>11.774006313736475</v>
      </c>
      <c r="U58">
        <f t="shared" si="19"/>
        <v>10.391865263697968</v>
      </c>
      <c r="V58">
        <f t="shared" si="20"/>
        <v>11.774006313736475</v>
      </c>
      <c r="W58">
        <f t="shared" si="21"/>
        <v>10.391865263697968</v>
      </c>
      <c r="X58">
        <f t="shared" si="22"/>
        <v>11.774006313736475</v>
      </c>
      <c r="Y58">
        <f t="shared" si="23"/>
        <v>10.391865263697968</v>
      </c>
      <c r="Z58">
        <f t="shared" si="24"/>
        <v>11.774006313736475</v>
      </c>
      <c r="AA58">
        <f t="shared" si="25"/>
        <v>10.391865263697968</v>
      </c>
      <c r="AB58">
        <f t="shared" si="26"/>
        <v>11.774006313736475</v>
      </c>
      <c r="AC58">
        <f t="shared" si="27"/>
        <v>10.391865263697968</v>
      </c>
      <c r="AD58">
        <f t="shared" si="28"/>
        <v>11.774006313736475</v>
      </c>
      <c r="AE58">
        <f t="shared" si="29"/>
        <v>10.391865263697968</v>
      </c>
      <c r="AF58">
        <f t="shared" si="30"/>
        <v>11.774006313736475</v>
      </c>
      <c r="AG58">
        <f t="shared" si="31"/>
        <v>10.391865263697968</v>
      </c>
      <c r="AH58">
        <f t="shared" si="32"/>
        <v>11.774006313736475</v>
      </c>
    </row>
    <row r="59" spans="1:34">
      <c r="A59" t="str">
        <f>CYF!A59</f>
        <v>Coffee</v>
      </c>
      <c r="B59" t="str">
        <f>CYF!B59</f>
        <v>Afar</v>
      </c>
      <c r="C59">
        <v>10.767049095351897</v>
      </c>
      <c r="D59">
        <v>11.596219032804713</v>
      </c>
      <c r="E59">
        <f t="shared" si="3"/>
        <v>10.767049095351897</v>
      </c>
      <c r="F59">
        <f t="shared" si="4"/>
        <v>11.596219032804713</v>
      </c>
      <c r="G59">
        <f t="shared" si="5"/>
        <v>10.767049095351897</v>
      </c>
      <c r="H59">
        <f t="shared" si="6"/>
        <v>11.596219032804713</v>
      </c>
      <c r="I59">
        <f t="shared" si="7"/>
        <v>10.767049095351897</v>
      </c>
      <c r="J59">
        <f t="shared" si="8"/>
        <v>11.596219032804713</v>
      </c>
      <c r="K59">
        <f t="shared" si="9"/>
        <v>10.767049095351897</v>
      </c>
      <c r="L59">
        <f t="shared" si="10"/>
        <v>11.596219032804713</v>
      </c>
      <c r="M59">
        <f t="shared" si="11"/>
        <v>10.767049095351897</v>
      </c>
      <c r="N59">
        <f t="shared" si="12"/>
        <v>11.596219032804713</v>
      </c>
      <c r="O59">
        <f t="shared" si="13"/>
        <v>10.767049095351897</v>
      </c>
      <c r="P59">
        <f t="shared" si="14"/>
        <v>11.596219032804713</v>
      </c>
      <c r="Q59">
        <f t="shared" si="15"/>
        <v>10.767049095351897</v>
      </c>
      <c r="R59">
        <f t="shared" si="16"/>
        <v>11.596219032804713</v>
      </c>
      <c r="S59">
        <f t="shared" si="17"/>
        <v>10.767049095351897</v>
      </c>
      <c r="T59">
        <f t="shared" si="18"/>
        <v>11.596219032804713</v>
      </c>
      <c r="U59">
        <f t="shared" si="19"/>
        <v>10.767049095351897</v>
      </c>
      <c r="V59">
        <f t="shared" si="20"/>
        <v>11.596219032804713</v>
      </c>
      <c r="W59">
        <f t="shared" si="21"/>
        <v>10.767049095351897</v>
      </c>
      <c r="X59">
        <f t="shared" si="22"/>
        <v>11.596219032804713</v>
      </c>
      <c r="Y59">
        <f t="shared" si="23"/>
        <v>10.767049095351897</v>
      </c>
      <c r="Z59">
        <f t="shared" si="24"/>
        <v>11.596219032804713</v>
      </c>
      <c r="AA59">
        <f t="shared" si="25"/>
        <v>10.767049095351897</v>
      </c>
      <c r="AB59">
        <f t="shared" si="26"/>
        <v>11.596219032804713</v>
      </c>
      <c r="AC59">
        <f t="shared" si="27"/>
        <v>10.767049095351897</v>
      </c>
      <c r="AD59">
        <f t="shared" si="28"/>
        <v>11.596219032804713</v>
      </c>
      <c r="AE59">
        <f t="shared" si="29"/>
        <v>10.767049095351897</v>
      </c>
      <c r="AF59">
        <f t="shared" si="30"/>
        <v>11.596219032804713</v>
      </c>
      <c r="AG59">
        <f t="shared" si="31"/>
        <v>10.767049095351897</v>
      </c>
      <c r="AH59">
        <f t="shared" si="32"/>
        <v>11.596219032804713</v>
      </c>
    </row>
    <row r="60" spans="1:34">
      <c r="A60" t="str">
        <f>CYF!A60</f>
        <v>Coffee</v>
      </c>
      <c r="B60" t="str">
        <f>CYF!B60</f>
        <v>Amhara</v>
      </c>
      <c r="C60">
        <v>10.842545551965701</v>
      </c>
      <c r="D60">
        <v>12.00766022740163</v>
      </c>
      <c r="E60">
        <f t="shared" si="3"/>
        <v>10.842545551965701</v>
      </c>
      <c r="F60">
        <f t="shared" si="4"/>
        <v>12.00766022740163</v>
      </c>
      <c r="G60">
        <f t="shared" si="5"/>
        <v>10.842545551965701</v>
      </c>
      <c r="H60">
        <f t="shared" si="6"/>
        <v>12.00766022740163</v>
      </c>
      <c r="I60">
        <f t="shared" si="7"/>
        <v>10.842545551965701</v>
      </c>
      <c r="J60">
        <f t="shared" si="8"/>
        <v>12.00766022740163</v>
      </c>
      <c r="K60">
        <f t="shared" si="9"/>
        <v>10.842545551965701</v>
      </c>
      <c r="L60">
        <f t="shared" si="10"/>
        <v>12.00766022740163</v>
      </c>
      <c r="M60">
        <f t="shared" si="11"/>
        <v>10.842545551965701</v>
      </c>
      <c r="N60">
        <f t="shared" si="12"/>
        <v>12.00766022740163</v>
      </c>
      <c r="O60">
        <f t="shared" si="13"/>
        <v>10.842545551965701</v>
      </c>
      <c r="P60">
        <f t="shared" si="14"/>
        <v>12.00766022740163</v>
      </c>
      <c r="Q60">
        <f t="shared" si="15"/>
        <v>10.842545551965701</v>
      </c>
      <c r="R60">
        <f t="shared" si="16"/>
        <v>12.00766022740163</v>
      </c>
      <c r="S60">
        <f t="shared" si="17"/>
        <v>10.842545551965701</v>
      </c>
      <c r="T60">
        <f t="shared" si="18"/>
        <v>12.00766022740163</v>
      </c>
      <c r="U60">
        <f t="shared" si="19"/>
        <v>10.842545551965701</v>
      </c>
      <c r="V60">
        <f t="shared" si="20"/>
        <v>12.00766022740163</v>
      </c>
      <c r="W60">
        <f t="shared" si="21"/>
        <v>10.842545551965701</v>
      </c>
      <c r="X60">
        <f t="shared" si="22"/>
        <v>12.00766022740163</v>
      </c>
      <c r="Y60">
        <f t="shared" si="23"/>
        <v>10.842545551965701</v>
      </c>
      <c r="Z60">
        <f t="shared" si="24"/>
        <v>12.00766022740163</v>
      </c>
      <c r="AA60">
        <f t="shared" si="25"/>
        <v>10.842545551965701</v>
      </c>
      <c r="AB60">
        <f t="shared" si="26"/>
        <v>12.00766022740163</v>
      </c>
      <c r="AC60">
        <f t="shared" si="27"/>
        <v>10.842545551965701</v>
      </c>
      <c r="AD60">
        <f t="shared" si="28"/>
        <v>12.00766022740163</v>
      </c>
      <c r="AE60">
        <f t="shared" si="29"/>
        <v>10.842545551965701</v>
      </c>
      <c r="AF60">
        <f t="shared" si="30"/>
        <v>12.00766022740163</v>
      </c>
      <c r="AG60">
        <f t="shared" si="31"/>
        <v>10.842545551965701</v>
      </c>
      <c r="AH60">
        <f t="shared" si="32"/>
        <v>12.00766022740163</v>
      </c>
    </row>
    <row r="61" spans="1:34">
      <c r="A61" t="str">
        <f>CYF!A61</f>
        <v>Coffee</v>
      </c>
      <c r="B61" t="str">
        <f>CYF!B61</f>
        <v>Gumuz</v>
      </c>
      <c r="C61">
        <v>11.325229980537809</v>
      </c>
      <c r="D61">
        <v>11.680654592194358</v>
      </c>
      <c r="E61">
        <f t="shared" si="3"/>
        <v>11.325229980537809</v>
      </c>
      <c r="F61">
        <f t="shared" si="4"/>
        <v>11.680654592194358</v>
      </c>
      <c r="G61">
        <f t="shared" si="5"/>
        <v>11.325229980537809</v>
      </c>
      <c r="H61">
        <f t="shared" si="6"/>
        <v>11.680654592194358</v>
      </c>
      <c r="I61">
        <f t="shared" si="7"/>
        <v>11.325229980537809</v>
      </c>
      <c r="J61">
        <f t="shared" si="8"/>
        <v>11.680654592194358</v>
      </c>
      <c r="K61">
        <f t="shared" si="9"/>
        <v>11.325229980537809</v>
      </c>
      <c r="L61">
        <f t="shared" si="10"/>
        <v>11.680654592194358</v>
      </c>
      <c r="M61">
        <f t="shared" si="11"/>
        <v>11.325229980537809</v>
      </c>
      <c r="N61">
        <f t="shared" si="12"/>
        <v>11.680654592194358</v>
      </c>
      <c r="O61">
        <f t="shared" si="13"/>
        <v>11.325229980537809</v>
      </c>
      <c r="P61">
        <f t="shared" si="14"/>
        <v>11.680654592194358</v>
      </c>
      <c r="Q61">
        <f t="shared" si="15"/>
        <v>11.325229980537809</v>
      </c>
      <c r="R61">
        <f t="shared" si="16"/>
        <v>11.680654592194358</v>
      </c>
      <c r="S61">
        <f t="shared" si="17"/>
        <v>11.325229980537809</v>
      </c>
      <c r="T61">
        <f t="shared" si="18"/>
        <v>11.680654592194358</v>
      </c>
      <c r="U61">
        <f t="shared" si="19"/>
        <v>11.325229980537809</v>
      </c>
      <c r="V61">
        <f t="shared" si="20"/>
        <v>11.680654592194358</v>
      </c>
      <c r="W61">
        <f t="shared" si="21"/>
        <v>11.325229980537809</v>
      </c>
      <c r="X61">
        <f t="shared" si="22"/>
        <v>11.680654592194358</v>
      </c>
      <c r="Y61">
        <f t="shared" si="23"/>
        <v>11.325229980537809</v>
      </c>
      <c r="Z61">
        <f t="shared" si="24"/>
        <v>11.680654592194358</v>
      </c>
      <c r="AA61">
        <f t="shared" si="25"/>
        <v>11.325229980537809</v>
      </c>
      <c r="AB61">
        <f t="shared" si="26"/>
        <v>11.680654592194358</v>
      </c>
      <c r="AC61">
        <f t="shared" si="27"/>
        <v>11.325229980537809</v>
      </c>
      <c r="AD61">
        <f t="shared" si="28"/>
        <v>11.680654592194358</v>
      </c>
      <c r="AE61">
        <f t="shared" si="29"/>
        <v>11.325229980537809</v>
      </c>
      <c r="AF61">
        <f t="shared" si="30"/>
        <v>11.680654592194358</v>
      </c>
      <c r="AG61">
        <f t="shared" si="31"/>
        <v>11.325229980537809</v>
      </c>
      <c r="AH61">
        <f t="shared" si="32"/>
        <v>11.680654592194358</v>
      </c>
    </row>
    <row r="62" spans="1:34">
      <c r="A62" t="str">
        <f>CYF!A62</f>
        <v>Coffee</v>
      </c>
      <c r="B62" t="str">
        <f>CYF!B62</f>
        <v>DireDawa</v>
      </c>
      <c r="C62">
        <v>11.325597632402632</v>
      </c>
      <c r="D62">
        <v>12.274969692372212</v>
      </c>
      <c r="E62">
        <f t="shared" si="3"/>
        <v>11.325597632402632</v>
      </c>
      <c r="F62">
        <f t="shared" si="4"/>
        <v>12.274969692372212</v>
      </c>
      <c r="G62">
        <f t="shared" si="5"/>
        <v>11.325597632402632</v>
      </c>
      <c r="H62">
        <f t="shared" si="6"/>
        <v>12.274969692372212</v>
      </c>
      <c r="I62">
        <f t="shared" si="7"/>
        <v>11.325597632402632</v>
      </c>
      <c r="J62">
        <f t="shared" si="8"/>
        <v>12.274969692372212</v>
      </c>
      <c r="K62">
        <f t="shared" si="9"/>
        <v>11.325597632402632</v>
      </c>
      <c r="L62">
        <f t="shared" si="10"/>
        <v>12.274969692372212</v>
      </c>
      <c r="M62">
        <f t="shared" si="11"/>
        <v>11.325597632402632</v>
      </c>
      <c r="N62">
        <f t="shared" si="12"/>
        <v>12.274969692372212</v>
      </c>
      <c r="O62">
        <f t="shared" si="13"/>
        <v>11.325597632402632</v>
      </c>
      <c r="P62">
        <f t="shared" si="14"/>
        <v>12.274969692372212</v>
      </c>
      <c r="Q62">
        <f t="shared" si="15"/>
        <v>11.325597632402632</v>
      </c>
      <c r="R62">
        <f t="shared" si="16"/>
        <v>12.274969692372212</v>
      </c>
      <c r="S62">
        <f t="shared" si="17"/>
        <v>11.325597632402632</v>
      </c>
      <c r="T62">
        <f t="shared" si="18"/>
        <v>12.274969692372212</v>
      </c>
      <c r="U62">
        <f t="shared" si="19"/>
        <v>11.325597632402632</v>
      </c>
      <c r="V62">
        <f t="shared" si="20"/>
        <v>12.274969692372212</v>
      </c>
      <c r="W62">
        <f t="shared" si="21"/>
        <v>11.325597632402632</v>
      </c>
      <c r="X62">
        <f t="shared" si="22"/>
        <v>12.274969692372212</v>
      </c>
      <c r="Y62">
        <f t="shared" si="23"/>
        <v>11.325597632402632</v>
      </c>
      <c r="Z62">
        <f t="shared" si="24"/>
        <v>12.274969692372212</v>
      </c>
      <c r="AA62">
        <f t="shared" si="25"/>
        <v>11.325597632402632</v>
      </c>
      <c r="AB62">
        <f t="shared" si="26"/>
        <v>12.274969692372212</v>
      </c>
      <c r="AC62">
        <f t="shared" si="27"/>
        <v>11.325597632402632</v>
      </c>
      <c r="AD62">
        <f t="shared" si="28"/>
        <v>12.274969692372212</v>
      </c>
      <c r="AE62">
        <f t="shared" si="29"/>
        <v>11.325597632402632</v>
      </c>
      <c r="AF62">
        <f t="shared" si="30"/>
        <v>12.274969692372212</v>
      </c>
      <c r="AG62">
        <f t="shared" si="31"/>
        <v>11.325597632402632</v>
      </c>
      <c r="AH62">
        <f t="shared" si="32"/>
        <v>12.274969692372212</v>
      </c>
    </row>
    <row r="63" spans="1:34">
      <c r="A63" t="str">
        <f>CYF!A63</f>
        <v>Coffee</v>
      </c>
      <c r="B63" t="str">
        <f>CYF!B63</f>
        <v>Gambela</v>
      </c>
      <c r="C63">
        <v>10.01252497206467</v>
      </c>
      <c r="D63">
        <v>12.366667177475859</v>
      </c>
      <c r="E63">
        <f t="shared" si="3"/>
        <v>10.01252497206467</v>
      </c>
      <c r="F63">
        <f t="shared" si="4"/>
        <v>12.366667177475859</v>
      </c>
      <c r="G63">
        <f t="shared" si="5"/>
        <v>10.01252497206467</v>
      </c>
      <c r="H63">
        <f t="shared" si="6"/>
        <v>12.366667177475859</v>
      </c>
      <c r="I63">
        <f t="shared" si="7"/>
        <v>10.01252497206467</v>
      </c>
      <c r="J63">
        <f t="shared" si="8"/>
        <v>12.366667177475859</v>
      </c>
      <c r="K63">
        <f t="shared" si="9"/>
        <v>10.01252497206467</v>
      </c>
      <c r="L63">
        <f t="shared" si="10"/>
        <v>12.366667177475859</v>
      </c>
      <c r="M63">
        <f t="shared" si="11"/>
        <v>10.01252497206467</v>
      </c>
      <c r="N63">
        <f t="shared" si="12"/>
        <v>12.366667177475859</v>
      </c>
      <c r="O63">
        <f t="shared" si="13"/>
        <v>10.01252497206467</v>
      </c>
      <c r="P63">
        <f t="shared" si="14"/>
        <v>12.366667177475859</v>
      </c>
      <c r="Q63">
        <f t="shared" si="15"/>
        <v>10.01252497206467</v>
      </c>
      <c r="R63">
        <f t="shared" si="16"/>
        <v>12.366667177475859</v>
      </c>
      <c r="S63">
        <f t="shared" si="17"/>
        <v>10.01252497206467</v>
      </c>
      <c r="T63">
        <f t="shared" si="18"/>
        <v>12.366667177475859</v>
      </c>
      <c r="U63">
        <f t="shared" si="19"/>
        <v>10.01252497206467</v>
      </c>
      <c r="V63">
        <f t="shared" si="20"/>
        <v>12.366667177475859</v>
      </c>
      <c r="W63">
        <f t="shared" si="21"/>
        <v>10.01252497206467</v>
      </c>
      <c r="X63">
        <f t="shared" si="22"/>
        <v>12.366667177475859</v>
      </c>
      <c r="Y63">
        <f t="shared" si="23"/>
        <v>10.01252497206467</v>
      </c>
      <c r="Z63">
        <f t="shared" si="24"/>
        <v>12.366667177475859</v>
      </c>
      <c r="AA63">
        <f t="shared" si="25"/>
        <v>10.01252497206467</v>
      </c>
      <c r="AB63">
        <f t="shared" si="26"/>
        <v>12.366667177475859</v>
      </c>
      <c r="AC63">
        <f t="shared" si="27"/>
        <v>10.01252497206467</v>
      </c>
      <c r="AD63">
        <f t="shared" si="28"/>
        <v>12.366667177475859</v>
      </c>
      <c r="AE63">
        <f t="shared" si="29"/>
        <v>10.01252497206467</v>
      </c>
      <c r="AF63">
        <f t="shared" si="30"/>
        <v>12.366667177475859</v>
      </c>
      <c r="AG63">
        <f t="shared" si="31"/>
        <v>10.01252497206467</v>
      </c>
      <c r="AH63">
        <f t="shared" si="32"/>
        <v>12.366667177475859</v>
      </c>
    </row>
    <row r="64" spans="1:34">
      <c r="A64" t="str">
        <f>CYF!A64</f>
        <v>Coffee</v>
      </c>
      <c r="B64" t="str">
        <f>CYF!B64</f>
        <v>Harari</v>
      </c>
      <c r="C64">
        <v>10.811905899997017</v>
      </c>
      <c r="D64">
        <v>12.363940869296339</v>
      </c>
      <c r="E64">
        <f t="shared" si="3"/>
        <v>10.811905899997017</v>
      </c>
      <c r="F64">
        <f t="shared" si="4"/>
        <v>12.363940869296339</v>
      </c>
      <c r="G64">
        <f t="shared" si="5"/>
        <v>10.811905899997017</v>
      </c>
      <c r="H64">
        <f t="shared" si="6"/>
        <v>12.363940869296339</v>
      </c>
      <c r="I64">
        <f t="shared" si="7"/>
        <v>10.811905899997017</v>
      </c>
      <c r="J64">
        <f t="shared" si="8"/>
        <v>12.363940869296339</v>
      </c>
      <c r="K64">
        <f t="shared" si="9"/>
        <v>10.811905899997017</v>
      </c>
      <c r="L64">
        <f t="shared" si="10"/>
        <v>12.363940869296339</v>
      </c>
      <c r="M64">
        <f t="shared" si="11"/>
        <v>10.811905899997017</v>
      </c>
      <c r="N64">
        <f t="shared" si="12"/>
        <v>12.363940869296339</v>
      </c>
      <c r="O64">
        <f t="shared" si="13"/>
        <v>10.811905899997017</v>
      </c>
      <c r="P64">
        <f t="shared" si="14"/>
        <v>12.363940869296339</v>
      </c>
      <c r="Q64">
        <f t="shared" si="15"/>
        <v>10.811905899997017</v>
      </c>
      <c r="R64">
        <f t="shared" si="16"/>
        <v>12.363940869296339</v>
      </c>
      <c r="S64">
        <f t="shared" si="17"/>
        <v>10.811905899997017</v>
      </c>
      <c r="T64">
        <f t="shared" si="18"/>
        <v>12.363940869296339</v>
      </c>
      <c r="U64">
        <f t="shared" si="19"/>
        <v>10.811905899997017</v>
      </c>
      <c r="V64">
        <f t="shared" si="20"/>
        <v>12.363940869296339</v>
      </c>
      <c r="W64">
        <f t="shared" si="21"/>
        <v>10.811905899997017</v>
      </c>
      <c r="X64">
        <f t="shared" si="22"/>
        <v>12.363940869296339</v>
      </c>
      <c r="Y64">
        <f t="shared" si="23"/>
        <v>10.811905899997017</v>
      </c>
      <c r="Z64">
        <f t="shared" si="24"/>
        <v>12.363940869296339</v>
      </c>
      <c r="AA64">
        <f t="shared" si="25"/>
        <v>10.811905899997017</v>
      </c>
      <c r="AB64">
        <f t="shared" si="26"/>
        <v>12.363940869296339</v>
      </c>
      <c r="AC64">
        <f t="shared" si="27"/>
        <v>10.811905899997017</v>
      </c>
      <c r="AD64">
        <f t="shared" si="28"/>
        <v>12.363940869296339</v>
      </c>
      <c r="AE64">
        <f t="shared" si="29"/>
        <v>10.811905899997017</v>
      </c>
      <c r="AF64">
        <f t="shared" si="30"/>
        <v>12.363940869296339</v>
      </c>
      <c r="AG64">
        <f t="shared" si="31"/>
        <v>10.811905899997017</v>
      </c>
      <c r="AH64">
        <f t="shared" si="32"/>
        <v>12.363940869296339</v>
      </c>
    </row>
    <row r="65" spans="1:34">
      <c r="A65" t="str">
        <f>CYF!A65</f>
        <v>Coffee</v>
      </c>
      <c r="B65" t="str">
        <f>CYF!B65</f>
        <v>Oromia</v>
      </c>
      <c r="C65">
        <v>9.4157618890066459</v>
      </c>
      <c r="D65">
        <v>11.549606770671573</v>
      </c>
      <c r="E65">
        <f t="shared" si="3"/>
        <v>9.4157618890066459</v>
      </c>
      <c r="F65">
        <f t="shared" si="4"/>
        <v>11.549606770671573</v>
      </c>
      <c r="G65">
        <f t="shared" si="5"/>
        <v>9.4157618890066459</v>
      </c>
      <c r="H65">
        <f t="shared" si="6"/>
        <v>11.549606770671573</v>
      </c>
      <c r="I65">
        <f t="shared" si="7"/>
        <v>9.4157618890066459</v>
      </c>
      <c r="J65">
        <f t="shared" si="8"/>
        <v>11.549606770671573</v>
      </c>
      <c r="K65">
        <f t="shared" si="9"/>
        <v>9.4157618890066459</v>
      </c>
      <c r="L65">
        <f t="shared" si="10"/>
        <v>11.549606770671573</v>
      </c>
      <c r="M65">
        <f t="shared" si="11"/>
        <v>9.4157618890066459</v>
      </c>
      <c r="N65">
        <f t="shared" si="12"/>
        <v>11.549606770671573</v>
      </c>
      <c r="O65">
        <f t="shared" si="13"/>
        <v>9.4157618890066459</v>
      </c>
      <c r="P65">
        <f t="shared" si="14"/>
        <v>11.549606770671573</v>
      </c>
      <c r="Q65">
        <f t="shared" si="15"/>
        <v>9.4157618890066459</v>
      </c>
      <c r="R65">
        <f t="shared" si="16"/>
        <v>11.549606770671573</v>
      </c>
      <c r="S65">
        <f t="shared" si="17"/>
        <v>9.4157618890066459</v>
      </c>
      <c r="T65">
        <f t="shared" si="18"/>
        <v>11.549606770671573</v>
      </c>
      <c r="U65">
        <f t="shared" si="19"/>
        <v>9.4157618890066459</v>
      </c>
      <c r="V65">
        <f t="shared" si="20"/>
        <v>11.549606770671573</v>
      </c>
      <c r="W65">
        <f t="shared" si="21"/>
        <v>9.4157618890066459</v>
      </c>
      <c r="X65">
        <f t="shared" si="22"/>
        <v>11.549606770671573</v>
      </c>
      <c r="Y65">
        <f t="shared" si="23"/>
        <v>9.4157618890066459</v>
      </c>
      <c r="Z65">
        <f t="shared" si="24"/>
        <v>11.549606770671573</v>
      </c>
      <c r="AA65">
        <f t="shared" si="25"/>
        <v>9.4157618890066459</v>
      </c>
      <c r="AB65">
        <f t="shared" si="26"/>
        <v>11.549606770671573</v>
      </c>
      <c r="AC65">
        <f t="shared" si="27"/>
        <v>9.4157618890066459</v>
      </c>
      <c r="AD65">
        <f t="shared" si="28"/>
        <v>11.549606770671573</v>
      </c>
      <c r="AE65">
        <f t="shared" si="29"/>
        <v>9.4157618890066459</v>
      </c>
      <c r="AF65">
        <f t="shared" si="30"/>
        <v>11.549606770671573</v>
      </c>
      <c r="AG65">
        <f t="shared" si="31"/>
        <v>9.4157618890066459</v>
      </c>
      <c r="AH65">
        <f t="shared" si="32"/>
        <v>11.549606770671573</v>
      </c>
    </row>
    <row r="66" spans="1:34">
      <c r="A66" t="str">
        <f>CYF!A66</f>
        <v>Coffee</v>
      </c>
      <c r="B66" t="str">
        <f>CYF!B66</f>
        <v>Somali</v>
      </c>
      <c r="C66">
        <v>9.3720878682033835</v>
      </c>
      <c r="D66">
        <v>11.44834218865283</v>
      </c>
      <c r="E66">
        <f t="shared" si="3"/>
        <v>9.3720878682033835</v>
      </c>
      <c r="F66">
        <f t="shared" si="4"/>
        <v>11.44834218865283</v>
      </c>
      <c r="G66">
        <f t="shared" si="5"/>
        <v>9.3720878682033835</v>
      </c>
      <c r="H66">
        <f t="shared" si="6"/>
        <v>11.44834218865283</v>
      </c>
      <c r="I66">
        <f t="shared" si="7"/>
        <v>9.3720878682033835</v>
      </c>
      <c r="J66">
        <f t="shared" si="8"/>
        <v>11.44834218865283</v>
      </c>
      <c r="K66">
        <f t="shared" si="9"/>
        <v>9.3720878682033835</v>
      </c>
      <c r="L66">
        <f t="shared" si="10"/>
        <v>11.44834218865283</v>
      </c>
      <c r="M66">
        <f t="shared" si="11"/>
        <v>9.3720878682033835</v>
      </c>
      <c r="N66">
        <f t="shared" si="12"/>
        <v>11.44834218865283</v>
      </c>
      <c r="O66">
        <f t="shared" si="13"/>
        <v>9.3720878682033835</v>
      </c>
      <c r="P66">
        <f t="shared" si="14"/>
        <v>11.44834218865283</v>
      </c>
      <c r="Q66">
        <f t="shared" si="15"/>
        <v>9.3720878682033835</v>
      </c>
      <c r="R66">
        <f t="shared" si="16"/>
        <v>11.44834218865283</v>
      </c>
      <c r="S66">
        <f t="shared" si="17"/>
        <v>9.3720878682033835</v>
      </c>
      <c r="T66">
        <f t="shared" si="18"/>
        <v>11.44834218865283</v>
      </c>
      <c r="U66">
        <f t="shared" si="19"/>
        <v>9.3720878682033835</v>
      </c>
      <c r="V66">
        <f t="shared" si="20"/>
        <v>11.44834218865283</v>
      </c>
      <c r="W66">
        <f t="shared" si="21"/>
        <v>9.3720878682033835</v>
      </c>
      <c r="X66">
        <f t="shared" si="22"/>
        <v>11.44834218865283</v>
      </c>
      <c r="Y66">
        <f t="shared" si="23"/>
        <v>9.3720878682033835</v>
      </c>
      <c r="Z66">
        <f t="shared" si="24"/>
        <v>11.44834218865283</v>
      </c>
      <c r="AA66">
        <f t="shared" si="25"/>
        <v>9.3720878682033835</v>
      </c>
      <c r="AB66">
        <f t="shared" si="26"/>
        <v>11.44834218865283</v>
      </c>
      <c r="AC66">
        <f t="shared" si="27"/>
        <v>9.3720878682033835</v>
      </c>
      <c r="AD66">
        <f t="shared" si="28"/>
        <v>11.44834218865283</v>
      </c>
      <c r="AE66">
        <f t="shared" si="29"/>
        <v>9.3720878682033835</v>
      </c>
      <c r="AF66">
        <f t="shared" si="30"/>
        <v>11.44834218865283</v>
      </c>
      <c r="AG66">
        <f t="shared" si="31"/>
        <v>9.3720878682033835</v>
      </c>
      <c r="AH66">
        <f t="shared" si="32"/>
        <v>11.44834218865283</v>
      </c>
    </row>
    <row r="67" spans="1:34">
      <c r="A67" t="str">
        <f>CYF!A67</f>
        <v>Coffee</v>
      </c>
      <c r="B67" t="str">
        <f>CYF!B67</f>
        <v>SNNPR</v>
      </c>
      <c r="C67">
        <v>10.560565505696395</v>
      </c>
      <c r="D67">
        <v>11.764364223925199</v>
      </c>
      <c r="E67">
        <f t="shared" si="3"/>
        <v>10.560565505696395</v>
      </c>
      <c r="F67">
        <f t="shared" si="4"/>
        <v>11.764364223925199</v>
      </c>
      <c r="G67">
        <f t="shared" si="5"/>
        <v>10.560565505696395</v>
      </c>
      <c r="H67">
        <f t="shared" si="6"/>
        <v>11.764364223925199</v>
      </c>
      <c r="I67">
        <f t="shared" si="7"/>
        <v>10.560565505696395</v>
      </c>
      <c r="J67">
        <f t="shared" si="8"/>
        <v>11.764364223925199</v>
      </c>
      <c r="K67">
        <f t="shared" si="9"/>
        <v>10.560565505696395</v>
      </c>
      <c r="L67">
        <f t="shared" si="10"/>
        <v>11.764364223925199</v>
      </c>
      <c r="M67">
        <f t="shared" si="11"/>
        <v>10.560565505696395</v>
      </c>
      <c r="N67">
        <f t="shared" si="12"/>
        <v>11.764364223925199</v>
      </c>
      <c r="O67">
        <f t="shared" si="13"/>
        <v>10.560565505696395</v>
      </c>
      <c r="P67">
        <f t="shared" si="14"/>
        <v>11.764364223925199</v>
      </c>
      <c r="Q67">
        <f t="shared" si="15"/>
        <v>10.560565505696395</v>
      </c>
      <c r="R67">
        <f t="shared" si="16"/>
        <v>11.764364223925199</v>
      </c>
      <c r="S67">
        <f t="shared" si="17"/>
        <v>10.560565505696395</v>
      </c>
      <c r="T67">
        <f t="shared" si="18"/>
        <v>11.764364223925199</v>
      </c>
      <c r="U67">
        <f t="shared" si="19"/>
        <v>10.560565505696395</v>
      </c>
      <c r="V67">
        <f t="shared" si="20"/>
        <v>11.764364223925199</v>
      </c>
      <c r="W67">
        <f t="shared" si="21"/>
        <v>10.560565505696395</v>
      </c>
      <c r="X67">
        <f t="shared" si="22"/>
        <v>11.764364223925199</v>
      </c>
      <c r="Y67">
        <f t="shared" si="23"/>
        <v>10.560565505696395</v>
      </c>
      <c r="Z67">
        <f t="shared" si="24"/>
        <v>11.764364223925199</v>
      </c>
      <c r="AA67">
        <f t="shared" si="25"/>
        <v>10.560565505696395</v>
      </c>
      <c r="AB67">
        <f t="shared" si="26"/>
        <v>11.764364223925199</v>
      </c>
      <c r="AC67">
        <f t="shared" si="27"/>
        <v>10.560565505696395</v>
      </c>
      <c r="AD67">
        <f t="shared" si="28"/>
        <v>11.764364223925199</v>
      </c>
      <c r="AE67">
        <f t="shared" si="29"/>
        <v>10.560565505696395</v>
      </c>
      <c r="AF67">
        <f t="shared" si="30"/>
        <v>11.764364223925199</v>
      </c>
      <c r="AG67">
        <f t="shared" si="31"/>
        <v>10.560565505696395</v>
      </c>
      <c r="AH67">
        <f t="shared" si="32"/>
        <v>11.764364223925199</v>
      </c>
    </row>
    <row r="68" spans="1:34">
      <c r="A68" t="str">
        <f>CYF!A68</f>
        <v>Coffee</v>
      </c>
      <c r="B68" t="str">
        <f>CYF!B68</f>
        <v>Tigray</v>
      </c>
      <c r="C68">
        <v>10.384025798534637</v>
      </c>
      <c r="D68">
        <v>11.330214130441449</v>
      </c>
      <c r="E68">
        <f t="shared" ref="E68" si="33">C68</f>
        <v>10.384025798534637</v>
      </c>
      <c r="F68">
        <f t="shared" ref="F68" si="34">D68</f>
        <v>11.330214130441449</v>
      </c>
      <c r="G68">
        <f t="shared" ref="G68" si="35">E68</f>
        <v>10.384025798534637</v>
      </c>
      <c r="H68">
        <f t="shared" ref="H68" si="36">F68</f>
        <v>11.330214130441449</v>
      </c>
      <c r="I68">
        <f t="shared" ref="I68" si="37">G68</f>
        <v>10.384025798534637</v>
      </c>
      <c r="J68">
        <f t="shared" ref="J68" si="38">H68</f>
        <v>11.330214130441449</v>
      </c>
      <c r="K68">
        <f t="shared" ref="K68" si="39">I68</f>
        <v>10.384025798534637</v>
      </c>
      <c r="L68">
        <f t="shared" ref="L68" si="40">J68</f>
        <v>11.330214130441449</v>
      </c>
      <c r="M68">
        <f t="shared" ref="M68" si="41">K68</f>
        <v>10.384025798534637</v>
      </c>
      <c r="N68">
        <f t="shared" ref="N68" si="42">L68</f>
        <v>11.330214130441449</v>
      </c>
      <c r="O68">
        <f t="shared" ref="O68" si="43">M68</f>
        <v>10.384025798534637</v>
      </c>
      <c r="P68">
        <f t="shared" ref="P68" si="44">N68</f>
        <v>11.330214130441449</v>
      </c>
      <c r="Q68">
        <f t="shared" ref="Q68" si="45">O68</f>
        <v>10.384025798534637</v>
      </c>
      <c r="R68">
        <f t="shared" ref="R68" si="46">P68</f>
        <v>11.330214130441449</v>
      </c>
      <c r="S68">
        <f t="shared" ref="S68" si="47">Q68</f>
        <v>10.384025798534637</v>
      </c>
      <c r="T68">
        <f t="shared" ref="T68" si="48">R68</f>
        <v>11.330214130441449</v>
      </c>
      <c r="U68">
        <f t="shared" ref="U68" si="49">S68</f>
        <v>10.384025798534637</v>
      </c>
      <c r="V68">
        <f t="shared" ref="V68" si="50">T68</f>
        <v>11.330214130441449</v>
      </c>
      <c r="W68">
        <f t="shared" ref="W68" si="51">U68</f>
        <v>10.384025798534637</v>
      </c>
      <c r="X68">
        <f t="shared" ref="X68" si="52">V68</f>
        <v>11.330214130441449</v>
      </c>
      <c r="Y68">
        <f t="shared" ref="Y68" si="53">W68</f>
        <v>10.384025798534637</v>
      </c>
      <c r="Z68">
        <f t="shared" ref="Z68" si="54">X68</f>
        <v>11.330214130441449</v>
      </c>
      <c r="AA68">
        <f t="shared" ref="AA68" si="55">Y68</f>
        <v>10.384025798534637</v>
      </c>
      <c r="AB68">
        <f t="shared" ref="AB68" si="56">Z68</f>
        <v>11.330214130441449</v>
      </c>
      <c r="AC68">
        <f t="shared" ref="AC68" si="57">AA68</f>
        <v>10.384025798534637</v>
      </c>
      <c r="AD68">
        <f t="shared" ref="AD68" si="58">AB68</f>
        <v>11.330214130441449</v>
      </c>
      <c r="AE68">
        <f t="shared" ref="AE68" si="59">AC68</f>
        <v>10.384025798534637</v>
      </c>
      <c r="AF68">
        <f t="shared" ref="AF68" si="60">AD68</f>
        <v>11.330214130441449</v>
      </c>
      <c r="AG68">
        <f t="shared" ref="AG68" si="61">AE68</f>
        <v>10.384025798534637</v>
      </c>
      <c r="AH68">
        <f t="shared" ref="AH68" si="62">AF68</f>
        <v>11.330214130441449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  <c r="P122">
        <v>5</v>
      </c>
      <c r="Q122">
        <v>5</v>
      </c>
    </row>
    <row r="123" spans="1:17">
      <c r="A123" t="str">
        <v>Afar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</row>
    <row r="124" spans="1:17">
      <c r="A124" t="str">
        <v>Amhara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</row>
    <row r="125" spans="1:17">
      <c r="A125" t="str">
        <v>Gumuz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  <c r="P125">
        <v>5</v>
      </c>
      <c r="Q125">
        <v>5</v>
      </c>
    </row>
    <row r="126" spans="1:17">
      <c r="A126" t="str">
        <v>DireDawa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</row>
    <row r="127" spans="1:17">
      <c r="A127" t="str">
        <v>Gambela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  <c r="P127">
        <v>5</v>
      </c>
      <c r="Q127">
        <v>5</v>
      </c>
    </row>
    <row r="128" spans="1:17">
      <c r="A128" t="str">
        <v>Harari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</row>
    <row r="129" spans="1:17">
      <c r="A129" t="str">
        <v>Oromia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</row>
    <row r="130" spans="1:17">
      <c r="A130" t="str">
        <v>Somali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</row>
    <row r="131" spans="1:17">
      <c r="A131" t="str">
        <v>SNNPR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</row>
    <row r="132" spans="1:17">
      <c r="A132" t="str">
        <v>Tigray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</row>
    <row r="141" spans="1:17">
      <c r="A141" t="str">
        <f t="array" ref="A141:A151">Nodes</f>
        <v>AddisAbaba</v>
      </c>
      <c r="B141" s="3">
        <v>0</v>
      </c>
    </row>
    <row r="142" spans="1:17">
      <c r="A142" t="str">
        <v>Afar</v>
      </c>
      <c r="B142" s="3">
        <f>9.3+2</f>
        <v>11.3</v>
      </c>
    </row>
    <row r="143" spans="1:17">
      <c r="A143" t="str">
        <v>Amhara</v>
      </c>
      <c r="B143" s="3">
        <f>4149+143+66+L164</f>
        <v>4424</v>
      </c>
    </row>
    <row r="144" spans="1:17">
      <c r="A144" t="str">
        <v>Gumuz</v>
      </c>
      <c r="B144" s="3">
        <f>1.7+227.5+L165</f>
        <v>231.6</v>
      </c>
    </row>
    <row r="145" spans="1:13">
      <c r="A145" t="str">
        <v>DireDawa</v>
      </c>
      <c r="B145" s="3">
        <f>9.6+1</f>
        <v>10.6</v>
      </c>
    </row>
    <row r="146" spans="1:13">
      <c r="A146" t="str">
        <v>Gambela</v>
      </c>
      <c r="B146" s="2">
        <f>9.7+M167+L167</f>
        <v>13.49</v>
      </c>
    </row>
    <row r="147" spans="1:13">
      <c r="A147" t="str">
        <v>Harari</v>
      </c>
      <c r="B147" s="3">
        <v>9.4</v>
      </c>
    </row>
    <row r="148" spans="1:13">
      <c r="A148" t="str">
        <v>Oromia</v>
      </c>
      <c r="B148" s="3">
        <f>56+592</f>
        <v>648</v>
      </c>
    </row>
    <row r="149" spans="1:13">
      <c r="A149" t="str">
        <v>Somali</v>
      </c>
      <c r="B149" s="3">
        <f>70+20</f>
        <v>90</v>
      </c>
    </row>
    <row r="150" spans="1:13">
      <c r="A150" t="str">
        <v>SNNPR</v>
      </c>
      <c r="B150" s="3">
        <f>345+1067+L171+M171</f>
        <v>1676</v>
      </c>
    </row>
    <row r="151" spans="1:13">
      <c r="A151" t="str">
        <v>Tigray</v>
      </c>
      <c r="B151" s="3">
        <f>19+834+L172</f>
        <v>858.1</v>
      </c>
    </row>
    <row r="153" spans="1:13">
      <c r="B153">
        <f>11822+1125</f>
        <v>12947</v>
      </c>
    </row>
    <row r="160" spans="1:13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3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</row>
    <row r="161" spans="1:13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  <c r="H161" t="str">
        <f t="array" ref="H161:M161">TRANSPOSE(Crops)</f>
        <v>Teff</v>
      </c>
      <c r="I161" t="str">
        <v>Sorghum</v>
      </c>
      <c r="J161" t="str">
        <v>Maize</v>
      </c>
      <c r="K161" t="str">
        <v>Lentils</v>
      </c>
      <c r="L161" t="str">
        <v>Vegetables</v>
      </c>
      <c r="M161" t="str">
        <v>Coffee</v>
      </c>
    </row>
    <row r="162" spans="1:13">
      <c r="A162" t="str">
        <f t="array" ref="A162:A172">Nodes</f>
        <v>AddisAbaba</v>
      </c>
      <c r="B162" s="28">
        <v>0</v>
      </c>
      <c r="C162" s="28">
        <v>0</v>
      </c>
      <c r="D162" s="28">
        <v>0</v>
      </c>
      <c r="E162" s="28">
        <v>0</v>
      </c>
      <c r="F162" s="28">
        <v>0</v>
      </c>
      <c r="G162" s="28">
        <v>0</v>
      </c>
      <c r="H162" s="28">
        <v>0</v>
      </c>
      <c r="I162" s="28">
        <v>0</v>
      </c>
      <c r="J162" s="28">
        <v>0</v>
      </c>
      <c r="K162" s="28">
        <v>0</v>
      </c>
      <c r="L162" s="28">
        <v>0</v>
      </c>
      <c r="M162" s="28">
        <v>0</v>
      </c>
    </row>
    <row r="163" spans="1:13">
      <c r="A163" t="str">
        <v>Afar</v>
      </c>
      <c r="B163" s="28">
        <v>1</v>
      </c>
      <c r="C163" s="28">
        <f t="shared" ref="C163:G163" si="63">$B142/6*0.6</f>
        <v>1.1300000000000001</v>
      </c>
      <c r="D163" s="28">
        <f t="shared" si="63"/>
        <v>1.1300000000000001</v>
      </c>
      <c r="E163" s="28">
        <v>0.6</v>
      </c>
      <c r="F163" s="28">
        <v>0</v>
      </c>
      <c r="G163" s="28">
        <f t="shared" si="63"/>
        <v>1.1300000000000001</v>
      </c>
      <c r="H163" s="28">
        <v>1</v>
      </c>
      <c r="I163" s="28">
        <v>2.7</v>
      </c>
      <c r="J163" s="28">
        <v>0</v>
      </c>
      <c r="K163" s="28">
        <v>0.1</v>
      </c>
      <c r="L163" s="28">
        <v>0</v>
      </c>
      <c r="M163" s="28">
        <v>0</v>
      </c>
    </row>
    <row r="164" spans="1:13">
      <c r="A164" t="str">
        <v>Amhara</v>
      </c>
      <c r="B164" s="28">
        <f>27+58</f>
        <v>85</v>
      </c>
      <c r="C164" s="28">
        <v>9</v>
      </c>
      <c r="D164" s="28">
        <v>13</v>
      </c>
      <c r="E164" s="28">
        <v>34</v>
      </c>
      <c r="F164" s="28">
        <v>0</v>
      </c>
      <c r="G164" s="28">
        <v>0</v>
      </c>
      <c r="H164" s="28">
        <f>1014+328</f>
        <v>1342</v>
      </c>
      <c r="I164" s="28">
        <f>498+710</f>
        <v>1208</v>
      </c>
      <c r="J164" s="28">
        <f>472+216</f>
        <v>688</v>
      </c>
      <c r="K164" s="28">
        <f>553</f>
        <v>553</v>
      </c>
      <c r="L164" s="28">
        <f>32+34</f>
        <v>66</v>
      </c>
      <c r="M164" s="28">
        <f>325+12</f>
        <v>337</v>
      </c>
    </row>
    <row r="165" spans="1:13">
      <c r="A165" t="str">
        <v>Gumuz</v>
      </c>
      <c r="B165" s="28">
        <v>0</v>
      </c>
      <c r="C165" s="28">
        <v>0</v>
      </c>
      <c r="D165" s="28">
        <v>0.4</v>
      </c>
      <c r="E165" s="28">
        <v>1.2</v>
      </c>
      <c r="F165" s="28">
        <v>0</v>
      </c>
      <c r="G165" s="28">
        <v>0</v>
      </c>
      <c r="H165" s="28">
        <f>23.6+1.2</f>
        <v>24.8</v>
      </c>
      <c r="I165" s="28">
        <f>66.5+2.7</f>
        <v>69.2</v>
      </c>
      <c r="J165" s="28">
        <f>43.8+29.4</f>
        <v>73.199999999999989</v>
      </c>
      <c r="K165" s="28">
        <v>11</v>
      </c>
      <c r="L165" s="28">
        <v>2.4</v>
      </c>
      <c r="M165" s="28">
        <f>48.4+0.8</f>
        <v>49.199999999999996</v>
      </c>
    </row>
    <row r="166" spans="1:13">
      <c r="A166" t="str">
        <v>DireDawa</v>
      </c>
      <c r="B166" s="28">
        <v>0</v>
      </c>
      <c r="C166" s="28">
        <v>0</v>
      </c>
      <c r="D166" s="28">
        <v>0.1</v>
      </c>
      <c r="E166" s="28">
        <v>0</v>
      </c>
      <c r="F166" s="28">
        <v>0</v>
      </c>
      <c r="G166" s="28">
        <v>0</v>
      </c>
      <c r="H166" s="28">
        <v>0</v>
      </c>
      <c r="I166" s="28">
        <v>8.8000000000000007</v>
      </c>
      <c r="J166" s="28">
        <v>0.3</v>
      </c>
      <c r="K166" s="28">
        <v>0.27</v>
      </c>
      <c r="L166" s="28">
        <v>0.2</v>
      </c>
      <c r="M166" s="28">
        <v>0.3</v>
      </c>
    </row>
    <row r="167" spans="1:13">
      <c r="A167" t="str">
        <v>Gambela</v>
      </c>
      <c r="B167" s="28">
        <v>0</v>
      </c>
      <c r="C167" s="28">
        <v>0</v>
      </c>
      <c r="D167" s="28">
        <v>0</v>
      </c>
      <c r="E167" s="28">
        <v>0</v>
      </c>
      <c r="F167" s="28">
        <v>0</v>
      </c>
      <c r="G167" s="28">
        <v>0</v>
      </c>
      <c r="H167" s="28">
        <v>0</v>
      </c>
      <c r="I167" s="28">
        <v>3.5</v>
      </c>
      <c r="J167" s="28">
        <v>6</v>
      </c>
      <c r="K167" s="28">
        <v>0.16</v>
      </c>
      <c r="L167" s="28">
        <f>0.13+0.26</f>
        <v>0.39</v>
      </c>
      <c r="M167" s="28">
        <v>3.4</v>
      </c>
    </row>
    <row r="168" spans="1:13">
      <c r="A168" t="str">
        <v>Harari</v>
      </c>
      <c r="B168" s="28">
        <v>0</v>
      </c>
      <c r="C168" s="28">
        <v>0</v>
      </c>
      <c r="D168" s="28">
        <v>0</v>
      </c>
      <c r="E168" s="28">
        <v>0.2</v>
      </c>
      <c r="F168" s="28">
        <v>0</v>
      </c>
      <c r="G168" s="28">
        <v>0</v>
      </c>
      <c r="H168" s="28">
        <v>0</v>
      </c>
      <c r="I168" s="28">
        <f>6.7+0.12</f>
        <v>6.82</v>
      </c>
      <c r="J168" s="28">
        <f>0.1</f>
        <v>0.1</v>
      </c>
      <c r="K168" s="28">
        <v>0</v>
      </c>
      <c r="L168" s="28">
        <v>0</v>
      </c>
      <c r="M168" s="28">
        <v>1.6</v>
      </c>
    </row>
    <row r="169" spans="1:13">
      <c r="A169" t="str">
        <v>Oromia</v>
      </c>
      <c r="B169" s="28">
        <f>53+135</f>
        <v>188</v>
      </c>
      <c r="C169" s="28">
        <f>15+99</f>
        <v>114</v>
      </c>
      <c r="D169" s="28">
        <v>185</v>
      </c>
      <c r="E169" s="28">
        <v>82</v>
      </c>
      <c r="F169" s="28">
        <v>0</v>
      </c>
      <c r="G169" s="28">
        <v>0</v>
      </c>
      <c r="H169" s="28">
        <f>9.7+0.7</f>
        <v>10.399999999999999</v>
      </c>
      <c r="I169" s="28">
        <v>35</v>
      </c>
      <c r="J169" s="28">
        <v>6</v>
      </c>
      <c r="K169" s="28">
        <v>2.2999999999999998</v>
      </c>
      <c r="L169" s="28">
        <v>0.3</v>
      </c>
      <c r="M169" s="28">
        <v>0</v>
      </c>
    </row>
    <row r="170" spans="1:13">
      <c r="A170" t="str">
        <v>Somali</v>
      </c>
      <c r="B170" s="28">
        <v>0</v>
      </c>
      <c r="C170" s="28">
        <v>0.4</v>
      </c>
      <c r="D170" s="28">
        <v>19.5</v>
      </c>
      <c r="E170" s="28">
        <v>0.3</v>
      </c>
      <c r="F170" s="28">
        <v>0</v>
      </c>
      <c r="G170" s="28">
        <v>0</v>
      </c>
      <c r="H170" s="28">
        <v>0</v>
      </c>
      <c r="I170" s="28">
        <f>34.6+4.3</f>
        <v>38.9</v>
      </c>
      <c r="J170" s="28">
        <v>28</v>
      </c>
      <c r="K170" s="28">
        <v>0</v>
      </c>
      <c r="L170" s="28">
        <v>0</v>
      </c>
      <c r="M170" s="28">
        <v>0</v>
      </c>
    </row>
    <row r="171" spans="1:13">
      <c r="A171" t="str">
        <v>SNNPR</v>
      </c>
      <c r="B171" s="28">
        <f>18+15</f>
        <v>33</v>
      </c>
      <c r="C171" s="28">
        <f>28</f>
        <v>28</v>
      </c>
      <c r="D171" s="28">
        <f>202+1</f>
        <v>203</v>
      </c>
      <c r="E171" s="28">
        <v>77</v>
      </c>
      <c r="F171" s="28">
        <v>0</v>
      </c>
      <c r="G171" s="28">
        <v>1</v>
      </c>
      <c r="H171" s="28">
        <f>265.3+111.7</f>
        <v>377</v>
      </c>
      <c r="I171" s="28">
        <f>107.7+131.16</f>
        <v>238.86</v>
      </c>
      <c r="J171" s="28">
        <f>237.3+3.8</f>
        <v>241.10000000000002</v>
      </c>
      <c r="K171" s="28">
        <v>202</v>
      </c>
      <c r="L171" s="28">
        <f>38+91</f>
        <v>129</v>
      </c>
      <c r="M171" s="28">
        <f>130+5</f>
        <v>135</v>
      </c>
    </row>
    <row r="172" spans="1:13">
      <c r="A172" t="str">
        <v>Tigray</v>
      </c>
      <c r="B172" s="28">
        <v>15</v>
      </c>
      <c r="C172" s="28">
        <v>0</v>
      </c>
      <c r="D172" s="28">
        <v>2</v>
      </c>
      <c r="E172" s="28">
        <v>0</v>
      </c>
      <c r="F172" s="28">
        <v>0.6</v>
      </c>
      <c r="G172" s="28">
        <v>0</v>
      </c>
      <c r="H172" s="28">
        <f>165+90</f>
        <v>255</v>
      </c>
      <c r="I172" s="28">
        <f>100+216</f>
        <v>316</v>
      </c>
      <c r="J172" s="28">
        <v>135</v>
      </c>
      <c r="K172" s="28">
        <v>37</v>
      </c>
      <c r="L172" s="28">
        <f>2.8+2.3</f>
        <v>5.0999999999999996</v>
      </c>
      <c r="M172" s="28">
        <v>70</v>
      </c>
    </row>
    <row r="181" spans="1:7">
      <c r="B181" t="str">
        <f t="array" ref="B181:G181">TRANSPOSE(Crops)</f>
        <v>Teff</v>
      </c>
      <c r="C181" t="str">
        <v>Sorghum</v>
      </c>
      <c r="D181" t="str">
        <v>Maize</v>
      </c>
      <c r="E181" t="str">
        <v>Lentils</v>
      </c>
      <c r="F181" t="str">
        <v>Vegetables</v>
      </c>
      <c r="G181" t="str">
        <v>Coffee</v>
      </c>
    </row>
    <row r="182" spans="1:7">
      <c r="A182" t="str">
        <f t="array" ref="A182:A192">Nodes</f>
        <v>AddisAbaba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</row>
    <row r="183" spans="1:7">
      <c r="A183" t="str">
        <v>Afar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</row>
    <row r="184" spans="1:7">
      <c r="A184" t="str">
        <v>Amhara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</row>
    <row r="185" spans="1:7">
      <c r="A185" t="str">
        <v>Gumuz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</row>
    <row r="186" spans="1:7">
      <c r="A186" t="str">
        <v>DireDawa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</row>
    <row r="187" spans="1:7">
      <c r="A187" t="str">
        <v>Gambela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</row>
    <row r="188" spans="1:7">
      <c r="A188" t="str">
        <v>Harari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</row>
    <row r="189" spans="1:7">
      <c r="A189" t="str">
        <v>Oromia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</row>
    <row r="190" spans="1:7">
      <c r="A190" t="str">
        <v>Somali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</row>
    <row r="191" spans="1:7">
      <c r="A191" t="str">
        <v>SNNPR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</row>
    <row r="192" spans="1:7">
      <c r="A192" t="str">
        <v>Tigray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E1" sqref="E1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0.18</v>
      </c>
      <c r="E3" s="2">
        <f>C3</f>
        <v>0.2</v>
      </c>
      <c r="F3" s="2">
        <f>D3</f>
        <v>0.18</v>
      </c>
      <c r="G3" s="2">
        <f>E3</f>
        <v>0.2</v>
      </c>
      <c r="H3" s="2">
        <f t="shared" ref="H3:AH12" si="2">F3</f>
        <v>0.18</v>
      </c>
      <c r="I3" s="2">
        <f t="shared" si="2"/>
        <v>0.2</v>
      </c>
      <c r="J3" s="2">
        <f t="shared" si="2"/>
        <v>0.18</v>
      </c>
      <c r="K3" s="2">
        <f t="shared" si="2"/>
        <v>0.2</v>
      </c>
      <c r="L3" s="2">
        <f t="shared" si="2"/>
        <v>0.18</v>
      </c>
      <c r="M3" s="2">
        <f t="shared" si="2"/>
        <v>0.2</v>
      </c>
      <c r="N3" s="2">
        <f t="shared" si="2"/>
        <v>0.18</v>
      </c>
      <c r="O3" s="2">
        <f t="shared" si="2"/>
        <v>0.2</v>
      </c>
      <c r="P3" s="2">
        <f t="shared" si="2"/>
        <v>0.18</v>
      </c>
      <c r="Q3" s="2">
        <f t="shared" si="2"/>
        <v>0.2</v>
      </c>
      <c r="R3" s="2">
        <f t="shared" si="2"/>
        <v>0.18</v>
      </c>
      <c r="S3" s="2">
        <f t="shared" si="2"/>
        <v>0.2</v>
      </c>
      <c r="T3" s="2">
        <f t="shared" si="2"/>
        <v>0.18</v>
      </c>
      <c r="U3" s="2">
        <f t="shared" si="2"/>
        <v>0.2</v>
      </c>
      <c r="V3" s="2">
        <f t="shared" si="2"/>
        <v>0.18</v>
      </c>
      <c r="W3" s="2">
        <f t="shared" si="2"/>
        <v>0.2</v>
      </c>
      <c r="X3" s="2">
        <f t="shared" si="2"/>
        <v>0.18</v>
      </c>
      <c r="Y3" s="2">
        <f t="shared" si="2"/>
        <v>0.2</v>
      </c>
      <c r="Z3" s="2">
        <f t="shared" si="2"/>
        <v>0.18</v>
      </c>
      <c r="AA3" s="2">
        <f t="shared" si="2"/>
        <v>0.2</v>
      </c>
      <c r="AB3" s="2">
        <f t="shared" si="2"/>
        <v>0.18</v>
      </c>
      <c r="AC3" s="2">
        <f t="shared" si="2"/>
        <v>0.2</v>
      </c>
      <c r="AD3" s="2">
        <f t="shared" si="2"/>
        <v>0.18</v>
      </c>
      <c r="AE3" s="2">
        <f t="shared" si="2"/>
        <v>0.2</v>
      </c>
      <c r="AF3" s="2">
        <f t="shared" si="2"/>
        <v>0.18</v>
      </c>
      <c r="AG3" s="2">
        <f t="shared" si="2"/>
        <v>0.2</v>
      </c>
      <c r="AH3" s="2">
        <f t="shared" si="2"/>
        <v>0.18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0.18</v>
      </c>
      <c r="E4" s="2">
        <f t="shared" ref="E4:E67" si="3">C4</f>
        <v>0.2</v>
      </c>
      <c r="F4" s="2">
        <f t="shared" ref="F4:F67" si="4">D4</f>
        <v>0.18</v>
      </c>
      <c r="G4" s="2">
        <f t="shared" ref="G4:G67" si="5">E4</f>
        <v>0.2</v>
      </c>
      <c r="H4" s="2">
        <f t="shared" si="2"/>
        <v>0.18</v>
      </c>
      <c r="I4" s="2">
        <f t="shared" si="2"/>
        <v>0.2</v>
      </c>
      <c r="J4" s="2">
        <f t="shared" si="2"/>
        <v>0.18</v>
      </c>
      <c r="K4" s="2">
        <f t="shared" si="2"/>
        <v>0.2</v>
      </c>
      <c r="L4" s="2">
        <f t="shared" si="2"/>
        <v>0.18</v>
      </c>
      <c r="M4" s="2">
        <f t="shared" si="2"/>
        <v>0.2</v>
      </c>
      <c r="N4" s="2">
        <f t="shared" si="2"/>
        <v>0.18</v>
      </c>
      <c r="O4" s="2">
        <f t="shared" si="2"/>
        <v>0.2</v>
      </c>
      <c r="P4" s="2">
        <f t="shared" si="2"/>
        <v>0.18</v>
      </c>
      <c r="Q4" s="2">
        <f t="shared" si="2"/>
        <v>0.2</v>
      </c>
      <c r="R4" s="2">
        <f t="shared" si="2"/>
        <v>0.18</v>
      </c>
      <c r="S4" s="2">
        <f t="shared" si="2"/>
        <v>0.2</v>
      </c>
      <c r="T4" s="2">
        <f t="shared" si="2"/>
        <v>0.18</v>
      </c>
      <c r="U4" s="2">
        <f t="shared" si="2"/>
        <v>0.2</v>
      </c>
      <c r="V4" s="2">
        <f t="shared" si="2"/>
        <v>0.18</v>
      </c>
      <c r="W4" s="2">
        <f t="shared" si="2"/>
        <v>0.2</v>
      </c>
      <c r="X4" s="2">
        <f t="shared" si="2"/>
        <v>0.18</v>
      </c>
      <c r="Y4" s="2">
        <f t="shared" si="2"/>
        <v>0.2</v>
      </c>
      <c r="Z4" s="2">
        <f t="shared" si="2"/>
        <v>0.18</v>
      </c>
      <c r="AA4" s="2">
        <f t="shared" si="2"/>
        <v>0.2</v>
      </c>
      <c r="AB4" s="2">
        <f t="shared" si="2"/>
        <v>0.18</v>
      </c>
      <c r="AC4" s="2">
        <f t="shared" si="2"/>
        <v>0.2</v>
      </c>
      <c r="AD4" s="2">
        <f t="shared" si="2"/>
        <v>0.18</v>
      </c>
      <c r="AE4" s="2">
        <f t="shared" si="2"/>
        <v>0.2</v>
      </c>
      <c r="AF4" s="2">
        <f t="shared" si="2"/>
        <v>0.18</v>
      </c>
      <c r="AG4" s="2">
        <f t="shared" si="2"/>
        <v>0.2</v>
      </c>
      <c r="AH4" s="2">
        <f t="shared" si="2"/>
        <v>0.18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0.18</v>
      </c>
      <c r="E5" s="2">
        <f t="shared" si="3"/>
        <v>0.2</v>
      </c>
      <c r="F5" s="2">
        <f t="shared" si="4"/>
        <v>0.18</v>
      </c>
      <c r="G5" s="2">
        <f t="shared" si="5"/>
        <v>0.2</v>
      </c>
      <c r="H5" s="2">
        <f t="shared" si="2"/>
        <v>0.18</v>
      </c>
      <c r="I5" s="2">
        <f t="shared" si="2"/>
        <v>0.2</v>
      </c>
      <c r="J5" s="2">
        <f t="shared" si="2"/>
        <v>0.18</v>
      </c>
      <c r="K5" s="2">
        <f t="shared" si="2"/>
        <v>0.2</v>
      </c>
      <c r="L5" s="2">
        <f t="shared" si="2"/>
        <v>0.18</v>
      </c>
      <c r="M5" s="2">
        <f t="shared" si="2"/>
        <v>0.2</v>
      </c>
      <c r="N5" s="2">
        <f t="shared" si="2"/>
        <v>0.18</v>
      </c>
      <c r="O5" s="2">
        <f t="shared" si="2"/>
        <v>0.2</v>
      </c>
      <c r="P5" s="2">
        <f t="shared" si="2"/>
        <v>0.18</v>
      </c>
      <c r="Q5" s="2">
        <f t="shared" si="2"/>
        <v>0.2</v>
      </c>
      <c r="R5" s="2">
        <f t="shared" si="2"/>
        <v>0.18</v>
      </c>
      <c r="S5" s="2">
        <f t="shared" si="2"/>
        <v>0.2</v>
      </c>
      <c r="T5" s="2">
        <f t="shared" si="2"/>
        <v>0.18</v>
      </c>
      <c r="U5" s="2">
        <f t="shared" si="2"/>
        <v>0.2</v>
      </c>
      <c r="V5" s="2">
        <f t="shared" si="2"/>
        <v>0.18</v>
      </c>
      <c r="W5" s="2">
        <f t="shared" si="2"/>
        <v>0.2</v>
      </c>
      <c r="X5" s="2">
        <f t="shared" si="2"/>
        <v>0.18</v>
      </c>
      <c r="Y5" s="2">
        <f t="shared" si="2"/>
        <v>0.2</v>
      </c>
      <c r="Z5" s="2">
        <f t="shared" si="2"/>
        <v>0.18</v>
      </c>
      <c r="AA5" s="2">
        <f t="shared" si="2"/>
        <v>0.2</v>
      </c>
      <c r="AB5" s="2">
        <f t="shared" si="2"/>
        <v>0.18</v>
      </c>
      <c r="AC5" s="2">
        <f t="shared" si="2"/>
        <v>0.2</v>
      </c>
      <c r="AD5" s="2">
        <f t="shared" si="2"/>
        <v>0.18</v>
      </c>
      <c r="AE5" s="2">
        <f t="shared" si="2"/>
        <v>0.2</v>
      </c>
      <c r="AF5" s="2">
        <f t="shared" si="2"/>
        <v>0.18</v>
      </c>
      <c r="AG5" s="2">
        <f t="shared" si="2"/>
        <v>0.2</v>
      </c>
      <c r="AH5" s="2">
        <f t="shared" si="2"/>
        <v>0.18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0.18</v>
      </c>
      <c r="E6" s="2">
        <f t="shared" si="3"/>
        <v>0.2</v>
      </c>
      <c r="F6" s="2">
        <f t="shared" si="4"/>
        <v>0.18</v>
      </c>
      <c r="G6" s="2">
        <f t="shared" si="5"/>
        <v>0.2</v>
      </c>
      <c r="H6" s="2">
        <f t="shared" si="2"/>
        <v>0.18</v>
      </c>
      <c r="I6" s="2">
        <f t="shared" si="2"/>
        <v>0.2</v>
      </c>
      <c r="J6" s="2">
        <f t="shared" si="2"/>
        <v>0.18</v>
      </c>
      <c r="K6" s="2">
        <f t="shared" si="2"/>
        <v>0.2</v>
      </c>
      <c r="L6" s="2">
        <f t="shared" si="2"/>
        <v>0.18</v>
      </c>
      <c r="M6" s="2">
        <f t="shared" si="2"/>
        <v>0.2</v>
      </c>
      <c r="N6" s="2">
        <f t="shared" si="2"/>
        <v>0.18</v>
      </c>
      <c r="O6" s="2">
        <f t="shared" si="2"/>
        <v>0.2</v>
      </c>
      <c r="P6" s="2">
        <f t="shared" si="2"/>
        <v>0.18</v>
      </c>
      <c r="Q6" s="2">
        <f t="shared" si="2"/>
        <v>0.2</v>
      </c>
      <c r="R6" s="2">
        <f t="shared" si="2"/>
        <v>0.18</v>
      </c>
      <c r="S6" s="2">
        <f t="shared" si="2"/>
        <v>0.2</v>
      </c>
      <c r="T6" s="2">
        <f t="shared" si="2"/>
        <v>0.18</v>
      </c>
      <c r="U6" s="2">
        <f t="shared" si="2"/>
        <v>0.2</v>
      </c>
      <c r="V6" s="2">
        <f t="shared" si="2"/>
        <v>0.18</v>
      </c>
      <c r="W6" s="2">
        <f t="shared" si="2"/>
        <v>0.2</v>
      </c>
      <c r="X6" s="2">
        <f t="shared" si="2"/>
        <v>0.18</v>
      </c>
      <c r="Y6" s="2">
        <f t="shared" si="2"/>
        <v>0.2</v>
      </c>
      <c r="Z6" s="2">
        <f t="shared" si="2"/>
        <v>0.18</v>
      </c>
      <c r="AA6" s="2">
        <f t="shared" si="2"/>
        <v>0.2</v>
      </c>
      <c r="AB6" s="2">
        <f t="shared" si="2"/>
        <v>0.18</v>
      </c>
      <c r="AC6" s="2">
        <f t="shared" si="2"/>
        <v>0.2</v>
      </c>
      <c r="AD6" s="2">
        <f t="shared" si="2"/>
        <v>0.18</v>
      </c>
      <c r="AE6" s="2">
        <f t="shared" si="2"/>
        <v>0.2</v>
      </c>
      <c r="AF6" s="2">
        <f t="shared" si="2"/>
        <v>0.18</v>
      </c>
      <c r="AG6" s="2">
        <f t="shared" si="2"/>
        <v>0.2</v>
      </c>
      <c r="AH6" s="2">
        <f t="shared" si="2"/>
        <v>0.18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0.18</v>
      </c>
      <c r="E7" s="2">
        <f t="shared" si="3"/>
        <v>0.2</v>
      </c>
      <c r="F7" s="2">
        <f t="shared" si="4"/>
        <v>0.18</v>
      </c>
      <c r="G7" s="2">
        <f t="shared" si="5"/>
        <v>0.2</v>
      </c>
      <c r="H7" s="2">
        <f t="shared" si="2"/>
        <v>0.18</v>
      </c>
      <c r="I7" s="2">
        <f t="shared" si="2"/>
        <v>0.2</v>
      </c>
      <c r="J7" s="2">
        <f t="shared" si="2"/>
        <v>0.18</v>
      </c>
      <c r="K7" s="2">
        <f t="shared" si="2"/>
        <v>0.2</v>
      </c>
      <c r="L7" s="2">
        <f t="shared" si="2"/>
        <v>0.18</v>
      </c>
      <c r="M7" s="2">
        <f t="shared" si="2"/>
        <v>0.2</v>
      </c>
      <c r="N7" s="2">
        <f t="shared" si="2"/>
        <v>0.18</v>
      </c>
      <c r="O7" s="2">
        <f t="shared" si="2"/>
        <v>0.2</v>
      </c>
      <c r="P7" s="2">
        <f t="shared" si="2"/>
        <v>0.18</v>
      </c>
      <c r="Q7" s="2">
        <f t="shared" si="2"/>
        <v>0.2</v>
      </c>
      <c r="R7" s="2">
        <f t="shared" si="2"/>
        <v>0.18</v>
      </c>
      <c r="S7" s="2">
        <f t="shared" si="2"/>
        <v>0.2</v>
      </c>
      <c r="T7" s="2">
        <f t="shared" si="2"/>
        <v>0.18</v>
      </c>
      <c r="U7" s="2">
        <f t="shared" si="2"/>
        <v>0.2</v>
      </c>
      <c r="V7" s="2">
        <f t="shared" si="2"/>
        <v>0.18</v>
      </c>
      <c r="W7" s="2">
        <f t="shared" si="2"/>
        <v>0.2</v>
      </c>
      <c r="X7" s="2">
        <f t="shared" si="2"/>
        <v>0.18</v>
      </c>
      <c r="Y7" s="2">
        <f t="shared" si="2"/>
        <v>0.2</v>
      </c>
      <c r="Z7" s="2">
        <f t="shared" si="2"/>
        <v>0.18</v>
      </c>
      <c r="AA7" s="2">
        <f t="shared" si="2"/>
        <v>0.2</v>
      </c>
      <c r="AB7" s="2">
        <f t="shared" si="2"/>
        <v>0.18</v>
      </c>
      <c r="AC7" s="2">
        <f t="shared" si="2"/>
        <v>0.2</v>
      </c>
      <c r="AD7" s="2">
        <f t="shared" si="2"/>
        <v>0.18</v>
      </c>
      <c r="AE7" s="2">
        <f t="shared" si="2"/>
        <v>0.2</v>
      </c>
      <c r="AF7" s="2">
        <f t="shared" si="2"/>
        <v>0.18</v>
      </c>
      <c r="AG7" s="2">
        <f t="shared" si="2"/>
        <v>0.2</v>
      </c>
      <c r="AH7" s="2">
        <f t="shared" si="2"/>
        <v>0.18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0.18</v>
      </c>
      <c r="E8" s="2">
        <f t="shared" si="3"/>
        <v>0.2</v>
      </c>
      <c r="F8" s="2">
        <f t="shared" si="4"/>
        <v>0.18</v>
      </c>
      <c r="G8" s="2">
        <f t="shared" si="5"/>
        <v>0.2</v>
      </c>
      <c r="H8" s="2">
        <f t="shared" si="2"/>
        <v>0.18</v>
      </c>
      <c r="I8" s="2">
        <f t="shared" si="2"/>
        <v>0.2</v>
      </c>
      <c r="J8" s="2">
        <f t="shared" si="2"/>
        <v>0.18</v>
      </c>
      <c r="K8" s="2">
        <f t="shared" si="2"/>
        <v>0.2</v>
      </c>
      <c r="L8" s="2">
        <f t="shared" si="2"/>
        <v>0.18</v>
      </c>
      <c r="M8" s="2">
        <f t="shared" si="2"/>
        <v>0.2</v>
      </c>
      <c r="N8" s="2">
        <f t="shared" si="2"/>
        <v>0.18</v>
      </c>
      <c r="O8" s="2">
        <f t="shared" si="2"/>
        <v>0.2</v>
      </c>
      <c r="P8" s="2">
        <f t="shared" si="2"/>
        <v>0.18</v>
      </c>
      <c r="Q8" s="2">
        <f t="shared" si="2"/>
        <v>0.2</v>
      </c>
      <c r="R8" s="2">
        <f t="shared" si="2"/>
        <v>0.18</v>
      </c>
      <c r="S8" s="2">
        <f t="shared" si="2"/>
        <v>0.2</v>
      </c>
      <c r="T8" s="2">
        <f t="shared" si="2"/>
        <v>0.18</v>
      </c>
      <c r="U8" s="2">
        <f t="shared" si="2"/>
        <v>0.2</v>
      </c>
      <c r="V8" s="2">
        <f t="shared" si="2"/>
        <v>0.18</v>
      </c>
      <c r="W8" s="2">
        <f t="shared" si="2"/>
        <v>0.2</v>
      </c>
      <c r="X8" s="2">
        <f t="shared" si="2"/>
        <v>0.18</v>
      </c>
      <c r="Y8" s="2">
        <f t="shared" si="2"/>
        <v>0.2</v>
      </c>
      <c r="Z8" s="2">
        <f t="shared" si="2"/>
        <v>0.18</v>
      </c>
      <c r="AA8" s="2">
        <f t="shared" si="2"/>
        <v>0.2</v>
      </c>
      <c r="AB8" s="2">
        <f t="shared" si="2"/>
        <v>0.18</v>
      </c>
      <c r="AC8" s="2">
        <f t="shared" si="2"/>
        <v>0.2</v>
      </c>
      <c r="AD8" s="2">
        <f t="shared" si="2"/>
        <v>0.18</v>
      </c>
      <c r="AE8" s="2">
        <f t="shared" si="2"/>
        <v>0.2</v>
      </c>
      <c r="AF8" s="2">
        <f t="shared" si="2"/>
        <v>0.18</v>
      </c>
      <c r="AG8" s="2">
        <f t="shared" si="2"/>
        <v>0.2</v>
      </c>
      <c r="AH8" s="2">
        <f t="shared" si="2"/>
        <v>0.18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0.18</v>
      </c>
      <c r="E9" s="2">
        <f t="shared" si="3"/>
        <v>0.2</v>
      </c>
      <c r="F9" s="2">
        <f t="shared" si="4"/>
        <v>0.18</v>
      </c>
      <c r="G9" s="2">
        <f t="shared" si="5"/>
        <v>0.2</v>
      </c>
      <c r="H9" s="2">
        <f t="shared" si="2"/>
        <v>0.18</v>
      </c>
      <c r="I9" s="2">
        <f t="shared" si="2"/>
        <v>0.2</v>
      </c>
      <c r="J9" s="2">
        <f t="shared" si="2"/>
        <v>0.18</v>
      </c>
      <c r="K9" s="2">
        <f t="shared" si="2"/>
        <v>0.2</v>
      </c>
      <c r="L9" s="2">
        <f t="shared" si="2"/>
        <v>0.18</v>
      </c>
      <c r="M9" s="2">
        <f t="shared" si="2"/>
        <v>0.2</v>
      </c>
      <c r="N9" s="2">
        <f t="shared" si="2"/>
        <v>0.18</v>
      </c>
      <c r="O9" s="2">
        <f t="shared" si="2"/>
        <v>0.2</v>
      </c>
      <c r="P9" s="2">
        <f t="shared" si="2"/>
        <v>0.18</v>
      </c>
      <c r="Q9" s="2">
        <f t="shared" si="2"/>
        <v>0.2</v>
      </c>
      <c r="R9" s="2">
        <f t="shared" si="2"/>
        <v>0.18</v>
      </c>
      <c r="S9" s="2">
        <f t="shared" si="2"/>
        <v>0.2</v>
      </c>
      <c r="T9" s="2">
        <f t="shared" si="2"/>
        <v>0.18</v>
      </c>
      <c r="U9" s="2">
        <f t="shared" si="2"/>
        <v>0.2</v>
      </c>
      <c r="V9" s="2">
        <f t="shared" si="2"/>
        <v>0.18</v>
      </c>
      <c r="W9" s="2">
        <f t="shared" si="2"/>
        <v>0.2</v>
      </c>
      <c r="X9" s="2">
        <f t="shared" si="2"/>
        <v>0.18</v>
      </c>
      <c r="Y9" s="2">
        <f t="shared" si="2"/>
        <v>0.2</v>
      </c>
      <c r="Z9" s="2">
        <f t="shared" si="2"/>
        <v>0.18</v>
      </c>
      <c r="AA9" s="2">
        <f t="shared" si="2"/>
        <v>0.2</v>
      </c>
      <c r="AB9" s="2">
        <f t="shared" si="2"/>
        <v>0.18</v>
      </c>
      <c r="AC9" s="2">
        <f t="shared" si="2"/>
        <v>0.2</v>
      </c>
      <c r="AD9" s="2">
        <f t="shared" si="2"/>
        <v>0.18</v>
      </c>
      <c r="AE9" s="2">
        <f t="shared" si="2"/>
        <v>0.2</v>
      </c>
      <c r="AF9" s="2">
        <f t="shared" si="2"/>
        <v>0.18</v>
      </c>
      <c r="AG9" s="2">
        <f t="shared" si="2"/>
        <v>0.2</v>
      </c>
      <c r="AH9" s="2">
        <f t="shared" si="2"/>
        <v>0.18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0.18</v>
      </c>
      <c r="E10" s="2">
        <f t="shared" si="3"/>
        <v>0.2</v>
      </c>
      <c r="F10" s="2">
        <f t="shared" si="4"/>
        <v>0.18</v>
      </c>
      <c r="G10" s="2">
        <f t="shared" si="5"/>
        <v>0.2</v>
      </c>
      <c r="H10" s="2">
        <f t="shared" si="2"/>
        <v>0.18</v>
      </c>
      <c r="I10" s="2">
        <f t="shared" si="2"/>
        <v>0.2</v>
      </c>
      <c r="J10" s="2">
        <f t="shared" si="2"/>
        <v>0.18</v>
      </c>
      <c r="K10" s="2">
        <f t="shared" si="2"/>
        <v>0.2</v>
      </c>
      <c r="L10" s="2">
        <f t="shared" si="2"/>
        <v>0.18</v>
      </c>
      <c r="M10" s="2">
        <f t="shared" si="2"/>
        <v>0.2</v>
      </c>
      <c r="N10" s="2">
        <f t="shared" si="2"/>
        <v>0.18</v>
      </c>
      <c r="O10" s="2">
        <f t="shared" si="2"/>
        <v>0.2</v>
      </c>
      <c r="P10" s="2">
        <f t="shared" si="2"/>
        <v>0.18</v>
      </c>
      <c r="Q10" s="2">
        <f t="shared" si="2"/>
        <v>0.2</v>
      </c>
      <c r="R10" s="2">
        <f t="shared" si="2"/>
        <v>0.18</v>
      </c>
      <c r="S10" s="2">
        <f t="shared" si="2"/>
        <v>0.2</v>
      </c>
      <c r="T10" s="2">
        <f t="shared" si="2"/>
        <v>0.18</v>
      </c>
      <c r="U10" s="2">
        <f t="shared" si="2"/>
        <v>0.2</v>
      </c>
      <c r="V10" s="2">
        <f t="shared" si="2"/>
        <v>0.18</v>
      </c>
      <c r="W10" s="2">
        <f t="shared" si="2"/>
        <v>0.2</v>
      </c>
      <c r="X10" s="2">
        <f t="shared" si="2"/>
        <v>0.18</v>
      </c>
      <c r="Y10" s="2">
        <f t="shared" si="2"/>
        <v>0.2</v>
      </c>
      <c r="Z10" s="2">
        <f t="shared" si="2"/>
        <v>0.18</v>
      </c>
      <c r="AA10" s="2">
        <f t="shared" si="2"/>
        <v>0.2</v>
      </c>
      <c r="AB10" s="2">
        <f t="shared" si="2"/>
        <v>0.18</v>
      </c>
      <c r="AC10" s="2">
        <f t="shared" si="2"/>
        <v>0.2</v>
      </c>
      <c r="AD10" s="2">
        <f t="shared" si="2"/>
        <v>0.18</v>
      </c>
      <c r="AE10" s="2">
        <f t="shared" si="2"/>
        <v>0.2</v>
      </c>
      <c r="AF10" s="2">
        <f t="shared" si="2"/>
        <v>0.18</v>
      </c>
      <c r="AG10" s="2">
        <f t="shared" si="2"/>
        <v>0.2</v>
      </c>
      <c r="AH10" s="2">
        <f t="shared" si="2"/>
        <v>0.18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0.18</v>
      </c>
      <c r="E11" s="2">
        <f t="shared" si="3"/>
        <v>0.2</v>
      </c>
      <c r="F11" s="2">
        <f t="shared" si="4"/>
        <v>0.18</v>
      </c>
      <c r="G11" s="2">
        <f t="shared" si="5"/>
        <v>0.2</v>
      </c>
      <c r="H11" s="2">
        <f t="shared" si="2"/>
        <v>0.18</v>
      </c>
      <c r="I11" s="2">
        <f t="shared" si="2"/>
        <v>0.2</v>
      </c>
      <c r="J11" s="2">
        <f t="shared" si="2"/>
        <v>0.18</v>
      </c>
      <c r="K11" s="2">
        <f t="shared" si="2"/>
        <v>0.2</v>
      </c>
      <c r="L11" s="2">
        <f t="shared" si="2"/>
        <v>0.18</v>
      </c>
      <c r="M11" s="2">
        <f t="shared" si="2"/>
        <v>0.2</v>
      </c>
      <c r="N11" s="2">
        <f t="shared" si="2"/>
        <v>0.18</v>
      </c>
      <c r="O11" s="2">
        <f t="shared" si="2"/>
        <v>0.2</v>
      </c>
      <c r="P11" s="2">
        <f t="shared" si="2"/>
        <v>0.18</v>
      </c>
      <c r="Q11" s="2">
        <f t="shared" si="2"/>
        <v>0.2</v>
      </c>
      <c r="R11" s="2">
        <f t="shared" si="2"/>
        <v>0.18</v>
      </c>
      <c r="S11" s="2">
        <f t="shared" si="2"/>
        <v>0.2</v>
      </c>
      <c r="T11" s="2">
        <f t="shared" si="2"/>
        <v>0.18</v>
      </c>
      <c r="U11" s="2">
        <f t="shared" si="2"/>
        <v>0.2</v>
      </c>
      <c r="V11" s="2">
        <f t="shared" si="2"/>
        <v>0.18</v>
      </c>
      <c r="W11" s="2">
        <f t="shared" si="2"/>
        <v>0.2</v>
      </c>
      <c r="X11" s="2">
        <f t="shared" si="2"/>
        <v>0.18</v>
      </c>
      <c r="Y11" s="2">
        <f t="shared" si="2"/>
        <v>0.2</v>
      </c>
      <c r="Z11" s="2">
        <f t="shared" si="2"/>
        <v>0.18</v>
      </c>
      <c r="AA11" s="2">
        <f t="shared" si="2"/>
        <v>0.2</v>
      </c>
      <c r="AB11" s="2">
        <f t="shared" si="2"/>
        <v>0.18</v>
      </c>
      <c r="AC11" s="2">
        <f t="shared" si="2"/>
        <v>0.2</v>
      </c>
      <c r="AD11" s="2">
        <f t="shared" si="2"/>
        <v>0.18</v>
      </c>
      <c r="AE11" s="2">
        <f t="shared" si="2"/>
        <v>0.2</v>
      </c>
      <c r="AF11" s="2">
        <f t="shared" si="2"/>
        <v>0.18</v>
      </c>
      <c r="AG11" s="2">
        <f t="shared" si="2"/>
        <v>0.2</v>
      </c>
      <c r="AH11" s="2">
        <f t="shared" si="2"/>
        <v>0.18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0.18</v>
      </c>
      <c r="E12" s="2">
        <f t="shared" si="3"/>
        <v>0.2</v>
      </c>
      <c r="F12" s="2">
        <f t="shared" si="4"/>
        <v>0.18</v>
      </c>
      <c r="G12" s="2">
        <f t="shared" si="5"/>
        <v>0.2</v>
      </c>
      <c r="H12" s="2">
        <f t="shared" si="2"/>
        <v>0.18</v>
      </c>
      <c r="I12" s="2">
        <f t="shared" si="2"/>
        <v>0.2</v>
      </c>
      <c r="J12" s="2">
        <f t="shared" si="2"/>
        <v>0.18</v>
      </c>
      <c r="K12" s="2">
        <f t="shared" si="2"/>
        <v>0.2</v>
      </c>
      <c r="L12" s="2">
        <f t="shared" si="2"/>
        <v>0.18</v>
      </c>
      <c r="M12" s="2">
        <f t="shared" si="2"/>
        <v>0.2</v>
      </c>
      <c r="N12" s="2">
        <f t="shared" si="2"/>
        <v>0.18</v>
      </c>
      <c r="O12" s="2">
        <f t="shared" si="2"/>
        <v>0.2</v>
      </c>
      <c r="P12" s="2">
        <f t="shared" si="2"/>
        <v>0.18</v>
      </c>
      <c r="Q12" s="2">
        <f t="shared" si="2"/>
        <v>0.2</v>
      </c>
      <c r="R12" s="2">
        <f t="shared" si="2"/>
        <v>0.18</v>
      </c>
      <c r="S12" s="2">
        <f t="shared" si="2"/>
        <v>0.2</v>
      </c>
      <c r="T12" s="2">
        <f t="shared" ref="T12:T68" si="6">R12</f>
        <v>0.18</v>
      </c>
      <c r="U12" s="2">
        <f t="shared" ref="U12:U68" si="7">S12</f>
        <v>0.2</v>
      </c>
      <c r="V12" s="2">
        <f t="shared" ref="V12:V68" si="8">T12</f>
        <v>0.18</v>
      </c>
      <c r="W12" s="2">
        <f t="shared" ref="W12:W68" si="9">U12</f>
        <v>0.2</v>
      </c>
      <c r="X12" s="2">
        <f t="shared" ref="X12:X68" si="10">V12</f>
        <v>0.18</v>
      </c>
      <c r="Y12" s="2">
        <f t="shared" ref="Y12:Y68" si="11">W12</f>
        <v>0.2</v>
      </c>
      <c r="Z12" s="2">
        <f t="shared" ref="Z12:Z68" si="12">X12</f>
        <v>0.18</v>
      </c>
      <c r="AA12" s="2">
        <f t="shared" ref="AA12:AA68" si="13">Y12</f>
        <v>0.2</v>
      </c>
      <c r="AB12" s="2">
        <f t="shared" ref="AB12:AB68" si="14">Z12</f>
        <v>0.18</v>
      </c>
      <c r="AC12" s="2">
        <f t="shared" ref="AC12:AC68" si="15">AA12</f>
        <v>0.2</v>
      </c>
      <c r="AD12" s="2">
        <f t="shared" ref="AD12:AD68" si="16">AB12</f>
        <v>0.18</v>
      </c>
      <c r="AE12" s="2">
        <f t="shared" ref="AE12:AE68" si="17">AC12</f>
        <v>0.2</v>
      </c>
      <c r="AF12" s="2">
        <f t="shared" ref="AF12:AF68" si="18">AD12</f>
        <v>0.18</v>
      </c>
      <c r="AG12" s="2">
        <f t="shared" ref="AG12:AG68" si="19">AE12</f>
        <v>0.2</v>
      </c>
      <c r="AH12" s="2">
        <f t="shared" ref="AH12:AH68" si="20">AF12</f>
        <v>0.18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0.18</v>
      </c>
      <c r="E13" s="2">
        <f t="shared" si="3"/>
        <v>0.2</v>
      </c>
      <c r="F13" s="2">
        <f t="shared" si="4"/>
        <v>0.18</v>
      </c>
      <c r="G13" s="2">
        <f t="shared" si="5"/>
        <v>0.2</v>
      </c>
      <c r="H13" s="2">
        <f t="shared" ref="H13:H68" si="21">F13</f>
        <v>0.18</v>
      </c>
      <c r="I13" s="2">
        <f t="shared" ref="I13:I68" si="22">G13</f>
        <v>0.2</v>
      </c>
      <c r="J13" s="2">
        <f t="shared" ref="J13:J68" si="23">H13</f>
        <v>0.18</v>
      </c>
      <c r="K13" s="2">
        <f t="shared" ref="K13:K68" si="24">I13</f>
        <v>0.2</v>
      </c>
      <c r="L13" s="2">
        <f t="shared" ref="L13:L68" si="25">J13</f>
        <v>0.18</v>
      </c>
      <c r="M13" s="2">
        <f t="shared" ref="M13:M68" si="26">K13</f>
        <v>0.2</v>
      </c>
      <c r="N13" s="2">
        <f t="shared" ref="N13:N68" si="27">L13</f>
        <v>0.18</v>
      </c>
      <c r="O13" s="2">
        <f t="shared" ref="O13:O68" si="28">M13</f>
        <v>0.2</v>
      </c>
      <c r="P13" s="2">
        <f t="shared" ref="P13:P68" si="29">N13</f>
        <v>0.18</v>
      </c>
      <c r="Q13" s="2">
        <f t="shared" ref="Q13:Q68" si="30">O13</f>
        <v>0.2</v>
      </c>
      <c r="R13" s="2">
        <f t="shared" ref="R13:R68" si="31">P13</f>
        <v>0.18</v>
      </c>
      <c r="S13" s="2">
        <f t="shared" ref="S13:S68" si="32">Q13</f>
        <v>0.2</v>
      </c>
      <c r="T13" s="2">
        <f t="shared" si="6"/>
        <v>0.18</v>
      </c>
      <c r="U13" s="2">
        <f t="shared" si="7"/>
        <v>0.2</v>
      </c>
      <c r="V13" s="2">
        <f t="shared" si="8"/>
        <v>0.18</v>
      </c>
      <c r="W13" s="2">
        <f t="shared" si="9"/>
        <v>0.2</v>
      </c>
      <c r="X13" s="2">
        <f t="shared" si="10"/>
        <v>0.18</v>
      </c>
      <c r="Y13" s="2">
        <f t="shared" si="11"/>
        <v>0.2</v>
      </c>
      <c r="Z13" s="2">
        <f t="shared" si="12"/>
        <v>0.18</v>
      </c>
      <c r="AA13" s="2">
        <f t="shared" si="13"/>
        <v>0.2</v>
      </c>
      <c r="AB13" s="2">
        <f t="shared" si="14"/>
        <v>0.18</v>
      </c>
      <c r="AC13" s="2">
        <f t="shared" si="15"/>
        <v>0.2</v>
      </c>
      <c r="AD13" s="2">
        <f t="shared" si="16"/>
        <v>0.18</v>
      </c>
      <c r="AE13" s="2">
        <f t="shared" si="17"/>
        <v>0.2</v>
      </c>
      <c r="AF13" s="2">
        <f t="shared" si="18"/>
        <v>0.18</v>
      </c>
      <c r="AG13" s="2">
        <f t="shared" si="19"/>
        <v>0.2</v>
      </c>
      <c r="AH13" s="2">
        <f t="shared" si="20"/>
        <v>0.18</v>
      </c>
    </row>
    <row r="14" spans="1:34">
      <c r="A14" t="str">
        <f t="shared" ref="A14:A45" si="33">INDEX(Food,MATCH(A3,Food,0)+1)</f>
        <v>Sorghum</v>
      </c>
      <c r="B14" t="str">
        <f>B3</f>
        <v>AddisAbaba</v>
      </c>
      <c r="C14" s="2">
        <v>0.2</v>
      </c>
      <c r="D14" s="2">
        <v>0.18</v>
      </c>
      <c r="E14" s="2">
        <f t="shared" si="3"/>
        <v>0.2</v>
      </c>
      <c r="F14" s="2">
        <f t="shared" si="4"/>
        <v>0.18</v>
      </c>
      <c r="G14" s="2">
        <f t="shared" si="5"/>
        <v>0.2</v>
      </c>
      <c r="H14" s="2">
        <f t="shared" si="21"/>
        <v>0.18</v>
      </c>
      <c r="I14" s="2">
        <f t="shared" si="22"/>
        <v>0.2</v>
      </c>
      <c r="J14" s="2">
        <f t="shared" si="23"/>
        <v>0.18</v>
      </c>
      <c r="K14" s="2">
        <f t="shared" si="24"/>
        <v>0.2</v>
      </c>
      <c r="L14" s="2">
        <f t="shared" si="25"/>
        <v>0.18</v>
      </c>
      <c r="M14" s="2">
        <f t="shared" si="26"/>
        <v>0.2</v>
      </c>
      <c r="N14" s="2">
        <f t="shared" si="27"/>
        <v>0.18</v>
      </c>
      <c r="O14" s="2">
        <f t="shared" si="28"/>
        <v>0.2</v>
      </c>
      <c r="P14" s="2">
        <f t="shared" si="29"/>
        <v>0.18</v>
      </c>
      <c r="Q14" s="2">
        <f t="shared" si="30"/>
        <v>0.2</v>
      </c>
      <c r="R14" s="2">
        <f t="shared" si="31"/>
        <v>0.18</v>
      </c>
      <c r="S14" s="2">
        <f t="shared" si="32"/>
        <v>0.2</v>
      </c>
      <c r="T14" s="2">
        <f t="shared" si="6"/>
        <v>0.18</v>
      </c>
      <c r="U14" s="2">
        <f t="shared" si="7"/>
        <v>0.2</v>
      </c>
      <c r="V14" s="2">
        <f t="shared" si="8"/>
        <v>0.18</v>
      </c>
      <c r="W14" s="2">
        <f t="shared" si="9"/>
        <v>0.2</v>
      </c>
      <c r="X14" s="2">
        <f t="shared" si="10"/>
        <v>0.18</v>
      </c>
      <c r="Y14" s="2">
        <f t="shared" si="11"/>
        <v>0.2</v>
      </c>
      <c r="Z14" s="2">
        <f t="shared" si="12"/>
        <v>0.18</v>
      </c>
      <c r="AA14" s="2">
        <f t="shared" si="13"/>
        <v>0.2</v>
      </c>
      <c r="AB14" s="2">
        <f t="shared" si="14"/>
        <v>0.18</v>
      </c>
      <c r="AC14" s="2">
        <f t="shared" si="15"/>
        <v>0.2</v>
      </c>
      <c r="AD14" s="2">
        <f t="shared" si="16"/>
        <v>0.18</v>
      </c>
      <c r="AE14" s="2">
        <f t="shared" si="17"/>
        <v>0.2</v>
      </c>
      <c r="AF14" s="2">
        <f t="shared" si="18"/>
        <v>0.18</v>
      </c>
      <c r="AG14" s="2">
        <f t="shared" si="19"/>
        <v>0.2</v>
      </c>
      <c r="AH14" s="2">
        <f t="shared" si="20"/>
        <v>0.18</v>
      </c>
    </row>
    <row r="15" spans="1:34">
      <c r="A15" t="str">
        <f t="shared" si="33"/>
        <v>Sorghum</v>
      </c>
      <c r="B15" t="str">
        <f t="shared" ref="B15:B68" si="34">B4</f>
        <v>Afar</v>
      </c>
      <c r="C15" s="2">
        <v>0.2</v>
      </c>
      <c r="D15" s="2">
        <v>0.18</v>
      </c>
      <c r="E15" s="2">
        <f t="shared" si="3"/>
        <v>0.2</v>
      </c>
      <c r="F15" s="2">
        <f t="shared" si="4"/>
        <v>0.18</v>
      </c>
      <c r="G15" s="2">
        <f t="shared" si="5"/>
        <v>0.2</v>
      </c>
      <c r="H15" s="2">
        <f t="shared" si="21"/>
        <v>0.18</v>
      </c>
      <c r="I15" s="2">
        <f t="shared" si="22"/>
        <v>0.2</v>
      </c>
      <c r="J15" s="2">
        <f t="shared" si="23"/>
        <v>0.18</v>
      </c>
      <c r="K15" s="2">
        <f t="shared" si="24"/>
        <v>0.2</v>
      </c>
      <c r="L15" s="2">
        <f t="shared" si="25"/>
        <v>0.18</v>
      </c>
      <c r="M15" s="2">
        <f t="shared" si="26"/>
        <v>0.2</v>
      </c>
      <c r="N15" s="2">
        <f t="shared" si="27"/>
        <v>0.18</v>
      </c>
      <c r="O15" s="2">
        <f t="shared" si="28"/>
        <v>0.2</v>
      </c>
      <c r="P15" s="2">
        <f t="shared" si="29"/>
        <v>0.18</v>
      </c>
      <c r="Q15" s="2">
        <f t="shared" si="30"/>
        <v>0.2</v>
      </c>
      <c r="R15" s="2">
        <f t="shared" si="31"/>
        <v>0.18</v>
      </c>
      <c r="S15" s="2">
        <f t="shared" si="32"/>
        <v>0.2</v>
      </c>
      <c r="T15" s="2">
        <f t="shared" si="6"/>
        <v>0.18</v>
      </c>
      <c r="U15" s="2">
        <f t="shared" si="7"/>
        <v>0.2</v>
      </c>
      <c r="V15" s="2">
        <f t="shared" si="8"/>
        <v>0.18</v>
      </c>
      <c r="W15" s="2">
        <f t="shared" si="9"/>
        <v>0.2</v>
      </c>
      <c r="X15" s="2">
        <f t="shared" si="10"/>
        <v>0.18</v>
      </c>
      <c r="Y15" s="2">
        <f t="shared" si="11"/>
        <v>0.2</v>
      </c>
      <c r="Z15" s="2">
        <f t="shared" si="12"/>
        <v>0.18</v>
      </c>
      <c r="AA15" s="2">
        <f t="shared" si="13"/>
        <v>0.2</v>
      </c>
      <c r="AB15" s="2">
        <f t="shared" si="14"/>
        <v>0.18</v>
      </c>
      <c r="AC15" s="2">
        <f t="shared" si="15"/>
        <v>0.2</v>
      </c>
      <c r="AD15" s="2">
        <f t="shared" si="16"/>
        <v>0.18</v>
      </c>
      <c r="AE15" s="2">
        <f t="shared" si="17"/>
        <v>0.2</v>
      </c>
      <c r="AF15" s="2">
        <f t="shared" si="18"/>
        <v>0.18</v>
      </c>
      <c r="AG15" s="2">
        <f t="shared" si="19"/>
        <v>0.2</v>
      </c>
      <c r="AH15" s="2">
        <f t="shared" si="20"/>
        <v>0.18</v>
      </c>
    </row>
    <row r="16" spans="1:34">
      <c r="A16" t="str">
        <f t="shared" si="33"/>
        <v>Sorghum</v>
      </c>
      <c r="B16" t="str">
        <f t="shared" si="34"/>
        <v>Amhara</v>
      </c>
      <c r="C16" s="2">
        <v>0.2</v>
      </c>
      <c r="D16" s="2">
        <v>0.18</v>
      </c>
      <c r="E16" s="2">
        <f t="shared" si="3"/>
        <v>0.2</v>
      </c>
      <c r="F16" s="2">
        <f t="shared" si="4"/>
        <v>0.18</v>
      </c>
      <c r="G16" s="2">
        <f t="shared" si="5"/>
        <v>0.2</v>
      </c>
      <c r="H16" s="2">
        <f t="shared" si="21"/>
        <v>0.18</v>
      </c>
      <c r="I16" s="2">
        <f t="shared" si="22"/>
        <v>0.2</v>
      </c>
      <c r="J16" s="2">
        <f t="shared" si="23"/>
        <v>0.18</v>
      </c>
      <c r="K16" s="2">
        <f t="shared" si="24"/>
        <v>0.2</v>
      </c>
      <c r="L16" s="2">
        <f t="shared" si="25"/>
        <v>0.18</v>
      </c>
      <c r="M16" s="2">
        <f t="shared" si="26"/>
        <v>0.2</v>
      </c>
      <c r="N16" s="2">
        <f t="shared" si="27"/>
        <v>0.18</v>
      </c>
      <c r="O16" s="2">
        <f t="shared" si="28"/>
        <v>0.2</v>
      </c>
      <c r="P16" s="2">
        <f t="shared" si="29"/>
        <v>0.18</v>
      </c>
      <c r="Q16" s="2">
        <f t="shared" si="30"/>
        <v>0.2</v>
      </c>
      <c r="R16" s="2">
        <f t="shared" si="31"/>
        <v>0.18</v>
      </c>
      <c r="S16" s="2">
        <f t="shared" si="32"/>
        <v>0.2</v>
      </c>
      <c r="T16" s="2">
        <f t="shared" si="6"/>
        <v>0.18</v>
      </c>
      <c r="U16" s="2">
        <f t="shared" si="7"/>
        <v>0.2</v>
      </c>
      <c r="V16" s="2">
        <f t="shared" si="8"/>
        <v>0.18</v>
      </c>
      <c r="W16" s="2">
        <f t="shared" si="9"/>
        <v>0.2</v>
      </c>
      <c r="X16" s="2">
        <f t="shared" si="10"/>
        <v>0.18</v>
      </c>
      <c r="Y16" s="2">
        <f t="shared" si="11"/>
        <v>0.2</v>
      </c>
      <c r="Z16" s="2">
        <f t="shared" si="12"/>
        <v>0.18</v>
      </c>
      <c r="AA16" s="2">
        <f t="shared" si="13"/>
        <v>0.2</v>
      </c>
      <c r="AB16" s="2">
        <f t="shared" si="14"/>
        <v>0.18</v>
      </c>
      <c r="AC16" s="2">
        <f t="shared" si="15"/>
        <v>0.2</v>
      </c>
      <c r="AD16" s="2">
        <f t="shared" si="16"/>
        <v>0.18</v>
      </c>
      <c r="AE16" s="2">
        <f t="shared" si="17"/>
        <v>0.2</v>
      </c>
      <c r="AF16" s="2">
        <f t="shared" si="18"/>
        <v>0.18</v>
      </c>
      <c r="AG16" s="2">
        <f t="shared" si="19"/>
        <v>0.2</v>
      </c>
      <c r="AH16" s="2">
        <f t="shared" si="20"/>
        <v>0.18</v>
      </c>
    </row>
    <row r="17" spans="1:34">
      <c r="A17" t="str">
        <f t="shared" si="33"/>
        <v>Sorghum</v>
      </c>
      <c r="B17" t="str">
        <f t="shared" si="34"/>
        <v>Gumuz</v>
      </c>
      <c r="C17" s="2">
        <v>0.2</v>
      </c>
      <c r="D17" s="2">
        <v>0.18</v>
      </c>
      <c r="E17" s="2">
        <f t="shared" si="3"/>
        <v>0.2</v>
      </c>
      <c r="F17" s="2">
        <f t="shared" si="4"/>
        <v>0.18</v>
      </c>
      <c r="G17" s="2">
        <f t="shared" si="5"/>
        <v>0.2</v>
      </c>
      <c r="H17" s="2">
        <f t="shared" si="21"/>
        <v>0.18</v>
      </c>
      <c r="I17" s="2">
        <f t="shared" si="22"/>
        <v>0.2</v>
      </c>
      <c r="J17" s="2">
        <f t="shared" si="23"/>
        <v>0.18</v>
      </c>
      <c r="K17" s="2">
        <f t="shared" si="24"/>
        <v>0.2</v>
      </c>
      <c r="L17" s="2">
        <f t="shared" si="25"/>
        <v>0.18</v>
      </c>
      <c r="M17" s="2">
        <f t="shared" si="26"/>
        <v>0.2</v>
      </c>
      <c r="N17" s="2">
        <f t="shared" si="27"/>
        <v>0.18</v>
      </c>
      <c r="O17" s="2">
        <f t="shared" si="28"/>
        <v>0.2</v>
      </c>
      <c r="P17" s="2">
        <f t="shared" si="29"/>
        <v>0.18</v>
      </c>
      <c r="Q17" s="2">
        <f t="shared" si="30"/>
        <v>0.2</v>
      </c>
      <c r="R17" s="2">
        <f t="shared" si="31"/>
        <v>0.18</v>
      </c>
      <c r="S17" s="2">
        <f t="shared" si="32"/>
        <v>0.2</v>
      </c>
      <c r="T17" s="2">
        <f t="shared" si="6"/>
        <v>0.18</v>
      </c>
      <c r="U17" s="2">
        <f t="shared" si="7"/>
        <v>0.2</v>
      </c>
      <c r="V17" s="2">
        <f t="shared" si="8"/>
        <v>0.18</v>
      </c>
      <c r="W17" s="2">
        <f t="shared" si="9"/>
        <v>0.2</v>
      </c>
      <c r="X17" s="2">
        <f t="shared" si="10"/>
        <v>0.18</v>
      </c>
      <c r="Y17" s="2">
        <f t="shared" si="11"/>
        <v>0.2</v>
      </c>
      <c r="Z17" s="2">
        <f t="shared" si="12"/>
        <v>0.18</v>
      </c>
      <c r="AA17" s="2">
        <f t="shared" si="13"/>
        <v>0.2</v>
      </c>
      <c r="AB17" s="2">
        <f t="shared" si="14"/>
        <v>0.18</v>
      </c>
      <c r="AC17" s="2">
        <f t="shared" si="15"/>
        <v>0.2</v>
      </c>
      <c r="AD17" s="2">
        <f t="shared" si="16"/>
        <v>0.18</v>
      </c>
      <c r="AE17" s="2">
        <f t="shared" si="17"/>
        <v>0.2</v>
      </c>
      <c r="AF17" s="2">
        <f t="shared" si="18"/>
        <v>0.18</v>
      </c>
      <c r="AG17" s="2">
        <f t="shared" si="19"/>
        <v>0.2</v>
      </c>
      <c r="AH17" s="2">
        <f t="shared" si="20"/>
        <v>0.18</v>
      </c>
    </row>
    <row r="18" spans="1:34">
      <c r="A18" t="str">
        <f t="shared" si="33"/>
        <v>Sorghum</v>
      </c>
      <c r="B18" t="str">
        <f t="shared" si="34"/>
        <v>DireDawa</v>
      </c>
      <c r="C18" s="2">
        <v>0.2</v>
      </c>
      <c r="D18" s="2">
        <v>0.18</v>
      </c>
      <c r="E18" s="2">
        <f t="shared" si="3"/>
        <v>0.2</v>
      </c>
      <c r="F18" s="2">
        <f t="shared" si="4"/>
        <v>0.18</v>
      </c>
      <c r="G18" s="2">
        <f t="shared" si="5"/>
        <v>0.2</v>
      </c>
      <c r="H18" s="2">
        <f t="shared" si="21"/>
        <v>0.18</v>
      </c>
      <c r="I18" s="2">
        <f t="shared" si="22"/>
        <v>0.2</v>
      </c>
      <c r="J18" s="2">
        <f t="shared" si="23"/>
        <v>0.18</v>
      </c>
      <c r="K18" s="2">
        <f t="shared" si="24"/>
        <v>0.2</v>
      </c>
      <c r="L18" s="2">
        <f t="shared" si="25"/>
        <v>0.18</v>
      </c>
      <c r="M18" s="2">
        <f t="shared" si="26"/>
        <v>0.2</v>
      </c>
      <c r="N18" s="2">
        <f t="shared" si="27"/>
        <v>0.18</v>
      </c>
      <c r="O18" s="2">
        <f t="shared" si="28"/>
        <v>0.2</v>
      </c>
      <c r="P18" s="2">
        <f t="shared" si="29"/>
        <v>0.18</v>
      </c>
      <c r="Q18" s="2">
        <f t="shared" si="30"/>
        <v>0.2</v>
      </c>
      <c r="R18" s="2">
        <f t="shared" si="31"/>
        <v>0.18</v>
      </c>
      <c r="S18" s="2">
        <f t="shared" si="32"/>
        <v>0.2</v>
      </c>
      <c r="T18" s="2">
        <f t="shared" si="6"/>
        <v>0.18</v>
      </c>
      <c r="U18" s="2">
        <f t="shared" si="7"/>
        <v>0.2</v>
      </c>
      <c r="V18" s="2">
        <f t="shared" si="8"/>
        <v>0.18</v>
      </c>
      <c r="W18" s="2">
        <f t="shared" si="9"/>
        <v>0.2</v>
      </c>
      <c r="X18" s="2">
        <f t="shared" si="10"/>
        <v>0.18</v>
      </c>
      <c r="Y18" s="2">
        <f t="shared" si="11"/>
        <v>0.2</v>
      </c>
      <c r="Z18" s="2">
        <f t="shared" si="12"/>
        <v>0.18</v>
      </c>
      <c r="AA18" s="2">
        <f t="shared" si="13"/>
        <v>0.2</v>
      </c>
      <c r="AB18" s="2">
        <f t="shared" si="14"/>
        <v>0.18</v>
      </c>
      <c r="AC18" s="2">
        <f t="shared" si="15"/>
        <v>0.2</v>
      </c>
      <c r="AD18" s="2">
        <f t="shared" si="16"/>
        <v>0.18</v>
      </c>
      <c r="AE18" s="2">
        <f t="shared" si="17"/>
        <v>0.2</v>
      </c>
      <c r="AF18" s="2">
        <f t="shared" si="18"/>
        <v>0.18</v>
      </c>
      <c r="AG18" s="2">
        <f t="shared" si="19"/>
        <v>0.2</v>
      </c>
      <c r="AH18" s="2">
        <f t="shared" si="20"/>
        <v>0.18</v>
      </c>
    </row>
    <row r="19" spans="1:34">
      <c r="A19" t="str">
        <f t="shared" si="33"/>
        <v>Sorghum</v>
      </c>
      <c r="B19" t="str">
        <f t="shared" si="34"/>
        <v>Gambela</v>
      </c>
      <c r="C19" s="2">
        <v>0.2</v>
      </c>
      <c r="D19" s="2">
        <v>0.18</v>
      </c>
      <c r="E19" s="2">
        <f t="shared" si="3"/>
        <v>0.2</v>
      </c>
      <c r="F19" s="2">
        <f t="shared" si="4"/>
        <v>0.18</v>
      </c>
      <c r="G19" s="2">
        <f t="shared" si="5"/>
        <v>0.2</v>
      </c>
      <c r="H19" s="2">
        <f t="shared" si="21"/>
        <v>0.18</v>
      </c>
      <c r="I19" s="2">
        <f t="shared" si="22"/>
        <v>0.2</v>
      </c>
      <c r="J19" s="2">
        <f t="shared" si="23"/>
        <v>0.18</v>
      </c>
      <c r="K19" s="2">
        <f t="shared" si="24"/>
        <v>0.2</v>
      </c>
      <c r="L19" s="2">
        <f t="shared" si="25"/>
        <v>0.18</v>
      </c>
      <c r="M19" s="2">
        <f t="shared" si="26"/>
        <v>0.2</v>
      </c>
      <c r="N19" s="2">
        <f t="shared" si="27"/>
        <v>0.18</v>
      </c>
      <c r="O19" s="2">
        <f t="shared" si="28"/>
        <v>0.2</v>
      </c>
      <c r="P19" s="2">
        <f t="shared" si="29"/>
        <v>0.18</v>
      </c>
      <c r="Q19" s="2">
        <f t="shared" si="30"/>
        <v>0.2</v>
      </c>
      <c r="R19" s="2">
        <f t="shared" si="31"/>
        <v>0.18</v>
      </c>
      <c r="S19" s="2">
        <f t="shared" si="32"/>
        <v>0.2</v>
      </c>
      <c r="T19" s="2">
        <f t="shared" si="6"/>
        <v>0.18</v>
      </c>
      <c r="U19" s="2">
        <f t="shared" si="7"/>
        <v>0.2</v>
      </c>
      <c r="V19" s="2">
        <f t="shared" si="8"/>
        <v>0.18</v>
      </c>
      <c r="W19" s="2">
        <f t="shared" si="9"/>
        <v>0.2</v>
      </c>
      <c r="X19" s="2">
        <f t="shared" si="10"/>
        <v>0.18</v>
      </c>
      <c r="Y19" s="2">
        <f t="shared" si="11"/>
        <v>0.2</v>
      </c>
      <c r="Z19" s="2">
        <f t="shared" si="12"/>
        <v>0.18</v>
      </c>
      <c r="AA19" s="2">
        <f t="shared" si="13"/>
        <v>0.2</v>
      </c>
      <c r="AB19" s="2">
        <f t="shared" si="14"/>
        <v>0.18</v>
      </c>
      <c r="AC19" s="2">
        <f t="shared" si="15"/>
        <v>0.2</v>
      </c>
      <c r="AD19" s="2">
        <f t="shared" si="16"/>
        <v>0.18</v>
      </c>
      <c r="AE19" s="2">
        <f t="shared" si="17"/>
        <v>0.2</v>
      </c>
      <c r="AF19" s="2">
        <f t="shared" si="18"/>
        <v>0.18</v>
      </c>
      <c r="AG19" s="2">
        <f t="shared" si="19"/>
        <v>0.2</v>
      </c>
      <c r="AH19" s="2">
        <f t="shared" si="20"/>
        <v>0.18</v>
      </c>
    </row>
    <row r="20" spans="1:34">
      <c r="A20" t="str">
        <f t="shared" si="33"/>
        <v>Sorghum</v>
      </c>
      <c r="B20" t="str">
        <f t="shared" si="34"/>
        <v>Harari</v>
      </c>
      <c r="C20" s="2">
        <v>0.2</v>
      </c>
      <c r="D20" s="2">
        <v>0.18</v>
      </c>
      <c r="E20" s="2">
        <f t="shared" si="3"/>
        <v>0.2</v>
      </c>
      <c r="F20" s="2">
        <f t="shared" si="4"/>
        <v>0.18</v>
      </c>
      <c r="G20" s="2">
        <f t="shared" si="5"/>
        <v>0.2</v>
      </c>
      <c r="H20" s="2">
        <f t="shared" si="21"/>
        <v>0.18</v>
      </c>
      <c r="I20" s="2">
        <f t="shared" si="22"/>
        <v>0.2</v>
      </c>
      <c r="J20" s="2">
        <f t="shared" si="23"/>
        <v>0.18</v>
      </c>
      <c r="K20" s="2">
        <f t="shared" si="24"/>
        <v>0.2</v>
      </c>
      <c r="L20" s="2">
        <f t="shared" si="25"/>
        <v>0.18</v>
      </c>
      <c r="M20" s="2">
        <f t="shared" si="26"/>
        <v>0.2</v>
      </c>
      <c r="N20" s="2">
        <f t="shared" si="27"/>
        <v>0.18</v>
      </c>
      <c r="O20" s="2">
        <f t="shared" si="28"/>
        <v>0.2</v>
      </c>
      <c r="P20" s="2">
        <f t="shared" si="29"/>
        <v>0.18</v>
      </c>
      <c r="Q20" s="2">
        <f t="shared" si="30"/>
        <v>0.2</v>
      </c>
      <c r="R20" s="2">
        <f t="shared" si="31"/>
        <v>0.18</v>
      </c>
      <c r="S20" s="2">
        <f t="shared" si="32"/>
        <v>0.2</v>
      </c>
      <c r="T20" s="2">
        <f t="shared" si="6"/>
        <v>0.18</v>
      </c>
      <c r="U20" s="2">
        <f t="shared" si="7"/>
        <v>0.2</v>
      </c>
      <c r="V20" s="2">
        <f t="shared" si="8"/>
        <v>0.18</v>
      </c>
      <c r="W20" s="2">
        <f t="shared" si="9"/>
        <v>0.2</v>
      </c>
      <c r="X20" s="2">
        <f t="shared" si="10"/>
        <v>0.18</v>
      </c>
      <c r="Y20" s="2">
        <f t="shared" si="11"/>
        <v>0.2</v>
      </c>
      <c r="Z20" s="2">
        <f t="shared" si="12"/>
        <v>0.18</v>
      </c>
      <c r="AA20" s="2">
        <f t="shared" si="13"/>
        <v>0.2</v>
      </c>
      <c r="AB20" s="2">
        <f t="shared" si="14"/>
        <v>0.18</v>
      </c>
      <c r="AC20" s="2">
        <f t="shared" si="15"/>
        <v>0.2</v>
      </c>
      <c r="AD20" s="2">
        <f t="shared" si="16"/>
        <v>0.18</v>
      </c>
      <c r="AE20" s="2">
        <f t="shared" si="17"/>
        <v>0.2</v>
      </c>
      <c r="AF20" s="2">
        <f t="shared" si="18"/>
        <v>0.18</v>
      </c>
      <c r="AG20" s="2">
        <f t="shared" si="19"/>
        <v>0.2</v>
      </c>
      <c r="AH20" s="2">
        <f t="shared" si="20"/>
        <v>0.18</v>
      </c>
    </row>
    <row r="21" spans="1:34">
      <c r="A21" t="str">
        <f t="shared" si="33"/>
        <v>Sorghum</v>
      </c>
      <c r="B21" t="str">
        <f t="shared" si="34"/>
        <v>Oromia</v>
      </c>
      <c r="C21" s="2">
        <v>0.2</v>
      </c>
      <c r="D21" s="2">
        <v>0.18</v>
      </c>
      <c r="E21" s="2">
        <f t="shared" si="3"/>
        <v>0.2</v>
      </c>
      <c r="F21" s="2">
        <f t="shared" si="4"/>
        <v>0.18</v>
      </c>
      <c r="G21" s="2">
        <f t="shared" si="5"/>
        <v>0.2</v>
      </c>
      <c r="H21" s="2">
        <f t="shared" si="21"/>
        <v>0.18</v>
      </c>
      <c r="I21" s="2">
        <f t="shared" si="22"/>
        <v>0.2</v>
      </c>
      <c r="J21" s="2">
        <f t="shared" si="23"/>
        <v>0.18</v>
      </c>
      <c r="K21" s="2">
        <f t="shared" si="24"/>
        <v>0.2</v>
      </c>
      <c r="L21" s="2">
        <f t="shared" si="25"/>
        <v>0.18</v>
      </c>
      <c r="M21" s="2">
        <f t="shared" si="26"/>
        <v>0.2</v>
      </c>
      <c r="N21" s="2">
        <f t="shared" si="27"/>
        <v>0.18</v>
      </c>
      <c r="O21" s="2">
        <f t="shared" si="28"/>
        <v>0.2</v>
      </c>
      <c r="P21" s="2">
        <f t="shared" si="29"/>
        <v>0.18</v>
      </c>
      <c r="Q21" s="2">
        <f t="shared" si="30"/>
        <v>0.2</v>
      </c>
      <c r="R21" s="2">
        <f t="shared" si="31"/>
        <v>0.18</v>
      </c>
      <c r="S21" s="2">
        <f t="shared" si="32"/>
        <v>0.2</v>
      </c>
      <c r="T21" s="2">
        <f t="shared" si="6"/>
        <v>0.18</v>
      </c>
      <c r="U21" s="2">
        <f t="shared" si="7"/>
        <v>0.2</v>
      </c>
      <c r="V21" s="2">
        <f t="shared" si="8"/>
        <v>0.18</v>
      </c>
      <c r="W21" s="2">
        <f t="shared" si="9"/>
        <v>0.2</v>
      </c>
      <c r="X21" s="2">
        <f t="shared" si="10"/>
        <v>0.18</v>
      </c>
      <c r="Y21" s="2">
        <f t="shared" si="11"/>
        <v>0.2</v>
      </c>
      <c r="Z21" s="2">
        <f t="shared" si="12"/>
        <v>0.18</v>
      </c>
      <c r="AA21" s="2">
        <f t="shared" si="13"/>
        <v>0.2</v>
      </c>
      <c r="AB21" s="2">
        <f t="shared" si="14"/>
        <v>0.18</v>
      </c>
      <c r="AC21" s="2">
        <f t="shared" si="15"/>
        <v>0.2</v>
      </c>
      <c r="AD21" s="2">
        <f t="shared" si="16"/>
        <v>0.18</v>
      </c>
      <c r="AE21" s="2">
        <f t="shared" si="17"/>
        <v>0.2</v>
      </c>
      <c r="AF21" s="2">
        <f t="shared" si="18"/>
        <v>0.18</v>
      </c>
      <c r="AG21" s="2">
        <f t="shared" si="19"/>
        <v>0.2</v>
      </c>
      <c r="AH21" s="2">
        <f t="shared" si="20"/>
        <v>0.18</v>
      </c>
    </row>
    <row r="22" spans="1:34">
      <c r="A22" t="str">
        <f t="shared" si="33"/>
        <v>Sorghum</v>
      </c>
      <c r="B22" t="str">
        <f t="shared" si="34"/>
        <v>Somali</v>
      </c>
      <c r="C22" s="2">
        <v>0.2</v>
      </c>
      <c r="D22" s="2">
        <v>0.18</v>
      </c>
      <c r="E22" s="2">
        <f t="shared" si="3"/>
        <v>0.2</v>
      </c>
      <c r="F22" s="2">
        <f t="shared" si="4"/>
        <v>0.18</v>
      </c>
      <c r="G22" s="2">
        <f t="shared" si="5"/>
        <v>0.2</v>
      </c>
      <c r="H22" s="2">
        <f t="shared" si="21"/>
        <v>0.18</v>
      </c>
      <c r="I22" s="2">
        <f t="shared" si="22"/>
        <v>0.2</v>
      </c>
      <c r="J22" s="2">
        <f t="shared" si="23"/>
        <v>0.18</v>
      </c>
      <c r="K22" s="2">
        <f t="shared" si="24"/>
        <v>0.2</v>
      </c>
      <c r="L22" s="2">
        <f t="shared" si="25"/>
        <v>0.18</v>
      </c>
      <c r="M22" s="2">
        <f t="shared" si="26"/>
        <v>0.2</v>
      </c>
      <c r="N22" s="2">
        <f t="shared" si="27"/>
        <v>0.18</v>
      </c>
      <c r="O22" s="2">
        <f t="shared" si="28"/>
        <v>0.2</v>
      </c>
      <c r="P22" s="2">
        <f t="shared" si="29"/>
        <v>0.18</v>
      </c>
      <c r="Q22" s="2">
        <f t="shared" si="30"/>
        <v>0.2</v>
      </c>
      <c r="R22" s="2">
        <f t="shared" si="31"/>
        <v>0.18</v>
      </c>
      <c r="S22" s="2">
        <f t="shared" si="32"/>
        <v>0.2</v>
      </c>
      <c r="T22" s="2">
        <f t="shared" si="6"/>
        <v>0.18</v>
      </c>
      <c r="U22" s="2">
        <f t="shared" si="7"/>
        <v>0.2</v>
      </c>
      <c r="V22" s="2">
        <f t="shared" si="8"/>
        <v>0.18</v>
      </c>
      <c r="W22" s="2">
        <f t="shared" si="9"/>
        <v>0.2</v>
      </c>
      <c r="X22" s="2">
        <f t="shared" si="10"/>
        <v>0.18</v>
      </c>
      <c r="Y22" s="2">
        <f t="shared" si="11"/>
        <v>0.2</v>
      </c>
      <c r="Z22" s="2">
        <f t="shared" si="12"/>
        <v>0.18</v>
      </c>
      <c r="AA22" s="2">
        <f t="shared" si="13"/>
        <v>0.2</v>
      </c>
      <c r="AB22" s="2">
        <f t="shared" si="14"/>
        <v>0.18</v>
      </c>
      <c r="AC22" s="2">
        <f t="shared" si="15"/>
        <v>0.2</v>
      </c>
      <c r="AD22" s="2">
        <f t="shared" si="16"/>
        <v>0.18</v>
      </c>
      <c r="AE22" s="2">
        <f t="shared" si="17"/>
        <v>0.2</v>
      </c>
      <c r="AF22" s="2">
        <f t="shared" si="18"/>
        <v>0.18</v>
      </c>
      <c r="AG22" s="2">
        <f t="shared" si="19"/>
        <v>0.2</v>
      </c>
      <c r="AH22" s="2">
        <f t="shared" si="20"/>
        <v>0.18</v>
      </c>
    </row>
    <row r="23" spans="1:34">
      <c r="A23" t="str">
        <f t="shared" si="33"/>
        <v>Sorghum</v>
      </c>
      <c r="B23" t="str">
        <f t="shared" si="34"/>
        <v>SNNPR</v>
      </c>
      <c r="C23" s="2">
        <v>0.2</v>
      </c>
      <c r="D23" s="2">
        <v>0.18</v>
      </c>
      <c r="E23" s="2">
        <f t="shared" si="3"/>
        <v>0.2</v>
      </c>
      <c r="F23" s="2">
        <f t="shared" si="4"/>
        <v>0.18</v>
      </c>
      <c r="G23" s="2">
        <f t="shared" si="5"/>
        <v>0.2</v>
      </c>
      <c r="H23" s="2">
        <f t="shared" si="21"/>
        <v>0.18</v>
      </c>
      <c r="I23" s="2">
        <f t="shared" si="22"/>
        <v>0.2</v>
      </c>
      <c r="J23" s="2">
        <f t="shared" si="23"/>
        <v>0.18</v>
      </c>
      <c r="K23" s="2">
        <f t="shared" si="24"/>
        <v>0.2</v>
      </c>
      <c r="L23" s="2">
        <f t="shared" si="25"/>
        <v>0.18</v>
      </c>
      <c r="M23" s="2">
        <f t="shared" si="26"/>
        <v>0.2</v>
      </c>
      <c r="N23" s="2">
        <f t="shared" si="27"/>
        <v>0.18</v>
      </c>
      <c r="O23" s="2">
        <f t="shared" si="28"/>
        <v>0.2</v>
      </c>
      <c r="P23" s="2">
        <f t="shared" si="29"/>
        <v>0.18</v>
      </c>
      <c r="Q23" s="2">
        <f t="shared" si="30"/>
        <v>0.2</v>
      </c>
      <c r="R23" s="2">
        <f t="shared" si="31"/>
        <v>0.18</v>
      </c>
      <c r="S23" s="2">
        <f t="shared" si="32"/>
        <v>0.2</v>
      </c>
      <c r="T23" s="2">
        <f t="shared" si="6"/>
        <v>0.18</v>
      </c>
      <c r="U23" s="2">
        <f t="shared" si="7"/>
        <v>0.2</v>
      </c>
      <c r="V23" s="2">
        <f t="shared" si="8"/>
        <v>0.18</v>
      </c>
      <c r="W23" s="2">
        <f t="shared" si="9"/>
        <v>0.2</v>
      </c>
      <c r="X23" s="2">
        <f t="shared" si="10"/>
        <v>0.18</v>
      </c>
      <c r="Y23" s="2">
        <f t="shared" si="11"/>
        <v>0.2</v>
      </c>
      <c r="Z23" s="2">
        <f t="shared" si="12"/>
        <v>0.18</v>
      </c>
      <c r="AA23" s="2">
        <f t="shared" si="13"/>
        <v>0.2</v>
      </c>
      <c r="AB23" s="2">
        <f t="shared" si="14"/>
        <v>0.18</v>
      </c>
      <c r="AC23" s="2">
        <f t="shared" si="15"/>
        <v>0.2</v>
      </c>
      <c r="AD23" s="2">
        <f t="shared" si="16"/>
        <v>0.18</v>
      </c>
      <c r="AE23" s="2">
        <f t="shared" si="17"/>
        <v>0.2</v>
      </c>
      <c r="AF23" s="2">
        <f t="shared" si="18"/>
        <v>0.18</v>
      </c>
      <c r="AG23" s="2">
        <f t="shared" si="19"/>
        <v>0.2</v>
      </c>
      <c r="AH23" s="2">
        <f t="shared" si="20"/>
        <v>0.18</v>
      </c>
    </row>
    <row r="24" spans="1:34">
      <c r="A24" t="str">
        <f t="shared" si="33"/>
        <v>Sorghum</v>
      </c>
      <c r="B24" t="str">
        <f t="shared" si="34"/>
        <v>Tigray</v>
      </c>
      <c r="C24" s="2">
        <v>0.2</v>
      </c>
      <c r="D24" s="2">
        <v>0.18</v>
      </c>
      <c r="E24" s="2">
        <f t="shared" si="3"/>
        <v>0.2</v>
      </c>
      <c r="F24" s="2">
        <f t="shared" si="4"/>
        <v>0.18</v>
      </c>
      <c r="G24" s="2">
        <f t="shared" si="5"/>
        <v>0.2</v>
      </c>
      <c r="H24" s="2">
        <f t="shared" si="21"/>
        <v>0.18</v>
      </c>
      <c r="I24" s="2">
        <f t="shared" si="22"/>
        <v>0.2</v>
      </c>
      <c r="J24" s="2">
        <f t="shared" si="23"/>
        <v>0.18</v>
      </c>
      <c r="K24" s="2">
        <f t="shared" si="24"/>
        <v>0.2</v>
      </c>
      <c r="L24" s="2">
        <f t="shared" si="25"/>
        <v>0.18</v>
      </c>
      <c r="M24" s="2">
        <f t="shared" si="26"/>
        <v>0.2</v>
      </c>
      <c r="N24" s="2">
        <f t="shared" si="27"/>
        <v>0.18</v>
      </c>
      <c r="O24" s="2">
        <f t="shared" si="28"/>
        <v>0.2</v>
      </c>
      <c r="P24" s="2">
        <f t="shared" si="29"/>
        <v>0.18</v>
      </c>
      <c r="Q24" s="2">
        <f t="shared" si="30"/>
        <v>0.2</v>
      </c>
      <c r="R24" s="2">
        <f t="shared" si="31"/>
        <v>0.18</v>
      </c>
      <c r="S24" s="2">
        <f t="shared" si="32"/>
        <v>0.2</v>
      </c>
      <c r="T24" s="2">
        <f t="shared" si="6"/>
        <v>0.18</v>
      </c>
      <c r="U24" s="2">
        <f t="shared" si="7"/>
        <v>0.2</v>
      </c>
      <c r="V24" s="2">
        <f t="shared" si="8"/>
        <v>0.18</v>
      </c>
      <c r="W24" s="2">
        <f t="shared" si="9"/>
        <v>0.2</v>
      </c>
      <c r="X24" s="2">
        <f t="shared" si="10"/>
        <v>0.18</v>
      </c>
      <c r="Y24" s="2">
        <f t="shared" si="11"/>
        <v>0.2</v>
      </c>
      <c r="Z24" s="2">
        <f t="shared" si="12"/>
        <v>0.18</v>
      </c>
      <c r="AA24" s="2">
        <f t="shared" si="13"/>
        <v>0.2</v>
      </c>
      <c r="AB24" s="2">
        <f t="shared" si="14"/>
        <v>0.18</v>
      </c>
      <c r="AC24" s="2">
        <f t="shared" si="15"/>
        <v>0.2</v>
      </c>
      <c r="AD24" s="2">
        <f t="shared" si="16"/>
        <v>0.18</v>
      </c>
      <c r="AE24" s="2">
        <f t="shared" si="17"/>
        <v>0.2</v>
      </c>
      <c r="AF24" s="2">
        <f t="shared" si="18"/>
        <v>0.18</v>
      </c>
      <c r="AG24" s="2">
        <f t="shared" si="19"/>
        <v>0.2</v>
      </c>
      <c r="AH24" s="2">
        <f t="shared" si="20"/>
        <v>0.18</v>
      </c>
    </row>
    <row r="25" spans="1:34">
      <c r="A25" t="str">
        <f t="shared" si="33"/>
        <v>Maize</v>
      </c>
      <c r="B25" t="str">
        <f t="shared" si="34"/>
        <v>AddisAbaba</v>
      </c>
      <c r="C25" s="2">
        <v>0.2</v>
      </c>
      <c r="D25" s="2">
        <v>0.18</v>
      </c>
      <c r="E25" s="2">
        <f t="shared" si="3"/>
        <v>0.2</v>
      </c>
      <c r="F25" s="2">
        <f t="shared" si="4"/>
        <v>0.18</v>
      </c>
      <c r="G25" s="2">
        <f t="shared" si="5"/>
        <v>0.2</v>
      </c>
      <c r="H25" s="2">
        <f t="shared" si="21"/>
        <v>0.18</v>
      </c>
      <c r="I25" s="2">
        <f t="shared" si="22"/>
        <v>0.2</v>
      </c>
      <c r="J25" s="2">
        <f t="shared" si="23"/>
        <v>0.18</v>
      </c>
      <c r="K25" s="2">
        <f t="shared" si="24"/>
        <v>0.2</v>
      </c>
      <c r="L25" s="2">
        <f t="shared" si="25"/>
        <v>0.18</v>
      </c>
      <c r="M25" s="2">
        <f t="shared" si="26"/>
        <v>0.2</v>
      </c>
      <c r="N25" s="2">
        <f t="shared" si="27"/>
        <v>0.18</v>
      </c>
      <c r="O25" s="2">
        <f t="shared" si="28"/>
        <v>0.2</v>
      </c>
      <c r="P25" s="2">
        <f t="shared" si="29"/>
        <v>0.18</v>
      </c>
      <c r="Q25" s="2">
        <f t="shared" si="30"/>
        <v>0.2</v>
      </c>
      <c r="R25" s="2">
        <f t="shared" si="31"/>
        <v>0.18</v>
      </c>
      <c r="S25" s="2">
        <f t="shared" si="32"/>
        <v>0.2</v>
      </c>
      <c r="T25" s="2">
        <f t="shared" si="6"/>
        <v>0.18</v>
      </c>
      <c r="U25" s="2">
        <f t="shared" si="7"/>
        <v>0.2</v>
      </c>
      <c r="V25" s="2">
        <f t="shared" si="8"/>
        <v>0.18</v>
      </c>
      <c r="W25" s="2">
        <f t="shared" si="9"/>
        <v>0.2</v>
      </c>
      <c r="X25" s="2">
        <f t="shared" si="10"/>
        <v>0.18</v>
      </c>
      <c r="Y25" s="2">
        <f t="shared" si="11"/>
        <v>0.2</v>
      </c>
      <c r="Z25" s="2">
        <f t="shared" si="12"/>
        <v>0.18</v>
      </c>
      <c r="AA25" s="2">
        <f t="shared" si="13"/>
        <v>0.2</v>
      </c>
      <c r="AB25" s="2">
        <f t="shared" si="14"/>
        <v>0.18</v>
      </c>
      <c r="AC25" s="2">
        <f t="shared" si="15"/>
        <v>0.2</v>
      </c>
      <c r="AD25" s="2">
        <f t="shared" si="16"/>
        <v>0.18</v>
      </c>
      <c r="AE25" s="2">
        <f t="shared" si="17"/>
        <v>0.2</v>
      </c>
      <c r="AF25" s="2">
        <f t="shared" si="18"/>
        <v>0.18</v>
      </c>
      <c r="AG25" s="2">
        <f t="shared" si="19"/>
        <v>0.2</v>
      </c>
      <c r="AH25" s="2">
        <f t="shared" si="20"/>
        <v>0.18</v>
      </c>
    </row>
    <row r="26" spans="1:34">
      <c r="A26" t="str">
        <f t="shared" si="33"/>
        <v>Maize</v>
      </c>
      <c r="B26" t="str">
        <f t="shared" si="34"/>
        <v>Afar</v>
      </c>
      <c r="C26" s="2">
        <v>0.2</v>
      </c>
      <c r="D26" s="2">
        <v>0.18</v>
      </c>
      <c r="E26" s="2">
        <f t="shared" si="3"/>
        <v>0.2</v>
      </c>
      <c r="F26" s="2">
        <f t="shared" si="4"/>
        <v>0.18</v>
      </c>
      <c r="G26" s="2">
        <f t="shared" si="5"/>
        <v>0.2</v>
      </c>
      <c r="H26" s="2">
        <f t="shared" si="21"/>
        <v>0.18</v>
      </c>
      <c r="I26" s="2">
        <f t="shared" si="22"/>
        <v>0.2</v>
      </c>
      <c r="J26" s="2">
        <f t="shared" si="23"/>
        <v>0.18</v>
      </c>
      <c r="K26" s="2">
        <f t="shared" si="24"/>
        <v>0.2</v>
      </c>
      <c r="L26" s="2">
        <f t="shared" si="25"/>
        <v>0.18</v>
      </c>
      <c r="M26" s="2">
        <f t="shared" si="26"/>
        <v>0.2</v>
      </c>
      <c r="N26" s="2">
        <f t="shared" si="27"/>
        <v>0.18</v>
      </c>
      <c r="O26" s="2">
        <f t="shared" si="28"/>
        <v>0.2</v>
      </c>
      <c r="P26" s="2">
        <f t="shared" si="29"/>
        <v>0.18</v>
      </c>
      <c r="Q26" s="2">
        <f t="shared" si="30"/>
        <v>0.2</v>
      </c>
      <c r="R26" s="2">
        <f t="shared" si="31"/>
        <v>0.18</v>
      </c>
      <c r="S26" s="2">
        <f t="shared" si="32"/>
        <v>0.2</v>
      </c>
      <c r="T26" s="2">
        <f t="shared" si="6"/>
        <v>0.18</v>
      </c>
      <c r="U26" s="2">
        <f t="shared" si="7"/>
        <v>0.2</v>
      </c>
      <c r="V26" s="2">
        <f t="shared" si="8"/>
        <v>0.18</v>
      </c>
      <c r="W26" s="2">
        <f t="shared" si="9"/>
        <v>0.2</v>
      </c>
      <c r="X26" s="2">
        <f t="shared" si="10"/>
        <v>0.18</v>
      </c>
      <c r="Y26" s="2">
        <f t="shared" si="11"/>
        <v>0.2</v>
      </c>
      <c r="Z26" s="2">
        <f t="shared" si="12"/>
        <v>0.18</v>
      </c>
      <c r="AA26" s="2">
        <f t="shared" si="13"/>
        <v>0.2</v>
      </c>
      <c r="AB26" s="2">
        <f t="shared" si="14"/>
        <v>0.18</v>
      </c>
      <c r="AC26" s="2">
        <f t="shared" si="15"/>
        <v>0.2</v>
      </c>
      <c r="AD26" s="2">
        <f t="shared" si="16"/>
        <v>0.18</v>
      </c>
      <c r="AE26" s="2">
        <f t="shared" si="17"/>
        <v>0.2</v>
      </c>
      <c r="AF26" s="2">
        <f t="shared" si="18"/>
        <v>0.18</v>
      </c>
      <c r="AG26" s="2">
        <f t="shared" si="19"/>
        <v>0.2</v>
      </c>
      <c r="AH26" s="2">
        <f t="shared" si="20"/>
        <v>0.18</v>
      </c>
    </row>
    <row r="27" spans="1:34">
      <c r="A27" t="str">
        <f t="shared" si="33"/>
        <v>Maize</v>
      </c>
      <c r="B27" t="str">
        <f t="shared" si="34"/>
        <v>Amhara</v>
      </c>
      <c r="C27" s="2">
        <v>0.2</v>
      </c>
      <c r="D27" s="2">
        <v>0.18</v>
      </c>
      <c r="E27" s="2">
        <f t="shared" si="3"/>
        <v>0.2</v>
      </c>
      <c r="F27" s="2">
        <f t="shared" si="4"/>
        <v>0.18</v>
      </c>
      <c r="G27" s="2">
        <f t="shared" si="5"/>
        <v>0.2</v>
      </c>
      <c r="H27" s="2">
        <f t="shared" si="21"/>
        <v>0.18</v>
      </c>
      <c r="I27" s="2">
        <f t="shared" si="22"/>
        <v>0.2</v>
      </c>
      <c r="J27" s="2">
        <f t="shared" si="23"/>
        <v>0.18</v>
      </c>
      <c r="K27" s="2">
        <f t="shared" si="24"/>
        <v>0.2</v>
      </c>
      <c r="L27" s="2">
        <f t="shared" si="25"/>
        <v>0.18</v>
      </c>
      <c r="M27" s="2">
        <f t="shared" si="26"/>
        <v>0.2</v>
      </c>
      <c r="N27" s="2">
        <f t="shared" si="27"/>
        <v>0.18</v>
      </c>
      <c r="O27" s="2">
        <f t="shared" si="28"/>
        <v>0.2</v>
      </c>
      <c r="P27" s="2">
        <f t="shared" si="29"/>
        <v>0.18</v>
      </c>
      <c r="Q27" s="2">
        <f t="shared" si="30"/>
        <v>0.2</v>
      </c>
      <c r="R27" s="2">
        <f t="shared" si="31"/>
        <v>0.18</v>
      </c>
      <c r="S27" s="2">
        <f t="shared" si="32"/>
        <v>0.2</v>
      </c>
      <c r="T27" s="2">
        <f t="shared" si="6"/>
        <v>0.18</v>
      </c>
      <c r="U27" s="2">
        <f t="shared" si="7"/>
        <v>0.2</v>
      </c>
      <c r="V27" s="2">
        <f t="shared" si="8"/>
        <v>0.18</v>
      </c>
      <c r="W27" s="2">
        <f t="shared" si="9"/>
        <v>0.2</v>
      </c>
      <c r="X27" s="2">
        <f t="shared" si="10"/>
        <v>0.18</v>
      </c>
      <c r="Y27" s="2">
        <f t="shared" si="11"/>
        <v>0.2</v>
      </c>
      <c r="Z27" s="2">
        <f t="shared" si="12"/>
        <v>0.18</v>
      </c>
      <c r="AA27" s="2">
        <f t="shared" si="13"/>
        <v>0.2</v>
      </c>
      <c r="AB27" s="2">
        <f t="shared" si="14"/>
        <v>0.18</v>
      </c>
      <c r="AC27" s="2">
        <f t="shared" si="15"/>
        <v>0.2</v>
      </c>
      <c r="AD27" s="2">
        <f t="shared" si="16"/>
        <v>0.18</v>
      </c>
      <c r="AE27" s="2">
        <f t="shared" si="17"/>
        <v>0.2</v>
      </c>
      <c r="AF27" s="2">
        <f t="shared" si="18"/>
        <v>0.18</v>
      </c>
      <c r="AG27" s="2">
        <f t="shared" si="19"/>
        <v>0.2</v>
      </c>
      <c r="AH27" s="2">
        <f t="shared" si="20"/>
        <v>0.18</v>
      </c>
    </row>
    <row r="28" spans="1:34">
      <c r="A28" t="str">
        <f t="shared" si="33"/>
        <v>Maize</v>
      </c>
      <c r="B28" t="str">
        <f t="shared" si="34"/>
        <v>Gumuz</v>
      </c>
      <c r="C28" s="2">
        <v>0.2</v>
      </c>
      <c r="D28" s="2">
        <v>0.18</v>
      </c>
      <c r="E28" s="2">
        <f t="shared" si="3"/>
        <v>0.2</v>
      </c>
      <c r="F28" s="2">
        <f t="shared" si="4"/>
        <v>0.18</v>
      </c>
      <c r="G28" s="2">
        <f t="shared" si="5"/>
        <v>0.2</v>
      </c>
      <c r="H28" s="2">
        <f t="shared" si="21"/>
        <v>0.18</v>
      </c>
      <c r="I28" s="2">
        <f t="shared" si="22"/>
        <v>0.2</v>
      </c>
      <c r="J28" s="2">
        <f t="shared" si="23"/>
        <v>0.18</v>
      </c>
      <c r="K28" s="2">
        <f t="shared" si="24"/>
        <v>0.2</v>
      </c>
      <c r="L28" s="2">
        <f t="shared" si="25"/>
        <v>0.18</v>
      </c>
      <c r="M28" s="2">
        <f t="shared" si="26"/>
        <v>0.2</v>
      </c>
      <c r="N28" s="2">
        <f t="shared" si="27"/>
        <v>0.18</v>
      </c>
      <c r="O28" s="2">
        <f t="shared" si="28"/>
        <v>0.2</v>
      </c>
      <c r="P28" s="2">
        <f t="shared" si="29"/>
        <v>0.18</v>
      </c>
      <c r="Q28" s="2">
        <f t="shared" si="30"/>
        <v>0.2</v>
      </c>
      <c r="R28" s="2">
        <f t="shared" si="31"/>
        <v>0.18</v>
      </c>
      <c r="S28" s="2">
        <f t="shared" si="32"/>
        <v>0.2</v>
      </c>
      <c r="T28" s="2">
        <f t="shared" si="6"/>
        <v>0.18</v>
      </c>
      <c r="U28" s="2">
        <f t="shared" si="7"/>
        <v>0.2</v>
      </c>
      <c r="V28" s="2">
        <f t="shared" si="8"/>
        <v>0.18</v>
      </c>
      <c r="W28" s="2">
        <f t="shared" si="9"/>
        <v>0.2</v>
      </c>
      <c r="X28" s="2">
        <f t="shared" si="10"/>
        <v>0.18</v>
      </c>
      <c r="Y28" s="2">
        <f t="shared" si="11"/>
        <v>0.2</v>
      </c>
      <c r="Z28" s="2">
        <f t="shared" si="12"/>
        <v>0.18</v>
      </c>
      <c r="AA28" s="2">
        <f t="shared" si="13"/>
        <v>0.2</v>
      </c>
      <c r="AB28" s="2">
        <f t="shared" si="14"/>
        <v>0.18</v>
      </c>
      <c r="AC28" s="2">
        <f t="shared" si="15"/>
        <v>0.2</v>
      </c>
      <c r="AD28" s="2">
        <f t="shared" si="16"/>
        <v>0.18</v>
      </c>
      <c r="AE28" s="2">
        <f t="shared" si="17"/>
        <v>0.2</v>
      </c>
      <c r="AF28" s="2">
        <f t="shared" si="18"/>
        <v>0.18</v>
      </c>
      <c r="AG28" s="2">
        <f t="shared" si="19"/>
        <v>0.2</v>
      </c>
      <c r="AH28" s="2">
        <f t="shared" si="20"/>
        <v>0.18</v>
      </c>
    </row>
    <row r="29" spans="1:34">
      <c r="A29" t="str">
        <f t="shared" si="33"/>
        <v>Maize</v>
      </c>
      <c r="B29" t="str">
        <f t="shared" si="34"/>
        <v>DireDawa</v>
      </c>
      <c r="C29" s="2">
        <v>0.2</v>
      </c>
      <c r="D29" s="2">
        <v>0.18</v>
      </c>
      <c r="E29" s="2">
        <f t="shared" si="3"/>
        <v>0.2</v>
      </c>
      <c r="F29" s="2">
        <f t="shared" si="4"/>
        <v>0.18</v>
      </c>
      <c r="G29" s="2">
        <f t="shared" si="5"/>
        <v>0.2</v>
      </c>
      <c r="H29" s="2">
        <f t="shared" si="21"/>
        <v>0.18</v>
      </c>
      <c r="I29" s="2">
        <f t="shared" si="22"/>
        <v>0.2</v>
      </c>
      <c r="J29" s="2">
        <f t="shared" si="23"/>
        <v>0.18</v>
      </c>
      <c r="K29" s="2">
        <f t="shared" si="24"/>
        <v>0.2</v>
      </c>
      <c r="L29" s="2">
        <f t="shared" si="25"/>
        <v>0.18</v>
      </c>
      <c r="M29" s="2">
        <f t="shared" si="26"/>
        <v>0.2</v>
      </c>
      <c r="N29" s="2">
        <f t="shared" si="27"/>
        <v>0.18</v>
      </c>
      <c r="O29" s="2">
        <f t="shared" si="28"/>
        <v>0.2</v>
      </c>
      <c r="P29" s="2">
        <f t="shared" si="29"/>
        <v>0.18</v>
      </c>
      <c r="Q29" s="2">
        <f t="shared" si="30"/>
        <v>0.2</v>
      </c>
      <c r="R29" s="2">
        <f t="shared" si="31"/>
        <v>0.18</v>
      </c>
      <c r="S29" s="2">
        <f t="shared" si="32"/>
        <v>0.2</v>
      </c>
      <c r="T29" s="2">
        <f t="shared" si="6"/>
        <v>0.18</v>
      </c>
      <c r="U29" s="2">
        <f t="shared" si="7"/>
        <v>0.2</v>
      </c>
      <c r="V29" s="2">
        <f t="shared" si="8"/>
        <v>0.18</v>
      </c>
      <c r="W29" s="2">
        <f t="shared" si="9"/>
        <v>0.2</v>
      </c>
      <c r="X29" s="2">
        <f t="shared" si="10"/>
        <v>0.18</v>
      </c>
      <c r="Y29" s="2">
        <f t="shared" si="11"/>
        <v>0.2</v>
      </c>
      <c r="Z29" s="2">
        <f t="shared" si="12"/>
        <v>0.18</v>
      </c>
      <c r="AA29" s="2">
        <f t="shared" si="13"/>
        <v>0.2</v>
      </c>
      <c r="AB29" s="2">
        <f t="shared" si="14"/>
        <v>0.18</v>
      </c>
      <c r="AC29" s="2">
        <f t="shared" si="15"/>
        <v>0.2</v>
      </c>
      <c r="AD29" s="2">
        <f t="shared" si="16"/>
        <v>0.18</v>
      </c>
      <c r="AE29" s="2">
        <f t="shared" si="17"/>
        <v>0.2</v>
      </c>
      <c r="AF29" s="2">
        <f t="shared" si="18"/>
        <v>0.18</v>
      </c>
      <c r="AG29" s="2">
        <f t="shared" si="19"/>
        <v>0.2</v>
      </c>
      <c r="AH29" s="2">
        <f t="shared" si="20"/>
        <v>0.18</v>
      </c>
    </row>
    <row r="30" spans="1:34">
      <c r="A30" t="str">
        <f t="shared" si="33"/>
        <v>Maize</v>
      </c>
      <c r="B30" t="str">
        <f t="shared" si="34"/>
        <v>Gambela</v>
      </c>
      <c r="C30" s="2">
        <v>0.2</v>
      </c>
      <c r="D30" s="2">
        <v>0.18</v>
      </c>
      <c r="E30" s="2">
        <f t="shared" si="3"/>
        <v>0.2</v>
      </c>
      <c r="F30" s="2">
        <f t="shared" si="4"/>
        <v>0.18</v>
      </c>
      <c r="G30" s="2">
        <f t="shared" si="5"/>
        <v>0.2</v>
      </c>
      <c r="H30" s="2">
        <f t="shared" si="21"/>
        <v>0.18</v>
      </c>
      <c r="I30" s="2">
        <f t="shared" si="22"/>
        <v>0.2</v>
      </c>
      <c r="J30" s="2">
        <f t="shared" si="23"/>
        <v>0.18</v>
      </c>
      <c r="K30" s="2">
        <f t="shared" si="24"/>
        <v>0.2</v>
      </c>
      <c r="L30" s="2">
        <f t="shared" si="25"/>
        <v>0.18</v>
      </c>
      <c r="M30" s="2">
        <f t="shared" si="26"/>
        <v>0.2</v>
      </c>
      <c r="N30" s="2">
        <f t="shared" si="27"/>
        <v>0.18</v>
      </c>
      <c r="O30" s="2">
        <f t="shared" si="28"/>
        <v>0.2</v>
      </c>
      <c r="P30" s="2">
        <f t="shared" si="29"/>
        <v>0.18</v>
      </c>
      <c r="Q30" s="2">
        <f t="shared" si="30"/>
        <v>0.2</v>
      </c>
      <c r="R30" s="2">
        <f t="shared" si="31"/>
        <v>0.18</v>
      </c>
      <c r="S30" s="2">
        <f t="shared" si="32"/>
        <v>0.2</v>
      </c>
      <c r="T30" s="2">
        <f t="shared" si="6"/>
        <v>0.18</v>
      </c>
      <c r="U30" s="2">
        <f t="shared" si="7"/>
        <v>0.2</v>
      </c>
      <c r="V30" s="2">
        <f t="shared" si="8"/>
        <v>0.18</v>
      </c>
      <c r="W30" s="2">
        <f t="shared" si="9"/>
        <v>0.2</v>
      </c>
      <c r="X30" s="2">
        <f t="shared" si="10"/>
        <v>0.18</v>
      </c>
      <c r="Y30" s="2">
        <f t="shared" si="11"/>
        <v>0.2</v>
      </c>
      <c r="Z30" s="2">
        <f t="shared" si="12"/>
        <v>0.18</v>
      </c>
      <c r="AA30" s="2">
        <f t="shared" si="13"/>
        <v>0.2</v>
      </c>
      <c r="AB30" s="2">
        <f t="shared" si="14"/>
        <v>0.18</v>
      </c>
      <c r="AC30" s="2">
        <f t="shared" si="15"/>
        <v>0.2</v>
      </c>
      <c r="AD30" s="2">
        <f t="shared" si="16"/>
        <v>0.18</v>
      </c>
      <c r="AE30" s="2">
        <f t="shared" si="17"/>
        <v>0.2</v>
      </c>
      <c r="AF30" s="2">
        <f t="shared" si="18"/>
        <v>0.18</v>
      </c>
      <c r="AG30" s="2">
        <f t="shared" si="19"/>
        <v>0.2</v>
      </c>
      <c r="AH30" s="2">
        <f t="shared" si="20"/>
        <v>0.18</v>
      </c>
    </row>
    <row r="31" spans="1:34">
      <c r="A31" t="str">
        <f t="shared" si="33"/>
        <v>Maize</v>
      </c>
      <c r="B31" t="str">
        <f t="shared" si="34"/>
        <v>Harari</v>
      </c>
      <c r="C31" s="2">
        <v>0.2</v>
      </c>
      <c r="D31" s="2">
        <v>0.18</v>
      </c>
      <c r="E31" s="2">
        <f t="shared" si="3"/>
        <v>0.2</v>
      </c>
      <c r="F31" s="2">
        <f t="shared" si="4"/>
        <v>0.18</v>
      </c>
      <c r="G31" s="2">
        <f t="shared" si="5"/>
        <v>0.2</v>
      </c>
      <c r="H31" s="2">
        <f t="shared" si="21"/>
        <v>0.18</v>
      </c>
      <c r="I31" s="2">
        <f t="shared" si="22"/>
        <v>0.2</v>
      </c>
      <c r="J31" s="2">
        <f t="shared" si="23"/>
        <v>0.18</v>
      </c>
      <c r="K31" s="2">
        <f t="shared" si="24"/>
        <v>0.2</v>
      </c>
      <c r="L31" s="2">
        <f t="shared" si="25"/>
        <v>0.18</v>
      </c>
      <c r="M31" s="2">
        <f t="shared" si="26"/>
        <v>0.2</v>
      </c>
      <c r="N31" s="2">
        <f t="shared" si="27"/>
        <v>0.18</v>
      </c>
      <c r="O31" s="2">
        <f t="shared" si="28"/>
        <v>0.2</v>
      </c>
      <c r="P31" s="2">
        <f t="shared" si="29"/>
        <v>0.18</v>
      </c>
      <c r="Q31" s="2">
        <f t="shared" si="30"/>
        <v>0.2</v>
      </c>
      <c r="R31" s="2">
        <f t="shared" si="31"/>
        <v>0.18</v>
      </c>
      <c r="S31" s="2">
        <f t="shared" si="32"/>
        <v>0.2</v>
      </c>
      <c r="T31" s="2">
        <f t="shared" si="6"/>
        <v>0.18</v>
      </c>
      <c r="U31" s="2">
        <f t="shared" si="7"/>
        <v>0.2</v>
      </c>
      <c r="V31" s="2">
        <f t="shared" si="8"/>
        <v>0.18</v>
      </c>
      <c r="W31" s="2">
        <f t="shared" si="9"/>
        <v>0.2</v>
      </c>
      <c r="X31" s="2">
        <f t="shared" si="10"/>
        <v>0.18</v>
      </c>
      <c r="Y31" s="2">
        <f t="shared" si="11"/>
        <v>0.2</v>
      </c>
      <c r="Z31" s="2">
        <f t="shared" si="12"/>
        <v>0.18</v>
      </c>
      <c r="AA31" s="2">
        <f t="shared" si="13"/>
        <v>0.2</v>
      </c>
      <c r="AB31" s="2">
        <f t="shared" si="14"/>
        <v>0.18</v>
      </c>
      <c r="AC31" s="2">
        <f t="shared" si="15"/>
        <v>0.2</v>
      </c>
      <c r="AD31" s="2">
        <f t="shared" si="16"/>
        <v>0.18</v>
      </c>
      <c r="AE31" s="2">
        <f t="shared" si="17"/>
        <v>0.2</v>
      </c>
      <c r="AF31" s="2">
        <f t="shared" si="18"/>
        <v>0.18</v>
      </c>
      <c r="AG31" s="2">
        <f t="shared" si="19"/>
        <v>0.2</v>
      </c>
      <c r="AH31" s="2">
        <f t="shared" si="20"/>
        <v>0.18</v>
      </c>
    </row>
    <row r="32" spans="1:34">
      <c r="A32" t="str">
        <f t="shared" si="33"/>
        <v>Maize</v>
      </c>
      <c r="B32" t="str">
        <f t="shared" si="34"/>
        <v>Oromia</v>
      </c>
      <c r="C32" s="2">
        <v>0.2</v>
      </c>
      <c r="D32" s="2">
        <v>0.18</v>
      </c>
      <c r="E32" s="2">
        <f t="shared" si="3"/>
        <v>0.2</v>
      </c>
      <c r="F32" s="2">
        <f t="shared" si="4"/>
        <v>0.18</v>
      </c>
      <c r="G32" s="2">
        <f t="shared" si="5"/>
        <v>0.2</v>
      </c>
      <c r="H32" s="2">
        <f t="shared" si="21"/>
        <v>0.18</v>
      </c>
      <c r="I32" s="2">
        <f t="shared" si="22"/>
        <v>0.2</v>
      </c>
      <c r="J32" s="2">
        <f t="shared" si="23"/>
        <v>0.18</v>
      </c>
      <c r="K32" s="2">
        <f t="shared" si="24"/>
        <v>0.2</v>
      </c>
      <c r="L32" s="2">
        <f t="shared" si="25"/>
        <v>0.18</v>
      </c>
      <c r="M32" s="2">
        <f t="shared" si="26"/>
        <v>0.2</v>
      </c>
      <c r="N32" s="2">
        <f t="shared" si="27"/>
        <v>0.18</v>
      </c>
      <c r="O32" s="2">
        <f t="shared" si="28"/>
        <v>0.2</v>
      </c>
      <c r="P32" s="2">
        <f t="shared" si="29"/>
        <v>0.18</v>
      </c>
      <c r="Q32" s="2">
        <f t="shared" si="30"/>
        <v>0.2</v>
      </c>
      <c r="R32" s="2">
        <f t="shared" si="31"/>
        <v>0.18</v>
      </c>
      <c r="S32" s="2">
        <f t="shared" si="32"/>
        <v>0.2</v>
      </c>
      <c r="T32" s="2">
        <f t="shared" si="6"/>
        <v>0.18</v>
      </c>
      <c r="U32" s="2">
        <f t="shared" si="7"/>
        <v>0.2</v>
      </c>
      <c r="V32" s="2">
        <f t="shared" si="8"/>
        <v>0.18</v>
      </c>
      <c r="W32" s="2">
        <f t="shared" si="9"/>
        <v>0.2</v>
      </c>
      <c r="X32" s="2">
        <f t="shared" si="10"/>
        <v>0.18</v>
      </c>
      <c r="Y32" s="2">
        <f t="shared" si="11"/>
        <v>0.2</v>
      </c>
      <c r="Z32" s="2">
        <f t="shared" si="12"/>
        <v>0.18</v>
      </c>
      <c r="AA32" s="2">
        <f t="shared" si="13"/>
        <v>0.2</v>
      </c>
      <c r="AB32" s="2">
        <f t="shared" si="14"/>
        <v>0.18</v>
      </c>
      <c r="AC32" s="2">
        <f t="shared" si="15"/>
        <v>0.2</v>
      </c>
      <c r="AD32" s="2">
        <f t="shared" si="16"/>
        <v>0.18</v>
      </c>
      <c r="AE32" s="2">
        <f t="shared" si="17"/>
        <v>0.2</v>
      </c>
      <c r="AF32" s="2">
        <f t="shared" si="18"/>
        <v>0.18</v>
      </c>
      <c r="AG32" s="2">
        <f t="shared" si="19"/>
        <v>0.2</v>
      </c>
      <c r="AH32" s="2">
        <f t="shared" si="20"/>
        <v>0.18</v>
      </c>
    </row>
    <row r="33" spans="1:34">
      <c r="A33" t="str">
        <f t="shared" si="33"/>
        <v>Maize</v>
      </c>
      <c r="B33" t="str">
        <f t="shared" si="34"/>
        <v>Somali</v>
      </c>
      <c r="C33" s="2">
        <v>0.2</v>
      </c>
      <c r="D33" s="2">
        <v>0.18</v>
      </c>
      <c r="E33" s="2">
        <f t="shared" si="3"/>
        <v>0.2</v>
      </c>
      <c r="F33" s="2">
        <f t="shared" si="4"/>
        <v>0.18</v>
      </c>
      <c r="G33" s="2">
        <f t="shared" si="5"/>
        <v>0.2</v>
      </c>
      <c r="H33" s="2">
        <f t="shared" si="21"/>
        <v>0.18</v>
      </c>
      <c r="I33" s="2">
        <f t="shared" si="22"/>
        <v>0.2</v>
      </c>
      <c r="J33" s="2">
        <f t="shared" si="23"/>
        <v>0.18</v>
      </c>
      <c r="K33" s="2">
        <f t="shared" si="24"/>
        <v>0.2</v>
      </c>
      <c r="L33" s="2">
        <f t="shared" si="25"/>
        <v>0.18</v>
      </c>
      <c r="M33" s="2">
        <f t="shared" si="26"/>
        <v>0.2</v>
      </c>
      <c r="N33" s="2">
        <f t="shared" si="27"/>
        <v>0.18</v>
      </c>
      <c r="O33" s="2">
        <f t="shared" si="28"/>
        <v>0.2</v>
      </c>
      <c r="P33" s="2">
        <f t="shared" si="29"/>
        <v>0.18</v>
      </c>
      <c r="Q33" s="2">
        <f t="shared" si="30"/>
        <v>0.2</v>
      </c>
      <c r="R33" s="2">
        <f t="shared" si="31"/>
        <v>0.18</v>
      </c>
      <c r="S33" s="2">
        <f t="shared" si="32"/>
        <v>0.2</v>
      </c>
      <c r="T33" s="2">
        <f t="shared" si="6"/>
        <v>0.18</v>
      </c>
      <c r="U33" s="2">
        <f t="shared" si="7"/>
        <v>0.2</v>
      </c>
      <c r="V33" s="2">
        <f t="shared" si="8"/>
        <v>0.18</v>
      </c>
      <c r="W33" s="2">
        <f t="shared" si="9"/>
        <v>0.2</v>
      </c>
      <c r="X33" s="2">
        <f t="shared" si="10"/>
        <v>0.18</v>
      </c>
      <c r="Y33" s="2">
        <f t="shared" si="11"/>
        <v>0.2</v>
      </c>
      <c r="Z33" s="2">
        <f t="shared" si="12"/>
        <v>0.18</v>
      </c>
      <c r="AA33" s="2">
        <f t="shared" si="13"/>
        <v>0.2</v>
      </c>
      <c r="AB33" s="2">
        <f t="shared" si="14"/>
        <v>0.18</v>
      </c>
      <c r="AC33" s="2">
        <f t="shared" si="15"/>
        <v>0.2</v>
      </c>
      <c r="AD33" s="2">
        <f t="shared" si="16"/>
        <v>0.18</v>
      </c>
      <c r="AE33" s="2">
        <f t="shared" si="17"/>
        <v>0.2</v>
      </c>
      <c r="AF33" s="2">
        <f t="shared" si="18"/>
        <v>0.18</v>
      </c>
      <c r="AG33" s="2">
        <f t="shared" si="19"/>
        <v>0.2</v>
      </c>
      <c r="AH33" s="2">
        <f t="shared" si="20"/>
        <v>0.18</v>
      </c>
    </row>
    <row r="34" spans="1:34">
      <c r="A34" t="str">
        <f t="shared" si="33"/>
        <v>Maize</v>
      </c>
      <c r="B34" t="str">
        <f t="shared" si="34"/>
        <v>SNNPR</v>
      </c>
      <c r="C34" s="2">
        <v>0.2</v>
      </c>
      <c r="D34" s="2">
        <v>0.18</v>
      </c>
      <c r="E34" s="2">
        <f t="shared" si="3"/>
        <v>0.2</v>
      </c>
      <c r="F34" s="2">
        <f t="shared" si="4"/>
        <v>0.18</v>
      </c>
      <c r="G34" s="2">
        <f t="shared" si="5"/>
        <v>0.2</v>
      </c>
      <c r="H34" s="2">
        <f t="shared" si="21"/>
        <v>0.18</v>
      </c>
      <c r="I34" s="2">
        <f t="shared" si="22"/>
        <v>0.2</v>
      </c>
      <c r="J34" s="2">
        <f t="shared" si="23"/>
        <v>0.18</v>
      </c>
      <c r="K34" s="2">
        <f t="shared" si="24"/>
        <v>0.2</v>
      </c>
      <c r="L34" s="2">
        <f t="shared" si="25"/>
        <v>0.18</v>
      </c>
      <c r="M34" s="2">
        <f t="shared" si="26"/>
        <v>0.2</v>
      </c>
      <c r="N34" s="2">
        <f t="shared" si="27"/>
        <v>0.18</v>
      </c>
      <c r="O34" s="2">
        <f t="shared" si="28"/>
        <v>0.2</v>
      </c>
      <c r="P34" s="2">
        <f t="shared" si="29"/>
        <v>0.18</v>
      </c>
      <c r="Q34" s="2">
        <f t="shared" si="30"/>
        <v>0.2</v>
      </c>
      <c r="R34" s="2">
        <f t="shared" si="31"/>
        <v>0.18</v>
      </c>
      <c r="S34" s="2">
        <f t="shared" si="32"/>
        <v>0.2</v>
      </c>
      <c r="T34" s="2">
        <f t="shared" si="6"/>
        <v>0.18</v>
      </c>
      <c r="U34" s="2">
        <f t="shared" si="7"/>
        <v>0.2</v>
      </c>
      <c r="V34" s="2">
        <f t="shared" si="8"/>
        <v>0.18</v>
      </c>
      <c r="W34" s="2">
        <f t="shared" si="9"/>
        <v>0.2</v>
      </c>
      <c r="X34" s="2">
        <f t="shared" si="10"/>
        <v>0.18</v>
      </c>
      <c r="Y34" s="2">
        <f t="shared" si="11"/>
        <v>0.2</v>
      </c>
      <c r="Z34" s="2">
        <f t="shared" si="12"/>
        <v>0.18</v>
      </c>
      <c r="AA34" s="2">
        <f t="shared" si="13"/>
        <v>0.2</v>
      </c>
      <c r="AB34" s="2">
        <f t="shared" si="14"/>
        <v>0.18</v>
      </c>
      <c r="AC34" s="2">
        <f t="shared" si="15"/>
        <v>0.2</v>
      </c>
      <c r="AD34" s="2">
        <f t="shared" si="16"/>
        <v>0.18</v>
      </c>
      <c r="AE34" s="2">
        <f t="shared" si="17"/>
        <v>0.2</v>
      </c>
      <c r="AF34" s="2">
        <f t="shared" si="18"/>
        <v>0.18</v>
      </c>
      <c r="AG34" s="2">
        <f t="shared" si="19"/>
        <v>0.2</v>
      </c>
      <c r="AH34" s="2">
        <f t="shared" si="20"/>
        <v>0.18</v>
      </c>
    </row>
    <row r="35" spans="1:34">
      <c r="A35" t="str">
        <f t="shared" si="33"/>
        <v>Maize</v>
      </c>
      <c r="B35" t="str">
        <f t="shared" si="34"/>
        <v>Tigray</v>
      </c>
      <c r="C35" s="2">
        <v>0.2</v>
      </c>
      <c r="D35" s="2">
        <v>0.18</v>
      </c>
      <c r="E35" s="2">
        <f t="shared" si="3"/>
        <v>0.2</v>
      </c>
      <c r="F35" s="2">
        <f t="shared" si="4"/>
        <v>0.18</v>
      </c>
      <c r="G35" s="2">
        <f t="shared" si="5"/>
        <v>0.2</v>
      </c>
      <c r="H35" s="2">
        <f t="shared" si="21"/>
        <v>0.18</v>
      </c>
      <c r="I35" s="2">
        <f t="shared" si="22"/>
        <v>0.2</v>
      </c>
      <c r="J35" s="2">
        <f t="shared" si="23"/>
        <v>0.18</v>
      </c>
      <c r="K35" s="2">
        <f t="shared" si="24"/>
        <v>0.2</v>
      </c>
      <c r="L35" s="2">
        <f t="shared" si="25"/>
        <v>0.18</v>
      </c>
      <c r="M35" s="2">
        <f t="shared" si="26"/>
        <v>0.2</v>
      </c>
      <c r="N35" s="2">
        <f t="shared" si="27"/>
        <v>0.18</v>
      </c>
      <c r="O35" s="2">
        <f t="shared" si="28"/>
        <v>0.2</v>
      </c>
      <c r="P35" s="2">
        <f t="shared" si="29"/>
        <v>0.18</v>
      </c>
      <c r="Q35" s="2">
        <f t="shared" si="30"/>
        <v>0.2</v>
      </c>
      <c r="R35" s="2">
        <f t="shared" si="31"/>
        <v>0.18</v>
      </c>
      <c r="S35" s="2">
        <f t="shared" si="32"/>
        <v>0.2</v>
      </c>
      <c r="T35" s="2">
        <f t="shared" si="6"/>
        <v>0.18</v>
      </c>
      <c r="U35" s="2">
        <f t="shared" si="7"/>
        <v>0.2</v>
      </c>
      <c r="V35" s="2">
        <f t="shared" si="8"/>
        <v>0.18</v>
      </c>
      <c r="W35" s="2">
        <f t="shared" si="9"/>
        <v>0.2</v>
      </c>
      <c r="X35" s="2">
        <f t="shared" si="10"/>
        <v>0.18</v>
      </c>
      <c r="Y35" s="2">
        <f t="shared" si="11"/>
        <v>0.2</v>
      </c>
      <c r="Z35" s="2">
        <f t="shared" si="12"/>
        <v>0.18</v>
      </c>
      <c r="AA35" s="2">
        <f t="shared" si="13"/>
        <v>0.2</v>
      </c>
      <c r="AB35" s="2">
        <f t="shared" si="14"/>
        <v>0.18</v>
      </c>
      <c r="AC35" s="2">
        <f t="shared" si="15"/>
        <v>0.2</v>
      </c>
      <c r="AD35" s="2">
        <f t="shared" si="16"/>
        <v>0.18</v>
      </c>
      <c r="AE35" s="2">
        <f t="shared" si="17"/>
        <v>0.2</v>
      </c>
      <c r="AF35" s="2">
        <f t="shared" si="18"/>
        <v>0.18</v>
      </c>
      <c r="AG35" s="2">
        <f t="shared" si="19"/>
        <v>0.2</v>
      </c>
      <c r="AH35" s="2">
        <f t="shared" si="20"/>
        <v>0.18</v>
      </c>
    </row>
    <row r="36" spans="1:34">
      <c r="A36" t="str">
        <f t="shared" si="33"/>
        <v>Lentils</v>
      </c>
      <c r="B36" t="str">
        <f t="shared" si="34"/>
        <v>AddisAbaba</v>
      </c>
      <c r="C36" s="2">
        <v>0.2</v>
      </c>
      <c r="D36" s="2">
        <v>0.18</v>
      </c>
      <c r="E36" s="2">
        <f t="shared" si="3"/>
        <v>0.2</v>
      </c>
      <c r="F36" s="2">
        <f t="shared" si="4"/>
        <v>0.18</v>
      </c>
      <c r="G36" s="2">
        <f t="shared" si="5"/>
        <v>0.2</v>
      </c>
      <c r="H36" s="2">
        <f t="shared" si="21"/>
        <v>0.18</v>
      </c>
      <c r="I36" s="2">
        <f t="shared" si="22"/>
        <v>0.2</v>
      </c>
      <c r="J36" s="2">
        <f t="shared" si="23"/>
        <v>0.18</v>
      </c>
      <c r="K36" s="2">
        <f t="shared" si="24"/>
        <v>0.2</v>
      </c>
      <c r="L36" s="2">
        <f t="shared" si="25"/>
        <v>0.18</v>
      </c>
      <c r="M36" s="2">
        <f t="shared" si="26"/>
        <v>0.2</v>
      </c>
      <c r="N36" s="2">
        <f t="shared" si="27"/>
        <v>0.18</v>
      </c>
      <c r="O36" s="2">
        <f t="shared" si="28"/>
        <v>0.2</v>
      </c>
      <c r="P36" s="2">
        <f t="shared" si="29"/>
        <v>0.18</v>
      </c>
      <c r="Q36" s="2">
        <f t="shared" si="30"/>
        <v>0.2</v>
      </c>
      <c r="R36" s="2">
        <f t="shared" si="31"/>
        <v>0.18</v>
      </c>
      <c r="S36" s="2">
        <f t="shared" si="32"/>
        <v>0.2</v>
      </c>
      <c r="T36" s="2">
        <f t="shared" si="6"/>
        <v>0.18</v>
      </c>
      <c r="U36" s="2">
        <f t="shared" si="7"/>
        <v>0.2</v>
      </c>
      <c r="V36" s="2">
        <f t="shared" si="8"/>
        <v>0.18</v>
      </c>
      <c r="W36" s="2">
        <f t="shared" si="9"/>
        <v>0.2</v>
      </c>
      <c r="X36" s="2">
        <f t="shared" si="10"/>
        <v>0.18</v>
      </c>
      <c r="Y36" s="2">
        <f t="shared" si="11"/>
        <v>0.2</v>
      </c>
      <c r="Z36" s="2">
        <f t="shared" si="12"/>
        <v>0.18</v>
      </c>
      <c r="AA36" s="2">
        <f t="shared" si="13"/>
        <v>0.2</v>
      </c>
      <c r="AB36" s="2">
        <f t="shared" si="14"/>
        <v>0.18</v>
      </c>
      <c r="AC36" s="2">
        <f t="shared" si="15"/>
        <v>0.2</v>
      </c>
      <c r="AD36" s="2">
        <f t="shared" si="16"/>
        <v>0.18</v>
      </c>
      <c r="AE36" s="2">
        <f t="shared" si="17"/>
        <v>0.2</v>
      </c>
      <c r="AF36" s="2">
        <f t="shared" si="18"/>
        <v>0.18</v>
      </c>
      <c r="AG36" s="2">
        <f t="shared" si="19"/>
        <v>0.2</v>
      </c>
      <c r="AH36" s="2">
        <f t="shared" si="20"/>
        <v>0.18</v>
      </c>
    </row>
    <row r="37" spans="1:34">
      <c r="A37" t="str">
        <f t="shared" si="33"/>
        <v>Lentils</v>
      </c>
      <c r="B37" t="str">
        <f t="shared" si="34"/>
        <v>Afar</v>
      </c>
      <c r="C37" s="2">
        <v>0.2</v>
      </c>
      <c r="D37" s="2">
        <v>0.18</v>
      </c>
      <c r="E37" s="2">
        <f t="shared" si="3"/>
        <v>0.2</v>
      </c>
      <c r="F37" s="2">
        <f t="shared" si="4"/>
        <v>0.18</v>
      </c>
      <c r="G37" s="2">
        <f t="shared" si="5"/>
        <v>0.2</v>
      </c>
      <c r="H37" s="2">
        <f t="shared" si="21"/>
        <v>0.18</v>
      </c>
      <c r="I37" s="2">
        <f t="shared" si="22"/>
        <v>0.2</v>
      </c>
      <c r="J37" s="2">
        <f t="shared" si="23"/>
        <v>0.18</v>
      </c>
      <c r="K37" s="2">
        <f t="shared" si="24"/>
        <v>0.2</v>
      </c>
      <c r="L37" s="2">
        <f t="shared" si="25"/>
        <v>0.18</v>
      </c>
      <c r="M37" s="2">
        <f t="shared" si="26"/>
        <v>0.2</v>
      </c>
      <c r="N37" s="2">
        <f t="shared" si="27"/>
        <v>0.18</v>
      </c>
      <c r="O37" s="2">
        <f t="shared" si="28"/>
        <v>0.2</v>
      </c>
      <c r="P37" s="2">
        <f t="shared" si="29"/>
        <v>0.18</v>
      </c>
      <c r="Q37" s="2">
        <f t="shared" si="30"/>
        <v>0.2</v>
      </c>
      <c r="R37" s="2">
        <f t="shared" si="31"/>
        <v>0.18</v>
      </c>
      <c r="S37" s="2">
        <f t="shared" si="32"/>
        <v>0.2</v>
      </c>
      <c r="T37" s="2">
        <f t="shared" si="6"/>
        <v>0.18</v>
      </c>
      <c r="U37" s="2">
        <f t="shared" si="7"/>
        <v>0.2</v>
      </c>
      <c r="V37" s="2">
        <f t="shared" si="8"/>
        <v>0.18</v>
      </c>
      <c r="W37" s="2">
        <f t="shared" si="9"/>
        <v>0.2</v>
      </c>
      <c r="X37" s="2">
        <f t="shared" si="10"/>
        <v>0.18</v>
      </c>
      <c r="Y37" s="2">
        <f t="shared" si="11"/>
        <v>0.2</v>
      </c>
      <c r="Z37" s="2">
        <f t="shared" si="12"/>
        <v>0.18</v>
      </c>
      <c r="AA37" s="2">
        <f t="shared" si="13"/>
        <v>0.2</v>
      </c>
      <c r="AB37" s="2">
        <f t="shared" si="14"/>
        <v>0.18</v>
      </c>
      <c r="AC37" s="2">
        <f t="shared" si="15"/>
        <v>0.2</v>
      </c>
      <c r="AD37" s="2">
        <f t="shared" si="16"/>
        <v>0.18</v>
      </c>
      <c r="AE37" s="2">
        <f t="shared" si="17"/>
        <v>0.2</v>
      </c>
      <c r="AF37" s="2">
        <f t="shared" si="18"/>
        <v>0.18</v>
      </c>
      <c r="AG37" s="2">
        <f t="shared" si="19"/>
        <v>0.2</v>
      </c>
      <c r="AH37" s="2">
        <f t="shared" si="20"/>
        <v>0.18</v>
      </c>
    </row>
    <row r="38" spans="1:34">
      <c r="A38" t="str">
        <f t="shared" si="33"/>
        <v>Lentils</v>
      </c>
      <c r="B38" t="str">
        <f t="shared" si="34"/>
        <v>Amhara</v>
      </c>
      <c r="C38" s="2">
        <v>0.2</v>
      </c>
      <c r="D38" s="2">
        <v>0.18</v>
      </c>
      <c r="E38" s="2">
        <f t="shared" si="3"/>
        <v>0.2</v>
      </c>
      <c r="F38" s="2">
        <f t="shared" si="4"/>
        <v>0.18</v>
      </c>
      <c r="G38" s="2">
        <f t="shared" si="5"/>
        <v>0.2</v>
      </c>
      <c r="H38" s="2">
        <f t="shared" si="21"/>
        <v>0.18</v>
      </c>
      <c r="I38" s="2">
        <f t="shared" si="22"/>
        <v>0.2</v>
      </c>
      <c r="J38" s="2">
        <f t="shared" si="23"/>
        <v>0.18</v>
      </c>
      <c r="K38" s="2">
        <f t="shared" si="24"/>
        <v>0.2</v>
      </c>
      <c r="L38" s="2">
        <f t="shared" si="25"/>
        <v>0.18</v>
      </c>
      <c r="M38" s="2">
        <f t="shared" si="26"/>
        <v>0.2</v>
      </c>
      <c r="N38" s="2">
        <f t="shared" si="27"/>
        <v>0.18</v>
      </c>
      <c r="O38" s="2">
        <f t="shared" si="28"/>
        <v>0.2</v>
      </c>
      <c r="P38" s="2">
        <f t="shared" si="29"/>
        <v>0.18</v>
      </c>
      <c r="Q38" s="2">
        <f t="shared" si="30"/>
        <v>0.2</v>
      </c>
      <c r="R38" s="2">
        <f t="shared" si="31"/>
        <v>0.18</v>
      </c>
      <c r="S38" s="2">
        <f t="shared" si="32"/>
        <v>0.2</v>
      </c>
      <c r="T38" s="2">
        <f t="shared" si="6"/>
        <v>0.18</v>
      </c>
      <c r="U38" s="2">
        <f t="shared" si="7"/>
        <v>0.2</v>
      </c>
      <c r="V38" s="2">
        <f t="shared" si="8"/>
        <v>0.18</v>
      </c>
      <c r="W38" s="2">
        <f t="shared" si="9"/>
        <v>0.2</v>
      </c>
      <c r="X38" s="2">
        <f t="shared" si="10"/>
        <v>0.18</v>
      </c>
      <c r="Y38" s="2">
        <f t="shared" si="11"/>
        <v>0.2</v>
      </c>
      <c r="Z38" s="2">
        <f t="shared" si="12"/>
        <v>0.18</v>
      </c>
      <c r="AA38" s="2">
        <f t="shared" si="13"/>
        <v>0.2</v>
      </c>
      <c r="AB38" s="2">
        <f t="shared" si="14"/>
        <v>0.18</v>
      </c>
      <c r="AC38" s="2">
        <f t="shared" si="15"/>
        <v>0.2</v>
      </c>
      <c r="AD38" s="2">
        <f t="shared" si="16"/>
        <v>0.18</v>
      </c>
      <c r="AE38" s="2">
        <f t="shared" si="17"/>
        <v>0.2</v>
      </c>
      <c r="AF38" s="2">
        <f t="shared" si="18"/>
        <v>0.18</v>
      </c>
      <c r="AG38" s="2">
        <f t="shared" si="19"/>
        <v>0.2</v>
      </c>
      <c r="AH38" s="2">
        <f t="shared" si="20"/>
        <v>0.18</v>
      </c>
    </row>
    <row r="39" spans="1:34">
      <c r="A39" t="str">
        <f t="shared" si="33"/>
        <v>Lentils</v>
      </c>
      <c r="B39" t="str">
        <f t="shared" si="34"/>
        <v>Gumuz</v>
      </c>
      <c r="C39" s="2">
        <v>0.2</v>
      </c>
      <c r="D39" s="2">
        <v>0.18</v>
      </c>
      <c r="E39" s="2">
        <f t="shared" si="3"/>
        <v>0.2</v>
      </c>
      <c r="F39" s="2">
        <f t="shared" si="4"/>
        <v>0.18</v>
      </c>
      <c r="G39" s="2">
        <f t="shared" si="5"/>
        <v>0.2</v>
      </c>
      <c r="H39" s="2">
        <f t="shared" si="21"/>
        <v>0.18</v>
      </c>
      <c r="I39" s="2">
        <f t="shared" si="22"/>
        <v>0.2</v>
      </c>
      <c r="J39" s="2">
        <f t="shared" si="23"/>
        <v>0.18</v>
      </c>
      <c r="K39" s="2">
        <f t="shared" si="24"/>
        <v>0.2</v>
      </c>
      <c r="L39" s="2">
        <f t="shared" si="25"/>
        <v>0.18</v>
      </c>
      <c r="M39" s="2">
        <f t="shared" si="26"/>
        <v>0.2</v>
      </c>
      <c r="N39" s="2">
        <f t="shared" si="27"/>
        <v>0.18</v>
      </c>
      <c r="O39" s="2">
        <f t="shared" si="28"/>
        <v>0.2</v>
      </c>
      <c r="P39" s="2">
        <f t="shared" si="29"/>
        <v>0.18</v>
      </c>
      <c r="Q39" s="2">
        <f t="shared" si="30"/>
        <v>0.2</v>
      </c>
      <c r="R39" s="2">
        <f t="shared" si="31"/>
        <v>0.18</v>
      </c>
      <c r="S39" s="2">
        <f t="shared" si="32"/>
        <v>0.2</v>
      </c>
      <c r="T39" s="2">
        <f t="shared" si="6"/>
        <v>0.18</v>
      </c>
      <c r="U39" s="2">
        <f t="shared" si="7"/>
        <v>0.2</v>
      </c>
      <c r="V39" s="2">
        <f t="shared" si="8"/>
        <v>0.18</v>
      </c>
      <c r="W39" s="2">
        <f t="shared" si="9"/>
        <v>0.2</v>
      </c>
      <c r="X39" s="2">
        <f t="shared" si="10"/>
        <v>0.18</v>
      </c>
      <c r="Y39" s="2">
        <f t="shared" si="11"/>
        <v>0.2</v>
      </c>
      <c r="Z39" s="2">
        <f t="shared" si="12"/>
        <v>0.18</v>
      </c>
      <c r="AA39" s="2">
        <f t="shared" si="13"/>
        <v>0.2</v>
      </c>
      <c r="AB39" s="2">
        <f t="shared" si="14"/>
        <v>0.18</v>
      </c>
      <c r="AC39" s="2">
        <f t="shared" si="15"/>
        <v>0.2</v>
      </c>
      <c r="AD39" s="2">
        <f t="shared" si="16"/>
        <v>0.18</v>
      </c>
      <c r="AE39" s="2">
        <f t="shared" si="17"/>
        <v>0.2</v>
      </c>
      <c r="AF39" s="2">
        <f t="shared" si="18"/>
        <v>0.18</v>
      </c>
      <c r="AG39" s="2">
        <f t="shared" si="19"/>
        <v>0.2</v>
      </c>
      <c r="AH39" s="2">
        <f t="shared" si="20"/>
        <v>0.18</v>
      </c>
    </row>
    <row r="40" spans="1:34">
      <c r="A40" t="str">
        <f t="shared" si="33"/>
        <v>Lentils</v>
      </c>
      <c r="B40" t="str">
        <f t="shared" si="34"/>
        <v>DireDawa</v>
      </c>
      <c r="C40" s="2">
        <v>0.2</v>
      </c>
      <c r="D40" s="2">
        <v>0.18</v>
      </c>
      <c r="E40" s="2">
        <f t="shared" si="3"/>
        <v>0.2</v>
      </c>
      <c r="F40" s="2">
        <f t="shared" si="4"/>
        <v>0.18</v>
      </c>
      <c r="G40" s="2">
        <f t="shared" si="5"/>
        <v>0.2</v>
      </c>
      <c r="H40" s="2">
        <f t="shared" si="21"/>
        <v>0.18</v>
      </c>
      <c r="I40" s="2">
        <f t="shared" si="22"/>
        <v>0.2</v>
      </c>
      <c r="J40" s="2">
        <f t="shared" si="23"/>
        <v>0.18</v>
      </c>
      <c r="K40" s="2">
        <f t="shared" si="24"/>
        <v>0.2</v>
      </c>
      <c r="L40" s="2">
        <f t="shared" si="25"/>
        <v>0.18</v>
      </c>
      <c r="M40" s="2">
        <f t="shared" si="26"/>
        <v>0.2</v>
      </c>
      <c r="N40" s="2">
        <f t="shared" si="27"/>
        <v>0.18</v>
      </c>
      <c r="O40" s="2">
        <f t="shared" si="28"/>
        <v>0.2</v>
      </c>
      <c r="P40" s="2">
        <f t="shared" si="29"/>
        <v>0.18</v>
      </c>
      <c r="Q40" s="2">
        <f t="shared" si="30"/>
        <v>0.2</v>
      </c>
      <c r="R40" s="2">
        <f t="shared" si="31"/>
        <v>0.18</v>
      </c>
      <c r="S40" s="2">
        <f t="shared" si="32"/>
        <v>0.2</v>
      </c>
      <c r="T40" s="2">
        <f t="shared" si="6"/>
        <v>0.18</v>
      </c>
      <c r="U40" s="2">
        <f t="shared" si="7"/>
        <v>0.2</v>
      </c>
      <c r="V40" s="2">
        <f t="shared" si="8"/>
        <v>0.18</v>
      </c>
      <c r="W40" s="2">
        <f t="shared" si="9"/>
        <v>0.2</v>
      </c>
      <c r="X40" s="2">
        <f t="shared" si="10"/>
        <v>0.18</v>
      </c>
      <c r="Y40" s="2">
        <f t="shared" si="11"/>
        <v>0.2</v>
      </c>
      <c r="Z40" s="2">
        <f t="shared" si="12"/>
        <v>0.18</v>
      </c>
      <c r="AA40" s="2">
        <f t="shared" si="13"/>
        <v>0.2</v>
      </c>
      <c r="AB40" s="2">
        <f t="shared" si="14"/>
        <v>0.18</v>
      </c>
      <c r="AC40" s="2">
        <f t="shared" si="15"/>
        <v>0.2</v>
      </c>
      <c r="AD40" s="2">
        <f t="shared" si="16"/>
        <v>0.18</v>
      </c>
      <c r="AE40" s="2">
        <f t="shared" si="17"/>
        <v>0.2</v>
      </c>
      <c r="AF40" s="2">
        <f t="shared" si="18"/>
        <v>0.18</v>
      </c>
      <c r="AG40" s="2">
        <f t="shared" si="19"/>
        <v>0.2</v>
      </c>
      <c r="AH40" s="2">
        <f t="shared" si="20"/>
        <v>0.18</v>
      </c>
    </row>
    <row r="41" spans="1:34">
      <c r="A41" t="str">
        <f t="shared" si="33"/>
        <v>Lentils</v>
      </c>
      <c r="B41" t="str">
        <f t="shared" si="34"/>
        <v>Gambela</v>
      </c>
      <c r="C41" s="2">
        <v>0.2</v>
      </c>
      <c r="D41" s="2">
        <v>0.18</v>
      </c>
      <c r="E41" s="2">
        <f t="shared" si="3"/>
        <v>0.2</v>
      </c>
      <c r="F41" s="2">
        <f t="shared" si="4"/>
        <v>0.18</v>
      </c>
      <c r="G41" s="2">
        <f t="shared" si="5"/>
        <v>0.2</v>
      </c>
      <c r="H41" s="2">
        <f t="shared" si="21"/>
        <v>0.18</v>
      </c>
      <c r="I41" s="2">
        <f t="shared" si="22"/>
        <v>0.2</v>
      </c>
      <c r="J41" s="2">
        <f t="shared" si="23"/>
        <v>0.18</v>
      </c>
      <c r="K41" s="2">
        <f t="shared" si="24"/>
        <v>0.2</v>
      </c>
      <c r="L41" s="2">
        <f t="shared" si="25"/>
        <v>0.18</v>
      </c>
      <c r="M41" s="2">
        <f t="shared" si="26"/>
        <v>0.2</v>
      </c>
      <c r="N41" s="2">
        <f t="shared" si="27"/>
        <v>0.18</v>
      </c>
      <c r="O41" s="2">
        <f t="shared" si="28"/>
        <v>0.2</v>
      </c>
      <c r="P41" s="2">
        <f t="shared" si="29"/>
        <v>0.18</v>
      </c>
      <c r="Q41" s="2">
        <f t="shared" si="30"/>
        <v>0.2</v>
      </c>
      <c r="R41" s="2">
        <f t="shared" si="31"/>
        <v>0.18</v>
      </c>
      <c r="S41" s="2">
        <f t="shared" si="32"/>
        <v>0.2</v>
      </c>
      <c r="T41" s="2">
        <f t="shared" si="6"/>
        <v>0.18</v>
      </c>
      <c r="U41" s="2">
        <f t="shared" si="7"/>
        <v>0.2</v>
      </c>
      <c r="V41" s="2">
        <f t="shared" si="8"/>
        <v>0.18</v>
      </c>
      <c r="W41" s="2">
        <f t="shared" si="9"/>
        <v>0.2</v>
      </c>
      <c r="X41" s="2">
        <f t="shared" si="10"/>
        <v>0.18</v>
      </c>
      <c r="Y41" s="2">
        <f t="shared" si="11"/>
        <v>0.2</v>
      </c>
      <c r="Z41" s="2">
        <f t="shared" si="12"/>
        <v>0.18</v>
      </c>
      <c r="AA41" s="2">
        <f t="shared" si="13"/>
        <v>0.2</v>
      </c>
      <c r="AB41" s="2">
        <f t="shared" si="14"/>
        <v>0.18</v>
      </c>
      <c r="AC41" s="2">
        <f t="shared" si="15"/>
        <v>0.2</v>
      </c>
      <c r="AD41" s="2">
        <f t="shared" si="16"/>
        <v>0.18</v>
      </c>
      <c r="AE41" s="2">
        <f t="shared" si="17"/>
        <v>0.2</v>
      </c>
      <c r="AF41" s="2">
        <f t="shared" si="18"/>
        <v>0.18</v>
      </c>
      <c r="AG41" s="2">
        <f t="shared" si="19"/>
        <v>0.2</v>
      </c>
      <c r="AH41" s="2">
        <f t="shared" si="20"/>
        <v>0.18</v>
      </c>
    </row>
    <row r="42" spans="1:34">
      <c r="A42" t="str">
        <f t="shared" si="33"/>
        <v>Lentils</v>
      </c>
      <c r="B42" t="str">
        <f t="shared" si="34"/>
        <v>Harari</v>
      </c>
      <c r="C42" s="2">
        <v>0.2</v>
      </c>
      <c r="D42" s="2">
        <v>0.18</v>
      </c>
      <c r="E42" s="2">
        <f t="shared" si="3"/>
        <v>0.2</v>
      </c>
      <c r="F42" s="2">
        <f t="shared" si="4"/>
        <v>0.18</v>
      </c>
      <c r="G42" s="2">
        <f t="shared" si="5"/>
        <v>0.2</v>
      </c>
      <c r="H42" s="2">
        <f t="shared" si="21"/>
        <v>0.18</v>
      </c>
      <c r="I42" s="2">
        <f t="shared" si="22"/>
        <v>0.2</v>
      </c>
      <c r="J42" s="2">
        <f t="shared" si="23"/>
        <v>0.18</v>
      </c>
      <c r="K42" s="2">
        <f t="shared" si="24"/>
        <v>0.2</v>
      </c>
      <c r="L42" s="2">
        <f t="shared" si="25"/>
        <v>0.18</v>
      </c>
      <c r="M42" s="2">
        <f t="shared" si="26"/>
        <v>0.2</v>
      </c>
      <c r="N42" s="2">
        <f t="shared" si="27"/>
        <v>0.18</v>
      </c>
      <c r="O42" s="2">
        <f t="shared" si="28"/>
        <v>0.2</v>
      </c>
      <c r="P42" s="2">
        <f t="shared" si="29"/>
        <v>0.18</v>
      </c>
      <c r="Q42" s="2">
        <f t="shared" si="30"/>
        <v>0.2</v>
      </c>
      <c r="R42" s="2">
        <f t="shared" si="31"/>
        <v>0.18</v>
      </c>
      <c r="S42" s="2">
        <f t="shared" si="32"/>
        <v>0.2</v>
      </c>
      <c r="T42" s="2">
        <f t="shared" si="6"/>
        <v>0.18</v>
      </c>
      <c r="U42" s="2">
        <f t="shared" si="7"/>
        <v>0.2</v>
      </c>
      <c r="V42" s="2">
        <f t="shared" si="8"/>
        <v>0.18</v>
      </c>
      <c r="W42" s="2">
        <f t="shared" si="9"/>
        <v>0.2</v>
      </c>
      <c r="X42" s="2">
        <f t="shared" si="10"/>
        <v>0.18</v>
      </c>
      <c r="Y42" s="2">
        <f t="shared" si="11"/>
        <v>0.2</v>
      </c>
      <c r="Z42" s="2">
        <f t="shared" si="12"/>
        <v>0.18</v>
      </c>
      <c r="AA42" s="2">
        <f t="shared" si="13"/>
        <v>0.2</v>
      </c>
      <c r="AB42" s="2">
        <f t="shared" si="14"/>
        <v>0.18</v>
      </c>
      <c r="AC42" s="2">
        <f t="shared" si="15"/>
        <v>0.2</v>
      </c>
      <c r="AD42" s="2">
        <f t="shared" si="16"/>
        <v>0.18</v>
      </c>
      <c r="AE42" s="2">
        <f t="shared" si="17"/>
        <v>0.2</v>
      </c>
      <c r="AF42" s="2">
        <f t="shared" si="18"/>
        <v>0.18</v>
      </c>
      <c r="AG42" s="2">
        <f t="shared" si="19"/>
        <v>0.2</v>
      </c>
      <c r="AH42" s="2">
        <f t="shared" si="20"/>
        <v>0.18</v>
      </c>
    </row>
    <row r="43" spans="1:34">
      <c r="A43" t="str">
        <f t="shared" si="33"/>
        <v>Lentils</v>
      </c>
      <c r="B43" t="str">
        <f t="shared" si="34"/>
        <v>Oromia</v>
      </c>
      <c r="C43" s="2">
        <v>0.2</v>
      </c>
      <c r="D43" s="2">
        <v>0.18</v>
      </c>
      <c r="E43" s="2">
        <f t="shared" si="3"/>
        <v>0.2</v>
      </c>
      <c r="F43" s="2">
        <f t="shared" si="4"/>
        <v>0.18</v>
      </c>
      <c r="G43" s="2">
        <f t="shared" si="5"/>
        <v>0.2</v>
      </c>
      <c r="H43" s="2">
        <f t="shared" si="21"/>
        <v>0.18</v>
      </c>
      <c r="I43" s="2">
        <f t="shared" si="22"/>
        <v>0.2</v>
      </c>
      <c r="J43" s="2">
        <f t="shared" si="23"/>
        <v>0.18</v>
      </c>
      <c r="K43" s="2">
        <f t="shared" si="24"/>
        <v>0.2</v>
      </c>
      <c r="L43" s="2">
        <f t="shared" si="25"/>
        <v>0.18</v>
      </c>
      <c r="M43" s="2">
        <f t="shared" si="26"/>
        <v>0.2</v>
      </c>
      <c r="N43" s="2">
        <f t="shared" si="27"/>
        <v>0.18</v>
      </c>
      <c r="O43" s="2">
        <f t="shared" si="28"/>
        <v>0.2</v>
      </c>
      <c r="P43" s="2">
        <f t="shared" si="29"/>
        <v>0.18</v>
      </c>
      <c r="Q43" s="2">
        <f t="shared" si="30"/>
        <v>0.2</v>
      </c>
      <c r="R43" s="2">
        <f t="shared" si="31"/>
        <v>0.18</v>
      </c>
      <c r="S43" s="2">
        <f t="shared" si="32"/>
        <v>0.2</v>
      </c>
      <c r="T43" s="2">
        <f t="shared" si="6"/>
        <v>0.18</v>
      </c>
      <c r="U43" s="2">
        <f t="shared" si="7"/>
        <v>0.2</v>
      </c>
      <c r="V43" s="2">
        <f t="shared" si="8"/>
        <v>0.18</v>
      </c>
      <c r="W43" s="2">
        <f t="shared" si="9"/>
        <v>0.2</v>
      </c>
      <c r="X43" s="2">
        <f t="shared" si="10"/>
        <v>0.18</v>
      </c>
      <c r="Y43" s="2">
        <f t="shared" si="11"/>
        <v>0.2</v>
      </c>
      <c r="Z43" s="2">
        <f t="shared" si="12"/>
        <v>0.18</v>
      </c>
      <c r="AA43" s="2">
        <f t="shared" si="13"/>
        <v>0.2</v>
      </c>
      <c r="AB43" s="2">
        <f t="shared" si="14"/>
        <v>0.18</v>
      </c>
      <c r="AC43" s="2">
        <f t="shared" si="15"/>
        <v>0.2</v>
      </c>
      <c r="AD43" s="2">
        <f t="shared" si="16"/>
        <v>0.18</v>
      </c>
      <c r="AE43" s="2">
        <f t="shared" si="17"/>
        <v>0.2</v>
      </c>
      <c r="AF43" s="2">
        <f t="shared" si="18"/>
        <v>0.18</v>
      </c>
      <c r="AG43" s="2">
        <f t="shared" si="19"/>
        <v>0.2</v>
      </c>
      <c r="AH43" s="2">
        <f t="shared" si="20"/>
        <v>0.18</v>
      </c>
    </row>
    <row r="44" spans="1:34">
      <c r="A44" t="str">
        <f t="shared" si="33"/>
        <v>Lentils</v>
      </c>
      <c r="B44" t="str">
        <f t="shared" si="34"/>
        <v>Somali</v>
      </c>
      <c r="C44" s="2">
        <v>0.2</v>
      </c>
      <c r="D44" s="2">
        <v>0.18</v>
      </c>
      <c r="E44" s="2">
        <f t="shared" si="3"/>
        <v>0.2</v>
      </c>
      <c r="F44" s="2">
        <f t="shared" si="4"/>
        <v>0.18</v>
      </c>
      <c r="G44" s="2">
        <f t="shared" si="5"/>
        <v>0.2</v>
      </c>
      <c r="H44" s="2">
        <f t="shared" si="21"/>
        <v>0.18</v>
      </c>
      <c r="I44" s="2">
        <f t="shared" si="22"/>
        <v>0.2</v>
      </c>
      <c r="J44" s="2">
        <f t="shared" si="23"/>
        <v>0.18</v>
      </c>
      <c r="K44" s="2">
        <f t="shared" si="24"/>
        <v>0.2</v>
      </c>
      <c r="L44" s="2">
        <f t="shared" si="25"/>
        <v>0.18</v>
      </c>
      <c r="M44" s="2">
        <f t="shared" si="26"/>
        <v>0.2</v>
      </c>
      <c r="N44" s="2">
        <f t="shared" si="27"/>
        <v>0.18</v>
      </c>
      <c r="O44" s="2">
        <f t="shared" si="28"/>
        <v>0.2</v>
      </c>
      <c r="P44" s="2">
        <f t="shared" si="29"/>
        <v>0.18</v>
      </c>
      <c r="Q44" s="2">
        <f t="shared" si="30"/>
        <v>0.2</v>
      </c>
      <c r="R44" s="2">
        <f t="shared" si="31"/>
        <v>0.18</v>
      </c>
      <c r="S44" s="2">
        <f t="shared" si="32"/>
        <v>0.2</v>
      </c>
      <c r="T44" s="2">
        <f t="shared" si="6"/>
        <v>0.18</v>
      </c>
      <c r="U44" s="2">
        <f t="shared" si="7"/>
        <v>0.2</v>
      </c>
      <c r="V44" s="2">
        <f t="shared" si="8"/>
        <v>0.18</v>
      </c>
      <c r="W44" s="2">
        <f t="shared" si="9"/>
        <v>0.2</v>
      </c>
      <c r="X44" s="2">
        <f t="shared" si="10"/>
        <v>0.18</v>
      </c>
      <c r="Y44" s="2">
        <f t="shared" si="11"/>
        <v>0.2</v>
      </c>
      <c r="Z44" s="2">
        <f t="shared" si="12"/>
        <v>0.18</v>
      </c>
      <c r="AA44" s="2">
        <f t="shared" si="13"/>
        <v>0.2</v>
      </c>
      <c r="AB44" s="2">
        <f t="shared" si="14"/>
        <v>0.18</v>
      </c>
      <c r="AC44" s="2">
        <f t="shared" si="15"/>
        <v>0.2</v>
      </c>
      <c r="AD44" s="2">
        <f t="shared" si="16"/>
        <v>0.18</v>
      </c>
      <c r="AE44" s="2">
        <f t="shared" si="17"/>
        <v>0.2</v>
      </c>
      <c r="AF44" s="2">
        <f t="shared" si="18"/>
        <v>0.18</v>
      </c>
      <c r="AG44" s="2">
        <f t="shared" si="19"/>
        <v>0.2</v>
      </c>
      <c r="AH44" s="2">
        <f t="shared" si="20"/>
        <v>0.18</v>
      </c>
    </row>
    <row r="45" spans="1:34">
      <c r="A45" t="str">
        <f t="shared" si="33"/>
        <v>Lentils</v>
      </c>
      <c r="B45" t="str">
        <f t="shared" si="34"/>
        <v>SNNPR</v>
      </c>
      <c r="C45" s="2">
        <v>0.2</v>
      </c>
      <c r="D45" s="2">
        <v>0.18</v>
      </c>
      <c r="E45" s="2">
        <f t="shared" si="3"/>
        <v>0.2</v>
      </c>
      <c r="F45" s="2">
        <f t="shared" si="4"/>
        <v>0.18</v>
      </c>
      <c r="G45" s="2">
        <f t="shared" si="5"/>
        <v>0.2</v>
      </c>
      <c r="H45" s="2">
        <f t="shared" si="21"/>
        <v>0.18</v>
      </c>
      <c r="I45" s="2">
        <f t="shared" si="22"/>
        <v>0.2</v>
      </c>
      <c r="J45" s="2">
        <f t="shared" si="23"/>
        <v>0.18</v>
      </c>
      <c r="K45" s="2">
        <f t="shared" si="24"/>
        <v>0.2</v>
      </c>
      <c r="L45" s="2">
        <f t="shared" si="25"/>
        <v>0.18</v>
      </c>
      <c r="M45" s="2">
        <f t="shared" si="26"/>
        <v>0.2</v>
      </c>
      <c r="N45" s="2">
        <f t="shared" si="27"/>
        <v>0.18</v>
      </c>
      <c r="O45" s="2">
        <f t="shared" si="28"/>
        <v>0.2</v>
      </c>
      <c r="P45" s="2">
        <f t="shared" si="29"/>
        <v>0.18</v>
      </c>
      <c r="Q45" s="2">
        <f t="shared" si="30"/>
        <v>0.2</v>
      </c>
      <c r="R45" s="2">
        <f t="shared" si="31"/>
        <v>0.18</v>
      </c>
      <c r="S45" s="2">
        <f t="shared" si="32"/>
        <v>0.2</v>
      </c>
      <c r="T45" s="2">
        <f t="shared" si="6"/>
        <v>0.18</v>
      </c>
      <c r="U45" s="2">
        <f t="shared" si="7"/>
        <v>0.2</v>
      </c>
      <c r="V45" s="2">
        <f t="shared" si="8"/>
        <v>0.18</v>
      </c>
      <c r="W45" s="2">
        <f t="shared" si="9"/>
        <v>0.2</v>
      </c>
      <c r="X45" s="2">
        <f t="shared" si="10"/>
        <v>0.18</v>
      </c>
      <c r="Y45" s="2">
        <f t="shared" si="11"/>
        <v>0.2</v>
      </c>
      <c r="Z45" s="2">
        <f t="shared" si="12"/>
        <v>0.18</v>
      </c>
      <c r="AA45" s="2">
        <f t="shared" si="13"/>
        <v>0.2</v>
      </c>
      <c r="AB45" s="2">
        <f t="shared" si="14"/>
        <v>0.18</v>
      </c>
      <c r="AC45" s="2">
        <f t="shared" si="15"/>
        <v>0.2</v>
      </c>
      <c r="AD45" s="2">
        <f t="shared" si="16"/>
        <v>0.18</v>
      </c>
      <c r="AE45" s="2">
        <f t="shared" si="17"/>
        <v>0.2</v>
      </c>
      <c r="AF45" s="2">
        <f t="shared" si="18"/>
        <v>0.18</v>
      </c>
      <c r="AG45" s="2">
        <f t="shared" si="19"/>
        <v>0.2</v>
      </c>
      <c r="AH45" s="2">
        <f t="shared" si="20"/>
        <v>0.18</v>
      </c>
    </row>
    <row r="46" spans="1:34">
      <c r="A46" t="str">
        <f t="shared" ref="A46:A68" si="35">INDEX(Food,MATCH(A35,Food,0)+1)</f>
        <v>Lentils</v>
      </c>
      <c r="B46" t="str">
        <f t="shared" si="34"/>
        <v>Tigray</v>
      </c>
      <c r="C46" s="2">
        <v>0.2</v>
      </c>
      <c r="D46" s="2">
        <v>0.18</v>
      </c>
      <c r="E46" s="2">
        <f t="shared" si="3"/>
        <v>0.2</v>
      </c>
      <c r="F46" s="2">
        <f t="shared" si="4"/>
        <v>0.18</v>
      </c>
      <c r="G46" s="2">
        <f t="shared" si="5"/>
        <v>0.2</v>
      </c>
      <c r="H46" s="2">
        <f t="shared" si="21"/>
        <v>0.18</v>
      </c>
      <c r="I46" s="2">
        <f t="shared" si="22"/>
        <v>0.2</v>
      </c>
      <c r="J46" s="2">
        <f t="shared" si="23"/>
        <v>0.18</v>
      </c>
      <c r="K46" s="2">
        <f t="shared" si="24"/>
        <v>0.2</v>
      </c>
      <c r="L46" s="2">
        <f t="shared" si="25"/>
        <v>0.18</v>
      </c>
      <c r="M46" s="2">
        <f t="shared" si="26"/>
        <v>0.2</v>
      </c>
      <c r="N46" s="2">
        <f t="shared" si="27"/>
        <v>0.18</v>
      </c>
      <c r="O46" s="2">
        <f t="shared" si="28"/>
        <v>0.2</v>
      </c>
      <c r="P46" s="2">
        <f t="shared" si="29"/>
        <v>0.18</v>
      </c>
      <c r="Q46" s="2">
        <f t="shared" si="30"/>
        <v>0.2</v>
      </c>
      <c r="R46" s="2">
        <f t="shared" si="31"/>
        <v>0.18</v>
      </c>
      <c r="S46" s="2">
        <f t="shared" si="32"/>
        <v>0.2</v>
      </c>
      <c r="T46" s="2">
        <f t="shared" si="6"/>
        <v>0.18</v>
      </c>
      <c r="U46" s="2">
        <f t="shared" si="7"/>
        <v>0.2</v>
      </c>
      <c r="V46" s="2">
        <f t="shared" si="8"/>
        <v>0.18</v>
      </c>
      <c r="W46" s="2">
        <f t="shared" si="9"/>
        <v>0.2</v>
      </c>
      <c r="X46" s="2">
        <f t="shared" si="10"/>
        <v>0.18</v>
      </c>
      <c r="Y46" s="2">
        <f t="shared" si="11"/>
        <v>0.2</v>
      </c>
      <c r="Z46" s="2">
        <f t="shared" si="12"/>
        <v>0.18</v>
      </c>
      <c r="AA46" s="2">
        <f t="shared" si="13"/>
        <v>0.2</v>
      </c>
      <c r="AB46" s="2">
        <f t="shared" si="14"/>
        <v>0.18</v>
      </c>
      <c r="AC46" s="2">
        <f t="shared" si="15"/>
        <v>0.2</v>
      </c>
      <c r="AD46" s="2">
        <f t="shared" si="16"/>
        <v>0.18</v>
      </c>
      <c r="AE46" s="2">
        <f t="shared" si="17"/>
        <v>0.2</v>
      </c>
      <c r="AF46" s="2">
        <f t="shared" si="18"/>
        <v>0.18</v>
      </c>
      <c r="AG46" s="2">
        <f t="shared" si="19"/>
        <v>0.2</v>
      </c>
      <c r="AH46" s="2">
        <f t="shared" si="20"/>
        <v>0.18</v>
      </c>
    </row>
    <row r="47" spans="1:34">
      <c r="A47" t="str">
        <f t="shared" si="35"/>
        <v>Vegetables</v>
      </c>
      <c r="B47" t="str">
        <f t="shared" si="34"/>
        <v>AddisAbaba</v>
      </c>
      <c r="C47" s="2">
        <v>0.2</v>
      </c>
      <c r="D47" s="2">
        <v>0.18</v>
      </c>
      <c r="E47" s="2">
        <f t="shared" si="3"/>
        <v>0.2</v>
      </c>
      <c r="F47" s="2">
        <f t="shared" si="4"/>
        <v>0.18</v>
      </c>
      <c r="G47" s="2">
        <f t="shared" si="5"/>
        <v>0.2</v>
      </c>
      <c r="H47" s="2">
        <f t="shared" si="21"/>
        <v>0.18</v>
      </c>
      <c r="I47" s="2">
        <f t="shared" si="22"/>
        <v>0.2</v>
      </c>
      <c r="J47" s="2">
        <f t="shared" si="23"/>
        <v>0.18</v>
      </c>
      <c r="K47" s="2">
        <f t="shared" si="24"/>
        <v>0.2</v>
      </c>
      <c r="L47" s="2">
        <f t="shared" si="25"/>
        <v>0.18</v>
      </c>
      <c r="M47" s="2">
        <f t="shared" si="26"/>
        <v>0.2</v>
      </c>
      <c r="N47" s="2">
        <f t="shared" si="27"/>
        <v>0.18</v>
      </c>
      <c r="O47" s="2">
        <f t="shared" si="28"/>
        <v>0.2</v>
      </c>
      <c r="P47" s="2">
        <f t="shared" si="29"/>
        <v>0.18</v>
      </c>
      <c r="Q47" s="2">
        <f t="shared" si="30"/>
        <v>0.2</v>
      </c>
      <c r="R47" s="2">
        <f t="shared" si="31"/>
        <v>0.18</v>
      </c>
      <c r="S47" s="2">
        <f t="shared" si="32"/>
        <v>0.2</v>
      </c>
      <c r="T47" s="2">
        <f t="shared" si="6"/>
        <v>0.18</v>
      </c>
      <c r="U47" s="2">
        <f t="shared" si="7"/>
        <v>0.2</v>
      </c>
      <c r="V47" s="2">
        <f t="shared" si="8"/>
        <v>0.18</v>
      </c>
      <c r="W47" s="2">
        <f t="shared" si="9"/>
        <v>0.2</v>
      </c>
      <c r="X47" s="2">
        <f t="shared" si="10"/>
        <v>0.18</v>
      </c>
      <c r="Y47" s="2">
        <f t="shared" si="11"/>
        <v>0.2</v>
      </c>
      <c r="Z47" s="2">
        <f t="shared" si="12"/>
        <v>0.18</v>
      </c>
      <c r="AA47" s="2">
        <f t="shared" si="13"/>
        <v>0.2</v>
      </c>
      <c r="AB47" s="2">
        <f t="shared" si="14"/>
        <v>0.18</v>
      </c>
      <c r="AC47" s="2">
        <f t="shared" si="15"/>
        <v>0.2</v>
      </c>
      <c r="AD47" s="2">
        <f t="shared" si="16"/>
        <v>0.18</v>
      </c>
      <c r="AE47" s="2">
        <f t="shared" si="17"/>
        <v>0.2</v>
      </c>
      <c r="AF47" s="2">
        <f t="shared" si="18"/>
        <v>0.18</v>
      </c>
      <c r="AG47" s="2">
        <f t="shared" si="19"/>
        <v>0.2</v>
      </c>
      <c r="AH47" s="2">
        <f t="shared" si="20"/>
        <v>0.18</v>
      </c>
    </row>
    <row r="48" spans="1:34">
      <c r="A48" t="str">
        <f t="shared" si="35"/>
        <v>Vegetables</v>
      </c>
      <c r="B48" t="str">
        <f t="shared" si="34"/>
        <v>Afar</v>
      </c>
      <c r="C48" s="2">
        <v>0.2</v>
      </c>
      <c r="D48" s="2">
        <v>0.18</v>
      </c>
      <c r="E48" s="2">
        <f t="shared" si="3"/>
        <v>0.2</v>
      </c>
      <c r="F48" s="2">
        <f t="shared" si="4"/>
        <v>0.18</v>
      </c>
      <c r="G48" s="2">
        <f t="shared" si="5"/>
        <v>0.2</v>
      </c>
      <c r="H48" s="2">
        <f t="shared" si="21"/>
        <v>0.18</v>
      </c>
      <c r="I48" s="2">
        <f t="shared" si="22"/>
        <v>0.2</v>
      </c>
      <c r="J48" s="2">
        <f t="shared" si="23"/>
        <v>0.18</v>
      </c>
      <c r="K48" s="2">
        <f t="shared" si="24"/>
        <v>0.2</v>
      </c>
      <c r="L48" s="2">
        <f t="shared" si="25"/>
        <v>0.18</v>
      </c>
      <c r="M48" s="2">
        <f t="shared" si="26"/>
        <v>0.2</v>
      </c>
      <c r="N48" s="2">
        <f t="shared" si="27"/>
        <v>0.18</v>
      </c>
      <c r="O48" s="2">
        <f t="shared" si="28"/>
        <v>0.2</v>
      </c>
      <c r="P48" s="2">
        <f t="shared" si="29"/>
        <v>0.18</v>
      </c>
      <c r="Q48" s="2">
        <f t="shared" si="30"/>
        <v>0.2</v>
      </c>
      <c r="R48" s="2">
        <f t="shared" si="31"/>
        <v>0.18</v>
      </c>
      <c r="S48" s="2">
        <f t="shared" si="32"/>
        <v>0.2</v>
      </c>
      <c r="T48" s="2">
        <f t="shared" si="6"/>
        <v>0.18</v>
      </c>
      <c r="U48" s="2">
        <f t="shared" si="7"/>
        <v>0.2</v>
      </c>
      <c r="V48" s="2">
        <f t="shared" si="8"/>
        <v>0.18</v>
      </c>
      <c r="W48" s="2">
        <f t="shared" si="9"/>
        <v>0.2</v>
      </c>
      <c r="X48" s="2">
        <f t="shared" si="10"/>
        <v>0.18</v>
      </c>
      <c r="Y48" s="2">
        <f t="shared" si="11"/>
        <v>0.2</v>
      </c>
      <c r="Z48" s="2">
        <f t="shared" si="12"/>
        <v>0.18</v>
      </c>
      <c r="AA48" s="2">
        <f t="shared" si="13"/>
        <v>0.2</v>
      </c>
      <c r="AB48" s="2">
        <f t="shared" si="14"/>
        <v>0.18</v>
      </c>
      <c r="AC48" s="2">
        <f t="shared" si="15"/>
        <v>0.2</v>
      </c>
      <c r="AD48" s="2">
        <f t="shared" si="16"/>
        <v>0.18</v>
      </c>
      <c r="AE48" s="2">
        <f t="shared" si="17"/>
        <v>0.2</v>
      </c>
      <c r="AF48" s="2">
        <f t="shared" si="18"/>
        <v>0.18</v>
      </c>
      <c r="AG48" s="2">
        <f t="shared" si="19"/>
        <v>0.2</v>
      </c>
      <c r="AH48" s="2">
        <f t="shared" si="20"/>
        <v>0.18</v>
      </c>
    </row>
    <row r="49" spans="1:34">
      <c r="A49" t="str">
        <f t="shared" si="35"/>
        <v>Vegetables</v>
      </c>
      <c r="B49" t="str">
        <f t="shared" si="34"/>
        <v>Amhara</v>
      </c>
      <c r="C49" s="2">
        <v>0.2</v>
      </c>
      <c r="D49" s="2">
        <v>0.18</v>
      </c>
      <c r="E49" s="2">
        <f t="shared" si="3"/>
        <v>0.2</v>
      </c>
      <c r="F49" s="2">
        <f t="shared" si="4"/>
        <v>0.18</v>
      </c>
      <c r="G49" s="2">
        <f t="shared" si="5"/>
        <v>0.2</v>
      </c>
      <c r="H49" s="2">
        <f t="shared" si="21"/>
        <v>0.18</v>
      </c>
      <c r="I49" s="2">
        <f t="shared" si="22"/>
        <v>0.2</v>
      </c>
      <c r="J49" s="2">
        <f t="shared" si="23"/>
        <v>0.18</v>
      </c>
      <c r="K49" s="2">
        <f t="shared" si="24"/>
        <v>0.2</v>
      </c>
      <c r="L49" s="2">
        <f t="shared" si="25"/>
        <v>0.18</v>
      </c>
      <c r="M49" s="2">
        <f t="shared" si="26"/>
        <v>0.2</v>
      </c>
      <c r="N49" s="2">
        <f t="shared" si="27"/>
        <v>0.18</v>
      </c>
      <c r="O49" s="2">
        <f t="shared" si="28"/>
        <v>0.2</v>
      </c>
      <c r="P49" s="2">
        <f t="shared" si="29"/>
        <v>0.18</v>
      </c>
      <c r="Q49" s="2">
        <f t="shared" si="30"/>
        <v>0.2</v>
      </c>
      <c r="R49" s="2">
        <f t="shared" si="31"/>
        <v>0.18</v>
      </c>
      <c r="S49" s="2">
        <f t="shared" si="32"/>
        <v>0.2</v>
      </c>
      <c r="T49" s="2">
        <f t="shared" si="6"/>
        <v>0.18</v>
      </c>
      <c r="U49" s="2">
        <f t="shared" si="7"/>
        <v>0.2</v>
      </c>
      <c r="V49" s="2">
        <f t="shared" si="8"/>
        <v>0.18</v>
      </c>
      <c r="W49" s="2">
        <f t="shared" si="9"/>
        <v>0.2</v>
      </c>
      <c r="X49" s="2">
        <f t="shared" si="10"/>
        <v>0.18</v>
      </c>
      <c r="Y49" s="2">
        <f t="shared" si="11"/>
        <v>0.2</v>
      </c>
      <c r="Z49" s="2">
        <f t="shared" si="12"/>
        <v>0.18</v>
      </c>
      <c r="AA49" s="2">
        <f t="shared" si="13"/>
        <v>0.2</v>
      </c>
      <c r="AB49" s="2">
        <f t="shared" si="14"/>
        <v>0.18</v>
      </c>
      <c r="AC49" s="2">
        <f t="shared" si="15"/>
        <v>0.2</v>
      </c>
      <c r="AD49" s="2">
        <f t="shared" si="16"/>
        <v>0.18</v>
      </c>
      <c r="AE49" s="2">
        <f t="shared" si="17"/>
        <v>0.2</v>
      </c>
      <c r="AF49" s="2">
        <f t="shared" si="18"/>
        <v>0.18</v>
      </c>
      <c r="AG49" s="2">
        <f t="shared" si="19"/>
        <v>0.2</v>
      </c>
      <c r="AH49" s="2">
        <f t="shared" si="20"/>
        <v>0.18</v>
      </c>
    </row>
    <row r="50" spans="1:34">
      <c r="A50" t="str">
        <f t="shared" si="35"/>
        <v>Vegetables</v>
      </c>
      <c r="B50" t="str">
        <f t="shared" si="34"/>
        <v>Gumuz</v>
      </c>
      <c r="C50" s="2">
        <v>0.2</v>
      </c>
      <c r="D50" s="2">
        <v>0.18</v>
      </c>
      <c r="E50" s="2">
        <f t="shared" si="3"/>
        <v>0.2</v>
      </c>
      <c r="F50" s="2">
        <f t="shared" si="4"/>
        <v>0.18</v>
      </c>
      <c r="G50" s="2">
        <f t="shared" si="5"/>
        <v>0.2</v>
      </c>
      <c r="H50" s="2">
        <f t="shared" si="21"/>
        <v>0.18</v>
      </c>
      <c r="I50" s="2">
        <f t="shared" si="22"/>
        <v>0.2</v>
      </c>
      <c r="J50" s="2">
        <f t="shared" si="23"/>
        <v>0.18</v>
      </c>
      <c r="K50" s="2">
        <f t="shared" si="24"/>
        <v>0.2</v>
      </c>
      <c r="L50" s="2">
        <f t="shared" si="25"/>
        <v>0.18</v>
      </c>
      <c r="M50" s="2">
        <f t="shared" si="26"/>
        <v>0.2</v>
      </c>
      <c r="N50" s="2">
        <f t="shared" si="27"/>
        <v>0.18</v>
      </c>
      <c r="O50" s="2">
        <f t="shared" si="28"/>
        <v>0.2</v>
      </c>
      <c r="P50" s="2">
        <f t="shared" si="29"/>
        <v>0.18</v>
      </c>
      <c r="Q50" s="2">
        <f t="shared" si="30"/>
        <v>0.2</v>
      </c>
      <c r="R50" s="2">
        <f t="shared" si="31"/>
        <v>0.18</v>
      </c>
      <c r="S50" s="2">
        <f t="shared" si="32"/>
        <v>0.2</v>
      </c>
      <c r="T50" s="2">
        <f t="shared" si="6"/>
        <v>0.18</v>
      </c>
      <c r="U50" s="2">
        <f t="shared" si="7"/>
        <v>0.2</v>
      </c>
      <c r="V50" s="2">
        <f t="shared" si="8"/>
        <v>0.18</v>
      </c>
      <c r="W50" s="2">
        <f t="shared" si="9"/>
        <v>0.2</v>
      </c>
      <c r="X50" s="2">
        <f t="shared" si="10"/>
        <v>0.18</v>
      </c>
      <c r="Y50" s="2">
        <f t="shared" si="11"/>
        <v>0.2</v>
      </c>
      <c r="Z50" s="2">
        <f t="shared" si="12"/>
        <v>0.18</v>
      </c>
      <c r="AA50" s="2">
        <f t="shared" si="13"/>
        <v>0.2</v>
      </c>
      <c r="AB50" s="2">
        <f t="shared" si="14"/>
        <v>0.18</v>
      </c>
      <c r="AC50" s="2">
        <f t="shared" si="15"/>
        <v>0.2</v>
      </c>
      <c r="AD50" s="2">
        <f t="shared" si="16"/>
        <v>0.18</v>
      </c>
      <c r="AE50" s="2">
        <f t="shared" si="17"/>
        <v>0.2</v>
      </c>
      <c r="AF50" s="2">
        <f t="shared" si="18"/>
        <v>0.18</v>
      </c>
      <c r="AG50" s="2">
        <f t="shared" si="19"/>
        <v>0.2</v>
      </c>
      <c r="AH50" s="2">
        <f t="shared" si="20"/>
        <v>0.18</v>
      </c>
    </row>
    <row r="51" spans="1:34">
      <c r="A51" t="str">
        <f t="shared" si="35"/>
        <v>Vegetables</v>
      </c>
      <c r="B51" t="str">
        <f t="shared" si="34"/>
        <v>DireDawa</v>
      </c>
      <c r="C51" s="2">
        <v>0.2</v>
      </c>
      <c r="D51" s="2">
        <v>0.18</v>
      </c>
      <c r="E51" s="2">
        <f t="shared" si="3"/>
        <v>0.2</v>
      </c>
      <c r="F51" s="2">
        <f t="shared" si="4"/>
        <v>0.18</v>
      </c>
      <c r="G51" s="2">
        <f t="shared" si="5"/>
        <v>0.2</v>
      </c>
      <c r="H51" s="2">
        <f t="shared" si="21"/>
        <v>0.18</v>
      </c>
      <c r="I51" s="2">
        <f t="shared" si="22"/>
        <v>0.2</v>
      </c>
      <c r="J51" s="2">
        <f t="shared" si="23"/>
        <v>0.18</v>
      </c>
      <c r="K51" s="2">
        <f t="shared" si="24"/>
        <v>0.2</v>
      </c>
      <c r="L51" s="2">
        <f t="shared" si="25"/>
        <v>0.18</v>
      </c>
      <c r="M51" s="2">
        <f t="shared" si="26"/>
        <v>0.2</v>
      </c>
      <c r="N51" s="2">
        <f t="shared" si="27"/>
        <v>0.18</v>
      </c>
      <c r="O51" s="2">
        <f t="shared" si="28"/>
        <v>0.2</v>
      </c>
      <c r="P51" s="2">
        <f t="shared" si="29"/>
        <v>0.18</v>
      </c>
      <c r="Q51" s="2">
        <f t="shared" si="30"/>
        <v>0.2</v>
      </c>
      <c r="R51" s="2">
        <f t="shared" si="31"/>
        <v>0.18</v>
      </c>
      <c r="S51" s="2">
        <f t="shared" si="32"/>
        <v>0.2</v>
      </c>
      <c r="T51" s="2">
        <f t="shared" si="6"/>
        <v>0.18</v>
      </c>
      <c r="U51" s="2">
        <f t="shared" si="7"/>
        <v>0.2</v>
      </c>
      <c r="V51" s="2">
        <f t="shared" si="8"/>
        <v>0.18</v>
      </c>
      <c r="W51" s="2">
        <f t="shared" si="9"/>
        <v>0.2</v>
      </c>
      <c r="X51" s="2">
        <f t="shared" si="10"/>
        <v>0.18</v>
      </c>
      <c r="Y51" s="2">
        <f t="shared" si="11"/>
        <v>0.2</v>
      </c>
      <c r="Z51" s="2">
        <f t="shared" si="12"/>
        <v>0.18</v>
      </c>
      <c r="AA51" s="2">
        <f t="shared" si="13"/>
        <v>0.2</v>
      </c>
      <c r="AB51" s="2">
        <f t="shared" si="14"/>
        <v>0.18</v>
      </c>
      <c r="AC51" s="2">
        <f t="shared" si="15"/>
        <v>0.2</v>
      </c>
      <c r="AD51" s="2">
        <f t="shared" si="16"/>
        <v>0.18</v>
      </c>
      <c r="AE51" s="2">
        <f t="shared" si="17"/>
        <v>0.2</v>
      </c>
      <c r="AF51" s="2">
        <f t="shared" si="18"/>
        <v>0.18</v>
      </c>
      <c r="AG51" s="2">
        <f t="shared" si="19"/>
        <v>0.2</v>
      </c>
      <c r="AH51" s="2">
        <f t="shared" si="20"/>
        <v>0.18</v>
      </c>
    </row>
    <row r="52" spans="1:34">
      <c r="A52" t="str">
        <f t="shared" si="35"/>
        <v>Vegetables</v>
      </c>
      <c r="B52" t="str">
        <f t="shared" si="34"/>
        <v>Gambela</v>
      </c>
      <c r="C52" s="2">
        <v>0.2</v>
      </c>
      <c r="D52" s="2">
        <v>0.18</v>
      </c>
      <c r="E52" s="2">
        <f t="shared" si="3"/>
        <v>0.2</v>
      </c>
      <c r="F52" s="2">
        <f t="shared" si="4"/>
        <v>0.18</v>
      </c>
      <c r="G52" s="2">
        <f t="shared" si="5"/>
        <v>0.2</v>
      </c>
      <c r="H52" s="2">
        <f t="shared" si="21"/>
        <v>0.18</v>
      </c>
      <c r="I52" s="2">
        <f t="shared" si="22"/>
        <v>0.2</v>
      </c>
      <c r="J52" s="2">
        <f t="shared" si="23"/>
        <v>0.18</v>
      </c>
      <c r="K52" s="2">
        <f t="shared" si="24"/>
        <v>0.2</v>
      </c>
      <c r="L52" s="2">
        <f t="shared" si="25"/>
        <v>0.18</v>
      </c>
      <c r="M52" s="2">
        <f t="shared" si="26"/>
        <v>0.2</v>
      </c>
      <c r="N52" s="2">
        <f t="shared" si="27"/>
        <v>0.18</v>
      </c>
      <c r="O52" s="2">
        <f t="shared" si="28"/>
        <v>0.2</v>
      </c>
      <c r="P52" s="2">
        <f t="shared" si="29"/>
        <v>0.18</v>
      </c>
      <c r="Q52" s="2">
        <f t="shared" si="30"/>
        <v>0.2</v>
      </c>
      <c r="R52" s="2">
        <f t="shared" si="31"/>
        <v>0.18</v>
      </c>
      <c r="S52" s="2">
        <f t="shared" si="32"/>
        <v>0.2</v>
      </c>
      <c r="T52" s="2">
        <f t="shared" si="6"/>
        <v>0.18</v>
      </c>
      <c r="U52" s="2">
        <f t="shared" si="7"/>
        <v>0.2</v>
      </c>
      <c r="V52" s="2">
        <f t="shared" si="8"/>
        <v>0.18</v>
      </c>
      <c r="W52" s="2">
        <f t="shared" si="9"/>
        <v>0.2</v>
      </c>
      <c r="X52" s="2">
        <f t="shared" si="10"/>
        <v>0.18</v>
      </c>
      <c r="Y52" s="2">
        <f t="shared" si="11"/>
        <v>0.2</v>
      </c>
      <c r="Z52" s="2">
        <f t="shared" si="12"/>
        <v>0.18</v>
      </c>
      <c r="AA52" s="2">
        <f t="shared" si="13"/>
        <v>0.2</v>
      </c>
      <c r="AB52" s="2">
        <f t="shared" si="14"/>
        <v>0.18</v>
      </c>
      <c r="AC52" s="2">
        <f t="shared" si="15"/>
        <v>0.2</v>
      </c>
      <c r="AD52" s="2">
        <f t="shared" si="16"/>
        <v>0.18</v>
      </c>
      <c r="AE52" s="2">
        <f t="shared" si="17"/>
        <v>0.2</v>
      </c>
      <c r="AF52" s="2">
        <f t="shared" si="18"/>
        <v>0.18</v>
      </c>
      <c r="AG52" s="2">
        <f t="shared" si="19"/>
        <v>0.2</v>
      </c>
      <c r="AH52" s="2">
        <f t="shared" si="20"/>
        <v>0.18</v>
      </c>
    </row>
    <row r="53" spans="1:34">
      <c r="A53" t="str">
        <f t="shared" si="35"/>
        <v>Vegetables</v>
      </c>
      <c r="B53" t="str">
        <f t="shared" si="34"/>
        <v>Harari</v>
      </c>
      <c r="C53" s="2">
        <v>0.2</v>
      </c>
      <c r="D53" s="2">
        <v>0.18</v>
      </c>
      <c r="E53" s="2">
        <f t="shared" si="3"/>
        <v>0.2</v>
      </c>
      <c r="F53" s="2">
        <f t="shared" si="4"/>
        <v>0.18</v>
      </c>
      <c r="G53" s="2">
        <f t="shared" si="5"/>
        <v>0.2</v>
      </c>
      <c r="H53" s="2">
        <f t="shared" si="21"/>
        <v>0.18</v>
      </c>
      <c r="I53" s="2">
        <f t="shared" si="22"/>
        <v>0.2</v>
      </c>
      <c r="J53" s="2">
        <f t="shared" si="23"/>
        <v>0.18</v>
      </c>
      <c r="K53" s="2">
        <f t="shared" si="24"/>
        <v>0.2</v>
      </c>
      <c r="L53" s="2">
        <f t="shared" si="25"/>
        <v>0.18</v>
      </c>
      <c r="M53" s="2">
        <f t="shared" si="26"/>
        <v>0.2</v>
      </c>
      <c r="N53" s="2">
        <f t="shared" si="27"/>
        <v>0.18</v>
      </c>
      <c r="O53" s="2">
        <f t="shared" si="28"/>
        <v>0.2</v>
      </c>
      <c r="P53" s="2">
        <f t="shared" si="29"/>
        <v>0.18</v>
      </c>
      <c r="Q53" s="2">
        <f t="shared" si="30"/>
        <v>0.2</v>
      </c>
      <c r="R53" s="2">
        <f t="shared" si="31"/>
        <v>0.18</v>
      </c>
      <c r="S53" s="2">
        <f t="shared" si="32"/>
        <v>0.2</v>
      </c>
      <c r="T53" s="2">
        <f t="shared" si="6"/>
        <v>0.18</v>
      </c>
      <c r="U53" s="2">
        <f t="shared" si="7"/>
        <v>0.2</v>
      </c>
      <c r="V53" s="2">
        <f t="shared" si="8"/>
        <v>0.18</v>
      </c>
      <c r="W53" s="2">
        <f t="shared" si="9"/>
        <v>0.2</v>
      </c>
      <c r="X53" s="2">
        <f t="shared" si="10"/>
        <v>0.18</v>
      </c>
      <c r="Y53" s="2">
        <f t="shared" si="11"/>
        <v>0.2</v>
      </c>
      <c r="Z53" s="2">
        <f t="shared" si="12"/>
        <v>0.18</v>
      </c>
      <c r="AA53" s="2">
        <f t="shared" si="13"/>
        <v>0.2</v>
      </c>
      <c r="AB53" s="2">
        <f t="shared" si="14"/>
        <v>0.18</v>
      </c>
      <c r="AC53" s="2">
        <f t="shared" si="15"/>
        <v>0.2</v>
      </c>
      <c r="AD53" s="2">
        <f t="shared" si="16"/>
        <v>0.18</v>
      </c>
      <c r="AE53" s="2">
        <f t="shared" si="17"/>
        <v>0.2</v>
      </c>
      <c r="AF53" s="2">
        <f t="shared" si="18"/>
        <v>0.18</v>
      </c>
      <c r="AG53" s="2">
        <f t="shared" si="19"/>
        <v>0.2</v>
      </c>
      <c r="AH53" s="2">
        <f t="shared" si="20"/>
        <v>0.18</v>
      </c>
    </row>
    <row r="54" spans="1:34">
      <c r="A54" t="str">
        <f t="shared" si="35"/>
        <v>Vegetables</v>
      </c>
      <c r="B54" t="str">
        <f t="shared" si="34"/>
        <v>Oromia</v>
      </c>
      <c r="C54" s="2">
        <v>0.2</v>
      </c>
      <c r="D54" s="2">
        <v>0.18</v>
      </c>
      <c r="E54" s="2">
        <f t="shared" si="3"/>
        <v>0.2</v>
      </c>
      <c r="F54" s="2">
        <f t="shared" si="4"/>
        <v>0.18</v>
      </c>
      <c r="G54" s="2">
        <f t="shared" si="5"/>
        <v>0.2</v>
      </c>
      <c r="H54" s="2">
        <f t="shared" si="21"/>
        <v>0.18</v>
      </c>
      <c r="I54" s="2">
        <f t="shared" si="22"/>
        <v>0.2</v>
      </c>
      <c r="J54" s="2">
        <f t="shared" si="23"/>
        <v>0.18</v>
      </c>
      <c r="K54" s="2">
        <f t="shared" si="24"/>
        <v>0.2</v>
      </c>
      <c r="L54" s="2">
        <f t="shared" si="25"/>
        <v>0.18</v>
      </c>
      <c r="M54" s="2">
        <f t="shared" si="26"/>
        <v>0.2</v>
      </c>
      <c r="N54" s="2">
        <f t="shared" si="27"/>
        <v>0.18</v>
      </c>
      <c r="O54" s="2">
        <f t="shared" si="28"/>
        <v>0.2</v>
      </c>
      <c r="P54" s="2">
        <f t="shared" si="29"/>
        <v>0.18</v>
      </c>
      <c r="Q54" s="2">
        <f t="shared" si="30"/>
        <v>0.2</v>
      </c>
      <c r="R54" s="2">
        <f t="shared" si="31"/>
        <v>0.18</v>
      </c>
      <c r="S54" s="2">
        <f t="shared" si="32"/>
        <v>0.2</v>
      </c>
      <c r="T54" s="2">
        <f t="shared" si="6"/>
        <v>0.18</v>
      </c>
      <c r="U54" s="2">
        <f t="shared" si="7"/>
        <v>0.2</v>
      </c>
      <c r="V54" s="2">
        <f t="shared" si="8"/>
        <v>0.18</v>
      </c>
      <c r="W54" s="2">
        <f t="shared" si="9"/>
        <v>0.2</v>
      </c>
      <c r="X54" s="2">
        <f t="shared" si="10"/>
        <v>0.18</v>
      </c>
      <c r="Y54" s="2">
        <f t="shared" si="11"/>
        <v>0.2</v>
      </c>
      <c r="Z54" s="2">
        <f t="shared" si="12"/>
        <v>0.18</v>
      </c>
      <c r="AA54" s="2">
        <f t="shared" si="13"/>
        <v>0.2</v>
      </c>
      <c r="AB54" s="2">
        <f t="shared" si="14"/>
        <v>0.18</v>
      </c>
      <c r="AC54" s="2">
        <f t="shared" si="15"/>
        <v>0.2</v>
      </c>
      <c r="AD54" s="2">
        <f t="shared" si="16"/>
        <v>0.18</v>
      </c>
      <c r="AE54" s="2">
        <f t="shared" si="17"/>
        <v>0.2</v>
      </c>
      <c r="AF54" s="2">
        <f t="shared" si="18"/>
        <v>0.18</v>
      </c>
      <c r="AG54" s="2">
        <f t="shared" si="19"/>
        <v>0.2</v>
      </c>
      <c r="AH54" s="2">
        <f t="shared" si="20"/>
        <v>0.18</v>
      </c>
    </row>
    <row r="55" spans="1:34">
      <c r="A55" t="str">
        <f t="shared" si="35"/>
        <v>Vegetables</v>
      </c>
      <c r="B55" t="str">
        <f t="shared" si="34"/>
        <v>Somali</v>
      </c>
      <c r="C55" s="2">
        <v>0.2</v>
      </c>
      <c r="D55" s="2">
        <v>0.18</v>
      </c>
      <c r="E55" s="2">
        <f t="shared" si="3"/>
        <v>0.2</v>
      </c>
      <c r="F55" s="2">
        <f t="shared" si="4"/>
        <v>0.18</v>
      </c>
      <c r="G55" s="2">
        <f t="shared" si="5"/>
        <v>0.2</v>
      </c>
      <c r="H55" s="2">
        <f t="shared" si="21"/>
        <v>0.18</v>
      </c>
      <c r="I55" s="2">
        <f t="shared" si="22"/>
        <v>0.2</v>
      </c>
      <c r="J55" s="2">
        <f t="shared" si="23"/>
        <v>0.18</v>
      </c>
      <c r="K55" s="2">
        <f t="shared" si="24"/>
        <v>0.2</v>
      </c>
      <c r="L55" s="2">
        <f t="shared" si="25"/>
        <v>0.18</v>
      </c>
      <c r="M55" s="2">
        <f t="shared" si="26"/>
        <v>0.2</v>
      </c>
      <c r="N55" s="2">
        <f t="shared" si="27"/>
        <v>0.18</v>
      </c>
      <c r="O55" s="2">
        <f t="shared" si="28"/>
        <v>0.2</v>
      </c>
      <c r="P55" s="2">
        <f t="shared" si="29"/>
        <v>0.18</v>
      </c>
      <c r="Q55" s="2">
        <f t="shared" si="30"/>
        <v>0.2</v>
      </c>
      <c r="R55" s="2">
        <f t="shared" si="31"/>
        <v>0.18</v>
      </c>
      <c r="S55" s="2">
        <f t="shared" si="32"/>
        <v>0.2</v>
      </c>
      <c r="T55" s="2">
        <f t="shared" si="6"/>
        <v>0.18</v>
      </c>
      <c r="U55" s="2">
        <f t="shared" si="7"/>
        <v>0.2</v>
      </c>
      <c r="V55" s="2">
        <f t="shared" si="8"/>
        <v>0.18</v>
      </c>
      <c r="W55" s="2">
        <f t="shared" si="9"/>
        <v>0.2</v>
      </c>
      <c r="X55" s="2">
        <f t="shared" si="10"/>
        <v>0.18</v>
      </c>
      <c r="Y55" s="2">
        <f t="shared" si="11"/>
        <v>0.2</v>
      </c>
      <c r="Z55" s="2">
        <f t="shared" si="12"/>
        <v>0.18</v>
      </c>
      <c r="AA55" s="2">
        <f t="shared" si="13"/>
        <v>0.2</v>
      </c>
      <c r="AB55" s="2">
        <f t="shared" si="14"/>
        <v>0.18</v>
      </c>
      <c r="AC55" s="2">
        <f t="shared" si="15"/>
        <v>0.2</v>
      </c>
      <c r="AD55" s="2">
        <f t="shared" si="16"/>
        <v>0.18</v>
      </c>
      <c r="AE55" s="2">
        <f t="shared" si="17"/>
        <v>0.2</v>
      </c>
      <c r="AF55" s="2">
        <f t="shared" si="18"/>
        <v>0.18</v>
      </c>
      <c r="AG55" s="2">
        <f t="shared" si="19"/>
        <v>0.2</v>
      </c>
      <c r="AH55" s="2">
        <f t="shared" si="20"/>
        <v>0.18</v>
      </c>
    </row>
    <row r="56" spans="1:34">
      <c r="A56" t="str">
        <f t="shared" si="35"/>
        <v>Vegetables</v>
      </c>
      <c r="B56" t="str">
        <f t="shared" si="34"/>
        <v>SNNPR</v>
      </c>
      <c r="C56" s="2">
        <v>0.2</v>
      </c>
      <c r="D56" s="2">
        <v>0.18</v>
      </c>
      <c r="E56" s="2">
        <f t="shared" si="3"/>
        <v>0.2</v>
      </c>
      <c r="F56" s="2">
        <f t="shared" si="4"/>
        <v>0.18</v>
      </c>
      <c r="G56" s="2">
        <f t="shared" si="5"/>
        <v>0.2</v>
      </c>
      <c r="H56" s="2">
        <f t="shared" si="21"/>
        <v>0.18</v>
      </c>
      <c r="I56" s="2">
        <f t="shared" si="22"/>
        <v>0.2</v>
      </c>
      <c r="J56" s="2">
        <f t="shared" si="23"/>
        <v>0.18</v>
      </c>
      <c r="K56" s="2">
        <f t="shared" si="24"/>
        <v>0.2</v>
      </c>
      <c r="L56" s="2">
        <f t="shared" si="25"/>
        <v>0.18</v>
      </c>
      <c r="M56" s="2">
        <f t="shared" si="26"/>
        <v>0.2</v>
      </c>
      <c r="N56" s="2">
        <f t="shared" si="27"/>
        <v>0.18</v>
      </c>
      <c r="O56" s="2">
        <f t="shared" si="28"/>
        <v>0.2</v>
      </c>
      <c r="P56" s="2">
        <f t="shared" si="29"/>
        <v>0.18</v>
      </c>
      <c r="Q56" s="2">
        <f t="shared" si="30"/>
        <v>0.2</v>
      </c>
      <c r="R56" s="2">
        <f t="shared" si="31"/>
        <v>0.18</v>
      </c>
      <c r="S56" s="2">
        <f t="shared" si="32"/>
        <v>0.2</v>
      </c>
      <c r="T56" s="2">
        <f t="shared" si="6"/>
        <v>0.18</v>
      </c>
      <c r="U56" s="2">
        <f t="shared" si="7"/>
        <v>0.2</v>
      </c>
      <c r="V56" s="2">
        <f t="shared" si="8"/>
        <v>0.18</v>
      </c>
      <c r="W56" s="2">
        <f t="shared" si="9"/>
        <v>0.2</v>
      </c>
      <c r="X56" s="2">
        <f t="shared" si="10"/>
        <v>0.18</v>
      </c>
      <c r="Y56" s="2">
        <f t="shared" si="11"/>
        <v>0.2</v>
      </c>
      <c r="Z56" s="2">
        <f t="shared" si="12"/>
        <v>0.18</v>
      </c>
      <c r="AA56" s="2">
        <f t="shared" si="13"/>
        <v>0.2</v>
      </c>
      <c r="AB56" s="2">
        <f t="shared" si="14"/>
        <v>0.18</v>
      </c>
      <c r="AC56" s="2">
        <f t="shared" si="15"/>
        <v>0.2</v>
      </c>
      <c r="AD56" s="2">
        <f t="shared" si="16"/>
        <v>0.18</v>
      </c>
      <c r="AE56" s="2">
        <f t="shared" si="17"/>
        <v>0.2</v>
      </c>
      <c r="AF56" s="2">
        <f t="shared" si="18"/>
        <v>0.18</v>
      </c>
      <c r="AG56" s="2">
        <f t="shared" si="19"/>
        <v>0.2</v>
      </c>
      <c r="AH56" s="2">
        <f t="shared" si="20"/>
        <v>0.18</v>
      </c>
    </row>
    <row r="57" spans="1:34">
      <c r="A57" t="str">
        <f t="shared" si="35"/>
        <v>Vegetables</v>
      </c>
      <c r="B57" t="str">
        <f t="shared" si="34"/>
        <v>Tigray</v>
      </c>
      <c r="C57" s="2">
        <v>0.2</v>
      </c>
      <c r="D57" s="2">
        <v>0.18</v>
      </c>
      <c r="E57" s="2">
        <f t="shared" si="3"/>
        <v>0.2</v>
      </c>
      <c r="F57" s="2">
        <f t="shared" si="4"/>
        <v>0.18</v>
      </c>
      <c r="G57" s="2">
        <f t="shared" si="5"/>
        <v>0.2</v>
      </c>
      <c r="H57" s="2">
        <f t="shared" si="21"/>
        <v>0.18</v>
      </c>
      <c r="I57" s="2">
        <f t="shared" si="22"/>
        <v>0.2</v>
      </c>
      <c r="J57" s="2">
        <f t="shared" si="23"/>
        <v>0.18</v>
      </c>
      <c r="K57" s="2">
        <f t="shared" si="24"/>
        <v>0.2</v>
      </c>
      <c r="L57" s="2">
        <f t="shared" si="25"/>
        <v>0.18</v>
      </c>
      <c r="M57" s="2">
        <f t="shared" si="26"/>
        <v>0.2</v>
      </c>
      <c r="N57" s="2">
        <f t="shared" si="27"/>
        <v>0.18</v>
      </c>
      <c r="O57" s="2">
        <f t="shared" si="28"/>
        <v>0.2</v>
      </c>
      <c r="P57" s="2">
        <f t="shared" si="29"/>
        <v>0.18</v>
      </c>
      <c r="Q57" s="2">
        <f t="shared" si="30"/>
        <v>0.2</v>
      </c>
      <c r="R57" s="2">
        <f t="shared" si="31"/>
        <v>0.18</v>
      </c>
      <c r="S57" s="2">
        <f t="shared" si="32"/>
        <v>0.2</v>
      </c>
      <c r="T57" s="2">
        <f t="shared" si="6"/>
        <v>0.18</v>
      </c>
      <c r="U57" s="2">
        <f t="shared" si="7"/>
        <v>0.2</v>
      </c>
      <c r="V57" s="2">
        <f t="shared" si="8"/>
        <v>0.18</v>
      </c>
      <c r="W57" s="2">
        <f t="shared" si="9"/>
        <v>0.2</v>
      </c>
      <c r="X57" s="2">
        <f t="shared" si="10"/>
        <v>0.18</v>
      </c>
      <c r="Y57" s="2">
        <f t="shared" si="11"/>
        <v>0.2</v>
      </c>
      <c r="Z57" s="2">
        <f t="shared" si="12"/>
        <v>0.18</v>
      </c>
      <c r="AA57" s="2">
        <f t="shared" si="13"/>
        <v>0.2</v>
      </c>
      <c r="AB57" s="2">
        <f t="shared" si="14"/>
        <v>0.18</v>
      </c>
      <c r="AC57" s="2">
        <f t="shared" si="15"/>
        <v>0.2</v>
      </c>
      <c r="AD57" s="2">
        <f t="shared" si="16"/>
        <v>0.18</v>
      </c>
      <c r="AE57" s="2">
        <f t="shared" si="17"/>
        <v>0.2</v>
      </c>
      <c r="AF57" s="2">
        <f t="shared" si="18"/>
        <v>0.18</v>
      </c>
      <c r="AG57" s="2">
        <f t="shared" si="19"/>
        <v>0.2</v>
      </c>
      <c r="AH57" s="2">
        <f t="shared" si="20"/>
        <v>0.18</v>
      </c>
    </row>
    <row r="58" spans="1:34">
      <c r="A58" t="str">
        <f t="shared" si="35"/>
        <v>Coffee</v>
      </c>
      <c r="B58" t="str">
        <f t="shared" si="34"/>
        <v>AddisAbaba</v>
      </c>
      <c r="C58" s="2">
        <v>0.2</v>
      </c>
      <c r="D58" s="2">
        <v>0.18</v>
      </c>
      <c r="E58" s="2">
        <f t="shared" si="3"/>
        <v>0.2</v>
      </c>
      <c r="F58" s="2">
        <f t="shared" si="4"/>
        <v>0.18</v>
      </c>
      <c r="G58" s="2">
        <f t="shared" si="5"/>
        <v>0.2</v>
      </c>
      <c r="H58" s="2">
        <f t="shared" si="21"/>
        <v>0.18</v>
      </c>
      <c r="I58" s="2">
        <f t="shared" si="22"/>
        <v>0.2</v>
      </c>
      <c r="J58" s="2">
        <f t="shared" si="23"/>
        <v>0.18</v>
      </c>
      <c r="K58" s="2">
        <f t="shared" si="24"/>
        <v>0.2</v>
      </c>
      <c r="L58" s="2">
        <f t="shared" si="25"/>
        <v>0.18</v>
      </c>
      <c r="M58" s="2">
        <f t="shared" si="26"/>
        <v>0.2</v>
      </c>
      <c r="N58" s="2">
        <f t="shared" si="27"/>
        <v>0.18</v>
      </c>
      <c r="O58" s="2">
        <f t="shared" si="28"/>
        <v>0.2</v>
      </c>
      <c r="P58" s="2">
        <f t="shared" si="29"/>
        <v>0.18</v>
      </c>
      <c r="Q58" s="2">
        <f t="shared" si="30"/>
        <v>0.2</v>
      </c>
      <c r="R58" s="2">
        <f t="shared" si="31"/>
        <v>0.18</v>
      </c>
      <c r="S58" s="2">
        <f t="shared" si="32"/>
        <v>0.2</v>
      </c>
      <c r="T58" s="2">
        <f t="shared" si="6"/>
        <v>0.18</v>
      </c>
      <c r="U58" s="2">
        <f t="shared" si="7"/>
        <v>0.2</v>
      </c>
      <c r="V58" s="2">
        <f t="shared" si="8"/>
        <v>0.18</v>
      </c>
      <c r="W58" s="2">
        <f t="shared" si="9"/>
        <v>0.2</v>
      </c>
      <c r="X58" s="2">
        <f t="shared" si="10"/>
        <v>0.18</v>
      </c>
      <c r="Y58" s="2">
        <f t="shared" si="11"/>
        <v>0.2</v>
      </c>
      <c r="Z58" s="2">
        <f t="shared" si="12"/>
        <v>0.18</v>
      </c>
      <c r="AA58" s="2">
        <f t="shared" si="13"/>
        <v>0.2</v>
      </c>
      <c r="AB58" s="2">
        <f t="shared" si="14"/>
        <v>0.18</v>
      </c>
      <c r="AC58" s="2">
        <f t="shared" si="15"/>
        <v>0.2</v>
      </c>
      <c r="AD58" s="2">
        <f t="shared" si="16"/>
        <v>0.18</v>
      </c>
      <c r="AE58" s="2">
        <f t="shared" si="17"/>
        <v>0.2</v>
      </c>
      <c r="AF58" s="2">
        <f t="shared" si="18"/>
        <v>0.18</v>
      </c>
      <c r="AG58" s="2">
        <f t="shared" si="19"/>
        <v>0.2</v>
      </c>
      <c r="AH58" s="2">
        <f t="shared" si="20"/>
        <v>0.18</v>
      </c>
    </row>
    <row r="59" spans="1:34">
      <c r="A59" t="str">
        <f t="shared" si="35"/>
        <v>Coffee</v>
      </c>
      <c r="B59" t="str">
        <f t="shared" si="34"/>
        <v>Afar</v>
      </c>
      <c r="C59" s="2">
        <v>0.2</v>
      </c>
      <c r="D59" s="2">
        <v>0.18</v>
      </c>
      <c r="E59" s="2">
        <f t="shared" si="3"/>
        <v>0.2</v>
      </c>
      <c r="F59" s="2">
        <f t="shared" si="4"/>
        <v>0.18</v>
      </c>
      <c r="G59" s="2">
        <f t="shared" si="5"/>
        <v>0.2</v>
      </c>
      <c r="H59" s="2">
        <f t="shared" si="21"/>
        <v>0.18</v>
      </c>
      <c r="I59" s="2">
        <f t="shared" si="22"/>
        <v>0.2</v>
      </c>
      <c r="J59" s="2">
        <f t="shared" si="23"/>
        <v>0.18</v>
      </c>
      <c r="K59" s="2">
        <f t="shared" si="24"/>
        <v>0.2</v>
      </c>
      <c r="L59" s="2">
        <f t="shared" si="25"/>
        <v>0.18</v>
      </c>
      <c r="M59" s="2">
        <f t="shared" si="26"/>
        <v>0.2</v>
      </c>
      <c r="N59" s="2">
        <f t="shared" si="27"/>
        <v>0.18</v>
      </c>
      <c r="O59" s="2">
        <f t="shared" si="28"/>
        <v>0.2</v>
      </c>
      <c r="P59" s="2">
        <f t="shared" si="29"/>
        <v>0.18</v>
      </c>
      <c r="Q59" s="2">
        <f t="shared" si="30"/>
        <v>0.2</v>
      </c>
      <c r="R59" s="2">
        <f t="shared" si="31"/>
        <v>0.18</v>
      </c>
      <c r="S59" s="2">
        <f t="shared" si="32"/>
        <v>0.2</v>
      </c>
      <c r="T59" s="2">
        <f t="shared" si="6"/>
        <v>0.18</v>
      </c>
      <c r="U59" s="2">
        <f t="shared" si="7"/>
        <v>0.2</v>
      </c>
      <c r="V59" s="2">
        <f t="shared" si="8"/>
        <v>0.18</v>
      </c>
      <c r="W59" s="2">
        <f t="shared" si="9"/>
        <v>0.2</v>
      </c>
      <c r="X59" s="2">
        <f t="shared" si="10"/>
        <v>0.18</v>
      </c>
      <c r="Y59" s="2">
        <f t="shared" si="11"/>
        <v>0.2</v>
      </c>
      <c r="Z59" s="2">
        <f t="shared" si="12"/>
        <v>0.18</v>
      </c>
      <c r="AA59" s="2">
        <f t="shared" si="13"/>
        <v>0.2</v>
      </c>
      <c r="AB59" s="2">
        <f t="shared" si="14"/>
        <v>0.18</v>
      </c>
      <c r="AC59" s="2">
        <f t="shared" si="15"/>
        <v>0.2</v>
      </c>
      <c r="AD59" s="2">
        <f t="shared" si="16"/>
        <v>0.18</v>
      </c>
      <c r="AE59" s="2">
        <f t="shared" si="17"/>
        <v>0.2</v>
      </c>
      <c r="AF59" s="2">
        <f t="shared" si="18"/>
        <v>0.18</v>
      </c>
      <c r="AG59" s="2">
        <f t="shared" si="19"/>
        <v>0.2</v>
      </c>
      <c r="AH59" s="2">
        <f t="shared" si="20"/>
        <v>0.18</v>
      </c>
    </row>
    <row r="60" spans="1:34">
      <c r="A60" t="str">
        <f t="shared" si="35"/>
        <v>Coffee</v>
      </c>
      <c r="B60" t="str">
        <f t="shared" si="34"/>
        <v>Amhara</v>
      </c>
      <c r="C60" s="2">
        <v>0.2</v>
      </c>
      <c r="D60" s="2">
        <v>0.18</v>
      </c>
      <c r="E60" s="2">
        <f t="shared" si="3"/>
        <v>0.2</v>
      </c>
      <c r="F60" s="2">
        <f t="shared" si="4"/>
        <v>0.18</v>
      </c>
      <c r="G60" s="2">
        <f t="shared" si="5"/>
        <v>0.2</v>
      </c>
      <c r="H60" s="2">
        <f t="shared" si="21"/>
        <v>0.18</v>
      </c>
      <c r="I60" s="2">
        <f t="shared" si="22"/>
        <v>0.2</v>
      </c>
      <c r="J60" s="2">
        <f t="shared" si="23"/>
        <v>0.18</v>
      </c>
      <c r="K60" s="2">
        <f t="shared" si="24"/>
        <v>0.2</v>
      </c>
      <c r="L60" s="2">
        <f t="shared" si="25"/>
        <v>0.18</v>
      </c>
      <c r="M60" s="2">
        <f t="shared" si="26"/>
        <v>0.2</v>
      </c>
      <c r="N60" s="2">
        <f t="shared" si="27"/>
        <v>0.18</v>
      </c>
      <c r="O60" s="2">
        <f t="shared" si="28"/>
        <v>0.2</v>
      </c>
      <c r="P60" s="2">
        <f t="shared" si="29"/>
        <v>0.18</v>
      </c>
      <c r="Q60" s="2">
        <f t="shared" si="30"/>
        <v>0.2</v>
      </c>
      <c r="R60" s="2">
        <f t="shared" si="31"/>
        <v>0.18</v>
      </c>
      <c r="S60" s="2">
        <f t="shared" si="32"/>
        <v>0.2</v>
      </c>
      <c r="T60" s="2">
        <f t="shared" si="6"/>
        <v>0.18</v>
      </c>
      <c r="U60" s="2">
        <f t="shared" si="7"/>
        <v>0.2</v>
      </c>
      <c r="V60" s="2">
        <f t="shared" si="8"/>
        <v>0.18</v>
      </c>
      <c r="W60" s="2">
        <f t="shared" si="9"/>
        <v>0.2</v>
      </c>
      <c r="X60" s="2">
        <f t="shared" si="10"/>
        <v>0.18</v>
      </c>
      <c r="Y60" s="2">
        <f t="shared" si="11"/>
        <v>0.2</v>
      </c>
      <c r="Z60" s="2">
        <f t="shared" si="12"/>
        <v>0.18</v>
      </c>
      <c r="AA60" s="2">
        <f t="shared" si="13"/>
        <v>0.2</v>
      </c>
      <c r="AB60" s="2">
        <f t="shared" si="14"/>
        <v>0.18</v>
      </c>
      <c r="AC60" s="2">
        <f t="shared" si="15"/>
        <v>0.2</v>
      </c>
      <c r="AD60" s="2">
        <f t="shared" si="16"/>
        <v>0.18</v>
      </c>
      <c r="AE60" s="2">
        <f t="shared" si="17"/>
        <v>0.2</v>
      </c>
      <c r="AF60" s="2">
        <f t="shared" si="18"/>
        <v>0.18</v>
      </c>
      <c r="AG60" s="2">
        <f t="shared" si="19"/>
        <v>0.2</v>
      </c>
      <c r="AH60" s="2">
        <f t="shared" si="20"/>
        <v>0.18</v>
      </c>
    </row>
    <row r="61" spans="1:34">
      <c r="A61" t="str">
        <f t="shared" si="35"/>
        <v>Coffee</v>
      </c>
      <c r="B61" t="str">
        <f t="shared" si="34"/>
        <v>Gumuz</v>
      </c>
      <c r="C61" s="2">
        <v>0.2</v>
      </c>
      <c r="D61" s="2">
        <v>0.18</v>
      </c>
      <c r="E61" s="2">
        <f t="shared" si="3"/>
        <v>0.2</v>
      </c>
      <c r="F61" s="2">
        <f t="shared" si="4"/>
        <v>0.18</v>
      </c>
      <c r="G61" s="2">
        <f t="shared" si="5"/>
        <v>0.2</v>
      </c>
      <c r="H61" s="2">
        <f t="shared" si="21"/>
        <v>0.18</v>
      </c>
      <c r="I61" s="2">
        <f t="shared" si="22"/>
        <v>0.2</v>
      </c>
      <c r="J61" s="2">
        <f t="shared" si="23"/>
        <v>0.18</v>
      </c>
      <c r="K61" s="2">
        <f t="shared" si="24"/>
        <v>0.2</v>
      </c>
      <c r="L61" s="2">
        <f t="shared" si="25"/>
        <v>0.18</v>
      </c>
      <c r="M61" s="2">
        <f t="shared" si="26"/>
        <v>0.2</v>
      </c>
      <c r="N61" s="2">
        <f t="shared" si="27"/>
        <v>0.18</v>
      </c>
      <c r="O61" s="2">
        <f t="shared" si="28"/>
        <v>0.2</v>
      </c>
      <c r="P61" s="2">
        <f t="shared" si="29"/>
        <v>0.18</v>
      </c>
      <c r="Q61" s="2">
        <f t="shared" si="30"/>
        <v>0.2</v>
      </c>
      <c r="R61" s="2">
        <f t="shared" si="31"/>
        <v>0.18</v>
      </c>
      <c r="S61" s="2">
        <f t="shared" si="32"/>
        <v>0.2</v>
      </c>
      <c r="T61" s="2">
        <f t="shared" si="6"/>
        <v>0.18</v>
      </c>
      <c r="U61" s="2">
        <f t="shared" si="7"/>
        <v>0.2</v>
      </c>
      <c r="V61" s="2">
        <f t="shared" si="8"/>
        <v>0.18</v>
      </c>
      <c r="W61" s="2">
        <f t="shared" si="9"/>
        <v>0.2</v>
      </c>
      <c r="X61" s="2">
        <f t="shared" si="10"/>
        <v>0.18</v>
      </c>
      <c r="Y61" s="2">
        <f t="shared" si="11"/>
        <v>0.2</v>
      </c>
      <c r="Z61" s="2">
        <f t="shared" si="12"/>
        <v>0.18</v>
      </c>
      <c r="AA61" s="2">
        <f t="shared" si="13"/>
        <v>0.2</v>
      </c>
      <c r="AB61" s="2">
        <f t="shared" si="14"/>
        <v>0.18</v>
      </c>
      <c r="AC61" s="2">
        <f t="shared" si="15"/>
        <v>0.2</v>
      </c>
      <c r="AD61" s="2">
        <f t="shared" si="16"/>
        <v>0.18</v>
      </c>
      <c r="AE61" s="2">
        <f t="shared" si="17"/>
        <v>0.2</v>
      </c>
      <c r="AF61" s="2">
        <f t="shared" si="18"/>
        <v>0.18</v>
      </c>
      <c r="AG61" s="2">
        <f t="shared" si="19"/>
        <v>0.2</v>
      </c>
      <c r="AH61" s="2">
        <f t="shared" si="20"/>
        <v>0.18</v>
      </c>
    </row>
    <row r="62" spans="1:34">
      <c r="A62" t="str">
        <f t="shared" si="35"/>
        <v>Coffee</v>
      </c>
      <c r="B62" t="str">
        <f t="shared" si="34"/>
        <v>DireDawa</v>
      </c>
      <c r="C62" s="2">
        <v>0.2</v>
      </c>
      <c r="D62" s="2">
        <v>0.18</v>
      </c>
      <c r="E62" s="2">
        <f t="shared" si="3"/>
        <v>0.2</v>
      </c>
      <c r="F62" s="2">
        <f t="shared" si="4"/>
        <v>0.18</v>
      </c>
      <c r="G62" s="2">
        <f t="shared" si="5"/>
        <v>0.2</v>
      </c>
      <c r="H62" s="2">
        <f t="shared" si="21"/>
        <v>0.18</v>
      </c>
      <c r="I62" s="2">
        <f t="shared" si="22"/>
        <v>0.2</v>
      </c>
      <c r="J62" s="2">
        <f t="shared" si="23"/>
        <v>0.18</v>
      </c>
      <c r="K62" s="2">
        <f t="shared" si="24"/>
        <v>0.2</v>
      </c>
      <c r="L62" s="2">
        <f t="shared" si="25"/>
        <v>0.18</v>
      </c>
      <c r="M62" s="2">
        <f t="shared" si="26"/>
        <v>0.2</v>
      </c>
      <c r="N62" s="2">
        <f t="shared" si="27"/>
        <v>0.18</v>
      </c>
      <c r="O62" s="2">
        <f t="shared" si="28"/>
        <v>0.2</v>
      </c>
      <c r="P62" s="2">
        <f t="shared" si="29"/>
        <v>0.18</v>
      </c>
      <c r="Q62" s="2">
        <f t="shared" si="30"/>
        <v>0.2</v>
      </c>
      <c r="R62" s="2">
        <f t="shared" si="31"/>
        <v>0.18</v>
      </c>
      <c r="S62" s="2">
        <f t="shared" si="32"/>
        <v>0.2</v>
      </c>
      <c r="T62" s="2">
        <f t="shared" si="6"/>
        <v>0.18</v>
      </c>
      <c r="U62" s="2">
        <f t="shared" si="7"/>
        <v>0.2</v>
      </c>
      <c r="V62" s="2">
        <f t="shared" si="8"/>
        <v>0.18</v>
      </c>
      <c r="W62" s="2">
        <f t="shared" si="9"/>
        <v>0.2</v>
      </c>
      <c r="X62" s="2">
        <f t="shared" si="10"/>
        <v>0.18</v>
      </c>
      <c r="Y62" s="2">
        <f t="shared" si="11"/>
        <v>0.2</v>
      </c>
      <c r="Z62" s="2">
        <f t="shared" si="12"/>
        <v>0.18</v>
      </c>
      <c r="AA62" s="2">
        <f t="shared" si="13"/>
        <v>0.2</v>
      </c>
      <c r="AB62" s="2">
        <f t="shared" si="14"/>
        <v>0.18</v>
      </c>
      <c r="AC62" s="2">
        <f t="shared" si="15"/>
        <v>0.2</v>
      </c>
      <c r="AD62" s="2">
        <f t="shared" si="16"/>
        <v>0.18</v>
      </c>
      <c r="AE62" s="2">
        <f t="shared" si="17"/>
        <v>0.2</v>
      </c>
      <c r="AF62" s="2">
        <f t="shared" si="18"/>
        <v>0.18</v>
      </c>
      <c r="AG62" s="2">
        <f t="shared" si="19"/>
        <v>0.2</v>
      </c>
      <c r="AH62" s="2">
        <f t="shared" si="20"/>
        <v>0.18</v>
      </c>
    </row>
    <row r="63" spans="1:34">
      <c r="A63" t="str">
        <f t="shared" si="35"/>
        <v>Coffee</v>
      </c>
      <c r="B63" t="str">
        <f t="shared" si="34"/>
        <v>Gambela</v>
      </c>
      <c r="C63" s="2">
        <v>0.2</v>
      </c>
      <c r="D63" s="2">
        <v>0.18</v>
      </c>
      <c r="E63" s="2">
        <f t="shared" si="3"/>
        <v>0.2</v>
      </c>
      <c r="F63" s="2">
        <f t="shared" si="4"/>
        <v>0.18</v>
      </c>
      <c r="G63" s="2">
        <f t="shared" si="5"/>
        <v>0.2</v>
      </c>
      <c r="H63" s="2">
        <f t="shared" si="21"/>
        <v>0.18</v>
      </c>
      <c r="I63" s="2">
        <f t="shared" si="22"/>
        <v>0.2</v>
      </c>
      <c r="J63" s="2">
        <f t="shared" si="23"/>
        <v>0.18</v>
      </c>
      <c r="K63" s="2">
        <f t="shared" si="24"/>
        <v>0.2</v>
      </c>
      <c r="L63" s="2">
        <f t="shared" si="25"/>
        <v>0.18</v>
      </c>
      <c r="M63" s="2">
        <f t="shared" si="26"/>
        <v>0.2</v>
      </c>
      <c r="N63" s="2">
        <f t="shared" si="27"/>
        <v>0.18</v>
      </c>
      <c r="O63" s="2">
        <f t="shared" si="28"/>
        <v>0.2</v>
      </c>
      <c r="P63" s="2">
        <f t="shared" si="29"/>
        <v>0.18</v>
      </c>
      <c r="Q63" s="2">
        <f t="shared" si="30"/>
        <v>0.2</v>
      </c>
      <c r="R63" s="2">
        <f t="shared" si="31"/>
        <v>0.18</v>
      </c>
      <c r="S63" s="2">
        <f t="shared" si="32"/>
        <v>0.2</v>
      </c>
      <c r="T63" s="2">
        <f t="shared" si="6"/>
        <v>0.18</v>
      </c>
      <c r="U63" s="2">
        <f t="shared" si="7"/>
        <v>0.2</v>
      </c>
      <c r="V63" s="2">
        <f t="shared" si="8"/>
        <v>0.18</v>
      </c>
      <c r="W63" s="2">
        <f t="shared" si="9"/>
        <v>0.2</v>
      </c>
      <c r="X63" s="2">
        <f t="shared" si="10"/>
        <v>0.18</v>
      </c>
      <c r="Y63" s="2">
        <f t="shared" si="11"/>
        <v>0.2</v>
      </c>
      <c r="Z63" s="2">
        <f t="shared" si="12"/>
        <v>0.18</v>
      </c>
      <c r="AA63" s="2">
        <f t="shared" si="13"/>
        <v>0.2</v>
      </c>
      <c r="AB63" s="2">
        <f t="shared" si="14"/>
        <v>0.18</v>
      </c>
      <c r="AC63" s="2">
        <f t="shared" si="15"/>
        <v>0.2</v>
      </c>
      <c r="AD63" s="2">
        <f t="shared" si="16"/>
        <v>0.18</v>
      </c>
      <c r="AE63" s="2">
        <f t="shared" si="17"/>
        <v>0.2</v>
      </c>
      <c r="AF63" s="2">
        <f t="shared" si="18"/>
        <v>0.18</v>
      </c>
      <c r="AG63" s="2">
        <f t="shared" si="19"/>
        <v>0.2</v>
      </c>
      <c r="AH63" s="2">
        <f t="shared" si="20"/>
        <v>0.18</v>
      </c>
    </row>
    <row r="64" spans="1:34">
      <c r="A64" t="str">
        <f t="shared" si="35"/>
        <v>Coffee</v>
      </c>
      <c r="B64" t="str">
        <f t="shared" si="34"/>
        <v>Harari</v>
      </c>
      <c r="C64" s="2">
        <v>0.2</v>
      </c>
      <c r="D64" s="2">
        <v>0.18</v>
      </c>
      <c r="E64" s="2">
        <f t="shared" si="3"/>
        <v>0.2</v>
      </c>
      <c r="F64" s="2">
        <f t="shared" si="4"/>
        <v>0.18</v>
      </c>
      <c r="G64" s="2">
        <f t="shared" si="5"/>
        <v>0.2</v>
      </c>
      <c r="H64" s="2">
        <f t="shared" si="21"/>
        <v>0.18</v>
      </c>
      <c r="I64" s="2">
        <f t="shared" si="22"/>
        <v>0.2</v>
      </c>
      <c r="J64" s="2">
        <f t="shared" si="23"/>
        <v>0.18</v>
      </c>
      <c r="K64" s="2">
        <f t="shared" si="24"/>
        <v>0.2</v>
      </c>
      <c r="L64" s="2">
        <f t="shared" si="25"/>
        <v>0.18</v>
      </c>
      <c r="M64" s="2">
        <f t="shared" si="26"/>
        <v>0.2</v>
      </c>
      <c r="N64" s="2">
        <f t="shared" si="27"/>
        <v>0.18</v>
      </c>
      <c r="O64" s="2">
        <f t="shared" si="28"/>
        <v>0.2</v>
      </c>
      <c r="P64" s="2">
        <f t="shared" si="29"/>
        <v>0.18</v>
      </c>
      <c r="Q64" s="2">
        <f t="shared" si="30"/>
        <v>0.2</v>
      </c>
      <c r="R64" s="2">
        <f t="shared" si="31"/>
        <v>0.18</v>
      </c>
      <c r="S64" s="2">
        <f t="shared" si="32"/>
        <v>0.2</v>
      </c>
      <c r="T64" s="2">
        <f t="shared" si="6"/>
        <v>0.18</v>
      </c>
      <c r="U64" s="2">
        <f t="shared" si="7"/>
        <v>0.2</v>
      </c>
      <c r="V64" s="2">
        <f t="shared" si="8"/>
        <v>0.18</v>
      </c>
      <c r="W64" s="2">
        <f t="shared" si="9"/>
        <v>0.2</v>
      </c>
      <c r="X64" s="2">
        <f t="shared" si="10"/>
        <v>0.18</v>
      </c>
      <c r="Y64" s="2">
        <f t="shared" si="11"/>
        <v>0.2</v>
      </c>
      <c r="Z64" s="2">
        <f t="shared" si="12"/>
        <v>0.18</v>
      </c>
      <c r="AA64" s="2">
        <f t="shared" si="13"/>
        <v>0.2</v>
      </c>
      <c r="AB64" s="2">
        <f t="shared" si="14"/>
        <v>0.18</v>
      </c>
      <c r="AC64" s="2">
        <f t="shared" si="15"/>
        <v>0.2</v>
      </c>
      <c r="AD64" s="2">
        <f t="shared" si="16"/>
        <v>0.18</v>
      </c>
      <c r="AE64" s="2">
        <f t="shared" si="17"/>
        <v>0.2</v>
      </c>
      <c r="AF64" s="2">
        <f t="shared" si="18"/>
        <v>0.18</v>
      </c>
      <c r="AG64" s="2">
        <f t="shared" si="19"/>
        <v>0.2</v>
      </c>
      <c r="AH64" s="2">
        <f t="shared" si="20"/>
        <v>0.18</v>
      </c>
    </row>
    <row r="65" spans="1:34">
      <c r="A65" t="str">
        <f t="shared" si="35"/>
        <v>Coffee</v>
      </c>
      <c r="B65" t="str">
        <f t="shared" si="34"/>
        <v>Oromia</v>
      </c>
      <c r="C65" s="2">
        <v>0.2</v>
      </c>
      <c r="D65" s="2">
        <v>0.18</v>
      </c>
      <c r="E65" s="2">
        <f t="shared" si="3"/>
        <v>0.2</v>
      </c>
      <c r="F65" s="2">
        <f t="shared" si="4"/>
        <v>0.18</v>
      </c>
      <c r="G65" s="2">
        <f t="shared" si="5"/>
        <v>0.2</v>
      </c>
      <c r="H65" s="2">
        <f t="shared" si="21"/>
        <v>0.18</v>
      </c>
      <c r="I65" s="2">
        <f t="shared" si="22"/>
        <v>0.2</v>
      </c>
      <c r="J65" s="2">
        <f t="shared" si="23"/>
        <v>0.18</v>
      </c>
      <c r="K65" s="2">
        <f t="shared" si="24"/>
        <v>0.2</v>
      </c>
      <c r="L65" s="2">
        <f t="shared" si="25"/>
        <v>0.18</v>
      </c>
      <c r="M65" s="2">
        <f t="shared" si="26"/>
        <v>0.2</v>
      </c>
      <c r="N65" s="2">
        <f t="shared" si="27"/>
        <v>0.18</v>
      </c>
      <c r="O65" s="2">
        <f t="shared" si="28"/>
        <v>0.2</v>
      </c>
      <c r="P65" s="2">
        <f t="shared" si="29"/>
        <v>0.18</v>
      </c>
      <c r="Q65" s="2">
        <f t="shared" si="30"/>
        <v>0.2</v>
      </c>
      <c r="R65" s="2">
        <f t="shared" si="31"/>
        <v>0.18</v>
      </c>
      <c r="S65" s="2">
        <f t="shared" si="32"/>
        <v>0.2</v>
      </c>
      <c r="T65" s="2">
        <f t="shared" si="6"/>
        <v>0.18</v>
      </c>
      <c r="U65" s="2">
        <f t="shared" si="7"/>
        <v>0.2</v>
      </c>
      <c r="V65" s="2">
        <f t="shared" si="8"/>
        <v>0.18</v>
      </c>
      <c r="W65" s="2">
        <f t="shared" si="9"/>
        <v>0.2</v>
      </c>
      <c r="X65" s="2">
        <f t="shared" si="10"/>
        <v>0.18</v>
      </c>
      <c r="Y65" s="2">
        <f t="shared" si="11"/>
        <v>0.2</v>
      </c>
      <c r="Z65" s="2">
        <f t="shared" si="12"/>
        <v>0.18</v>
      </c>
      <c r="AA65" s="2">
        <f t="shared" si="13"/>
        <v>0.2</v>
      </c>
      <c r="AB65" s="2">
        <f t="shared" si="14"/>
        <v>0.18</v>
      </c>
      <c r="AC65" s="2">
        <f t="shared" si="15"/>
        <v>0.2</v>
      </c>
      <c r="AD65" s="2">
        <f t="shared" si="16"/>
        <v>0.18</v>
      </c>
      <c r="AE65" s="2">
        <f t="shared" si="17"/>
        <v>0.2</v>
      </c>
      <c r="AF65" s="2">
        <f t="shared" si="18"/>
        <v>0.18</v>
      </c>
      <c r="AG65" s="2">
        <f t="shared" si="19"/>
        <v>0.2</v>
      </c>
      <c r="AH65" s="2">
        <f t="shared" si="20"/>
        <v>0.18</v>
      </c>
    </row>
    <row r="66" spans="1:34">
      <c r="A66" t="str">
        <f t="shared" si="35"/>
        <v>Coffee</v>
      </c>
      <c r="B66" t="str">
        <f t="shared" si="34"/>
        <v>Somali</v>
      </c>
      <c r="C66" s="2">
        <v>0.2</v>
      </c>
      <c r="D66" s="2">
        <v>0.18</v>
      </c>
      <c r="E66" s="2">
        <f t="shared" si="3"/>
        <v>0.2</v>
      </c>
      <c r="F66" s="2">
        <f t="shared" si="4"/>
        <v>0.18</v>
      </c>
      <c r="G66" s="2">
        <f t="shared" si="5"/>
        <v>0.2</v>
      </c>
      <c r="H66" s="2">
        <f t="shared" si="21"/>
        <v>0.18</v>
      </c>
      <c r="I66" s="2">
        <f t="shared" si="22"/>
        <v>0.2</v>
      </c>
      <c r="J66" s="2">
        <f t="shared" si="23"/>
        <v>0.18</v>
      </c>
      <c r="K66" s="2">
        <f t="shared" si="24"/>
        <v>0.2</v>
      </c>
      <c r="L66" s="2">
        <f t="shared" si="25"/>
        <v>0.18</v>
      </c>
      <c r="M66" s="2">
        <f t="shared" si="26"/>
        <v>0.2</v>
      </c>
      <c r="N66" s="2">
        <f t="shared" si="27"/>
        <v>0.18</v>
      </c>
      <c r="O66" s="2">
        <f t="shared" si="28"/>
        <v>0.2</v>
      </c>
      <c r="P66" s="2">
        <f t="shared" si="29"/>
        <v>0.18</v>
      </c>
      <c r="Q66" s="2">
        <f t="shared" si="30"/>
        <v>0.2</v>
      </c>
      <c r="R66" s="2">
        <f t="shared" si="31"/>
        <v>0.18</v>
      </c>
      <c r="S66" s="2">
        <f t="shared" si="32"/>
        <v>0.2</v>
      </c>
      <c r="T66" s="2">
        <f t="shared" si="6"/>
        <v>0.18</v>
      </c>
      <c r="U66" s="2">
        <f t="shared" si="7"/>
        <v>0.2</v>
      </c>
      <c r="V66" s="2">
        <f t="shared" si="8"/>
        <v>0.18</v>
      </c>
      <c r="W66" s="2">
        <f t="shared" si="9"/>
        <v>0.2</v>
      </c>
      <c r="X66" s="2">
        <f t="shared" si="10"/>
        <v>0.18</v>
      </c>
      <c r="Y66" s="2">
        <f t="shared" si="11"/>
        <v>0.2</v>
      </c>
      <c r="Z66" s="2">
        <f t="shared" si="12"/>
        <v>0.18</v>
      </c>
      <c r="AA66" s="2">
        <f t="shared" si="13"/>
        <v>0.2</v>
      </c>
      <c r="AB66" s="2">
        <f t="shared" si="14"/>
        <v>0.18</v>
      </c>
      <c r="AC66" s="2">
        <f t="shared" si="15"/>
        <v>0.2</v>
      </c>
      <c r="AD66" s="2">
        <f t="shared" si="16"/>
        <v>0.18</v>
      </c>
      <c r="AE66" s="2">
        <f t="shared" si="17"/>
        <v>0.2</v>
      </c>
      <c r="AF66" s="2">
        <f t="shared" si="18"/>
        <v>0.18</v>
      </c>
      <c r="AG66" s="2">
        <f t="shared" si="19"/>
        <v>0.2</v>
      </c>
      <c r="AH66" s="2">
        <f t="shared" si="20"/>
        <v>0.18</v>
      </c>
    </row>
    <row r="67" spans="1:34">
      <c r="A67" t="str">
        <f t="shared" si="35"/>
        <v>Coffee</v>
      </c>
      <c r="B67" t="str">
        <f t="shared" si="34"/>
        <v>SNNPR</v>
      </c>
      <c r="C67" s="2">
        <v>0.2</v>
      </c>
      <c r="D67" s="2">
        <v>0.18</v>
      </c>
      <c r="E67" s="2">
        <f t="shared" si="3"/>
        <v>0.2</v>
      </c>
      <c r="F67" s="2">
        <f t="shared" si="4"/>
        <v>0.18</v>
      </c>
      <c r="G67" s="2">
        <f t="shared" si="5"/>
        <v>0.2</v>
      </c>
      <c r="H67" s="2">
        <f t="shared" si="21"/>
        <v>0.18</v>
      </c>
      <c r="I67" s="2">
        <f t="shared" si="22"/>
        <v>0.2</v>
      </c>
      <c r="J67" s="2">
        <f t="shared" si="23"/>
        <v>0.18</v>
      </c>
      <c r="K67" s="2">
        <f t="shared" si="24"/>
        <v>0.2</v>
      </c>
      <c r="L67" s="2">
        <f t="shared" si="25"/>
        <v>0.18</v>
      </c>
      <c r="M67" s="2">
        <f t="shared" si="26"/>
        <v>0.2</v>
      </c>
      <c r="N67" s="2">
        <f t="shared" si="27"/>
        <v>0.18</v>
      </c>
      <c r="O67" s="2">
        <f t="shared" si="28"/>
        <v>0.2</v>
      </c>
      <c r="P67" s="2">
        <f t="shared" si="29"/>
        <v>0.18</v>
      </c>
      <c r="Q67" s="2">
        <f t="shared" si="30"/>
        <v>0.2</v>
      </c>
      <c r="R67" s="2">
        <f t="shared" si="31"/>
        <v>0.18</v>
      </c>
      <c r="S67" s="2">
        <f t="shared" si="32"/>
        <v>0.2</v>
      </c>
      <c r="T67" s="2">
        <f t="shared" si="6"/>
        <v>0.18</v>
      </c>
      <c r="U67" s="2">
        <f t="shared" si="7"/>
        <v>0.2</v>
      </c>
      <c r="V67" s="2">
        <f t="shared" si="8"/>
        <v>0.18</v>
      </c>
      <c r="W67" s="2">
        <f t="shared" si="9"/>
        <v>0.2</v>
      </c>
      <c r="X67" s="2">
        <f t="shared" si="10"/>
        <v>0.18</v>
      </c>
      <c r="Y67" s="2">
        <f t="shared" si="11"/>
        <v>0.2</v>
      </c>
      <c r="Z67" s="2">
        <f t="shared" si="12"/>
        <v>0.18</v>
      </c>
      <c r="AA67" s="2">
        <f t="shared" si="13"/>
        <v>0.2</v>
      </c>
      <c r="AB67" s="2">
        <f t="shared" si="14"/>
        <v>0.18</v>
      </c>
      <c r="AC67" s="2">
        <f t="shared" si="15"/>
        <v>0.2</v>
      </c>
      <c r="AD67" s="2">
        <f t="shared" si="16"/>
        <v>0.18</v>
      </c>
      <c r="AE67" s="2">
        <f t="shared" si="17"/>
        <v>0.2</v>
      </c>
      <c r="AF67" s="2">
        <f t="shared" si="18"/>
        <v>0.18</v>
      </c>
      <c r="AG67" s="2">
        <f t="shared" si="19"/>
        <v>0.2</v>
      </c>
      <c r="AH67" s="2">
        <f t="shared" si="20"/>
        <v>0.18</v>
      </c>
    </row>
    <row r="68" spans="1:34">
      <c r="A68" t="str">
        <f t="shared" si="35"/>
        <v>Coffee</v>
      </c>
      <c r="B68" t="str">
        <f t="shared" si="34"/>
        <v>Tigray</v>
      </c>
      <c r="C68" s="2">
        <v>0.2</v>
      </c>
      <c r="D68" s="2">
        <v>0.18</v>
      </c>
      <c r="E68" s="2">
        <f t="shared" ref="E68:F68" si="36">C68</f>
        <v>0.2</v>
      </c>
      <c r="F68" s="2">
        <f t="shared" si="36"/>
        <v>0.18</v>
      </c>
      <c r="G68" s="2">
        <f t="shared" ref="G68" si="37">E68</f>
        <v>0.2</v>
      </c>
      <c r="H68" s="2">
        <f t="shared" si="21"/>
        <v>0.18</v>
      </c>
      <c r="I68" s="2">
        <f t="shared" si="22"/>
        <v>0.2</v>
      </c>
      <c r="J68" s="2">
        <f t="shared" si="23"/>
        <v>0.18</v>
      </c>
      <c r="K68" s="2">
        <f t="shared" si="24"/>
        <v>0.2</v>
      </c>
      <c r="L68" s="2">
        <f t="shared" si="25"/>
        <v>0.18</v>
      </c>
      <c r="M68" s="2">
        <f t="shared" si="26"/>
        <v>0.2</v>
      </c>
      <c r="N68" s="2">
        <f t="shared" si="27"/>
        <v>0.18</v>
      </c>
      <c r="O68" s="2">
        <f t="shared" si="28"/>
        <v>0.2</v>
      </c>
      <c r="P68" s="2">
        <f t="shared" si="29"/>
        <v>0.18</v>
      </c>
      <c r="Q68" s="2">
        <f t="shared" si="30"/>
        <v>0.2</v>
      </c>
      <c r="R68" s="2">
        <f t="shared" si="31"/>
        <v>0.18</v>
      </c>
      <c r="S68" s="2">
        <f t="shared" si="32"/>
        <v>0.2</v>
      </c>
      <c r="T68" s="2">
        <f t="shared" si="6"/>
        <v>0.18</v>
      </c>
      <c r="U68" s="2">
        <f t="shared" si="7"/>
        <v>0.2</v>
      </c>
      <c r="V68" s="2">
        <f t="shared" si="8"/>
        <v>0.18</v>
      </c>
      <c r="W68" s="2">
        <f t="shared" si="9"/>
        <v>0.2</v>
      </c>
      <c r="X68" s="2">
        <f t="shared" si="10"/>
        <v>0.18</v>
      </c>
      <c r="Y68" s="2">
        <f t="shared" si="11"/>
        <v>0.2</v>
      </c>
      <c r="Z68" s="2">
        <f t="shared" si="12"/>
        <v>0.18</v>
      </c>
      <c r="AA68" s="2">
        <f t="shared" si="13"/>
        <v>0.2</v>
      </c>
      <c r="AB68" s="2">
        <f t="shared" si="14"/>
        <v>0.18</v>
      </c>
      <c r="AC68" s="2">
        <f t="shared" si="15"/>
        <v>0.2</v>
      </c>
      <c r="AD68" s="2">
        <f t="shared" si="16"/>
        <v>0.18</v>
      </c>
      <c r="AE68" s="2">
        <f t="shared" si="17"/>
        <v>0.2</v>
      </c>
      <c r="AF68" s="2">
        <f t="shared" si="18"/>
        <v>0.18</v>
      </c>
      <c r="AG68" s="2">
        <f t="shared" si="19"/>
        <v>0.2</v>
      </c>
      <c r="AH68" s="2">
        <f t="shared" si="20"/>
        <v>0.18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168"/>
  <sheetViews>
    <sheetView zoomScale="85" zoomScaleNormal="85" workbookViewId="0"/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C103/0.2</f>
        <v>0</v>
      </c>
      <c r="D3" s="2">
        <f>D103/0.2</f>
        <v>0</v>
      </c>
      <c r="E3" s="2">
        <f>C3</f>
        <v>0</v>
      </c>
      <c r="F3" s="2">
        <f t="shared" ref="F3:AH3" si="2">D3</f>
        <v>0</v>
      </c>
      <c r="G3" s="2">
        <f t="shared" si="2"/>
        <v>0</v>
      </c>
      <c r="H3" s="2">
        <f t="shared" si="2"/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O3" s="2">
        <f t="shared" si="2"/>
        <v>0</v>
      </c>
      <c r="P3" s="2">
        <f t="shared" si="2"/>
        <v>0</v>
      </c>
      <c r="Q3" s="2">
        <f t="shared" si="2"/>
        <v>0</v>
      </c>
      <c r="R3" s="2">
        <f t="shared" si="2"/>
        <v>0</v>
      </c>
      <c r="S3" s="2">
        <f t="shared" si="2"/>
        <v>0</v>
      </c>
      <c r="T3" s="2">
        <f t="shared" si="2"/>
        <v>0</v>
      </c>
      <c r="U3" s="2">
        <f t="shared" si="2"/>
        <v>0</v>
      </c>
      <c r="V3" s="2">
        <f t="shared" si="2"/>
        <v>0</v>
      </c>
      <c r="W3" s="2">
        <f t="shared" si="2"/>
        <v>0</v>
      </c>
      <c r="X3" s="2">
        <f t="shared" si="2"/>
        <v>0</v>
      </c>
      <c r="Y3" s="2">
        <f t="shared" si="2"/>
        <v>0</v>
      </c>
      <c r="Z3" s="2">
        <f t="shared" si="2"/>
        <v>0</v>
      </c>
      <c r="AA3" s="2">
        <f t="shared" si="2"/>
        <v>0</v>
      </c>
      <c r="AB3" s="2">
        <f t="shared" si="2"/>
        <v>0</v>
      </c>
      <c r="AC3" s="2">
        <f t="shared" si="2"/>
        <v>0</v>
      </c>
      <c r="AD3" s="2">
        <f t="shared" si="2"/>
        <v>0</v>
      </c>
      <c r="AE3" s="2">
        <f t="shared" si="2"/>
        <v>0</v>
      </c>
      <c r="AF3" s="2">
        <f t="shared" si="2"/>
        <v>0</v>
      </c>
      <c r="AG3" s="2">
        <f t="shared" si="2"/>
        <v>0</v>
      </c>
      <c r="AH3" s="2">
        <f t="shared" si="2"/>
        <v>0</v>
      </c>
    </row>
    <row r="4" spans="1:34">
      <c r="A4" t="str">
        <f>sets!$H$3</f>
        <v>Teff</v>
      </c>
      <c r="B4" t="str">
        <v>Afar</v>
      </c>
      <c r="C4" s="2">
        <f t="shared" ref="C4:D4" si="3">C104/0.2</f>
        <v>0</v>
      </c>
      <c r="D4" s="2">
        <f t="shared" si="3"/>
        <v>12.399999999999999</v>
      </c>
      <c r="E4" s="2">
        <f t="shared" ref="E4:E67" si="4">C4</f>
        <v>0</v>
      </c>
      <c r="F4" s="2">
        <f t="shared" ref="F4:F67" si="5">D4</f>
        <v>12.399999999999999</v>
      </c>
      <c r="G4" s="2">
        <f t="shared" ref="G4:G67" si="6">E4</f>
        <v>0</v>
      </c>
      <c r="H4" s="2">
        <f t="shared" ref="H4:H67" si="7">F4</f>
        <v>12.399999999999999</v>
      </c>
      <c r="I4" s="2">
        <f t="shared" ref="I4:I67" si="8">G4</f>
        <v>0</v>
      </c>
      <c r="J4" s="2">
        <f t="shared" ref="J4:J67" si="9">H4</f>
        <v>12.399999999999999</v>
      </c>
      <c r="K4" s="2">
        <f t="shared" ref="K4:K67" si="10">I4</f>
        <v>0</v>
      </c>
      <c r="L4" s="2">
        <f t="shared" ref="L4:L67" si="11">J4</f>
        <v>12.399999999999999</v>
      </c>
      <c r="M4" s="2">
        <f t="shared" ref="M4:M67" si="12">K4</f>
        <v>0</v>
      </c>
      <c r="N4" s="2">
        <f t="shared" ref="N4:N67" si="13">L4</f>
        <v>12.399999999999999</v>
      </c>
      <c r="O4" s="2">
        <f t="shared" ref="O4:O67" si="14">M4</f>
        <v>0</v>
      </c>
      <c r="P4" s="2">
        <f t="shared" ref="P4:P67" si="15">N4</f>
        <v>12.399999999999999</v>
      </c>
      <c r="Q4" s="2">
        <f t="shared" ref="Q4:Q67" si="16">O4</f>
        <v>0</v>
      </c>
      <c r="R4" s="2">
        <f t="shared" ref="R4:R67" si="17">P4</f>
        <v>12.399999999999999</v>
      </c>
      <c r="S4" s="2">
        <f t="shared" ref="S4:S67" si="18">Q4</f>
        <v>0</v>
      </c>
      <c r="T4" s="2">
        <f t="shared" ref="T4:T67" si="19">R4</f>
        <v>12.399999999999999</v>
      </c>
      <c r="U4" s="2">
        <f t="shared" ref="U4:U67" si="20">S4</f>
        <v>0</v>
      </c>
      <c r="V4" s="2">
        <f t="shared" ref="V4:V67" si="21">T4</f>
        <v>12.399999999999999</v>
      </c>
      <c r="W4" s="2">
        <f t="shared" ref="W4:W67" si="22">U4</f>
        <v>0</v>
      </c>
      <c r="X4" s="2">
        <f t="shared" ref="X4:X67" si="23">V4</f>
        <v>12.399999999999999</v>
      </c>
      <c r="Y4" s="2">
        <f t="shared" ref="Y4:Y67" si="24">W4</f>
        <v>0</v>
      </c>
      <c r="Z4" s="2">
        <f t="shared" ref="Z4:Z67" si="25">X4</f>
        <v>12.399999999999999</v>
      </c>
      <c r="AA4" s="2">
        <f t="shared" ref="AA4:AA67" si="26">Y4</f>
        <v>0</v>
      </c>
      <c r="AB4" s="2">
        <f t="shared" ref="AB4:AB67" si="27">Z4</f>
        <v>12.399999999999999</v>
      </c>
      <c r="AC4" s="2">
        <f t="shared" ref="AC4:AC67" si="28">AA4</f>
        <v>0</v>
      </c>
      <c r="AD4" s="2">
        <f t="shared" ref="AD4:AD67" si="29">AB4</f>
        <v>12.399999999999999</v>
      </c>
      <c r="AE4" s="2">
        <f t="shared" ref="AE4:AE67" si="30">AC4</f>
        <v>0</v>
      </c>
      <c r="AF4" s="2">
        <f t="shared" ref="AF4:AF67" si="31">AD4</f>
        <v>12.399999999999999</v>
      </c>
      <c r="AG4" s="2">
        <f t="shared" ref="AG4:AG67" si="32">AE4</f>
        <v>0</v>
      </c>
      <c r="AH4" s="2">
        <f t="shared" ref="AH4:AH67" si="33">AF4</f>
        <v>12.399999999999999</v>
      </c>
    </row>
    <row r="5" spans="1:34">
      <c r="A5" t="str">
        <f>sets!$H$3</f>
        <v>Teff</v>
      </c>
      <c r="B5" t="str">
        <v>Amhara</v>
      </c>
      <c r="C5" s="2">
        <f t="shared" ref="C5:D5" si="34">C105/0.2</f>
        <v>20</v>
      </c>
      <c r="D5" s="2">
        <f t="shared" si="34"/>
        <v>40</v>
      </c>
      <c r="E5" s="2">
        <f t="shared" si="4"/>
        <v>20</v>
      </c>
      <c r="F5" s="2">
        <f t="shared" si="5"/>
        <v>40</v>
      </c>
      <c r="G5" s="2">
        <f t="shared" si="6"/>
        <v>20</v>
      </c>
      <c r="H5" s="2">
        <f t="shared" si="7"/>
        <v>40</v>
      </c>
      <c r="I5" s="2">
        <f t="shared" si="8"/>
        <v>20</v>
      </c>
      <c r="J5" s="2">
        <f t="shared" si="9"/>
        <v>40</v>
      </c>
      <c r="K5" s="2">
        <f t="shared" si="10"/>
        <v>20</v>
      </c>
      <c r="L5" s="2">
        <f t="shared" si="11"/>
        <v>40</v>
      </c>
      <c r="M5" s="2">
        <f t="shared" si="12"/>
        <v>20</v>
      </c>
      <c r="N5" s="2">
        <f t="shared" si="13"/>
        <v>40</v>
      </c>
      <c r="O5" s="2">
        <f t="shared" si="14"/>
        <v>20</v>
      </c>
      <c r="P5" s="2">
        <f t="shared" si="15"/>
        <v>40</v>
      </c>
      <c r="Q5" s="2">
        <f t="shared" si="16"/>
        <v>20</v>
      </c>
      <c r="R5" s="2">
        <f t="shared" si="17"/>
        <v>40</v>
      </c>
      <c r="S5" s="2">
        <f t="shared" si="18"/>
        <v>20</v>
      </c>
      <c r="T5" s="2">
        <f t="shared" si="19"/>
        <v>40</v>
      </c>
      <c r="U5" s="2">
        <f t="shared" si="20"/>
        <v>20</v>
      </c>
      <c r="V5" s="2">
        <f t="shared" si="21"/>
        <v>40</v>
      </c>
      <c r="W5" s="2">
        <f t="shared" si="22"/>
        <v>20</v>
      </c>
      <c r="X5" s="2">
        <f t="shared" si="23"/>
        <v>40</v>
      </c>
      <c r="Y5" s="2">
        <f t="shared" si="24"/>
        <v>20</v>
      </c>
      <c r="Z5" s="2">
        <f t="shared" si="25"/>
        <v>40</v>
      </c>
      <c r="AA5" s="2">
        <f t="shared" si="26"/>
        <v>20</v>
      </c>
      <c r="AB5" s="2">
        <f t="shared" si="27"/>
        <v>40</v>
      </c>
      <c r="AC5" s="2">
        <f t="shared" si="28"/>
        <v>20</v>
      </c>
      <c r="AD5" s="2">
        <f t="shared" si="29"/>
        <v>40</v>
      </c>
      <c r="AE5" s="2">
        <f t="shared" si="30"/>
        <v>20</v>
      </c>
      <c r="AF5" s="2">
        <f t="shared" si="31"/>
        <v>40</v>
      </c>
      <c r="AG5" s="2">
        <f t="shared" si="32"/>
        <v>20</v>
      </c>
      <c r="AH5" s="2">
        <f t="shared" si="33"/>
        <v>40</v>
      </c>
    </row>
    <row r="6" spans="1:34">
      <c r="A6" t="str">
        <f>sets!$H$3</f>
        <v>Teff</v>
      </c>
      <c r="B6" t="str">
        <v>Gumuz</v>
      </c>
      <c r="C6" s="2">
        <f t="shared" ref="C6:D6" si="35">C106/0.2</f>
        <v>50</v>
      </c>
      <c r="D6" s="2">
        <f t="shared" si="35"/>
        <v>2.5</v>
      </c>
      <c r="E6" s="2">
        <f t="shared" si="4"/>
        <v>50</v>
      </c>
      <c r="F6" s="2">
        <f t="shared" si="5"/>
        <v>2.5</v>
      </c>
      <c r="G6" s="2">
        <f t="shared" si="6"/>
        <v>50</v>
      </c>
      <c r="H6" s="2">
        <f t="shared" si="7"/>
        <v>2.5</v>
      </c>
      <c r="I6" s="2">
        <f t="shared" si="8"/>
        <v>50</v>
      </c>
      <c r="J6" s="2">
        <f t="shared" si="9"/>
        <v>2.5</v>
      </c>
      <c r="K6" s="2">
        <f t="shared" si="10"/>
        <v>50</v>
      </c>
      <c r="L6" s="2">
        <f t="shared" si="11"/>
        <v>2.5</v>
      </c>
      <c r="M6" s="2">
        <f t="shared" si="12"/>
        <v>50</v>
      </c>
      <c r="N6" s="2">
        <f t="shared" si="13"/>
        <v>2.5</v>
      </c>
      <c r="O6" s="2">
        <f t="shared" si="14"/>
        <v>50</v>
      </c>
      <c r="P6" s="2">
        <f t="shared" si="15"/>
        <v>2.5</v>
      </c>
      <c r="Q6" s="2">
        <f t="shared" si="16"/>
        <v>50</v>
      </c>
      <c r="R6" s="2">
        <f t="shared" si="17"/>
        <v>2.5</v>
      </c>
      <c r="S6" s="2">
        <f t="shared" si="18"/>
        <v>50</v>
      </c>
      <c r="T6" s="2">
        <f t="shared" si="19"/>
        <v>2.5</v>
      </c>
      <c r="U6" s="2">
        <f t="shared" si="20"/>
        <v>50</v>
      </c>
      <c r="V6" s="2">
        <f t="shared" si="21"/>
        <v>2.5</v>
      </c>
      <c r="W6" s="2">
        <f t="shared" si="22"/>
        <v>50</v>
      </c>
      <c r="X6" s="2">
        <f t="shared" si="23"/>
        <v>2.5</v>
      </c>
      <c r="Y6" s="2">
        <f t="shared" si="24"/>
        <v>50</v>
      </c>
      <c r="Z6" s="2">
        <f t="shared" si="25"/>
        <v>2.5</v>
      </c>
      <c r="AA6" s="2">
        <f t="shared" si="26"/>
        <v>50</v>
      </c>
      <c r="AB6" s="2">
        <f t="shared" si="27"/>
        <v>2.5</v>
      </c>
      <c r="AC6" s="2">
        <f t="shared" si="28"/>
        <v>50</v>
      </c>
      <c r="AD6" s="2">
        <f t="shared" si="29"/>
        <v>2.5</v>
      </c>
      <c r="AE6" s="2">
        <f t="shared" si="30"/>
        <v>50</v>
      </c>
      <c r="AF6" s="2">
        <f t="shared" si="31"/>
        <v>2.5</v>
      </c>
      <c r="AG6" s="2">
        <f t="shared" si="32"/>
        <v>50</v>
      </c>
      <c r="AH6" s="2">
        <f t="shared" si="33"/>
        <v>2.5</v>
      </c>
    </row>
    <row r="7" spans="1:34">
      <c r="A7" t="str">
        <f>sets!$H$3</f>
        <v>Teff</v>
      </c>
      <c r="B7" t="str">
        <v>DireDawa</v>
      </c>
      <c r="C7" s="2">
        <f t="shared" ref="C7:D7" si="36">C107/0.2</f>
        <v>0</v>
      </c>
      <c r="D7" s="2">
        <f t="shared" si="36"/>
        <v>2.5</v>
      </c>
      <c r="E7" s="2">
        <f t="shared" si="4"/>
        <v>0</v>
      </c>
      <c r="F7" s="2">
        <f t="shared" si="5"/>
        <v>2.5</v>
      </c>
      <c r="G7" s="2">
        <f t="shared" si="6"/>
        <v>0</v>
      </c>
      <c r="H7" s="2">
        <f t="shared" si="7"/>
        <v>2.5</v>
      </c>
      <c r="I7" s="2">
        <f t="shared" si="8"/>
        <v>0</v>
      </c>
      <c r="J7" s="2">
        <f t="shared" si="9"/>
        <v>2.5</v>
      </c>
      <c r="K7" s="2">
        <f t="shared" si="10"/>
        <v>0</v>
      </c>
      <c r="L7" s="2">
        <f t="shared" si="11"/>
        <v>2.5</v>
      </c>
      <c r="M7" s="2">
        <f t="shared" si="12"/>
        <v>0</v>
      </c>
      <c r="N7" s="2">
        <f t="shared" si="13"/>
        <v>2.5</v>
      </c>
      <c r="O7" s="2">
        <f t="shared" si="14"/>
        <v>0</v>
      </c>
      <c r="P7" s="2">
        <f t="shared" si="15"/>
        <v>2.5</v>
      </c>
      <c r="Q7" s="2">
        <f t="shared" si="16"/>
        <v>0</v>
      </c>
      <c r="R7" s="2">
        <f t="shared" si="17"/>
        <v>2.5</v>
      </c>
      <c r="S7" s="2">
        <f t="shared" si="18"/>
        <v>0</v>
      </c>
      <c r="T7" s="2">
        <f t="shared" si="19"/>
        <v>2.5</v>
      </c>
      <c r="U7" s="2">
        <f t="shared" si="20"/>
        <v>0</v>
      </c>
      <c r="V7" s="2">
        <f t="shared" si="21"/>
        <v>2.5</v>
      </c>
      <c r="W7" s="2">
        <f t="shared" si="22"/>
        <v>0</v>
      </c>
      <c r="X7" s="2">
        <f t="shared" si="23"/>
        <v>2.5</v>
      </c>
      <c r="Y7" s="2">
        <f t="shared" si="24"/>
        <v>0</v>
      </c>
      <c r="Z7" s="2">
        <f t="shared" si="25"/>
        <v>2.5</v>
      </c>
      <c r="AA7" s="2">
        <f t="shared" si="26"/>
        <v>0</v>
      </c>
      <c r="AB7" s="2">
        <f t="shared" si="27"/>
        <v>2.5</v>
      </c>
      <c r="AC7" s="2">
        <f t="shared" si="28"/>
        <v>0</v>
      </c>
      <c r="AD7" s="2">
        <f t="shared" si="29"/>
        <v>2.5</v>
      </c>
      <c r="AE7" s="2">
        <f t="shared" si="30"/>
        <v>0</v>
      </c>
      <c r="AF7" s="2">
        <f t="shared" si="31"/>
        <v>2.5</v>
      </c>
      <c r="AG7" s="2">
        <f t="shared" si="32"/>
        <v>0</v>
      </c>
      <c r="AH7" s="2">
        <f t="shared" si="33"/>
        <v>2.5</v>
      </c>
    </row>
    <row r="8" spans="1:34">
      <c r="A8" t="str">
        <f>sets!$H$3</f>
        <v>Teff</v>
      </c>
      <c r="B8" t="str">
        <v>Gambela</v>
      </c>
      <c r="C8" s="2">
        <f t="shared" ref="C8:D8" si="37">C108/0.2</f>
        <v>0</v>
      </c>
      <c r="D8" s="2">
        <f t="shared" si="37"/>
        <v>0</v>
      </c>
      <c r="E8" s="2">
        <f t="shared" si="4"/>
        <v>0</v>
      </c>
      <c r="F8" s="2">
        <f t="shared" si="5"/>
        <v>0</v>
      </c>
      <c r="G8" s="2">
        <f t="shared" si="6"/>
        <v>0</v>
      </c>
      <c r="H8" s="2">
        <f t="shared" si="7"/>
        <v>0</v>
      </c>
      <c r="I8" s="2">
        <f t="shared" si="8"/>
        <v>0</v>
      </c>
      <c r="J8" s="2">
        <f t="shared" si="9"/>
        <v>0</v>
      </c>
      <c r="K8" s="2">
        <f t="shared" si="10"/>
        <v>0</v>
      </c>
      <c r="L8" s="2">
        <f t="shared" si="11"/>
        <v>0</v>
      </c>
      <c r="M8" s="2">
        <f t="shared" si="12"/>
        <v>0</v>
      </c>
      <c r="N8" s="2">
        <f t="shared" si="13"/>
        <v>0</v>
      </c>
      <c r="O8" s="2">
        <f t="shared" si="14"/>
        <v>0</v>
      </c>
      <c r="P8" s="2">
        <f t="shared" si="15"/>
        <v>0</v>
      </c>
      <c r="Q8" s="2">
        <f t="shared" si="16"/>
        <v>0</v>
      </c>
      <c r="R8" s="2">
        <f t="shared" si="17"/>
        <v>0</v>
      </c>
      <c r="S8" s="2">
        <f t="shared" si="18"/>
        <v>0</v>
      </c>
      <c r="T8" s="2">
        <f t="shared" si="19"/>
        <v>0</v>
      </c>
      <c r="U8" s="2">
        <f t="shared" si="20"/>
        <v>0</v>
      </c>
      <c r="V8" s="2">
        <f t="shared" si="21"/>
        <v>0</v>
      </c>
      <c r="W8" s="2">
        <f t="shared" si="22"/>
        <v>0</v>
      </c>
      <c r="X8" s="2">
        <f t="shared" si="23"/>
        <v>0</v>
      </c>
      <c r="Y8" s="2">
        <f t="shared" si="24"/>
        <v>0</v>
      </c>
      <c r="Z8" s="2">
        <f t="shared" si="25"/>
        <v>0</v>
      </c>
      <c r="AA8" s="2">
        <f t="shared" si="26"/>
        <v>0</v>
      </c>
      <c r="AB8" s="2">
        <f t="shared" si="27"/>
        <v>0</v>
      </c>
      <c r="AC8" s="2">
        <f t="shared" si="28"/>
        <v>0</v>
      </c>
      <c r="AD8" s="2">
        <f t="shared" si="29"/>
        <v>0</v>
      </c>
      <c r="AE8" s="2">
        <f t="shared" si="30"/>
        <v>0</v>
      </c>
      <c r="AF8" s="2">
        <f t="shared" si="31"/>
        <v>0</v>
      </c>
      <c r="AG8" s="2">
        <f t="shared" si="32"/>
        <v>0</v>
      </c>
      <c r="AH8" s="2">
        <f t="shared" si="33"/>
        <v>0</v>
      </c>
    </row>
    <row r="9" spans="1:34">
      <c r="A9" t="str">
        <f>sets!$H$3</f>
        <v>Teff</v>
      </c>
      <c r="B9" t="str">
        <v>Harari</v>
      </c>
      <c r="C9" s="2">
        <f t="shared" ref="C9:D9" si="38">C109/0.2</f>
        <v>45</v>
      </c>
      <c r="D9" s="2">
        <f t="shared" si="38"/>
        <v>2.5</v>
      </c>
      <c r="E9" s="2">
        <f t="shared" si="4"/>
        <v>45</v>
      </c>
      <c r="F9" s="2">
        <f t="shared" si="5"/>
        <v>2.5</v>
      </c>
      <c r="G9" s="2">
        <f t="shared" si="6"/>
        <v>45</v>
      </c>
      <c r="H9" s="2">
        <f t="shared" si="7"/>
        <v>2.5</v>
      </c>
      <c r="I9" s="2">
        <f t="shared" si="8"/>
        <v>45</v>
      </c>
      <c r="J9" s="2">
        <f t="shared" si="9"/>
        <v>2.5</v>
      </c>
      <c r="K9" s="2">
        <f t="shared" si="10"/>
        <v>45</v>
      </c>
      <c r="L9" s="2">
        <f t="shared" si="11"/>
        <v>2.5</v>
      </c>
      <c r="M9" s="2">
        <f t="shared" si="12"/>
        <v>45</v>
      </c>
      <c r="N9" s="2">
        <f t="shared" si="13"/>
        <v>2.5</v>
      </c>
      <c r="O9" s="2">
        <f t="shared" si="14"/>
        <v>45</v>
      </c>
      <c r="P9" s="2">
        <f t="shared" si="15"/>
        <v>2.5</v>
      </c>
      <c r="Q9" s="2">
        <f t="shared" si="16"/>
        <v>45</v>
      </c>
      <c r="R9" s="2">
        <f t="shared" si="17"/>
        <v>2.5</v>
      </c>
      <c r="S9" s="2">
        <f t="shared" si="18"/>
        <v>45</v>
      </c>
      <c r="T9" s="2">
        <f t="shared" si="19"/>
        <v>2.5</v>
      </c>
      <c r="U9" s="2">
        <f t="shared" si="20"/>
        <v>45</v>
      </c>
      <c r="V9" s="2">
        <f t="shared" si="21"/>
        <v>2.5</v>
      </c>
      <c r="W9" s="2">
        <f t="shared" si="22"/>
        <v>45</v>
      </c>
      <c r="X9" s="2">
        <f t="shared" si="23"/>
        <v>2.5</v>
      </c>
      <c r="Y9" s="2">
        <f t="shared" si="24"/>
        <v>45</v>
      </c>
      <c r="Z9" s="2">
        <f t="shared" si="25"/>
        <v>2.5</v>
      </c>
      <c r="AA9" s="2">
        <f t="shared" si="26"/>
        <v>45</v>
      </c>
      <c r="AB9" s="2">
        <f t="shared" si="27"/>
        <v>2.5</v>
      </c>
      <c r="AC9" s="2">
        <f t="shared" si="28"/>
        <v>45</v>
      </c>
      <c r="AD9" s="2">
        <f t="shared" si="29"/>
        <v>2.5</v>
      </c>
      <c r="AE9" s="2">
        <f t="shared" si="30"/>
        <v>45</v>
      </c>
      <c r="AF9" s="2">
        <f t="shared" si="31"/>
        <v>2.5</v>
      </c>
      <c r="AG9" s="2">
        <f t="shared" si="32"/>
        <v>45</v>
      </c>
      <c r="AH9" s="2">
        <f t="shared" si="33"/>
        <v>2.5</v>
      </c>
    </row>
    <row r="10" spans="1:34">
      <c r="A10" t="str">
        <f>sets!$H$3</f>
        <v>Teff</v>
      </c>
      <c r="B10" t="str">
        <v>Oromia</v>
      </c>
      <c r="C10" s="2">
        <f t="shared" ref="C10:D10" si="39">C110/0.2</f>
        <v>70</v>
      </c>
      <c r="D10" s="2">
        <f t="shared" si="39"/>
        <v>29.787234042553198</v>
      </c>
      <c r="E10" s="2">
        <f t="shared" si="4"/>
        <v>70</v>
      </c>
      <c r="F10" s="2">
        <f t="shared" si="5"/>
        <v>29.787234042553198</v>
      </c>
      <c r="G10" s="2">
        <f t="shared" si="6"/>
        <v>70</v>
      </c>
      <c r="H10" s="2">
        <f t="shared" si="7"/>
        <v>29.787234042553198</v>
      </c>
      <c r="I10" s="2">
        <f t="shared" si="8"/>
        <v>70</v>
      </c>
      <c r="J10" s="2">
        <f t="shared" si="9"/>
        <v>29.787234042553198</v>
      </c>
      <c r="K10" s="2">
        <f t="shared" si="10"/>
        <v>70</v>
      </c>
      <c r="L10" s="2">
        <f t="shared" si="11"/>
        <v>29.787234042553198</v>
      </c>
      <c r="M10" s="2">
        <f t="shared" si="12"/>
        <v>70</v>
      </c>
      <c r="N10" s="2">
        <f t="shared" si="13"/>
        <v>29.787234042553198</v>
      </c>
      <c r="O10" s="2">
        <f t="shared" si="14"/>
        <v>70</v>
      </c>
      <c r="P10" s="2">
        <f t="shared" si="15"/>
        <v>29.787234042553198</v>
      </c>
      <c r="Q10" s="2">
        <f t="shared" si="16"/>
        <v>70</v>
      </c>
      <c r="R10" s="2">
        <f t="shared" si="17"/>
        <v>29.787234042553198</v>
      </c>
      <c r="S10" s="2">
        <f t="shared" si="18"/>
        <v>70</v>
      </c>
      <c r="T10" s="2">
        <f t="shared" si="19"/>
        <v>29.787234042553198</v>
      </c>
      <c r="U10" s="2">
        <f t="shared" si="20"/>
        <v>70</v>
      </c>
      <c r="V10" s="2">
        <f t="shared" si="21"/>
        <v>29.787234042553198</v>
      </c>
      <c r="W10" s="2">
        <f t="shared" si="22"/>
        <v>70</v>
      </c>
      <c r="X10" s="2">
        <f t="shared" si="23"/>
        <v>29.787234042553198</v>
      </c>
      <c r="Y10" s="2">
        <f t="shared" si="24"/>
        <v>70</v>
      </c>
      <c r="Z10" s="2">
        <f t="shared" si="25"/>
        <v>29.787234042553198</v>
      </c>
      <c r="AA10" s="2">
        <f t="shared" si="26"/>
        <v>70</v>
      </c>
      <c r="AB10" s="2">
        <f t="shared" si="27"/>
        <v>29.787234042553198</v>
      </c>
      <c r="AC10" s="2">
        <f t="shared" si="28"/>
        <v>70</v>
      </c>
      <c r="AD10" s="2">
        <f t="shared" si="29"/>
        <v>29.787234042553198</v>
      </c>
      <c r="AE10" s="2">
        <f t="shared" si="30"/>
        <v>70</v>
      </c>
      <c r="AF10" s="2">
        <f t="shared" si="31"/>
        <v>29.787234042553198</v>
      </c>
      <c r="AG10" s="2">
        <f t="shared" si="32"/>
        <v>70</v>
      </c>
      <c r="AH10" s="2">
        <f t="shared" si="33"/>
        <v>29.787234042553198</v>
      </c>
    </row>
    <row r="11" spans="1:34">
      <c r="A11" t="str">
        <f>sets!$H$3</f>
        <v>Teff</v>
      </c>
      <c r="B11" t="str">
        <v>Somali</v>
      </c>
      <c r="C11" s="2">
        <f t="shared" ref="C11:D11" si="40">C111/0.2</f>
        <v>0</v>
      </c>
      <c r="D11" s="2">
        <f t="shared" si="40"/>
        <v>2.5</v>
      </c>
      <c r="E11" s="2">
        <f t="shared" si="4"/>
        <v>0</v>
      </c>
      <c r="F11" s="2">
        <f t="shared" si="5"/>
        <v>2.5</v>
      </c>
      <c r="G11" s="2">
        <f t="shared" si="6"/>
        <v>0</v>
      </c>
      <c r="H11" s="2">
        <f t="shared" si="7"/>
        <v>2.5</v>
      </c>
      <c r="I11" s="2">
        <f t="shared" si="8"/>
        <v>0</v>
      </c>
      <c r="J11" s="2">
        <f t="shared" si="9"/>
        <v>2.5</v>
      </c>
      <c r="K11" s="2">
        <f t="shared" si="10"/>
        <v>0</v>
      </c>
      <c r="L11" s="2">
        <f t="shared" si="11"/>
        <v>2.5</v>
      </c>
      <c r="M11" s="2">
        <f t="shared" si="12"/>
        <v>0</v>
      </c>
      <c r="N11" s="2">
        <f t="shared" si="13"/>
        <v>2.5</v>
      </c>
      <c r="O11" s="2">
        <f t="shared" si="14"/>
        <v>0</v>
      </c>
      <c r="P11" s="2">
        <f t="shared" si="15"/>
        <v>2.5</v>
      </c>
      <c r="Q11" s="2">
        <f t="shared" si="16"/>
        <v>0</v>
      </c>
      <c r="R11" s="2">
        <f t="shared" si="17"/>
        <v>2.5</v>
      </c>
      <c r="S11" s="2">
        <f t="shared" si="18"/>
        <v>0</v>
      </c>
      <c r="T11" s="2">
        <f t="shared" si="19"/>
        <v>2.5</v>
      </c>
      <c r="U11" s="2">
        <f t="shared" si="20"/>
        <v>0</v>
      </c>
      <c r="V11" s="2">
        <f t="shared" si="21"/>
        <v>2.5</v>
      </c>
      <c r="W11" s="2">
        <f t="shared" si="22"/>
        <v>0</v>
      </c>
      <c r="X11" s="2">
        <f t="shared" si="23"/>
        <v>2.5</v>
      </c>
      <c r="Y11" s="2">
        <f t="shared" si="24"/>
        <v>0</v>
      </c>
      <c r="Z11" s="2">
        <f t="shared" si="25"/>
        <v>2.5</v>
      </c>
      <c r="AA11" s="2">
        <f t="shared" si="26"/>
        <v>0</v>
      </c>
      <c r="AB11" s="2">
        <f t="shared" si="27"/>
        <v>2.5</v>
      </c>
      <c r="AC11" s="2">
        <f t="shared" si="28"/>
        <v>0</v>
      </c>
      <c r="AD11" s="2">
        <f t="shared" si="29"/>
        <v>2.5</v>
      </c>
      <c r="AE11" s="2">
        <f t="shared" si="30"/>
        <v>0</v>
      </c>
      <c r="AF11" s="2">
        <f t="shared" si="31"/>
        <v>2.5</v>
      </c>
      <c r="AG11" s="2">
        <f t="shared" si="32"/>
        <v>0</v>
      </c>
      <c r="AH11" s="2">
        <f t="shared" si="33"/>
        <v>2.5</v>
      </c>
    </row>
    <row r="12" spans="1:34">
      <c r="A12" t="str">
        <f>sets!$H$3</f>
        <v>Teff</v>
      </c>
      <c r="B12" t="str">
        <v>SNNPR</v>
      </c>
      <c r="C12" s="2">
        <f t="shared" ref="C12:D12" si="41">C112/0.2</f>
        <v>65</v>
      </c>
      <c r="D12" s="2">
        <f t="shared" si="41"/>
        <v>25.303030303030297</v>
      </c>
      <c r="E12" s="2">
        <f t="shared" si="4"/>
        <v>65</v>
      </c>
      <c r="F12" s="2">
        <f t="shared" si="5"/>
        <v>25.303030303030297</v>
      </c>
      <c r="G12" s="2">
        <f t="shared" si="6"/>
        <v>65</v>
      </c>
      <c r="H12" s="2">
        <f t="shared" si="7"/>
        <v>25.303030303030297</v>
      </c>
      <c r="I12" s="2">
        <f t="shared" si="8"/>
        <v>65</v>
      </c>
      <c r="J12" s="2">
        <f t="shared" si="9"/>
        <v>25.303030303030297</v>
      </c>
      <c r="K12" s="2">
        <f t="shared" si="10"/>
        <v>65</v>
      </c>
      <c r="L12" s="2">
        <f t="shared" si="11"/>
        <v>25.303030303030297</v>
      </c>
      <c r="M12" s="2">
        <f t="shared" si="12"/>
        <v>65</v>
      </c>
      <c r="N12" s="2">
        <f t="shared" si="13"/>
        <v>25.303030303030297</v>
      </c>
      <c r="O12" s="2">
        <f t="shared" si="14"/>
        <v>65</v>
      </c>
      <c r="P12" s="2">
        <f t="shared" si="15"/>
        <v>25.303030303030297</v>
      </c>
      <c r="Q12" s="2">
        <f t="shared" si="16"/>
        <v>65</v>
      </c>
      <c r="R12" s="2">
        <f t="shared" si="17"/>
        <v>25.303030303030297</v>
      </c>
      <c r="S12" s="2">
        <f t="shared" si="18"/>
        <v>65</v>
      </c>
      <c r="T12" s="2">
        <f t="shared" si="19"/>
        <v>25.303030303030297</v>
      </c>
      <c r="U12" s="2">
        <f t="shared" si="20"/>
        <v>65</v>
      </c>
      <c r="V12" s="2">
        <f t="shared" si="21"/>
        <v>25.303030303030297</v>
      </c>
      <c r="W12" s="2">
        <f t="shared" si="22"/>
        <v>65</v>
      </c>
      <c r="X12" s="2">
        <f t="shared" si="23"/>
        <v>25.303030303030297</v>
      </c>
      <c r="Y12" s="2">
        <f t="shared" si="24"/>
        <v>65</v>
      </c>
      <c r="Z12" s="2">
        <f t="shared" si="25"/>
        <v>25.303030303030297</v>
      </c>
      <c r="AA12" s="2">
        <f t="shared" si="26"/>
        <v>65</v>
      </c>
      <c r="AB12" s="2">
        <f t="shared" si="27"/>
        <v>25.303030303030297</v>
      </c>
      <c r="AC12" s="2">
        <f t="shared" si="28"/>
        <v>65</v>
      </c>
      <c r="AD12" s="2">
        <f t="shared" si="29"/>
        <v>25.303030303030297</v>
      </c>
      <c r="AE12" s="2">
        <f t="shared" si="30"/>
        <v>65</v>
      </c>
      <c r="AF12" s="2">
        <f t="shared" si="31"/>
        <v>25.303030303030297</v>
      </c>
      <c r="AG12" s="2">
        <f t="shared" si="32"/>
        <v>65</v>
      </c>
      <c r="AH12" s="2">
        <f t="shared" si="33"/>
        <v>25.303030303030297</v>
      </c>
    </row>
    <row r="13" spans="1:34">
      <c r="A13" t="str">
        <f>sets!$H$3</f>
        <v>Teff</v>
      </c>
      <c r="B13" t="str">
        <v>Tigray</v>
      </c>
      <c r="C13" s="2">
        <f t="shared" ref="C13:D13" si="42">C113/0.2</f>
        <v>75</v>
      </c>
      <c r="D13" s="2">
        <f t="shared" si="42"/>
        <v>29.2</v>
      </c>
      <c r="E13" s="2">
        <f t="shared" si="4"/>
        <v>75</v>
      </c>
      <c r="F13" s="2">
        <f t="shared" si="5"/>
        <v>29.2</v>
      </c>
      <c r="G13" s="2">
        <f t="shared" si="6"/>
        <v>75</v>
      </c>
      <c r="H13" s="2">
        <f t="shared" si="7"/>
        <v>29.2</v>
      </c>
      <c r="I13" s="2">
        <f t="shared" si="8"/>
        <v>75</v>
      </c>
      <c r="J13" s="2">
        <f t="shared" si="9"/>
        <v>29.2</v>
      </c>
      <c r="K13" s="2">
        <f t="shared" si="10"/>
        <v>75</v>
      </c>
      <c r="L13" s="2">
        <f t="shared" si="11"/>
        <v>29.2</v>
      </c>
      <c r="M13" s="2">
        <f t="shared" si="12"/>
        <v>75</v>
      </c>
      <c r="N13" s="2">
        <f t="shared" si="13"/>
        <v>29.2</v>
      </c>
      <c r="O13" s="2">
        <f t="shared" si="14"/>
        <v>75</v>
      </c>
      <c r="P13" s="2">
        <f t="shared" si="15"/>
        <v>29.2</v>
      </c>
      <c r="Q13" s="2">
        <f t="shared" si="16"/>
        <v>75</v>
      </c>
      <c r="R13" s="2">
        <f t="shared" si="17"/>
        <v>29.2</v>
      </c>
      <c r="S13" s="2">
        <f t="shared" si="18"/>
        <v>75</v>
      </c>
      <c r="T13" s="2">
        <f t="shared" si="19"/>
        <v>29.2</v>
      </c>
      <c r="U13" s="2">
        <f t="shared" si="20"/>
        <v>75</v>
      </c>
      <c r="V13" s="2">
        <f t="shared" si="21"/>
        <v>29.2</v>
      </c>
      <c r="W13" s="2">
        <f t="shared" si="22"/>
        <v>75</v>
      </c>
      <c r="X13" s="2">
        <f t="shared" si="23"/>
        <v>29.2</v>
      </c>
      <c r="Y13" s="2">
        <f t="shared" si="24"/>
        <v>75</v>
      </c>
      <c r="Z13" s="2">
        <f t="shared" si="25"/>
        <v>29.2</v>
      </c>
      <c r="AA13" s="2">
        <f t="shared" si="26"/>
        <v>75</v>
      </c>
      <c r="AB13" s="2">
        <f t="shared" si="27"/>
        <v>29.2</v>
      </c>
      <c r="AC13" s="2">
        <f t="shared" si="28"/>
        <v>75</v>
      </c>
      <c r="AD13" s="2">
        <f t="shared" si="29"/>
        <v>29.2</v>
      </c>
      <c r="AE13" s="2">
        <f t="shared" si="30"/>
        <v>75</v>
      </c>
      <c r="AF13" s="2">
        <f t="shared" si="31"/>
        <v>29.2</v>
      </c>
      <c r="AG13" s="2">
        <f t="shared" si="32"/>
        <v>75</v>
      </c>
      <c r="AH13" s="2">
        <f t="shared" si="33"/>
        <v>29.2</v>
      </c>
    </row>
    <row r="14" spans="1:34">
      <c r="A14" t="str">
        <f t="shared" ref="A14:A68" si="43">INDEX(Food,MATCH(A3,Food,0)+1)</f>
        <v>Sorghum</v>
      </c>
      <c r="B14" t="str">
        <f>B3</f>
        <v>AddisAbaba</v>
      </c>
      <c r="C14" s="2">
        <f t="shared" ref="C14:D14" si="44">C114/0.2</f>
        <v>0</v>
      </c>
      <c r="D14" s="2">
        <f t="shared" si="44"/>
        <v>0</v>
      </c>
      <c r="E14" s="2">
        <f t="shared" si="4"/>
        <v>0</v>
      </c>
      <c r="F14" s="2">
        <f t="shared" si="5"/>
        <v>0</v>
      </c>
      <c r="G14" s="2">
        <f t="shared" si="6"/>
        <v>0</v>
      </c>
      <c r="H14" s="2">
        <f t="shared" si="7"/>
        <v>0</v>
      </c>
      <c r="I14" s="2">
        <f t="shared" si="8"/>
        <v>0</v>
      </c>
      <c r="J14" s="2">
        <f t="shared" si="9"/>
        <v>0</v>
      </c>
      <c r="K14" s="2">
        <f t="shared" si="10"/>
        <v>0</v>
      </c>
      <c r="L14" s="2">
        <f t="shared" si="11"/>
        <v>0</v>
      </c>
      <c r="M14" s="2">
        <f t="shared" si="12"/>
        <v>0</v>
      </c>
      <c r="N14" s="2">
        <f t="shared" si="13"/>
        <v>0</v>
      </c>
      <c r="O14" s="2">
        <f t="shared" si="14"/>
        <v>0</v>
      </c>
      <c r="P14" s="2">
        <f t="shared" si="15"/>
        <v>0</v>
      </c>
      <c r="Q14" s="2">
        <f t="shared" si="16"/>
        <v>0</v>
      </c>
      <c r="R14" s="2">
        <f t="shared" si="17"/>
        <v>0</v>
      </c>
      <c r="S14" s="2">
        <f t="shared" si="18"/>
        <v>0</v>
      </c>
      <c r="T14" s="2">
        <f t="shared" si="19"/>
        <v>0</v>
      </c>
      <c r="U14" s="2">
        <f t="shared" si="20"/>
        <v>0</v>
      </c>
      <c r="V14" s="2">
        <f t="shared" si="21"/>
        <v>0</v>
      </c>
      <c r="W14" s="2">
        <f t="shared" si="22"/>
        <v>0</v>
      </c>
      <c r="X14" s="2">
        <f t="shared" si="23"/>
        <v>0</v>
      </c>
      <c r="Y14" s="2">
        <f t="shared" si="24"/>
        <v>0</v>
      </c>
      <c r="Z14" s="2">
        <f t="shared" si="25"/>
        <v>0</v>
      </c>
      <c r="AA14" s="2">
        <f t="shared" si="26"/>
        <v>0</v>
      </c>
      <c r="AB14" s="2">
        <f t="shared" si="27"/>
        <v>0</v>
      </c>
      <c r="AC14" s="2">
        <f t="shared" si="28"/>
        <v>0</v>
      </c>
      <c r="AD14" s="2">
        <f t="shared" si="29"/>
        <v>0</v>
      </c>
      <c r="AE14" s="2">
        <f t="shared" si="30"/>
        <v>0</v>
      </c>
      <c r="AF14" s="2">
        <f t="shared" si="31"/>
        <v>0</v>
      </c>
      <c r="AG14" s="2">
        <f t="shared" si="32"/>
        <v>0</v>
      </c>
      <c r="AH14" s="2">
        <f t="shared" si="33"/>
        <v>0</v>
      </c>
    </row>
    <row r="15" spans="1:34">
      <c r="A15" t="str">
        <f t="shared" si="43"/>
        <v>Sorghum</v>
      </c>
      <c r="B15" t="str">
        <f t="shared" ref="B15:B68" si="45">B4</f>
        <v>Afar</v>
      </c>
      <c r="C15" s="2">
        <f t="shared" ref="C15:D15" si="46">C115/0.2</f>
        <v>80</v>
      </c>
      <c r="D15" s="2">
        <f t="shared" si="46"/>
        <v>2.5</v>
      </c>
      <c r="E15" s="2">
        <f t="shared" si="4"/>
        <v>80</v>
      </c>
      <c r="F15" s="2">
        <f t="shared" si="5"/>
        <v>2.5</v>
      </c>
      <c r="G15" s="2">
        <f t="shared" si="6"/>
        <v>80</v>
      </c>
      <c r="H15" s="2">
        <f t="shared" si="7"/>
        <v>2.5</v>
      </c>
      <c r="I15" s="2">
        <f t="shared" si="8"/>
        <v>80</v>
      </c>
      <c r="J15" s="2">
        <f t="shared" si="9"/>
        <v>2.5</v>
      </c>
      <c r="K15" s="2">
        <f t="shared" si="10"/>
        <v>80</v>
      </c>
      <c r="L15" s="2">
        <f t="shared" si="11"/>
        <v>2.5</v>
      </c>
      <c r="M15" s="2">
        <f t="shared" si="12"/>
        <v>80</v>
      </c>
      <c r="N15" s="2">
        <f t="shared" si="13"/>
        <v>2.5</v>
      </c>
      <c r="O15" s="2">
        <f t="shared" si="14"/>
        <v>80</v>
      </c>
      <c r="P15" s="2">
        <f t="shared" si="15"/>
        <v>2.5</v>
      </c>
      <c r="Q15" s="2">
        <f t="shared" si="16"/>
        <v>80</v>
      </c>
      <c r="R15" s="2">
        <f t="shared" si="17"/>
        <v>2.5</v>
      </c>
      <c r="S15" s="2">
        <f t="shared" si="18"/>
        <v>80</v>
      </c>
      <c r="T15" s="2">
        <f t="shared" si="19"/>
        <v>2.5</v>
      </c>
      <c r="U15" s="2">
        <f t="shared" si="20"/>
        <v>80</v>
      </c>
      <c r="V15" s="2">
        <f t="shared" si="21"/>
        <v>2.5</v>
      </c>
      <c r="W15" s="2">
        <f t="shared" si="22"/>
        <v>80</v>
      </c>
      <c r="X15" s="2">
        <f t="shared" si="23"/>
        <v>2.5</v>
      </c>
      <c r="Y15" s="2">
        <f t="shared" si="24"/>
        <v>80</v>
      </c>
      <c r="Z15" s="2">
        <f t="shared" si="25"/>
        <v>2.5</v>
      </c>
      <c r="AA15" s="2">
        <f t="shared" si="26"/>
        <v>80</v>
      </c>
      <c r="AB15" s="2">
        <f t="shared" si="27"/>
        <v>2.5</v>
      </c>
      <c r="AC15" s="2">
        <f t="shared" si="28"/>
        <v>80</v>
      </c>
      <c r="AD15" s="2">
        <f t="shared" si="29"/>
        <v>2.5</v>
      </c>
      <c r="AE15" s="2">
        <f t="shared" si="30"/>
        <v>80</v>
      </c>
      <c r="AF15" s="2">
        <f t="shared" si="31"/>
        <v>2.5</v>
      </c>
      <c r="AG15" s="2">
        <f t="shared" si="32"/>
        <v>80</v>
      </c>
      <c r="AH15" s="2">
        <f t="shared" si="33"/>
        <v>2.5</v>
      </c>
    </row>
    <row r="16" spans="1:34">
      <c r="A16" t="str">
        <f t="shared" si="43"/>
        <v>Sorghum</v>
      </c>
      <c r="B16" t="str">
        <f t="shared" si="45"/>
        <v>Amhara</v>
      </c>
      <c r="C16" s="2">
        <f t="shared" ref="C16:D16" si="47">C116/0.2</f>
        <v>95</v>
      </c>
      <c r="D16" s="2">
        <f t="shared" si="47"/>
        <v>42.999999999999993</v>
      </c>
      <c r="E16" s="2">
        <f t="shared" si="4"/>
        <v>95</v>
      </c>
      <c r="F16" s="2">
        <f t="shared" si="5"/>
        <v>42.999999999999993</v>
      </c>
      <c r="G16" s="2">
        <f t="shared" si="6"/>
        <v>95</v>
      </c>
      <c r="H16" s="2">
        <f t="shared" si="7"/>
        <v>42.999999999999993</v>
      </c>
      <c r="I16" s="2">
        <f t="shared" si="8"/>
        <v>95</v>
      </c>
      <c r="J16" s="2">
        <f t="shared" si="9"/>
        <v>42.999999999999993</v>
      </c>
      <c r="K16" s="2">
        <f t="shared" si="10"/>
        <v>95</v>
      </c>
      <c r="L16" s="2">
        <f t="shared" si="11"/>
        <v>42.999999999999993</v>
      </c>
      <c r="M16" s="2">
        <f t="shared" si="12"/>
        <v>95</v>
      </c>
      <c r="N16" s="2">
        <f t="shared" si="13"/>
        <v>42.999999999999993</v>
      </c>
      <c r="O16" s="2">
        <f t="shared" si="14"/>
        <v>95</v>
      </c>
      <c r="P16" s="2">
        <f t="shared" si="15"/>
        <v>42.999999999999993</v>
      </c>
      <c r="Q16" s="2">
        <f t="shared" si="16"/>
        <v>95</v>
      </c>
      <c r="R16" s="2">
        <f t="shared" si="17"/>
        <v>42.999999999999993</v>
      </c>
      <c r="S16" s="2">
        <f t="shared" si="18"/>
        <v>95</v>
      </c>
      <c r="T16" s="2">
        <f t="shared" si="19"/>
        <v>42.999999999999993</v>
      </c>
      <c r="U16" s="2">
        <f t="shared" si="20"/>
        <v>95</v>
      </c>
      <c r="V16" s="2">
        <f t="shared" si="21"/>
        <v>42.999999999999993</v>
      </c>
      <c r="W16" s="2">
        <f t="shared" si="22"/>
        <v>95</v>
      </c>
      <c r="X16" s="2">
        <f t="shared" si="23"/>
        <v>42.999999999999993</v>
      </c>
      <c r="Y16" s="2">
        <f t="shared" si="24"/>
        <v>95</v>
      </c>
      <c r="Z16" s="2">
        <f t="shared" si="25"/>
        <v>42.999999999999993</v>
      </c>
      <c r="AA16" s="2">
        <f t="shared" si="26"/>
        <v>95</v>
      </c>
      <c r="AB16" s="2">
        <f t="shared" si="27"/>
        <v>42.999999999999993</v>
      </c>
      <c r="AC16" s="2">
        <f t="shared" si="28"/>
        <v>95</v>
      </c>
      <c r="AD16" s="2">
        <f t="shared" si="29"/>
        <v>42.999999999999993</v>
      </c>
      <c r="AE16" s="2">
        <f t="shared" si="30"/>
        <v>95</v>
      </c>
      <c r="AF16" s="2">
        <f t="shared" si="31"/>
        <v>42.999999999999993</v>
      </c>
      <c r="AG16" s="2">
        <f t="shared" si="32"/>
        <v>95</v>
      </c>
      <c r="AH16" s="2">
        <f t="shared" si="33"/>
        <v>42.999999999999993</v>
      </c>
    </row>
    <row r="17" spans="1:36">
      <c r="A17" t="str">
        <f t="shared" si="43"/>
        <v>Sorghum</v>
      </c>
      <c r="B17" t="str">
        <f t="shared" si="45"/>
        <v>Gumuz</v>
      </c>
      <c r="C17" s="2">
        <f t="shared" ref="C17:D17" si="48">C117/0.2</f>
        <v>85</v>
      </c>
      <c r="D17" s="2">
        <f t="shared" si="48"/>
        <v>2.5</v>
      </c>
      <c r="E17" s="2">
        <f t="shared" si="4"/>
        <v>85</v>
      </c>
      <c r="F17" s="2">
        <f t="shared" si="5"/>
        <v>2.5</v>
      </c>
      <c r="G17" s="2">
        <f t="shared" si="6"/>
        <v>85</v>
      </c>
      <c r="H17" s="2">
        <f t="shared" si="7"/>
        <v>2.5</v>
      </c>
      <c r="I17" s="2">
        <f t="shared" si="8"/>
        <v>85</v>
      </c>
      <c r="J17" s="2">
        <f t="shared" si="9"/>
        <v>2.5</v>
      </c>
      <c r="K17" s="2">
        <f t="shared" si="10"/>
        <v>85</v>
      </c>
      <c r="L17" s="2">
        <f t="shared" si="11"/>
        <v>2.5</v>
      </c>
      <c r="M17" s="2">
        <f t="shared" si="12"/>
        <v>85</v>
      </c>
      <c r="N17" s="2">
        <f t="shared" si="13"/>
        <v>2.5</v>
      </c>
      <c r="O17" s="2">
        <f t="shared" si="14"/>
        <v>85</v>
      </c>
      <c r="P17" s="2">
        <f t="shared" si="15"/>
        <v>2.5</v>
      </c>
      <c r="Q17" s="2">
        <f t="shared" si="16"/>
        <v>85</v>
      </c>
      <c r="R17" s="2">
        <f t="shared" si="17"/>
        <v>2.5</v>
      </c>
      <c r="S17" s="2">
        <f t="shared" si="18"/>
        <v>85</v>
      </c>
      <c r="T17" s="2">
        <f t="shared" si="19"/>
        <v>2.5</v>
      </c>
      <c r="U17" s="2">
        <f t="shared" si="20"/>
        <v>85</v>
      </c>
      <c r="V17" s="2">
        <f t="shared" si="21"/>
        <v>2.5</v>
      </c>
      <c r="W17" s="2">
        <f t="shared" si="22"/>
        <v>85</v>
      </c>
      <c r="X17" s="2">
        <f t="shared" si="23"/>
        <v>2.5</v>
      </c>
      <c r="Y17" s="2">
        <f t="shared" si="24"/>
        <v>85</v>
      </c>
      <c r="Z17" s="2">
        <f t="shared" si="25"/>
        <v>2.5</v>
      </c>
      <c r="AA17" s="2">
        <f t="shared" si="26"/>
        <v>85</v>
      </c>
      <c r="AB17" s="2">
        <f t="shared" si="27"/>
        <v>2.5</v>
      </c>
      <c r="AC17" s="2">
        <f t="shared" si="28"/>
        <v>85</v>
      </c>
      <c r="AD17" s="2">
        <f t="shared" si="29"/>
        <v>2.5</v>
      </c>
      <c r="AE17" s="2">
        <f t="shared" si="30"/>
        <v>85</v>
      </c>
      <c r="AF17" s="2">
        <f t="shared" si="31"/>
        <v>2.5</v>
      </c>
      <c r="AG17" s="2">
        <f t="shared" si="32"/>
        <v>85</v>
      </c>
      <c r="AH17" s="2">
        <f t="shared" si="33"/>
        <v>2.5</v>
      </c>
    </row>
    <row r="18" spans="1:36">
      <c r="A18" t="str">
        <f t="shared" si="43"/>
        <v>Sorghum</v>
      </c>
      <c r="B18" t="str">
        <f t="shared" si="45"/>
        <v>DireDawa</v>
      </c>
      <c r="C18" s="2">
        <f t="shared" ref="C18:D18" si="49">C118/0.2</f>
        <v>85</v>
      </c>
      <c r="D18" s="2">
        <f t="shared" si="49"/>
        <v>5</v>
      </c>
      <c r="E18" s="2">
        <f t="shared" si="4"/>
        <v>85</v>
      </c>
      <c r="F18" s="2">
        <f t="shared" si="5"/>
        <v>5</v>
      </c>
      <c r="G18" s="2">
        <f t="shared" si="6"/>
        <v>85</v>
      </c>
      <c r="H18" s="2">
        <f t="shared" si="7"/>
        <v>5</v>
      </c>
      <c r="I18" s="2">
        <f t="shared" si="8"/>
        <v>85</v>
      </c>
      <c r="J18" s="2">
        <f t="shared" si="9"/>
        <v>5</v>
      </c>
      <c r="K18" s="2">
        <f t="shared" si="10"/>
        <v>85</v>
      </c>
      <c r="L18" s="2">
        <f t="shared" si="11"/>
        <v>5</v>
      </c>
      <c r="M18" s="2">
        <f t="shared" si="12"/>
        <v>85</v>
      </c>
      <c r="N18" s="2">
        <f t="shared" si="13"/>
        <v>5</v>
      </c>
      <c r="O18" s="2">
        <f t="shared" si="14"/>
        <v>85</v>
      </c>
      <c r="P18" s="2">
        <f t="shared" si="15"/>
        <v>5</v>
      </c>
      <c r="Q18" s="2">
        <f t="shared" si="16"/>
        <v>85</v>
      </c>
      <c r="R18" s="2">
        <f t="shared" si="17"/>
        <v>5</v>
      </c>
      <c r="S18" s="2">
        <f t="shared" si="18"/>
        <v>85</v>
      </c>
      <c r="T18" s="2">
        <f t="shared" si="19"/>
        <v>5</v>
      </c>
      <c r="U18" s="2">
        <f t="shared" si="20"/>
        <v>85</v>
      </c>
      <c r="V18" s="2">
        <f t="shared" si="21"/>
        <v>5</v>
      </c>
      <c r="W18" s="2">
        <f t="shared" si="22"/>
        <v>85</v>
      </c>
      <c r="X18" s="2">
        <f t="shared" si="23"/>
        <v>5</v>
      </c>
      <c r="Y18" s="2">
        <f t="shared" si="24"/>
        <v>85</v>
      </c>
      <c r="Z18" s="2">
        <f t="shared" si="25"/>
        <v>5</v>
      </c>
      <c r="AA18" s="2">
        <f t="shared" si="26"/>
        <v>85</v>
      </c>
      <c r="AB18" s="2">
        <f t="shared" si="27"/>
        <v>5</v>
      </c>
      <c r="AC18" s="2">
        <f t="shared" si="28"/>
        <v>85</v>
      </c>
      <c r="AD18" s="2">
        <f t="shared" si="29"/>
        <v>5</v>
      </c>
      <c r="AE18" s="2">
        <f t="shared" si="30"/>
        <v>85</v>
      </c>
      <c r="AF18" s="2">
        <f t="shared" si="31"/>
        <v>5</v>
      </c>
      <c r="AG18" s="2">
        <f t="shared" si="32"/>
        <v>85</v>
      </c>
      <c r="AH18" s="2">
        <f t="shared" si="33"/>
        <v>5</v>
      </c>
    </row>
    <row r="19" spans="1:36">
      <c r="A19" t="str">
        <f t="shared" si="43"/>
        <v>Sorghum</v>
      </c>
      <c r="B19" t="str">
        <f t="shared" si="45"/>
        <v>Gambela</v>
      </c>
      <c r="C19" s="2">
        <f t="shared" ref="C19:D19" si="50">C119/0.2</f>
        <v>115</v>
      </c>
      <c r="D19" s="2">
        <f t="shared" si="50"/>
        <v>0</v>
      </c>
      <c r="E19" s="2">
        <f t="shared" si="4"/>
        <v>115</v>
      </c>
      <c r="F19" s="2">
        <f t="shared" si="5"/>
        <v>0</v>
      </c>
      <c r="G19" s="2">
        <f t="shared" si="6"/>
        <v>115</v>
      </c>
      <c r="H19" s="2">
        <f t="shared" si="7"/>
        <v>0</v>
      </c>
      <c r="I19" s="2">
        <f t="shared" si="8"/>
        <v>115</v>
      </c>
      <c r="J19" s="2">
        <f t="shared" si="9"/>
        <v>0</v>
      </c>
      <c r="K19" s="2">
        <f t="shared" si="10"/>
        <v>115</v>
      </c>
      <c r="L19" s="2">
        <f t="shared" si="11"/>
        <v>0</v>
      </c>
      <c r="M19" s="2">
        <f t="shared" si="12"/>
        <v>115</v>
      </c>
      <c r="N19" s="2">
        <f t="shared" si="13"/>
        <v>0</v>
      </c>
      <c r="O19" s="2">
        <f t="shared" si="14"/>
        <v>115</v>
      </c>
      <c r="P19" s="2">
        <f t="shared" si="15"/>
        <v>0</v>
      </c>
      <c r="Q19" s="2">
        <f t="shared" si="16"/>
        <v>115</v>
      </c>
      <c r="R19" s="2">
        <f t="shared" si="17"/>
        <v>0</v>
      </c>
      <c r="S19" s="2">
        <f t="shared" si="18"/>
        <v>115</v>
      </c>
      <c r="T19" s="2">
        <f t="shared" si="19"/>
        <v>0</v>
      </c>
      <c r="U19" s="2">
        <f t="shared" si="20"/>
        <v>115</v>
      </c>
      <c r="V19" s="2">
        <f t="shared" si="21"/>
        <v>0</v>
      </c>
      <c r="W19" s="2">
        <f t="shared" si="22"/>
        <v>115</v>
      </c>
      <c r="X19" s="2">
        <f t="shared" si="23"/>
        <v>0</v>
      </c>
      <c r="Y19" s="2">
        <f t="shared" si="24"/>
        <v>115</v>
      </c>
      <c r="Z19" s="2">
        <f t="shared" si="25"/>
        <v>0</v>
      </c>
      <c r="AA19" s="2">
        <f t="shared" si="26"/>
        <v>115</v>
      </c>
      <c r="AB19" s="2">
        <f t="shared" si="27"/>
        <v>0</v>
      </c>
      <c r="AC19" s="2">
        <f t="shared" si="28"/>
        <v>115</v>
      </c>
      <c r="AD19" s="2">
        <f t="shared" si="29"/>
        <v>0</v>
      </c>
      <c r="AE19" s="2">
        <f t="shared" si="30"/>
        <v>115</v>
      </c>
      <c r="AF19" s="2">
        <f t="shared" si="31"/>
        <v>0</v>
      </c>
      <c r="AG19" s="2">
        <f t="shared" si="32"/>
        <v>115</v>
      </c>
      <c r="AH19" s="2">
        <f t="shared" si="33"/>
        <v>0</v>
      </c>
    </row>
    <row r="20" spans="1:36">
      <c r="A20" t="str">
        <f t="shared" si="43"/>
        <v>Sorghum</v>
      </c>
      <c r="B20" t="str">
        <f t="shared" si="45"/>
        <v>Harari</v>
      </c>
      <c r="C20" s="2">
        <f t="shared" ref="C20:D20" si="51">C120/0.2</f>
        <v>75</v>
      </c>
      <c r="D20" s="2">
        <f t="shared" si="51"/>
        <v>2.5</v>
      </c>
      <c r="E20" s="2">
        <f t="shared" si="4"/>
        <v>75</v>
      </c>
      <c r="F20" s="2">
        <f t="shared" si="5"/>
        <v>2.5</v>
      </c>
      <c r="G20" s="2">
        <f t="shared" si="6"/>
        <v>75</v>
      </c>
      <c r="H20" s="2">
        <f t="shared" si="7"/>
        <v>2.5</v>
      </c>
      <c r="I20" s="2">
        <f t="shared" si="8"/>
        <v>75</v>
      </c>
      <c r="J20" s="2">
        <f t="shared" si="9"/>
        <v>2.5</v>
      </c>
      <c r="K20" s="2">
        <f t="shared" si="10"/>
        <v>75</v>
      </c>
      <c r="L20" s="2">
        <f t="shared" si="11"/>
        <v>2.5</v>
      </c>
      <c r="M20" s="2">
        <f t="shared" si="12"/>
        <v>75</v>
      </c>
      <c r="N20" s="2">
        <f t="shared" si="13"/>
        <v>2.5</v>
      </c>
      <c r="O20" s="2">
        <f t="shared" si="14"/>
        <v>75</v>
      </c>
      <c r="P20" s="2">
        <f t="shared" si="15"/>
        <v>2.5</v>
      </c>
      <c r="Q20" s="2">
        <f t="shared" si="16"/>
        <v>75</v>
      </c>
      <c r="R20" s="2">
        <f t="shared" si="17"/>
        <v>2.5</v>
      </c>
      <c r="S20" s="2">
        <f t="shared" si="18"/>
        <v>75</v>
      </c>
      <c r="T20" s="2">
        <f t="shared" si="19"/>
        <v>2.5</v>
      </c>
      <c r="U20" s="2">
        <f t="shared" si="20"/>
        <v>75</v>
      </c>
      <c r="V20" s="2">
        <f t="shared" si="21"/>
        <v>2.5</v>
      </c>
      <c r="W20" s="2">
        <f t="shared" si="22"/>
        <v>75</v>
      </c>
      <c r="X20" s="2">
        <f t="shared" si="23"/>
        <v>2.5</v>
      </c>
      <c r="Y20" s="2">
        <f t="shared" si="24"/>
        <v>75</v>
      </c>
      <c r="Z20" s="2">
        <f t="shared" si="25"/>
        <v>2.5</v>
      </c>
      <c r="AA20" s="2">
        <f t="shared" si="26"/>
        <v>75</v>
      </c>
      <c r="AB20" s="2">
        <f t="shared" si="27"/>
        <v>2.5</v>
      </c>
      <c r="AC20" s="2">
        <f t="shared" si="28"/>
        <v>75</v>
      </c>
      <c r="AD20" s="2">
        <f t="shared" si="29"/>
        <v>2.5</v>
      </c>
      <c r="AE20" s="2">
        <f t="shared" si="30"/>
        <v>75</v>
      </c>
      <c r="AF20" s="2">
        <f t="shared" si="31"/>
        <v>2.5</v>
      </c>
      <c r="AG20" s="2">
        <f t="shared" si="32"/>
        <v>75</v>
      </c>
      <c r="AH20" s="2">
        <f t="shared" si="33"/>
        <v>2.5</v>
      </c>
    </row>
    <row r="21" spans="1:36">
      <c r="A21" t="str">
        <f t="shared" si="43"/>
        <v>Sorghum</v>
      </c>
      <c r="B21" t="str">
        <f t="shared" si="45"/>
        <v>Oromia</v>
      </c>
      <c r="C21" s="2">
        <f t="shared" ref="C21:D21" si="52">C121/0.2</f>
        <v>100</v>
      </c>
      <c r="D21" s="2">
        <f t="shared" si="52"/>
        <v>38.913043478260846</v>
      </c>
      <c r="E21" s="2">
        <f t="shared" si="4"/>
        <v>100</v>
      </c>
      <c r="F21" s="2">
        <f t="shared" si="5"/>
        <v>38.913043478260846</v>
      </c>
      <c r="G21" s="2">
        <f t="shared" si="6"/>
        <v>100</v>
      </c>
      <c r="H21" s="2">
        <f t="shared" si="7"/>
        <v>38.913043478260846</v>
      </c>
      <c r="I21" s="2">
        <f t="shared" si="8"/>
        <v>100</v>
      </c>
      <c r="J21" s="2">
        <f t="shared" si="9"/>
        <v>38.913043478260846</v>
      </c>
      <c r="K21" s="2">
        <f t="shared" si="10"/>
        <v>100</v>
      </c>
      <c r="L21" s="2">
        <f t="shared" si="11"/>
        <v>38.913043478260846</v>
      </c>
      <c r="M21" s="2">
        <f t="shared" si="12"/>
        <v>100</v>
      </c>
      <c r="N21" s="2">
        <f t="shared" si="13"/>
        <v>38.913043478260846</v>
      </c>
      <c r="O21" s="2">
        <f t="shared" si="14"/>
        <v>100</v>
      </c>
      <c r="P21" s="2">
        <f t="shared" si="15"/>
        <v>38.913043478260846</v>
      </c>
      <c r="Q21" s="2">
        <f t="shared" si="16"/>
        <v>100</v>
      </c>
      <c r="R21" s="2">
        <f t="shared" si="17"/>
        <v>38.913043478260846</v>
      </c>
      <c r="S21" s="2">
        <f t="shared" si="18"/>
        <v>100</v>
      </c>
      <c r="T21" s="2">
        <f t="shared" si="19"/>
        <v>38.913043478260846</v>
      </c>
      <c r="U21" s="2">
        <f t="shared" si="20"/>
        <v>100</v>
      </c>
      <c r="V21" s="2">
        <f t="shared" si="21"/>
        <v>38.913043478260846</v>
      </c>
      <c r="W21" s="2">
        <f t="shared" si="22"/>
        <v>100</v>
      </c>
      <c r="X21" s="2">
        <f t="shared" si="23"/>
        <v>38.913043478260846</v>
      </c>
      <c r="Y21" s="2">
        <f t="shared" si="24"/>
        <v>100</v>
      </c>
      <c r="Z21" s="2">
        <f t="shared" si="25"/>
        <v>38.913043478260846</v>
      </c>
      <c r="AA21" s="2">
        <f t="shared" si="26"/>
        <v>100</v>
      </c>
      <c r="AB21" s="2">
        <f t="shared" si="27"/>
        <v>38.913043478260846</v>
      </c>
      <c r="AC21" s="2">
        <f t="shared" si="28"/>
        <v>100</v>
      </c>
      <c r="AD21" s="2">
        <f t="shared" si="29"/>
        <v>38.913043478260846</v>
      </c>
      <c r="AE21" s="2">
        <f t="shared" si="30"/>
        <v>100</v>
      </c>
      <c r="AF21" s="2">
        <f t="shared" si="31"/>
        <v>38.913043478260846</v>
      </c>
      <c r="AG21" s="2">
        <f t="shared" si="32"/>
        <v>100</v>
      </c>
      <c r="AH21" s="2">
        <f t="shared" si="33"/>
        <v>38.913043478260846</v>
      </c>
      <c r="AJ21" t="s">
        <v>113</v>
      </c>
    </row>
    <row r="22" spans="1:36">
      <c r="A22" t="str">
        <f t="shared" si="43"/>
        <v>Sorghum</v>
      </c>
      <c r="B22" t="str">
        <f t="shared" si="45"/>
        <v>Somali</v>
      </c>
      <c r="C22" s="2">
        <f t="shared" ref="C22:D22" si="53">C122/0.2</f>
        <v>70</v>
      </c>
      <c r="D22" s="2">
        <f t="shared" si="53"/>
        <v>23.369565217391298</v>
      </c>
      <c r="E22" s="2">
        <f t="shared" si="4"/>
        <v>70</v>
      </c>
      <c r="F22" s="2">
        <f t="shared" si="5"/>
        <v>23.369565217391298</v>
      </c>
      <c r="G22" s="2">
        <f t="shared" si="6"/>
        <v>70</v>
      </c>
      <c r="H22" s="2">
        <f t="shared" si="7"/>
        <v>23.369565217391298</v>
      </c>
      <c r="I22" s="2">
        <f t="shared" si="8"/>
        <v>70</v>
      </c>
      <c r="J22" s="2">
        <f t="shared" si="9"/>
        <v>23.369565217391298</v>
      </c>
      <c r="K22" s="2">
        <f t="shared" si="10"/>
        <v>70</v>
      </c>
      <c r="L22" s="2">
        <f t="shared" si="11"/>
        <v>23.369565217391298</v>
      </c>
      <c r="M22" s="2">
        <f t="shared" si="12"/>
        <v>70</v>
      </c>
      <c r="N22" s="2">
        <f t="shared" si="13"/>
        <v>23.369565217391298</v>
      </c>
      <c r="O22" s="2">
        <f t="shared" si="14"/>
        <v>70</v>
      </c>
      <c r="P22" s="2">
        <f t="shared" si="15"/>
        <v>23.369565217391298</v>
      </c>
      <c r="Q22" s="2">
        <f t="shared" si="16"/>
        <v>70</v>
      </c>
      <c r="R22" s="2">
        <f t="shared" si="17"/>
        <v>23.369565217391298</v>
      </c>
      <c r="S22" s="2">
        <f t="shared" si="18"/>
        <v>70</v>
      </c>
      <c r="T22" s="2">
        <f t="shared" si="19"/>
        <v>23.369565217391298</v>
      </c>
      <c r="U22" s="2">
        <f t="shared" si="20"/>
        <v>70</v>
      </c>
      <c r="V22" s="2">
        <f t="shared" si="21"/>
        <v>23.369565217391298</v>
      </c>
      <c r="W22" s="2">
        <f t="shared" si="22"/>
        <v>70</v>
      </c>
      <c r="X22" s="2">
        <f t="shared" si="23"/>
        <v>23.369565217391298</v>
      </c>
      <c r="Y22" s="2">
        <f t="shared" si="24"/>
        <v>70</v>
      </c>
      <c r="Z22" s="2">
        <f t="shared" si="25"/>
        <v>23.369565217391298</v>
      </c>
      <c r="AA22" s="2">
        <f t="shared" si="26"/>
        <v>70</v>
      </c>
      <c r="AB22" s="2">
        <f t="shared" si="27"/>
        <v>23.369565217391298</v>
      </c>
      <c r="AC22" s="2">
        <f t="shared" si="28"/>
        <v>70</v>
      </c>
      <c r="AD22" s="2">
        <f t="shared" si="29"/>
        <v>23.369565217391298</v>
      </c>
      <c r="AE22" s="2">
        <f t="shared" si="30"/>
        <v>70</v>
      </c>
      <c r="AF22" s="2">
        <f t="shared" si="31"/>
        <v>23.369565217391298</v>
      </c>
      <c r="AG22" s="2">
        <f t="shared" si="32"/>
        <v>70</v>
      </c>
      <c r="AH22" s="2">
        <f t="shared" si="33"/>
        <v>23.369565217391298</v>
      </c>
    </row>
    <row r="23" spans="1:36">
      <c r="A23" t="str">
        <f t="shared" si="43"/>
        <v>Sorghum</v>
      </c>
      <c r="B23" t="str">
        <f t="shared" si="45"/>
        <v>SNNPR</v>
      </c>
      <c r="C23" s="2">
        <f t="shared" ref="C23:D23" si="54">C123/0.2</f>
        <v>90</v>
      </c>
      <c r="D23" s="2">
        <f t="shared" si="54"/>
        <v>27.428571428571448</v>
      </c>
      <c r="E23" s="2">
        <f t="shared" si="4"/>
        <v>90</v>
      </c>
      <c r="F23" s="2">
        <f t="shared" si="5"/>
        <v>27.428571428571448</v>
      </c>
      <c r="G23" s="2">
        <f t="shared" si="6"/>
        <v>90</v>
      </c>
      <c r="H23" s="2">
        <f t="shared" si="7"/>
        <v>27.428571428571448</v>
      </c>
      <c r="I23" s="2">
        <f t="shared" si="8"/>
        <v>90</v>
      </c>
      <c r="J23" s="2">
        <f t="shared" si="9"/>
        <v>27.428571428571448</v>
      </c>
      <c r="K23" s="2">
        <f t="shared" si="10"/>
        <v>90</v>
      </c>
      <c r="L23" s="2">
        <f t="shared" si="11"/>
        <v>27.428571428571448</v>
      </c>
      <c r="M23" s="2">
        <f t="shared" si="12"/>
        <v>90</v>
      </c>
      <c r="N23" s="2">
        <f t="shared" si="13"/>
        <v>27.428571428571448</v>
      </c>
      <c r="O23" s="2">
        <f t="shared" si="14"/>
        <v>90</v>
      </c>
      <c r="P23" s="2">
        <f t="shared" si="15"/>
        <v>27.428571428571448</v>
      </c>
      <c r="Q23" s="2">
        <f t="shared" si="16"/>
        <v>90</v>
      </c>
      <c r="R23" s="2">
        <f t="shared" si="17"/>
        <v>27.428571428571448</v>
      </c>
      <c r="S23" s="2">
        <f t="shared" si="18"/>
        <v>90</v>
      </c>
      <c r="T23" s="2">
        <f t="shared" si="19"/>
        <v>27.428571428571448</v>
      </c>
      <c r="U23" s="2">
        <f t="shared" si="20"/>
        <v>90</v>
      </c>
      <c r="V23" s="2">
        <f t="shared" si="21"/>
        <v>27.428571428571448</v>
      </c>
      <c r="W23" s="2">
        <f t="shared" si="22"/>
        <v>90</v>
      </c>
      <c r="X23" s="2">
        <f t="shared" si="23"/>
        <v>27.428571428571448</v>
      </c>
      <c r="Y23" s="2">
        <f t="shared" si="24"/>
        <v>90</v>
      </c>
      <c r="Z23" s="2">
        <f t="shared" si="25"/>
        <v>27.428571428571448</v>
      </c>
      <c r="AA23" s="2">
        <f t="shared" si="26"/>
        <v>90</v>
      </c>
      <c r="AB23" s="2">
        <f t="shared" si="27"/>
        <v>27.428571428571448</v>
      </c>
      <c r="AC23" s="2">
        <f t="shared" si="28"/>
        <v>90</v>
      </c>
      <c r="AD23" s="2">
        <f t="shared" si="29"/>
        <v>27.428571428571448</v>
      </c>
      <c r="AE23" s="2">
        <f t="shared" si="30"/>
        <v>90</v>
      </c>
      <c r="AF23" s="2">
        <f t="shared" si="31"/>
        <v>27.428571428571448</v>
      </c>
      <c r="AG23" s="2">
        <f t="shared" si="32"/>
        <v>90</v>
      </c>
      <c r="AH23" s="2">
        <f t="shared" si="33"/>
        <v>27.428571428571448</v>
      </c>
    </row>
    <row r="24" spans="1:36">
      <c r="A24" t="str">
        <f t="shared" si="43"/>
        <v>Sorghum</v>
      </c>
      <c r="B24" t="str">
        <f t="shared" si="45"/>
        <v>Tigray</v>
      </c>
      <c r="C24" s="2">
        <f t="shared" ref="C24:D24" si="55">C124/0.2</f>
        <v>105</v>
      </c>
      <c r="D24" s="2">
        <f t="shared" si="55"/>
        <v>2.5</v>
      </c>
      <c r="E24" s="2">
        <f t="shared" si="4"/>
        <v>105</v>
      </c>
      <c r="F24" s="2">
        <f t="shared" si="5"/>
        <v>2.5</v>
      </c>
      <c r="G24" s="2">
        <f t="shared" si="6"/>
        <v>105</v>
      </c>
      <c r="H24" s="2">
        <f t="shared" si="7"/>
        <v>2.5</v>
      </c>
      <c r="I24" s="2">
        <f t="shared" si="8"/>
        <v>105</v>
      </c>
      <c r="J24" s="2">
        <f t="shared" si="9"/>
        <v>2.5</v>
      </c>
      <c r="K24" s="2">
        <f t="shared" si="10"/>
        <v>105</v>
      </c>
      <c r="L24" s="2">
        <f t="shared" si="11"/>
        <v>2.5</v>
      </c>
      <c r="M24" s="2">
        <f t="shared" si="12"/>
        <v>105</v>
      </c>
      <c r="N24" s="2">
        <f t="shared" si="13"/>
        <v>2.5</v>
      </c>
      <c r="O24" s="2">
        <f t="shared" si="14"/>
        <v>105</v>
      </c>
      <c r="P24" s="2">
        <f t="shared" si="15"/>
        <v>2.5</v>
      </c>
      <c r="Q24" s="2">
        <f t="shared" si="16"/>
        <v>105</v>
      </c>
      <c r="R24" s="2">
        <f t="shared" si="17"/>
        <v>2.5</v>
      </c>
      <c r="S24" s="2">
        <f t="shared" si="18"/>
        <v>105</v>
      </c>
      <c r="T24" s="2">
        <f t="shared" si="19"/>
        <v>2.5</v>
      </c>
      <c r="U24" s="2">
        <f t="shared" si="20"/>
        <v>105</v>
      </c>
      <c r="V24" s="2">
        <f t="shared" si="21"/>
        <v>2.5</v>
      </c>
      <c r="W24" s="2">
        <f t="shared" si="22"/>
        <v>105</v>
      </c>
      <c r="X24" s="2">
        <f t="shared" si="23"/>
        <v>2.5</v>
      </c>
      <c r="Y24" s="2">
        <f t="shared" si="24"/>
        <v>105</v>
      </c>
      <c r="Z24" s="2">
        <f t="shared" si="25"/>
        <v>2.5</v>
      </c>
      <c r="AA24" s="2">
        <f t="shared" si="26"/>
        <v>105</v>
      </c>
      <c r="AB24" s="2">
        <f t="shared" si="27"/>
        <v>2.5</v>
      </c>
      <c r="AC24" s="2">
        <f t="shared" si="28"/>
        <v>105</v>
      </c>
      <c r="AD24" s="2">
        <f t="shared" si="29"/>
        <v>2.5</v>
      </c>
      <c r="AE24" s="2">
        <f t="shared" si="30"/>
        <v>105</v>
      </c>
      <c r="AF24" s="2">
        <f t="shared" si="31"/>
        <v>2.5</v>
      </c>
      <c r="AG24" s="2">
        <f t="shared" si="32"/>
        <v>105</v>
      </c>
      <c r="AH24" s="2">
        <f t="shared" si="33"/>
        <v>2.5</v>
      </c>
    </row>
    <row r="25" spans="1:36">
      <c r="A25" t="str">
        <f t="shared" si="43"/>
        <v>Maize</v>
      </c>
      <c r="B25" t="str">
        <f t="shared" si="45"/>
        <v>AddisAbaba</v>
      </c>
      <c r="C25" s="2">
        <f t="shared" ref="C25:D25" si="56">C125/0.2</f>
        <v>0</v>
      </c>
      <c r="D25" s="2">
        <f t="shared" si="56"/>
        <v>0</v>
      </c>
      <c r="E25" s="2">
        <f t="shared" si="4"/>
        <v>0</v>
      </c>
      <c r="F25" s="2">
        <f t="shared" si="5"/>
        <v>0</v>
      </c>
      <c r="G25" s="2">
        <f t="shared" si="6"/>
        <v>0</v>
      </c>
      <c r="H25" s="2">
        <f t="shared" si="7"/>
        <v>0</v>
      </c>
      <c r="I25" s="2">
        <f t="shared" si="8"/>
        <v>0</v>
      </c>
      <c r="J25" s="2">
        <f t="shared" si="9"/>
        <v>0</v>
      </c>
      <c r="K25" s="2">
        <f t="shared" si="10"/>
        <v>0</v>
      </c>
      <c r="L25" s="2">
        <f t="shared" si="11"/>
        <v>0</v>
      </c>
      <c r="M25" s="2">
        <f t="shared" si="12"/>
        <v>0</v>
      </c>
      <c r="N25" s="2">
        <f t="shared" si="13"/>
        <v>0</v>
      </c>
      <c r="O25" s="2">
        <f t="shared" si="14"/>
        <v>0</v>
      </c>
      <c r="P25" s="2">
        <f t="shared" si="15"/>
        <v>0</v>
      </c>
      <c r="Q25" s="2">
        <f t="shared" si="16"/>
        <v>0</v>
      </c>
      <c r="R25" s="2">
        <f t="shared" si="17"/>
        <v>0</v>
      </c>
      <c r="S25" s="2">
        <f t="shared" si="18"/>
        <v>0</v>
      </c>
      <c r="T25" s="2">
        <f t="shared" si="19"/>
        <v>0</v>
      </c>
      <c r="U25" s="2">
        <f t="shared" si="20"/>
        <v>0</v>
      </c>
      <c r="V25" s="2">
        <f t="shared" si="21"/>
        <v>0</v>
      </c>
      <c r="W25" s="2">
        <f t="shared" si="22"/>
        <v>0</v>
      </c>
      <c r="X25" s="2">
        <f t="shared" si="23"/>
        <v>0</v>
      </c>
      <c r="Y25" s="2">
        <f t="shared" si="24"/>
        <v>0</v>
      </c>
      <c r="Z25" s="2">
        <f t="shared" si="25"/>
        <v>0</v>
      </c>
      <c r="AA25" s="2">
        <f t="shared" si="26"/>
        <v>0</v>
      </c>
      <c r="AB25" s="2">
        <f t="shared" si="27"/>
        <v>0</v>
      </c>
      <c r="AC25" s="2">
        <f t="shared" si="28"/>
        <v>0</v>
      </c>
      <c r="AD25" s="2">
        <f t="shared" si="29"/>
        <v>0</v>
      </c>
      <c r="AE25" s="2">
        <f t="shared" si="30"/>
        <v>0</v>
      </c>
      <c r="AF25" s="2">
        <f t="shared" si="31"/>
        <v>0</v>
      </c>
      <c r="AG25" s="2">
        <f t="shared" si="32"/>
        <v>0</v>
      </c>
      <c r="AH25" s="2">
        <f t="shared" si="33"/>
        <v>0</v>
      </c>
    </row>
    <row r="26" spans="1:36">
      <c r="A26" t="str">
        <f t="shared" si="43"/>
        <v>Maize</v>
      </c>
      <c r="B26" t="str">
        <f t="shared" si="45"/>
        <v>Afar</v>
      </c>
      <c r="C26" s="2">
        <f t="shared" ref="C26:D26" si="57">C126/0.2</f>
        <v>0</v>
      </c>
      <c r="D26" s="2">
        <f t="shared" si="57"/>
        <v>2.5</v>
      </c>
      <c r="E26" s="2">
        <f t="shared" si="4"/>
        <v>0</v>
      </c>
      <c r="F26" s="2">
        <f t="shared" si="5"/>
        <v>2.5</v>
      </c>
      <c r="G26" s="2">
        <f t="shared" si="6"/>
        <v>0</v>
      </c>
      <c r="H26" s="2">
        <f t="shared" si="7"/>
        <v>2.5</v>
      </c>
      <c r="I26" s="2">
        <f t="shared" si="8"/>
        <v>0</v>
      </c>
      <c r="J26" s="2">
        <f t="shared" si="9"/>
        <v>2.5</v>
      </c>
      <c r="K26" s="2">
        <f t="shared" si="10"/>
        <v>0</v>
      </c>
      <c r="L26" s="2">
        <f t="shared" si="11"/>
        <v>2.5</v>
      </c>
      <c r="M26" s="2">
        <f t="shared" si="12"/>
        <v>0</v>
      </c>
      <c r="N26" s="2">
        <f t="shared" si="13"/>
        <v>2.5</v>
      </c>
      <c r="O26" s="2">
        <f t="shared" si="14"/>
        <v>0</v>
      </c>
      <c r="P26" s="2">
        <f t="shared" si="15"/>
        <v>2.5</v>
      </c>
      <c r="Q26" s="2">
        <f t="shared" si="16"/>
        <v>0</v>
      </c>
      <c r="R26" s="2">
        <f t="shared" si="17"/>
        <v>2.5</v>
      </c>
      <c r="S26" s="2">
        <f t="shared" si="18"/>
        <v>0</v>
      </c>
      <c r="T26" s="2">
        <f t="shared" si="19"/>
        <v>2.5</v>
      </c>
      <c r="U26" s="2">
        <f t="shared" si="20"/>
        <v>0</v>
      </c>
      <c r="V26" s="2">
        <f t="shared" si="21"/>
        <v>2.5</v>
      </c>
      <c r="W26" s="2">
        <f t="shared" si="22"/>
        <v>0</v>
      </c>
      <c r="X26" s="2">
        <f t="shared" si="23"/>
        <v>2.5</v>
      </c>
      <c r="Y26" s="2">
        <f t="shared" si="24"/>
        <v>0</v>
      </c>
      <c r="Z26" s="2">
        <f t="shared" si="25"/>
        <v>2.5</v>
      </c>
      <c r="AA26" s="2">
        <f t="shared" si="26"/>
        <v>0</v>
      </c>
      <c r="AB26" s="2">
        <f t="shared" si="27"/>
        <v>2.5</v>
      </c>
      <c r="AC26" s="2">
        <f t="shared" si="28"/>
        <v>0</v>
      </c>
      <c r="AD26" s="2">
        <f t="shared" si="29"/>
        <v>2.5</v>
      </c>
      <c r="AE26" s="2">
        <f t="shared" si="30"/>
        <v>0</v>
      </c>
      <c r="AF26" s="2">
        <f t="shared" si="31"/>
        <v>2.5</v>
      </c>
      <c r="AG26" s="2">
        <f t="shared" si="32"/>
        <v>0</v>
      </c>
      <c r="AH26" s="2">
        <f t="shared" si="33"/>
        <v>2.5</v>
      </c>
    </row>
    <row r="27" spans="1:36">
      <c r="A27" t="str">
        <f t="shared" si="43"/>
        <v>Maize</v>
      </c>
      <c r="B27" t="str">
        <f t="shared" si="45"/>
        <v>Amhara</v>
      </c>
      <c r="C27" s="2">
        <f t="shared" ref="C27:D27" si="58">C127/0.2</f>
        <v>115</v>
      </c>
      <c r="D27" s="2">
        <f t="shared" si="58"/>
        <v>64.849999999999994</v>
      </c>
      <c r="E27" s="2">
        <f t="shared" si="4"/>
        <v>115</v>
      </c>
      <c r="F27" s="2">
        <f t="shared" si="5"/>
        <v>64.849999999999994</v>
      </c>
      <c r="G27" s="2">
        <f t="shared" si="6"/>
        <v>115</v>
      </c>
      <c r="H27" s="2">
        <f t="shared" si="7"/>
        <v>64.849999999999994</v>
      </c>
      <c r="I27" s="2">
        <f t="shared" si="8"/>
        <v>115</v>
      </c>
      <c r="J27" s="2">
        <f t="shared" si="9"/>
        <v>64.849999999999994</v>
      </c>
      <c r="K27" s="2">
        <f t="shared" si="10"/>
        <v>115</v>
      </c>
      <c r="L27" s="2">
        <f t="shared" si="11"/>
        <v>64.849999999999994</v>
      </c>
      <c r="M27" s="2">
        <f t="shared" si="12"/>
        <v>115</v>
      </c>
      <c r="N27" s="2">
        <f t="shared" si="13"/>
        <v>64.849999999999994</v>
      </c>
      <c r="O27" s="2">
        <f t="shared" si="14"/>
        <v>115</v>
      </c>
      <c r="P27" s="2">
        <f t="shared" si="15"/>
        <v>64.849999999999994</v>
      </c>
      <c r="Q27" s="2">
        <f t="shared" si="16"/>
        <v>115</v>
      </c>
      <c r="R27" s="2">
        <f t="shared" si="17"/>
        <v>64.849999999999994</v>
      </c>
      <c r="S27" s="2">
        <f t="shared" si="18"/>
        <v>115</v>
      </c>
      <c r="T27" s="2">
        <f t="shared" si="19"/>
        <v>64.849999999999994</v>
      </c>
      <c r="U27" s="2">
        <f t="shared" si="20"/>
        <v>115</v>
      </c>
      <c r="V27" s="2">
        <f t="shared" si="21"/>
        <v>64.849999999999994</v>
      </c>
      <c r="W27" s="2">
        <f t="shared" si="22"/>
        <v>115</v>
      </c>
      <c r="X27" s="2">
        <f t="shared" si="23"/>
        <v>64.849999999999994</v>
      </c>
      <c r="Y27" s="2">
        <f t="shared" si="24"/>
        <v>115</v>
      </c>
      <c r="Z27" s="2">
        <f t="shared" si="25"/>
        <v>64.849999999999994</v>
      </c>
      <c r="AA27" s="2">
        <f t="shared" si="26"/>
        <v>115</v>
      </c>
      <c r="AB27" s="2">
        <f t="shared" si="27"/>
        <v>64.849999999999994</v>
      </c>
      <c r="AC27" s="2">
        <f t="shared" si="28"/>
        <v>115</v>
      </c>
      <c r="AD27" s="2">
        <f t="shared" si="29"/>
        <v>64.849999999999994</v>
      </c>
      <c r="AE27" s="2">
        <f t="shared" si="30"/>
        <v>115</v>
      </c>
      <c r="AF27" s="2">
        <f t="shared" si="31"/>
        <v>64.849999999999994</v>
      </c>
      <c r="AG27" s="2">
        <f t="shared" si="32"/>
        <v>115</v>
      </c>
      <c r="AH27" s="2">
        <f t="shared" si="33"/>
        <v>64.849999999999994</v>
      </c>
    </row>
    <row r="28" spans="1:36">
      <c r="A28" t="str">
        <f t="shared" si="43"/>
        <v>Maize</v>
      </c>
      <c r="B28" t="str">
        <f t="shared" si="45"/>
        <v>Gumuz</v>
      </c>
      <c r="C28" s="2">
        <f t="shared" ref="C28:D28" si="59">C128/0.2</f>
        <v>110</v>
      </c>
      <c r="D28" s="2">
        <f t="shared" si="59"/>
        <v>76.349999999999994</v>
      </c>
      <c r="E28" s="2">
        <f t="shared" si="4"/>
        <v>110</v>
      </c>
      <c r="F28" s="2">
        <f t="shared" si="5"/>
        <v>76.349999999999994</v>
      </c>
      <c r="G28" s="2">
        <f t="shared" si="6"/>
        <v>110</v>
      </c>
      <c r="H28" s="2">
        <f t="shared" si="7"/>
        <v>76.349999999999994</v>
      </c>
      <c r="I28" s="2">
        <f t="shared" si="8"/>
        <v>110</v>
      </c>
      <c r="J28" s="2">
        <f t="shared" si="9"/>
        <v>76.349999999999994</v>
      </c>
      <c r="K28" s="2">
        <f t="shared" si="10"/>
        <v>110</v>
      </c>
      <c r="L28" s="2">
        <f t="shared" si="11"/>
        <v>76.349999999999994</v>
      </c>
      <c r="M28" s="2">
        <f t="shared" si="12"/>
        <v>110</v>
      </c>
      <c r="N28" s="2">
        <f t="shared" si="13"/>
        <v>76.349999999999994</v>
      </c>
      <c r="O28" s="2">
        <f t="shared" si="14"/>
        <v>110</v>
      </c>
      <c r="P28" s="2">
        <f t="shared" si="15"/>
        <v>76.349999999999994</v>
      </c>
      <c r="Q28" s="2">
        <f t="shared" si="16"/>
        <v>110</v>
      </c>
      <c r="R28" s="2">
        <f t="shared" si="17"/>
        <v>76.349999999999994</v>
      </c>
      <c r="S28" s="2">
        <f t="shared" si="18"/>
        <v>110</v>
      </c>
      <c r="T28" s="2">
        <f t="shared" si="19"/>
        <v>76.349999999999994</v>
      </c>
      <c r="U28" s="2">
        <f t="shared" si="20"/>
        <v>110</v>
      </c>
      <c r="V28" s="2">
        <f t="shared" si="21"/>
        <v>76.349999999999994</v>
      </c>
      <c r="W28" s="2">
        <f t="shared" si="22"/>
        <v>110</v>
      </c>
      <c r="X28" s="2">
        <f t="shared" si="23"/>
        <v>76.349999999999994</v>
      </c>
      <c r="Y28" s="2">
        <f t="shared" si="24"/>
        <v>110</v>
      </c>
      <c r="Z28" s="2">
        <f t="shared" si="25"/>
        <v>76.349999999999994</v>
      </c>
      <c r="AA28" s="2">
        <f t="shared" si="26"/>
        <v>110</v>
      </c>
      <c r="AB28" s="2">
        <f t="shared" si="27"/>
        <v>76.349999999999994</v>
      </c>
      <c r="AC28" s="2">
        <f t="shared" si="28"/>
        <v>110</v>
      </c>
      <c r="AD28" s="2">
        <f t="shared" si="29"/>
        <v>76.349999999999994</v>
      </c>
      <c r="AE28" s="2">
        <f t="shared" si="30"/>
        <v>110</v>
      </c>
      <c r="AF28" s="2">
        <f t="shared" si="31"/>
        <v>76.349999999999994</v>
      </c>
      <c r="AG28" s="2">
        <f t="shared" si="32"/>
        <v>110</v>
      </c>
      <c r="AH28" s="2">
        <f t="shared" si="33"/>
        <v>76.349999999999994</v>
      </c>
    </row>
    <row r="29" spans="1:36">
      <c r="A29" t="str">
        <f t="shared" si="43"/>
        <v>Maize</v>
      </c>
      <c r="B29" t="str">
        <f t="shared" si="45"/>
        <v>DireDawa</v>
      </c>
      <c r="C29" s="2">
        <f t="shared" ref="C29:D29" si="60">C129/0.2</f>
        <v>80</v>
      </c>
      <c r="D29" s="2">
        <f t="shared" si="60"/>
        <v>71.599999999999994</v>
      </c>
      <c r="E29" s="2">
        <f t="shared" si="4"/>
        <v>80</v>
      </c>
      <c r="F29" s="2">
        <f t="shared" si="5"/>
        <v>71.599999999999994</v>
      </c>
      <c r="G29" s="2">
        <f t="shared" si="6"/>
        <v>80</v>
      </c>
      <c r="H29" s="2">
        <f t="shared" si="7"/>
        <v>71.599999999999994</v>
      </c>
      <c r="I29" s="2">
        <f t="shared" si="8"/>
        <v>80</v>
      </c>
      <c r="J29" s="2">
        <f t="shared" si="9"/>
        <v>71.599999999999994</v>
      </c>
      <c r="K29" s="2">
        <f t="shared" si="10"/>
        <v>80</v>
      </c>
      <c r="L29" s="2">
        <f t="shared" si="11"/>
        <v>71.599999999999994</v>
      </c>
      <c r="M29" s="2">
        <f t="shared" si="12"/>
        <v>80</v>
      </c>
      <c r="N29" s="2">
        <f t="shared" si="13"/>
        <v>71.599999999999994</v>
      </c>
      <c r="O29" s="2">
        <f t="shared" si="14"/>
        <v>80</v>
      </c>
      <c r="P29" s="2">
        <f t="shared" si="15"/>
        <v>71.599999999999994</v>
      </c>
      <c r="Q29" s="2">
        <f t="shared" si="16"/>
        <v>80</v>
      </c>
      <c r="R29" s="2">
        <f t="shared" si="17"/>
        <v>71.599999999999994</v>
      </c>
      <c r="S29" s="2">
        <f t="shared" si="18"/>
        <v>80</v>
      </c>
      <c r="T29" s="2">
        <f t="shared" si="19"/>
        <v>71.599999999999994</v>
      </c>
      <c r="U29" s="2">
        <f t="shared" si="20"/>
        <v>80</v>
      </c>
      <c r="V29" s="2">
        <f t="shared" si="21"/>
        <v>71.599999999999994</v>
      </c>
      <c r="W29" s="2">
        <f t="shared" si="22"/>
        <v>80</v>
      </c>
      <c r="X29" s="2">
        <f t="shared" si="23"/>
        <v>71.599999999999994</v>
      </c>
      <c r="Y29" s="2">
        <f t="shared" si="24"/>
        <v>80</v>
      </c>
      <c r="Z29" s="2">
        <f t="shared" si="25"/>
        <v>71.599999999999994</v>
      </c>
      <c r="AA29" s="2">
        <f t="shared" si="26"/>
        <v>80</v>
      </c>
      <c r="AB29" s="2">
        <f t="shared" si="27"/>
        <v>71.599999999999994</v>
      </c>
      <c r="AC29" s="2">
        <f t="shared" si="28"/>
        <v>80</v>
      </c>
      <c r="AD29" s="2">
        <f t="shared" si="29"/>
        <v>71.599999999999994</v>
      </c>
      <c r="AE29" s="2">
        <f t="shared" si="30"/>
        <v>80</v>
      </c>
      <c r="AF29" s="2">
        <f t="shared" si="31"/>
        <v>71.599999999999994</v>
      </c>
      <c r="AG29" s="2">
        <f t="shared" si="32"/>
        <v>80</v>
      </c>
      <c r="AH29" s="2">
        <f t="shared" si="33"/>
        <v>71.599999999999994</v>
      </c>
    </row>
    <row r="30" spans="1:36">
      <c r="A30" t="str">
        <f t="shared" si="43"/>
        <v>Maize</v>
      </c>
      <c r="B30" t="str">
        <f t="shared" si="45"/>
        <v>Gambela</v>
      </c>
      <c r="C30" s="2">
        <f t="shared" ref="C30:D30" si="61">C130/0.2</f>
        <v>85</v>
      </c>
      <c r="D30" s="2">
        <f t="shared" si="61"/>
        <v>0</v>
      </c>
      <c r="E30" s="2">
        <f t="shared" si="4"/>
        <v>85</v>
      </c>
      <c r="F30" s="2">
        <f t="shared" si="5"/>
        <v>0</v>
      </c>
      <c r="G30" s="2">
        <f t="shared" si="6"/>
        <v>85</v>
      </c>
      <c r="H30" s="2">
        <f t="shared" si="7"/>
        <v>0</v>
      </c>
      <c r="I30" s="2">
        <f t="shared" si="8"/>
        <v>85</v>
      </c>
      <c r="J30" s="2">
        <f t="shared" si="9"/>
        <v>0</v>
      </c>
      <c r="K30" s="2">
        <f t="shared" si="10"/>
        <v>85</v>
      </c>
      <c r="L30" s="2">
        <f t="shared" si="11"/>
        <v>0</v>
      </c>
      <c r="M30" s="2">
        <f t="shared" si="12"/>
        <v>85</v>
      </c>
      <c r="N30" s="2">
        <f t="shared" si="13"/>
        <v>0</v>
      </c>
      <c r="O30" s="2">
        <f t="shared" si="14"/>
        <v>85</v>
      </c>
      <c r="P30" s="2">
        <f t="shared" si="15"/>
        <v>0</v>
      </c>
      <c r="Q30" s="2">
        <f t="shared" si="16"/>
        <v>85</v>
      </c>
      <c r="R30" s="2">
        <f t="shared" si="17"/>
        <v>0</v>
      </c>
      <c r="S30" s="2">
        <f t="shared" si="18"/>
        <v>85</v>
      </c>
      <c r="T30" s="2">
        <f t="shared" si="19"/>
        <v>0</v>
      </c>
      <c r="U30" s="2">
        <f t="shared" si="20"/>
        <v>85</v>
      </c>
      <c r="V30" s="2">
        <f t="shared" si="21"/>
        <v>0</v>
      </c>
      <c r="W30" s="2">
        <f t="shared" si="22"/>
        <v>85</v>
      </c>
      <c r="X30" s="2">
        <f t="shared" si="23"/>
        <v>0</v>
      </c>
      <c r="Y30" s="2">
        <f t="shared" si="24"/>
        <v>85</v>
      </c>
      <c r="Z30" s="2">
        <f t="shared" si="25"/>
        <v>0</v>
      </c>
      <c r="AA30" s="2">
        <f t="shared" si="26"/>
        <v>85</v>
      </c>
      <c r="AB30" s="2">
        <f t="shared" si="27"/>
        <v>0</v>
      </c>
      <c r="AC30" s="2">
        <f t="shared" si="28"/>
        <v>85</v>
      </c>
      <c r="AD30" s="2">
        <f t="shared" si="29"/>
        <v>0</v>
      </c>
      <c r="AE30" s="2">
        <f t="shared" si="30"/>
        <v>85</v>
      </c>
      <c r="AF30" s="2">
        <f t="shared" si="31"/>
        <v>0</v>
      </c>
      <c r="AG30" s="2">
        <f t="shared" si="32"/>
        <v>85</v>
      </c>
      <c r="AH30" s="2">
        <f t="shared" si="33"/>
        <v>0</v>
      </c>
    </row>
    <row r="31" spans="1:36">
      <c r="A31" t="str">
        <f t="shared" si="43"/>
        <v>Maize</v>
      </c>
      <c r="B31" t="str">
        <f t="shared" si="45"/>
        <v>Harari</v>
      </c>
      <c r="C31" s="2">
        <f t="shared" ref="C31:D31" si="62">C131/0.2</f>
        <v>100</v>
      </c>
      <c r="D31" s="2">
        <f t="shared" si="62"/>
        <v>2.5</v>
      </c>
      <c r="E31" s="2">
        <f t="shared" si="4"/>
        <v>100</v>
      </c>
      <c r="F31" s="2">
        <f t="shared" si="5"/>
        <v>2.5</v>
      </c>
      <c r="G31" s="2">
        <f t="shared" si="6"/>
        <v>100</v>
      </c>
      <c r="H31" s="2">
        <f t="shared" si="7"/>
        <v>2.5</v>
      </c>
      <c r="I31" s="2">
        <f t="shared" si="8"/>
        <v>100</v>
      </c>
      <c r="J31" s="2">
        <f t="shared" si="9"/>
        <v>2.5</v>
      </c>
      <c r="K31" s="2">
        <f t="shared" si="10"/>
        <v>100</v>
      </c>
      <c r="L31" s="2">
        <f t="shared" si="11"/>
        <v>2.5</v>
      </c>
      <c r="M31" s="2">
        <f t="shared" si="12"/>
        <v>100</v>
      </c>
      <c r="N31" s="2">
        <f t="shared" si="13"/>
        <v>2.5</v>
      </c>
      <c r="O31" s="2">
        <f t="shared" si="14"/>
        <v>100</v>
      </c>
      <c r="P31" s="2">
        <f t="shared" si="15"/>
        <v>2.5</v>
      </c>
      <c r="Q31" s="2">
        <f t="shared" si="16"/>
        <v>100</v>
      </c>
      <c r="R31" s="2">
        <f t="shared" si="17"/>
        <v>2.5</v>
      </c>
      <c r="S31" s="2">
        <f t="shared" si="18"/>
        <v>100</v>
      </c>
      <c r="T31" s="2">
        <f t="shared" si="19"/>
        <v>2.5</v>
      </c>
      <c r="U31" s="2">
        <f t="shared" si="20"/>
        <v>100</v>
      </c>
      <c r="V31" s="2">
        <f t="shared" si="21"/>
        <v>2.5</v>
      </c>
      <c r="W31" s="2">
        <f t="shared" si="22"/>
        <v>100</v>
      </c>
      <c r="X31" s="2">
        <f t="shared" si="23"/>
        <v>2.5</v>
      </c>
      <c r="Y31" s="2">
        <f t="shared" si="24"/>
        <v>100</v>
      </c>
      <c r="Z31" s="2">
        <f t="shared" si="25"/>
        <v>2.5</v>
      </c>
      <c r="AA31" s="2">
        <f t="shared" si="26"/>
        <v>100</v>
      </c>
      <c r="AB31" s="2">
        <f t="shared" si="27"/>
        <v>2.5</v>
      </c>
      <c r="AC31" s="2">
        <f t="shared" si="28"/>
        <v>100</v>
      </c>
      <c r="AD31" s="2">
        <f t="shared" si="29"/>
        <v>2.5</v>
      </c>
      <c r="AE31" s="2">
        <f t="shared" si="30"/>
        <v>100</v>
      </c>
      <c r="AF31" s="2">
        <f t="shared" si="31"/>
        <v>2.5</v>
      </c>
      <c r="AG31" s="2">
        <f t="shared" si="32"/>
        <v>100</v>
      </c>
      <c r="AH31" s="2">
        <f t="shared" si="33"/>
        <v>2.5</v>
      </c>
    </row>
    <row r="32" spans="1:36">
      <c r="A32" t="str">
        <f t="shared" si="43"/>
        <v>Maize</v>
      </c>
      <c r="B32" t="str">
        <f t="shared" si="45"/>
        <v>Oromia</v>
      </c>
      <c r="C32" s="2">
        <f t="shared" ref="C32:D32" si="63">C132/0.2</f>
        <v>125</v>
      </c>
      <c r="D32" s="2">
        <f t="shared" si="63"/>
        <v>77.636815920397993</v>
      </c>
      <c r="E32" s="2">
        <f t="shared" si="4"/>
        <v>125</v>
      </c>
      <c r="F32" s="2">
        <f t="shared" si="5"/>
        <v>77.636815920397993</v>
      </c>
      <c r="G32" s="2">
        <f t="shared" si="6"/>
        <v>125</v>
      </c>
      <c r="H32" s="2">
        <f t="shared" si="7"/>
        <v>77.636815920397993</v>
      </c>
      <c r="I32" s="2">
        <f t="shared" si="8"/>
        <v>125</v>
      </c>
      <c r="J32" s="2">
        <f t="shared" si="9"/>
        <v>77.636815920397993</v>
      </c>
      <c r="K32" s="2">
        <f t="shared" si="10"/>
        <v>125</v>
      </c>
      <c r="L32" s="2">
        <f t="shared" si="11"/>
        <v>77.636815920397993</v>
      </c>
      <c r="M32" s="2">
        <f t="shared" si="12"/>
        <v>125</v>
      </c>
      <c r="N32" s="2">
        <f t="shared" si="13"/>
        <v>77.636815920397993</v>
      </c>
      <c r="O32" s="2">
        <f t="shared" si="14"/>
        <v>125</v>
      </c>
      <c r="P32" s="2">
        <f t="shared" si="15"/>
        <v>77.636815920397993</v>
      </c>
      <c r="Q32" s="2">
        <f t="shared" si="16"/>
        <v>125</v>
      </c>
      <c r="R32" s="2">
        <f t="shared" si="17"/>
        <v>77.636815920397993</v>
      </c>
      <c r="S32" s="2">
        <f t="shared" si="18"/>
        <v>125</v>
      </c>
      <c r="T32" s="2">
        <f t="shared" si="19"/>
        <v>77.636815920397993</v>
      </c>
      <c r="U32" s="2">
        <f t="shared" si="20"/>
        <v>125</v>
      </c>
      <c r="V32" s="2">
        <f t="shared" si="21"/>
        <v>77.636815920397993</v>
      </c>
      <c r="W32" s="2">
        <f t="shared" si="22"/>
        <v>125</v>
      </c>
      <c r="X32" s="2">
        <f t="shared" si="23"/>
        <v>77.636815920397993</v>
      </c>
      <c r="Y32" s="2">
        <f t="shared" si="24"/>
        <v>125</v>
      </c>
      <c r="Z32" s="2">
        <f t="shared" si="25"/>
        <v>77.636815920397993</v>
      </c>
      <c r="AA32" s="2">
        <f t="shared" si="26"/>
        <v>125</v>
      </c>
      <c r="AB32" s="2">
        <f t="shared" si="27"/>
        <v>77.636815920397993</v>
      </c>
      <c r="AC32" s="2">
        <f t="shared" si="28"/>
        <v>125</v>
      </c>
      <c r="AD32" s="2">
        <f t="shared" si="29"/>
        <v>77.636815920397993</v>
      </c>
      <c r="AE32" s="2">
        <f t="shared" si="30"/>
        <v>125</v>
      </c>
      <c r="AF32" s="2">
        <f t="shared" si="31"/>
        <v>77.636815920397993</v>
      </c>
      <c r="AG32" s="2">
        <f t="shared" si="32"/>
        <v>125</v>
      </c>
      <c r="AH32" s="2">
        <f t="shared" si="33"/>
        <v>77.636815920397993</v>
      </c>
    </row>
    <row r="33" spans="1:34">
      <c r="A33" t="str">
        <f t="shared" si="43"/>
        <v>Maize</v>
      </c>
      <c r="B33" t="str">
        <f t="shared" si="45"/>
        <v>Somali</v>
      </c>
      <c r="C33" s="2">
        <f t="shared" ref="C33:D33" si="64">C133/0.2</f>
        <v>90</v>
      </c>
      <c r="D33" s="2">
        <f t="shared" si="64"/>
        <v>31.150000000000002</v>
      </c>
      <c r="E33" s="2">
        <f t="shared" si="4"/>
        <v>90</v>
      </c>
      <c r="F33" s="2">
        <f t="shared" si="5"/>
        <v>31.150000000000002</v>
      </c>
      <c r="G33" s="2">
        <f t="shared" si="6"/>
        <v>90</v>
      </c>
      <c r="H33" s="2">
        <f t="shared" si="7"/>
        <v>31.150000000000002</v>
      </c>
      <c r="I33" s="2">
        <f t="shared" si="8"/>
        <v>90</v>
      </c>
      <c r="J33" s="2">
        <f t="shared" si="9"/>
        <v>31.150000000000002</v>
      </c>
      <c r="K33" s="2">
        <f t="shared" si="10"/>
        <v>90</v>
      </c>
      <c r="L33" s="2">
        <f t="shared" si="11"/>
        <v>31.150000000000002</v>
      </c>
      <c r="M33" s="2">
        <f t="shared" si="12"/>
        <v>90</v>
      </c>
      <c r="N33" s="2">
        <f t="shared" si="13"/>
        <v>31.150000000000002</v>
      </c>
      <c r="O33" s="2">
        <f t="shared" si="14"/>
        <v>90</v>
      </c>
      <c r="P33" s="2">
        <f t="shared" si="15"/>
        <v>31.150000000000002</v>
      </c>
      <c r="Q33" s="2">
        <f t="shared" si="16"/>
        <v>90</v>
      </c>
      <c r="R33" s="2">
        <f t="shared" si="17"/>
        <v>31.150000000000002</v>
      </c>
      <c r="S33" s="2">
        <f t="shared" si="18"/>
        <v>90</v>
      </c>
      <c r="T33" s="2">
        <f t="shared" si="19"/>
        <v>31.150000000000002</v>
      </c>
      <c r="U33" s="2">
        <f t="shared" si="20"/>
        <v>90</v>
      </c>
      <c r="V33" s="2">
        <f t="shared" si="21"/>
        <v>31.150000000000002</v>
      </c>
      <c r="W33" s="2">
        <f t="shared" si="22"/>
        <v>90</v>
      </c>
      <c r="X33" s="2">
        <f t="shared" si="23"/>
        <v>31.150000000000002</v>
      </c>
      <c r="Y33" s="2">
        <f t="shared" si="24"/>
        <v>90</v>
      </c>
      <c r="Z33" s="2">
        <f t="shared" si="25"/>
        <v>31.150000000000002</v>
      </c>
      <c r="AA33" s="2">
        <f t="shared" si="26"/>
        <v>90</v>
      </c>
      <c r="AB33" s="2">
        <f t="shared" si="27"/>
        <v>31.150000000000002</v>
      </c>
      <c r="AC33" s="2">
        <f t="shared" si="28"/>
        <v>90</v>
      </c>
      <c r="AD33" s="2">
        <f t="shared" si="29"/>
        <v>31.150000000000002</v>
      </c>
      <c r="AE33" s="2">
        <f t="shared" si="30"/>
        <v>90</v>
      </c>
      <c r="AF33" s="2">
        <f t="shared" si="31"/>
        <v>31.150000000000002</v>
      </c>
      <c r="AG33" s="2">
        <f t="shared" si="32"/>
        <v>90</v>
      </c>
      <c r="AH33" s="2">
        <f t="shared" si="33"/>
        <v>31.150000000000002</v>
      </c>
    </row>
    <row r="34" spans="1:34">
      <c r="A34" t="str">
        <f t="shared" si="43"/>
        <v>Maize</v>
      </c>
      <c r="B34" t="str">
        <f t="shared" si="45"/>
        <v>SNNPR</v>
      </c>
      <c r="C34" s="2">
        <f t="shared" ref="C34:D34" si="65">C134/0.2</f>
        <v>115</v>
      </c>
      <c r="D34" s="2">
        <f t="shared" si="65"/>
        <v>60.599999999999994</v>
      </c>
      <c r="E34" s="2">
        <f t="shared" si="4"/>
        <v>115</v>
      </c>
      <c r="F34" s="2">
        <f t="shared" si="5"/>
        <v>60.599999999999994</v>
      </c>
      <c r="G34" s="2">
        <f t="shared" si="6"/>
        <v>115</v>
      </c>
      <c r="H34" s="2">
        <f t="shared" si="7"/>
        <v>60.599999999999994</v>
      </c>
      <c r="I34" s="2">
        <f t="shared" si="8"/>
        <v>115</v>
      </c>
      <c r="J34" s="2">
        <f t="shared" si="9"/>
        <v>60.599999999999994</v>
      </c>
      <c r="K34" s="2">
        <f t="shared" si="10"/>
        <v>115</v>
      </c>
      <c r="L34" s="2">
        <f t="shared" si="11"/>
        <v>60.599999999999994</v>
      </c>
      <c r="M34" s="2">
        <f t="shared" si="12"/>
        <v>115</v>
      </c>
      <c r="N34" s="2">
        <f t="shared" si="13"/>
        <v>60.599999999999994</v>
      </c>
      <c r="O34" s="2">
        <f t="shared" si="14"/>
        <v>115</v>
      </c>
      <c r="P34" s="2">
        <f t="shared" si="15"/>
        <v>60.599999999999994</v>
      </c>
      <c r="Q34" s="2">
        <f t="shared" si="16"/>
        <v>115</v>
      </c>
      <c r="R34" s="2">
        <f t="shared" si="17"/>
        <v>60.599999999999994</v>
      </c>
      <c r="S34" s="2">
        <f t="shared" si="18"/>
        <v>115</v>
      </c>
      <c r="T34" s="2">
        <f t="shared" si="19"/>
        <v>60.599999999999994</v>
      </c>
      <c r="U34" s="2">
        <f t="shared" si="20"/>
        <v>115</v>
      </c>
      <c r="V34" s="2">
        <f t="shared" si="21"/>
        <v>60.599999999999994</v>
      </c>
      <c r="W34" s="2">
        <f t="shared" si="22"/>
        <v>115</v>
      </c>
      <c r="X34" s="2">
        <f t="shared" si="23"/>
        <v>60.599999999999994</v>
      </c>
      <c r="Y34" s="2">
        <f t="shared" si="24"/>
        <v>115</v>
      </c>
      <c r="Z34" s="2">
        <f t="shared" si="25"/>
        <v>60.599999999999994</v>
      </c>
      <c r="AA34" s="2">
        <f t="shared" si="26"/>
        <v>115</v>
      </c>
      <c r="AB34" s="2">
        <f t="shared" si="27"/>
        <v>60.599999999999994</v>
      </c>
      <c r="AC34" s="2">
        <f t="shared" si="28"/>
        <v>115</v>
      </c>
      <c r="AD34" s="2">
        <f t="shared" si="29"/>
        <v>60.599999999999994</v>
      </c>
      <c r="AE34" s="2">
        <f t="shared" si="30"/>
        <v>115</v>
      </c>
      <c r="AF34" s="2">
        <f t="shared" si="31"/>
        <v>60.599999999999994</v>
      </c>
      <c r="AG34" s="2">
        <f t="shared" si="32"/>
        <v>115</v>
      </c>
      <c r="AH34" s="2">
        <f t="shared" si="33"/>
        <v>60.599999999999994</v>
      </c>
    </row>
    <row r="35" spans="1:34">
      <c r="A35" t="str">
        <f t="shared" si="43"/>
        <v>Maize</v>
      </c>
      <c r="B35" t="str">
        <f t="shared" si="45"/>
        <v>Tigray</v>
      </c>
      <c r="C35" s="2">
        <f t="shared" ref="C35:D35" si="66">C135/0.2</f>
        <v>100</v>
      </c>
      <c r="D35" s="2">
        <f t="shared" si="66"/>
        <v>47.85</v>
      </c>
      <c r="E35" s="2">
        <f t="shared" si="4"/>
        <v>100</v>
      </c>
      <c r="F35" s="2">
        <f t="shared" si="5"/>
        <v>47.85</v>
      </c>
      <c r="G35" s="2">
        <f t="shared" si="6"/>
        <v>100</v>
      </c>
      <c r="H35" s="2">
        <f t="shared" si="7"/>
        <v>47.85</v>
      </c>
      <c r="I35" s="2">
        <f t="shared" si="8"/>
        <v>100</v>
      </c>
      <c r="J35" s="2">
        <f t="shared" si="9"/>
        <v>47.85</v>
      </c>
      <c r="K35" s="2">
        <f t="shared" si="10"/>
        <v>100</v>
      </c>
      <c r="L35" s="2">
        <f t="shared" si="11"/>
        <v>47.85</v>
      </c>
      <c r="M35" s="2">
        <f t="shared" si="12"/>
        <v>100</v>
      </c>
      <c r="N35" s="2">
        <f t="shared" si="13"/>
        <v>47.85</v>
      </c>
      <c r="O35" s="2">
        <f t="shared" si="14"/>
        <v>100</v>
      </c>
      <c r="P35" s="2">
        <f t="shared" si="15"/>
        <v>47.85</v>
      </c>
      <c r="Q35" s="2">
        <f t="shared" si="16"/>
        <v>100</v>
      </c>
      <c r="R35" s="2">
        <f t="shared" si="17"/>
        <v>47.85</v>
      </c>
      <c r="S35" s="2">
        <f t="shared" si="18"/>
        <v>100</v>
      </c>
      <c r="T35" s="2">
        <f t="shared" si="19"/>
        <v>47.85</v>
      </c>
      <c r="U35" s="2">
        <f t="shared" si="20"/>
        <v>100</v>
      </c>
      <c r="V35" s="2">
        <f t="shared" si="21"/>
        <v>47.85</v>
      </c>
      <c r="W35" s="2">
        <f t="shared" si="22"/>
        <v>100</v>
      </c>
      <c r="X35" s="2">
        <f t="shared" si="23"/>
        <v>47.85</v>
      </c>
      <c r="Y35" s="2">
        <f t="shared" si="24"/>
        <v>100</v>
      </c>
      <c r="Z35" s="2">
        <f t="shared" si="25"/>
        <v>47.85</v>
      </c>
      <c r="AA35" s="2">
        <f t="shared" si="26"/>
        <v>100</v>
      </c>
      <c r="AB35" s="2">
        <f t="shared" si="27"/>
        <v>47.85</v>
      </c>
      <c r="AC35" s="2">
        <f t="shared" si="28"/>
        <v>100</v>
      </c>
      <c r="AD35" s="2">
        <f t="shared" si="29"/>
        <v>47.85</v>
      </c>
      <c r="AE35" s="2">
        <f t="shared" si="30"/>
        <v>100</v>
      </c>
      <c r="AF35" s="2">
        <f t="shared" si="31"/>
        <v>47.85</v>
      </c>
      <c r="AG35" s="2">
        <f t="shared" si="32"/>
        <v>100</v>
      </c>
      <c r="AH35" s="2">
        <f t="shared" si="33"/>
        <v>47.85</v>
      </c>
    </row>
    <row r="36" spans="1:34">
      <c r="A36" t="str">
        <f t="shared" si="43"/>
        <v>Lentils</v>
      </c>
      <c r="B36" t="str">
        <f t="shared" si="45"/>
        <v>AddisAbaba</v>
      </c>
      <c r="C36" s="2">
        <f t="shared" ref="C36:D36" si="67">C136/0.2</f>
        <v>0</v>
      </c>
      <c r="D36" s="2">
        <f t="shared" si="67"/>
        <v>0</v>
      </c>
      <c r="E36" s="2">
        <f t="shared" si="4"/>
        <v>0</v>
      </c>
      <c r="F36" s="2">
        <f t="shared" si="5"/>
        <v>0</v>
      </c>
      <c r="G36" s="2">
        <f t="shared" si="6"/>
        <v>0</v>
      </c>
      <c r="H36" s="2">
        <f t="shared" si="7"/>
        <v>0</v>
      </c>
      <c r="I36" s="2">
        <f t="shared" si="8"/>
        <v>0</v>
      </c>
      <c r="J36" s="2">
        <f t="shared" si="9"/>
        <v>0</v>
      </c>
      <c r="K36" s="2">
        <f t="shared" si="10"/>
        <v>0</v>
      </c>
      <c r="L36" s="2">
        <f t="shared" si="11"/>
        <v>0</v>
      </c>
      <c r="M36" s="2">
        <f t="shared" si="12"/>
        <v>0</v>
      </c>
      <c r="N36" s="2">
        <f t="shared" si="13"/>
        <v>0</v>
      </c>
      <c r="O36" s="2">
        <f t="shared" si="14"/>
        <v>0</v>
      </c>
      <c r="P36" s="2">
        <f t="shared" si="15"/>
        <v>0</v>
      </c>
      <c r="Q36" s="2">
        <f t="shared" si="16"/>
        <v>0</v>
      </c>
      <c r="R36" s="2">
        <f t="shared" si="17"/>
        <v>0</v>
      </c>
      <c r="S36" s="2">
        <f t="shared" si="18"/>
        <v>0</v>
      </c>
      <c r="T36" s="2">
        <f t="shared" si="19"/>
        <v>0</v>
      </c>
      <c r="U36" s="2">
        <f t="shared" si="20"/>
        <v>0</v>
      </c>
      <c r="V36" s="2">
        <f t="shared" si="21"/>
        <v>0</v>
      </c>
      <c r="W36" s="2">
        <f t="shared" si="22"/>
        <v>0</v>
      </c>
      <c r="X36" s="2">
        <f t="shared" si="23"/>
        <v>0</v>
      </c>
      <c r="Y36" s="2">
        <f t="shared" si="24"/>
        <v>0</v>
      </c>
      <c r="Z36" s="2">
        <f t="shared" si="25"/>
        <v>0</v>
      </c>
      <c r="AA36" s="2">
        <f t="shared" si="26"/>
        <v>0</v>
      </c>
      <c r="AB36" s="2">
        <f t="shared" si="27"/>
        <v>0</v>
      </c>
      <c r="AC36" s="2">
        <f t="shared" si="28"/>
        <v>0</v>
      </c>
      <c r="AD36" s="2">
        <f t="shared" si="29"/>
        <v>0</v>
      </c>
      <c r="AE36" s="2">
        <f t="shared" si="30"/>
        <v>0</v>
      </c>
      <c r="AF36" s="2">
        <f t="shared" si="31"/>
        <v>0</v>
      </c>
      <c r="AG36" s="2">
        <f t="shared" si="32"/>
        <v>0</v>
      </c>
      <c r="AH36" s="2">
        <f t="shared" si="33"/>
        <v>0</v>
      </c>
    </row>
    <row r="37" spans="1:34">
      <c r="A37" t="str">
        <f t="shared" si="43"/>
        <v>Lentils</v>
      </c>
      <c r="B37" t="str">
        <f t="shared" si="45"/>
        <v>Afar</v>
      </c>
      <c r="C37" s="2">
        <f t="shared" ref="C37:D37" si="68">C137/0.2</f>
        <v>0</v>
      </c>
      <c r="D37" s="2">
        <f t="shared" si="68"/>
        <v>5</v>
      </c>
      <c r="E37" s="2">
        <f t="shared" si="4"/>
        <v>0</v>
      </c>
      <c r="F37" s="2">
        <f t="shared" si="5"/>
        <v>5</v>
      </c>
      <c r="G37" s="2">
        <f t="shared" si="6"/>
        <v>0</v>
      </c>
      <c r="H37" s="2">
        <f t="shared" si="7"/>
        <v>5</v>
      </c>
      <c r="I37" s="2">
        <f t="shared" si="8"/>
        <v>0</v>
      </c>
      <c r="J37" s="2">
        <f t="shared" si="9"/>
        <v>5</v>
      </c>
      <c r="K37" s="2">
        <f t="shared" si="10"/>
        <v>0</v>
      </c>
      <c r="L37" s="2">
        <f t="shared" si="11"/>
        <v>5</v>
      </c>
      <c r="M37" s="2">
        <f t="shared" si="12"/>
        <v>0</v>
      </c>
      <c r="N37" s="2">
        <f t="shared" si="13"/>
        <v>5</v>
      </c>
      <c r="O37" s="2">
        <f t="shared" si="14"/>
        <v>0</v>
      </c>
      <c r="P37" s="2">
        <f t="shared" si="15"/>
        <v>5</v>
      </c>
      <c r="Q37" s="2">
        <f t="shared" si="16"/>
        <v>0</v>
      </c>
      <c r="R37" s="2">
        <f t="shared" si="17"/>
        <v>5</v>
      </c>
      <c r="S37" s="2">
        <f t="shared" si="18"/>
        <v>0</v>
      </c>
      <c r="T37" s="2">
        <f t="shared" si="19"/>
        <v>5</v>
      </c>
      <c r="U37" s="2">
        <f t="shared" si="20"/>
        <v>0</v>
      </c>
      <c r="V37" s="2">
        <f t="shared" si="21"/>
        <v>5</v>
      </c>
      <c r="W37" s="2">
        <f t="shared" si="22"/>
        <v>0</v>
      </c>
      <c r="X37" s="2">
        <f t="shared" si="23"/>
        <v>5</v>
      </c>
      <c r="Y37" s="2">
        <f t="shared" si="24"/>
        <v>0</v>
      </c>
      <c r="Z37" s="2">
        <f t="shared" si="25"/>
        <v>5</v>
      </c>
      <c r="AA37" s="2">
        <f t="shared" si="26"/>
        <v>0</v>
      </c>
      <c r="AB37" s="2">
        <f t="shared" si="27"/>
        <v>5</v>
      </c>
      <c r="AC37" s="2">
        <f t="shared" si="28"/>
        <v>0</v>
      </c>
      <c r="AD37" s="2">
        <f t="shared" si="29"/>
        <v>5</v>
      </c>
      <c r="AE37" s="2">
        <f t="shared" si="30"/>
        <v>0</v>
      </c>
      <c r="AF37" s="2">
        <f t="shared" si="31"/>
        <v>5</v>
      </c>
      <c r="AG37" s="2">
        <f t="shared" si="32"/>
        <v>0</v>
      </c>
      <c r="AH37" s="2">
        <f t="shared" si="33"/>
        <v>5</v>
      </c>
    </row>
    <row r="38" spans="1:34">
      <c r="A38" t="str">
        <f t="shared" si="43"/>
        <v>Lentils</v>
      </c>
      <c r="B38" t="str">
        <f t="shared" si="45"/>
        <v>Amhara</v>
      </c>
      <c r="C38" s="2">
        <f t="shared" ref="C38:D38" si="69">C138/0.2</f>
        <v>70</v>
      </c>
      <c r="D38" s="2">
        <f t="shared" si="69"/>
        <v>26</v>
      </c>
      <c r="E38" s="2">
        <f t="shared" si="4"/>
        <v>70</v>
      </c>
      <c r="F38" s="2">
        <f t="shared" si="5"/>
        <v>26</v>
      </c>
      <c r="G38" s="2">
        <f t="shared" si="6"/>
        <v>70</v>
      </c>
      <c r="H38" s="2">
        <f t="shared" si="7"/>
        <v>26</v>
      </c>
      <c r="I38" s="2">
        <f t="shared" si="8"/>
        <v>70</v>
      </c>
      <c r="J38" s="2">
        <f t="shared" si="9"/>
        <v>26</v>
      </c>
      <c r="K38" s="2">
        <f t="shared" si="10"/>
        <v>70</v>
      </c>
      <c r="L38" s="2">
        <f t="shared" si="11"/>
        <v>26</v>
      </c>
      <c r="M38" s="2">
        <f t="shared" si="12"/>
        <v>70</v>
      </c>
      <c r="N38" s="2">
        <f t="shared" si="13"/>
        <v>26</v>
      </c>
      <c r="O38" s="2">
        <f t="shared" si="14"/>
        <v>70</v>
      </c>
      <c r="P38" s="2">
        <f t="shared" si="15"/>
        <v>26</v>
      </c>
      <c r="Q38" s="2">
        <f t="shared" si="16"/>
        <v>70</v>
      </c>
      <c r="R38" s="2">
        <f t="shared" si="17"/>
        <v>26</v>
      </c>
      <c r="S38" s="2">
        <f t="shared" si="18"/>
        <v>70</v>
      </c>
      <c r="T38" s="2">
        <f t="shared" si="19"/>
        <v>26</v>
      </c>
      <c r="U38" s="2">
        <f t="shared" si="20"/>
        <v>70</v>
      </c>
      <c r="V38" s="2">
        <f t="shared" si="21"/>
        <v>26</v>
      </c>
      <c r="W38" s="2">
        <f t="shared" si="22"/>
        <v>70</v>
      </c>
      <c r="X38" s="2">
        <f t="shared" si="23"/>
        <v>26</v>
      </c>
      <c r="Y38" s="2">
        <f t="shared" si="24"/>
        <v>70</v>
      </c>
      <c r="Z38" s="2">
        <f t="shared" si="25"/>
        <v>26</v>
      </c>
      <c r="AA38" s="2">
        <f t="shared" si="26"/>
        <v>70</v>
      </c>
      <c r="AB38" s="2">
        <f t="shared" si="27"/>
        <v>26</v>
      </c>
      <c r="AC38" s="2">
        <f t="shared" si="28"/>
        <v>70</v>
      </c>
      <c r="AD38" s="2">
        <f t="shared" si="29"/>
        <v>26</v>
      </c>
      <c r="AE38" s="2">
        <f t="shared" si="30"/>
        <v>70</v>
      </c>
      <c r="AF38" s="2">
        <f t="shared" si="31"/>
        <v>26</v>
      </c>
      <c r="AG38" s="2">
        <f t="shared" si="32"/>
        <v>70</v>
      </c>
      <c r="AH38" s="2">
        <f t="shared" si="33"/>
        <v>26</v>
      </c>
    </row>
    <row r="39" spans="1:34">
      <c r="A39" t="str">
        <f t="shared" si="43"/>
        <v>Lentils</v>
      </c>
      <c r="B39" t="str">
        <f t="shared" si="45"/>
        <v>Gumuz</v>
      </c>
      <c r="C39" s="2">
        <f t="shared" ref="C39:D39" si="70">C139/0.2</f>
        <v>75</v>
      </c>
      <c r="D39" s="2">
        <f t="shared" si="70"/>
        <v>34.599999999999994</v>
      </c>
      <c r="E39" s="2">
        <f t="shared" si="4"/>
        <v>75</v>
      </c>
      <c r="F39" s="2">
        <f t="shared" si="5"/>
        <v>34.599999999999994</v>
      </c>
      <c r="G39" s="2">
        <f t="shared" si="6"/>
        <v>75</v>
      </c>
      <c r="H39" s="2">
        <f t="shared" si="7"/>
        <v>34.599999999999994</v>
      </c>
      <c r="I39" s="2">
        <f t="shared" si="8"/>
        <v>75</v>
      </c>
      <c r="J39" s="2">
        <f t="shared" si="9"/>
        <v>34.599999999999994</v>
      </c>
      <c r="K39" s="2">
        <f t="shared" si="10"/>
        <v>75</v>
      </c>
      <c r="L39" s="2">
        <f t="shared" si="11"/>
        <v>34.599999999999994</v>
      </c>
      <c r="M39" s="2">
        <f t="shared" si="12"/>
        <v>75</v>
      </c>
      <c r="N39" s="2">
        <f t="shared" si="13"/>
        <v>34.599999999999994</v>
      </c>
      <c r="O39" s="2">
        <f t="shared" si="14"/>
        <v>75</v>
      </c>
      <c r="P39" s="2">
        <f t="shared" si="15"/>
        <v>34.599999999999994</v>
      </c>
      <c r="Q39" s="2">
        <f t="shared" si="16"/>
        <v>75</v>
      </c>
      <c r="R39" s="2">
        <f t="shared" si="17"/>
        <v>34.599999999999994</v>
      </c>
      <c r="S39" s="2">
        <f t="shared" si="18"/>
        <v>75</v>
      </c>
      <c r="T39" s="2">
        <f t="shared" si="19"/>
        <v>34.599999999999994</v>
      </c>
      <c r="U39" s="2">
        <f t="shared" si="20"/>
        <v>75</v>
      </c>
      <c r="V39" s="2">
        <f t="shared" si="21"/>
        <v>34.599999999999994</v>
      </c>
      <c r="W39" s="2">
        <f t="shared" si="22"/>
        <v>75</v>
      </c>
      <c r="X39" s="2">
        <f t="shared" si="23"/>
        <v>34.599999999999994</v>
      </c>
      <c r="Y39" s="2">
        <f t="shared" si="24"/>
        <v>75</v>
      </c>
      <c r="Z39" s="2">
        <f t="shared" si="25"/>
        <v>34.599999999999994</v>
      </c>
      <c r="AA39" s="2">
        <f t="shared" si="26"/>
        <v>75</v>
      </c>
      <c r="AB39" s="2">
        <f t="shared" si="27"/>
        <v>34.599999999999994</v>
      </c>
      <c r="AC39" s="2">
        <f t="shared" si="28"/>
        <v>75</v>
      </c>
      <c r="AD39" s="2">
        <f t="shared" si="29"/>
        <v>34.599999999999994</v>
      </c>
      <c r="AE39" s="2">
        <f t="shared" si="30"/>
        <v>75</v>
      </c>
      <c r="AF39" s="2">
        <f t="shared" si="31"/>
        <v>34.599999999999994</v>
      </c>
      <c r="AG39" s="2">
        <f t="shared" si="32"/>
        <v>75</v>
      </c>
      <c r="AH39" s="2">
        <f t="shared" si="33"/>
        <v>34.599999999999994</v>
      </c>
    </row>
    <row r="40" spans="1:34">
      <c r="A40" t="str">
        <f t="shared" si="43"/>
        <v>Lentils</v>
      </c>
      <c r="B40" t="str">
        <f t="shared" si="45"/>
        <v>DireDawa</v>
      </c>
      <c r="C40" s="2">
        <f t="shared" ref="C40:D40" si="71">C140/0.2</f>
        <v>90</v>
      </c>
      <c r="D40" s="2">
        <f t="shared" si="71"/>
        <v>2.5</v>
      </c>
      <c r="E40" s="2">
        <f t="shared" si="4"/>
        <v>90</v>
      </c>
      <c r="F40" s="2">
        <f t="shared" si="5"/>
        <v>2.5</v>
      </c>
      <c r="G40" s="2">
        <f t="shared" si="6"/>
        <v>90</v>
      </c>
      <c r="H40" s="2">
        <f t="shared" si="7"/>
        <v>2.5</v>
      </c>
      <c r="I40" s="2">
        <f t="shared" si="8"/>
        <v>90</v>
      </c>
      <c r="J40" s="2">
        <f t="shared" si="9"/>
        <v>2.5</v>
      </c>
      <c r="K40" s="2">
        <f t="shared" si="10"/>
        <v>90</v>
      </c>
      <c r="L40" s="2">
        <f t="shared" si="11"/>
        <v>2.5</v>
      </c>
      <c r="M40" s="2">
        <f t="shared" si="12"/>
        <v>90</v>
      </c>
      <c r="N40" s="2">
        <f t="shared" si="13"/>
        <v>2.5</v>
      </c>
      <c r="O40" s="2">
        <f t="shared" si="14"/>
        <v>90</v>
      </c>
      <c r="P40" s="2">
        <f t="shared" si="15"/>
        <v>2.5</v>
      </c>
      <c r="Q40" s="2">
        <f t="shared" si="16"/>
        <v>90</v>
      </c>
      <c r="R40" s="2">
        <f t="shared" si="17"/>
        <v>2.5</v>
      </c>
      <c r="S40" s="2">
        <f t="shared" si="18"/>
        <v>90</v>
      </c>
      <c r="T40" s="2">
        <f t="shared" si="19"/>
        <v>2.5</v>
      </c>
      <c r="U40" s="2">
        <f t="shared" si="20"/>
        <v>90</v>
      </c>
      <c r="V40" s="2">
        <f t="shared" si="21"/>
        <v>2.5</v>
      </c>
      <c r="W40" s="2">
        <f t="shared" si="22"/>
        <v>90</v>
      </c>
      <c r="X40" s="2">
        <f t="shared" si="23"/>
        <v>2.5</v>
      </c>
      <c r="Y40" s="2">
        <f t="shared" si="24"/>
        <v>90</v>
      </c>
      <c r="Z40" s="2">
        <f t="shared" si="25"/>
        <v>2.5</v>
      </c>
      <c r="AA40" s="2">
        <f t="shared" si="26"/>
        <v>90</v>
      </c>
      <c r="AB40" s="2">
        <f t="shared" si="27"/>
        <v>2.5</v>
      </c>
      <c r="AC40" s="2">
        <f t="shared" si="28"/>
        <v>90</v>
      </c>
      <c r="AD40" s="2">
        <f t="shared" si="29"/>
        <v>2.5</v>
      </c>
      <c r="AE40" s="2">
        <f t="shared" si="30"/>
        <v>90</v>
      </c>
      <c r="AF40" s="2">
        <f t="shared" si="31"/>
        <v>2.5</v>
      </c>
      <c r="AG40" s="2">
        <f t="shared" si="32"/>
        <v>90</v>
      </c>
      <c r="AH40" s="2">
        <f t="shared" si="33"/>
        <v>2.5</v>
      </c>
    </row>
    <row r="41" spans="1:34">
      <c r="A41" t="str">
        <f t="shared" si="43"/>
        <v>Lentils</v>
      </c>
      <c r="B41" t="str">
        <f t="shared" si="45"/>
        <v>Gambela</v>
      </c>
      <c r="C41" s="2">
        <f t="shared" ref="C41:D41" si="72">C141/0.2</f>
        <v>20</v>
      </c>
      <c r="D41" s="2">
        <f t="shared" si="72"/>
        <v>0</v>
      </c>
      <c r="E41" s="2">
        <f t="shared" si="4"/>
        <v>20</v>
      </c>
      <c r="F41" s="2">
        <f t="shared" si="5"/>
        <v>0</v>
      </c>
      <c r="G41" s="2">
        <f t="shared" si="6"/>
        <v>20</v>
      </c>
      <c r="H41" s="2">
        <f t="shared" si="7"/>
        <v>0</v>
      </c>
      <c r="I41" s="2">
        <f t="shared" si="8"/>
        <v>20</v>
      </c>
      <c r="J41" s="2">
        <f t="shared" si="9"/>
        <v>0</v>
      </c>
      <c r="K41" s="2">
        <f t="shared" si="10"/>
        <v>20</v>
      </c>
      <c r="L41" s="2">
        <f t="shared" si="11"/>
        <v>0</v>
      </c>
      <c r="M41" s="2">
        <f t="shared" si="12"/>
        <v>20</v>
      </c>
      <c r="N41" s="2">
        <f t="shared" si="13"/>
        <v>0</v>
      </c>
      <c r="O41" s="2">
        <f t="shared" si="14"/>
        <v>20</v>
      </c>
      <c r="P41" s="2">
        <f t="shared" si="15"/>
        <v>0</v>
      </c>
      <c r="Q41" s="2">
        <f t="shared" si="16"/>
        <v>20</v>
      </c>
      <c r="R41" s="2">
        <f t="shared" si="17"/>
        <v>0</v>
      </c>
      <c r="S41" s="2">
        <f t="shared" si="18"/>
        <v>20</v>
      </c>
      <c r="T41" s="2">
        <f t="shared" si="19"/>
        <v>0</v>
      </c>
      <c r="U41" s="2">
        <f t="shared" si="20"/>
        <v>20</v>
      </c>
      <c r="V41" s="2">
        <f t="shared" si="21"/>
        <v>0</v>
      </c>
      <c r="W41" s="2">
        <f t="shared" si="22"/>
        <v>20</v>
      </c>
      <c r="X41" s="2">
        <f t="shared" si="23"/>
        <v>0</v>
      </c>
      <c r="Y41" s="2">
        <f t="shared" si="24"/>
        <v>20</v>
      </c>
      <c r="Z41" s="2">
        <f t="shared" si="25"/>
        <v>0</v>
      </c>
      <c r="AA41" s="2">
        <f t="shared" si="26"/>
        <v>20</v>
      </c>
      <c r="AB41" s="2">
        <f t="shared" si="27"/>
        <v>0</v>
      </c>
      <c r="AC41" s="2">
        <f t="shared" si="28"/>
        <v>20</v>
      </c>
      <c r="AD41" s="2">
        <f t="shared" si="29"/>
        <v>0</v>
      </c>
      <c r="AE41" s="2">
        <f t="shared" si="30"/>
        <v>20</v>
      </c>
      <c r="AF41" s="2">
        <f t="shared" si="31"/>
        <v>0</v>
      </c>
      <c r="AG41" s="2">
        <f t="shared" si="32"/>
        <v>20</v>
      </c>
      <c r="AH41" s="2">
        <f t="shared" si="33"/>
        <v>0</v>
      </c>
    </row>
    <row r="42" spans="1:34">
      <c r="A42" t="str">
        <f t="shared" si="43"/>
        <v>Lentils</v>
      </c>
      <c r="B42" t="str">
        <f t="shared" si="45"/>
        <v>Harari</v>
      </c>
      <c r="C42" s="2">
        <f t="shared" ref="C42:D42" si="73">C142/0.2</f>
        <v>0</v>
      </c>
      <c r="D42" s="2">
        <f t="shared" si="73"/>
        <v>67.899999999999991</v>
      </c>
      <c r="E42" s="2">
        <f t="shared" si="4"/>
        <v>0</v>
      </c>
      <c r="F42" s="2">
        <f t="shared" si="5"/>
        <v>67.899999999999991</v>
      </c>
      <c r="G42" s="2">
        <f t="shared" si="6"/>
        <v>0</v>
      </c>
      <c r="H42" s="2">
        <f t="shared" si="7"/>
        <v>67.899999999999991</v>
      </c>
      <c r="I42" s="2">
        <f t="shared" si="8"/>
        <v>0</v>
      </c>
      <c r="J42" s="2">
        <f t="shared" si="9"/>
        <v>67.899999999999991</v>
      </c>
      <c r="K42" s="2">
        <f t="shared" si="10"/>
        <v>0</v>
      </c>
      <c r="L42" s="2">
        <f t="shared" si="11"/>
        <v>67.899999999999991</v>
      </c>
      <c r="M42" s="2">
        <f t="shared" si="12"/>
        <v>0</v>
      </c>
      <c r="N42" s="2">
        <f t="shared" si="13"/>
        <v>67.899999999999991</v>
      </c>
      <c r="O42" s="2">
        <f t="shared" si="14"/>
        <v>0</v>
      </c>
      <c r="P42" s="2">
        <f t="shared" si="15"/>
        <v>67.899999999999991</v>
      </c>
      <c r="Q42" s="2">
        <f t="shared" si="16"/>
        <v>0</v>
      </c>
      <c r="R42" s="2">
        <f t="shared" si="17"/>
        <v>67.899999999999991</v>
      </c>
      <c r="S42" s="2">
        <f t="shared" si="18"/>
        <v>0</v>
      </c>
      <c r="T42" s="2">
        <f t="shared" si="19"/>
        <v>67.899999999999991</v>
      </c>
      <c r="U42" s="2">
        <f t="shared" si="20"/>
        <v>0</v>
      </c>
      <c r="V42" s="2">
        <f t="shared" si="21"/>
        <v>67.899999999999991</v>
      </c>
      <c r="W42" s="2">
        <f t="shared" si="22"/>
        <v>0</v>
      </c>
      <c r="X42" s="2">
        <f t="shared" si="23"/>
        <v>67.899999999999991</v>
      </c>
      <c r="Y42" s="2">
        <f t="shared" si="24"/>
        <v>0</v>
      </c>
      <c r="Z42" s="2">
        <f t="shared" si="25"/>
        <v>67.899999999999991</v>
      </c>
      <c r="AA42" s="2">
        <f t="shared" si="26"/>
        <v>0</v>
      </c>
      <c r="AB42" s="2">
        <f t="shared" si="27"/>
        <v>67.899999999999991</v>
      </c>
      <c r="AC42" s="2">
        <f t="shared" si="28"/>
        <v>0</v>
      </c>
      <c r="AD42" s="2">
        <f t="shared" si="29"/>
        <v>67.899999999999991</v>
      </c>
      <c r="AE42" s="2">
        <f t="shared" si="30"/>
        <v>0</v>
      </c>
      <c r="AF42" s="2">
        <f t="shared" si="31"/>
        <v>67.899999999999991</v>
      </c>
      <c r="AG42" s="2">
        <f t="shared" si="32"/>
        <v>0</v>
      </c>
      <c r="AH42" s="2">
        <f t="shared" si="33"/>
        <v>67.899999999999991</v>
      </c>
    </row>
    <row r="43" spans="1:34">
      <c r="A43" t="str">
        <f t="shared" si="43"/>
        <v>Lentils</v>
      </c>
      <c r="B43" t="str">
        <f t="shared" si="45"/>
        <v>Oromia</v>
      </c>
      <c r="C43" s="2">
        <f t="shared" ref="C43:D43" si="74">C143/0.2</f>
        <v>75</v>
      </c>
      <c r="D43" s="2">
        <f t="shared" si="74"/>
        <v>35</v>
      </c>
      <c r="E43" s="2">
        <f t="shared" si="4"/>
        <v>75</v>
      </c>
      <c r="F43" s="2">
        <f t="shared" si="5"/>
        <v>35</v>
      </c>
      <c r="G43" s="2">
        <f t="shared" si="6"/>
        <v>75</v>
      </c>
      <c r="H43" s="2">
        <f t="shared" si="7"/>
        <v>35</v>
      </c>
      <c r="I43" s="2">
        <f t="shared" si="8"/>
        <v>75</v>
      </c>
      <c r="J43" s="2">
        <f t="shared" si="9"/>
        <v>35</v>
      </c>
      <c r="K43" s="2">
        <f t="shared" si="10"/>
        <v>75</v>
      </c>
      <c r="L43" s="2">
        <f t="shared" si="11"/>
        <v>35</v>
      </c>
      <c r="M43" s="2">
        <f t="shared" si="12"/>
        <v>75</v>
      </c>
      <c r="N43" s="2">
        <f t="shared" si="13"/>
        <v>35</v>
      </c>
      <c r="O43" s="2">
        <f t="shared" si="14"/>
        <v>75</v>
      </c>
      <c r="P43" s="2">
        <f t="shared" si="15"/>
        <v>35</v>
      </c>
      <c r="Q43" s="2">
        <f t="shared" si="16"/>
        <v>75</v>
      </c>
      <c r="R43" s="2">
        <f t="shared" si="17"/>
        <v>35</v>
      </c>
      <c r="S43" s="2">
        <f t="shared" si="18"/>
        <v>75</v>
      </c>
      <c r="T43" s="2">
        <f t="shared" si="19"/>
        <v>35</v>
      </c>
      <c r="U43" s="2">
        <f t="shared" si="20"/>
        <v>75</v>
      </c>
      <c r="V43" s="2">
        <f t="shared" si="21"/>
        <v>35</v>
      </c>
      <c r="W43" s="2">
        <f t="shared" si="22"/>
        <v>75</v>
      </c>
      <c r="X43" s="2">
        <f t="shared" si="23"/>
        <v>35</v>
      </c>
      <c r="Y43" s="2">
        <f t="shared" si="24"/>
        <v>75</v>
      </c>
      <c r="Z43" s="2">
        <f t="shared" si="25"/>
        <v>35</v>
      </c>
      <c r="AA43" s="2">
        <f t="shared" si="26"/>
        <v>75</v>
      </c>
      <c r="AB43" s="2">
        <f t="shared" si="27"/>
        <v>35</v>
      </c>
      <c r="AC43" s="2">
        <f t="shared" si="28"/>
        <v>75</v>
      </c>
      <c r="AD43" s="2">
        <f t="shared" si="29"/>
        <v>35</v>
      </c>
      <c r="AE43" s="2">
        <f t="shared" si="30"/>
        <v>75</v>
      </c>
      <c r="AF43" s="2">
        <f t="shared" si="31"/>
        <v>35</v>
      </c>
      <c r="AG43" s="2">
        <f t="shared" si="32"/>
        <v>75</v>
      </c>
      <c r="AH43" s="2">
        <f t="shared" si="33"/>
        <v>35</v>
      </c>
    </row>
    <row r="44" spans="1:34">
      <c r="A44" t="str">
        <f t="shared" si="43"/>
        <v>Lentils</v>
      </c>
      <c r="B44" t="str">
        <f t="shared" si="45"/>
        <v>Somali</v>
      </c>
      <c r="C44" s="2">
        <f t="shared" ref="C44:D44" si="75">C144/0.2</f>
        <v>0</v>
      </c>
      <c r="D44" s="2">
        <f t="shared" si="75"/>
        <v>5</v>
      </c>
      <c r="E44" s="2">
        <f t="shared" si="4"/>
        <v>0</v>
      </c>
      <c r="F44" s="2">
        <f t="shared" si="5"/>
        <v>5</v>
      </c>
      <c r="G44" s="2">
        <f t="shared" si="6"/>
        <v>0</v>
      </c>
      <c r="H44" s="2">
        <f t="shared" si="7"/>
        <v>5</v>
      </c>
      <c r="I44" s="2">
        <f t="shared" si="8"/>
        <v>0</v>
      </c>
      <c r="J44" s="2">
        <f t="shared" si="9"/>
        <v>5</v>
      </c>
      <c r="K44" s="2">
        <f t="shared" si="10"/>
        <v>0</v>
      </c>
      <c r="L44" s="2">
        <f t="shared" si="11"/>
        <v>5</v>
      </c>
      <c r="M44" s="2">
        <f t="shared" si="12"/>
        <v>0</v>
      </c>
      <c r="N44" s="2">
        <f t="shared" si="13"/>
        <v>5</v>
      </c>
      <c r="O44" s="2">
        <f t="shared" si="14"/>
        <v>0</v>
      </c>
      <c r="P44" s="2">
        <f t="shared" si="15"/>
        <v>5</v>
      </c>
      <c r="Q44" s="2">
        <f t="shared" si="16"/>
        <v>0</v>
      </c>
      <c r="R44" s="2">
        <f t="shared" si="17"/>
        <v>5</v>
      </c>
      <c r="S44" s="2">
        <f t="shared" si="18"/>
        <v>0</v>
      </c>
      <c r="T44" s="2">
        <f t="shared" si="19"/>
        <v>5</v>
      </c>
      <c r="U44" s="2">
        <f t="shared" si="20"/>
        <v>0</v>
      </c>
      <c r="V44" s="2">
        <f t="shared" si="21"/>
        <v>5</v>
      </c>
      <c r="W44" s="2">
        <f t="shared" si="22"/>
        <v>0</v>
      </c>
      <c r="X44" s="2">
        <f t="shared" si="23"/>
        <v>5</v>
      </c>
      <c r="Y44" s="2">
        <f t="shared" si="24"/>
        <v>0</v>
      </c>
      <c r="Z44" s="2">
        <f t="shared" si="25"/>
        <v>5</v>
      </c>
      <c r="AA44" s="2">
        <f t="shared" si="26"/>
        <v>0</v>
      </c>
      <c r="AB44" s="2">
        <f t="shared" si="27"/>
        <v>5</v>
      </c>
      <c r="AC44" s="2">
        <f t="shared" si="28"/>
        <v>0</v>
      </c>
      <c r="AD44" s="2">
        <f t="shared" si="29"/>
        <v>5</v>
      </c>
      <c r="AE44" s="2">
        <f t="shared" si="30"/>
        <v>0</v>
      </c>
      <c r="AF44" s="2">
        <f t="shared" si="31"/>
        <v>5</v>
      </c>
      <c r="AG44" s="2">
        <f t="shared" si="32"/>
        <v>0</v>
      </c>
      <c r="AH44" s="2">
        <f t="shared" si="33"/>
        <v>5</v>
      </c>
    </row>
    <row r="45" spans="1:34">
      <c r="A45" t="str">
        <f t="shared" si="43"/>
        <v>Lentils</v>
      </c>
      <c r="B45" t="str">
        <f t="shared" si="45"/>
        <v>SNNPR</v>
      </c>
      <c r="C45" s="2">
        <f t="shared" ref="C45:D45" si="76">C145/0.2</f>
        <v>65</v>
      </c>
      <c r="D45" s="2">
        <f t="shared" si="76"/>
        <v>32.999999999999993</v>
      </c>
      <c r="E45" s="2">
        <f t="shared" si="4"/>
        <v>65</v>
      </c>
      <c r="F45" s="2">
        <f t="shared" si="5"/>
        <v>32.999999999999993</v>
      </c>
      <c r="G45" s="2">
        <f t="shared" si="6"/>
        <v>65</v>
      </c>
      <c r="H45" s="2">
        <f t="shared" si="7"/>
        <v>32.999999999999993</v>
      </c>
      <c r="I45" s="2">
        <f t="shared" si="8"/>
        <v>65</v>
      </c>
      <c r="J45" s="2">
        <f t="shared" si="9"/>
        <v>32.999999999999993</v>
      </c>
      <c r="K45" s="2">
        <f t="shared" si="10"/>
        <v>65</v>
      </c>
      <c r="L45" s="2">
        <f t="shared" si="11"/>
        <v>32.999999999999993</v>
      </c>
      <c r="M45" s="2">
        <f t="shared" si="12"/>
        <v>65</v>
      </c>
      <c r="N45" s="2">
        <f t="shared" si="13"/>
        <v>32.999999999999993</v>
      </c>
      <c r="O45" s="2">
        <f t="shared" si="14"/>
        <v>65</v>
      </c>
      <c r="P45" s="2">
        <f t="shared" si="15"/>
        <v>32.999999999999993</v>
      </c>
      <c r="Q45" s="2">
        <f t="shared" si="16"/>
        <v>65</v>
      </c>
      <c r="R45" s="2">
        <f t="shared" si="17"/>
        <v>32.999999999999993</v>
      </c>
      <c r="S45" s="2">
        <f t="shared" si="18"/>
        <v>65</v>
      </c>
      <c r="T45" s="2">
        <f t="shared" si="19"/>
        <v>32.999999999999993</v>
      </c>
      <c r="U45" s="2">
        <f t="shared" si="20"/>
        <v>65</v>
      </c>
      <c r="V45" s="2">
        <f t="shared" si="21"/>
        <v>32.999999999999993</v>
      </c>
      <c r="W45" s="2">
        <f t="shared" si="22"/>
        <v>65</v>
      </c>
      <c r="X45" s="2">
        <f t="shared" si="23"/>
        <v>32.999999999999993</v>
      </c>
      <c r="Y45" s="2">
        <f t="shared" si="24"/>
        <v>65</v>
      </c>
      <c r="Z45" s="2">
        <f t="shared" si="25"/>
        <v>32.999999999999993</v>
      </c>
      <c r="AA45" s="2">
        <f t="shared" si="26"/>
        <v>65</v>
      </c>
      <c r="AB45" s="2">
        <f t="shared" si="27"/>
        <v>32.999999999999993</v>
      </c>
      <c r="AC45" s="2">
        <f t="shared" si="28"/>
        <v>65</v>
      </c>
      <c r="AD45" s="2">
        <f t="shared" si="29"/>
        <v>32.999999999999993</v>
      </c>
      <c r="AE45" s="2">
        <f t="shared" si="30"/>
        <v>65</v>
      </c>
      <c r="AF45" s="2">
        <f t="shared" si="31"/>
        <v>32.999999999999993</v>
      </c>
      <c r="AG45" s="2">
        <f t="shared" si="32"/>
        <v>65</v>
      </c>
      <c r="AH45" s="2">
        <f t="shared" si="33"/>
        <v>32.999999999999993</v>
      </c>
    </row>
    <row r="46" spans="1:34">
      <c r="A46" t="str">
        <f t="shared" si="43"/>
        <v>Lentils</v>
      </c>
      <c r="B46" t="str">
        <f t="shared" si="45"/>
        <v>Tigray</v>
      </c>
      <c r="C46" s="2">
        <f t="shared" ref="C46:D46" si="77">C146/0.2</f>
        <v>70</v>
      </c>
      <c r="D46" s="2">
        <f t="shared" si="77"/>
        <v>2.5</v>
      </c>
      <c r="E46" s="2">
        <f t="shared" si="4"/>
        <v>70</v>
      </c>
      <c r="F46" s="2">
        <f t="shared" si="5"/>
        <v>2.5</v>
      </c>
      <c r="G46" s="2">
        <f t="shared" si="6"/>
        <v>70</v>
      </c>
      <c r="H46" s="2">
        <f t="shared" si="7"/>
        <v>2.5</v>
      </c>
      <c r="I46" s="2">
        <f t="shared" si="8"/>
        <v>70</v>
      </c>
      <c r="J46" s="2">
        <f t="shared" si="9"/>
        <v>2.5</v>
      </c>
      <c r="K46" s="2">
        <f t="shared" si="10"/>
        <v>70</v>
      </c>
      <c r="L46" s="2">
        <f t="shared" si="11"/>
        <v>2.5</v>
      </c>
      <c r="M46" s="2">
        <f t="shared" si="12"/>
        <v>70</v>
      </c>
      <c r="N46" s="2">
        <f t="shared" si="13"/>
        <v>2.5</v>
      </c>
      <c r="O46" s="2">
        <f t="shared" si="14"/>
        <v>70</v>
      </c>
      <c r="P46" s="2">
        <f t="shared" si="15"/>
        <v>2.5</v>
      </c>
      <c r="Q46" s="2">
        <f t="shared" si="16"/>
        <v>70</v>
      </c>
      <c r="R46" s="2">
        <f t="shared" si="17"/>
        <v>2.5</v>
      </c>
      <c r="S46" s="2">
        <f t="shared" si="18"/>
        <v>70</v>
      </c>
      <c r="T46" s="2">
        <f t="shared" si="19"/>
        <v>2.5</v>
      </c>
      <c r="U46" s="2">
        <f t="shared" si="20"/>
        <v>70</v>
      </c>
      <c r="V46" s="2">
        <f t="shared" si="21"/>
        <v>2.5</v>
      </c>
      <c r="W46" s="2">
        <f t="shared" si="22"/>
        <v>70</v>
      </c>
      <c r="X46" s="2">
        <f t="shared" si="23"/>
        <v>2.5</v>
      </c>
      <c r="Y46" s="2">
        <f t="shared" si="24"/>
        <v>70</v>
      </c>
      <c r="Z46" s="2">
        <f t="shared" si="25"/>
        <v>2.5</v>
      </c>
      <c r="AA46" s="2">
        <f t="shared" si="26"/>
        <v>70</v>
      </c>
      <c r="AB46" s="2">
        <f t="shared" si="27"/>
        <v>2.5</v>
      </c>
      <c r="AC46" s="2">
        <f t="shared" si="28"/>
        <v>70</v>
      </c>
      <c r="AD46" s="2">
        <f t="shared" si="29"/>
        <v>2.5</v>
      </c>
      <c r="AE46" s="2">
        <f t="shared" si="30"/>
        <v>70</v>
      </c>
      <c r="AF46" s="2">
        <f t="shared" si="31"/>
        <v>2.5</v>
      </c>
      <c r="AG46" s="2">
        <f t="shared" si="32"/>
        <v>70</v>
      </c>
      <c r="AH46" s="2">
        <f t="shared" si="33"/>
        <v>2.5</v>
      </c>
    </row>
    <row r="47" spans="1:34">
      <c r="A47" t="str">
        <f t="shared" si="43"/>
        <v>Vegetables</v>
      </c>
      <c r="B47" t="str">
        <f t="shared" si="45"/>
        <v>AddisAbaba</v>
      </c>
      <c r="C47" s="2">
        <f t="shared" ref="C47:D47" si="78">C147/0.2</f>
        <v>0</v>
      </c>
      <c r="D47" s="2">
        <f t="shared" si="78"/>
        <v>0</v>
      </c>
      <c r="E47" s="2">
        <f t="shared" si="4"/>
        <v>0</v>
      </c>
      <c r="F47" s="2">
        <f t="shared" si="5"/>
        <v>0</v>
      </c>
      <c r="G47" s="2">
        <f t="shared" si="6"/>
        <v>0</v>
      </c>
      <c r="H47" s="2">
        <f t="shared" si="7"/>
        <v>0</v>
      </c>
      <c r="I47" s="2">
        <f t="shared" si="8"/>
        <v>0</v>
      </c>
      <c r="J47" s="2">
        <f t="shared" si="9"/>
        <v>0</v>
      </c>
      <c r="K47" s="2">
        <f t="shared" si="10"/>
        <v>0</v>
      </c>
      <c r="L47" s="2">
        <f t="shared" si="11"/>
        <v>0</v>
      </c>
      <c r="M47" s="2">
        <f t="shared" si="12"/>
        <v>0</v>
      </c>
      <c r="N47" s="2">
        <f t="shared" si="13"/>
        <v>0</v>
      </c>
      <c r="O47" s="2">
        <f t="shared" si="14"/>
        <v>0</v>
      </c>
      <c r="P47" s="2">
        <f t="shared" si="15"/>
        <v>0</v>
      </c>
      <c r="Q47" s="2">
        <f t="shared" si="16"/>
        <v>0</v>
      </c>
      <c r="R47" s="2">
        <f t="shared" si="17"/>
        <v>0</v>
      </c>
      <c r="S47" s="2">
        <f t="shared" si="18"/>
        <v>0</v>
      </c>
      <c r="T47" s="2">
        <f t="shared" si="19"/>
        <v>0</v>
      </c>
      <c r="U47" s="2">
        <f t="shared" si="20"/>
        <v>0</v>
      </c>
      <c r="V47" s="2">
        <f t="shared" si="21"/>
        <v>0</v>
      </c>
      <c r="W47" s="2">
        <f t="shared" si="22"/>
        <v>0</v>
      </c>
      <c r="X47" s="2">
        <f t="shared" si="23"/>
        <v>0</v>
      </c>
      <c r="Y47" s="2">
        <f t="shared" si="24"/>
        <v>0</v>
      </c>
      <c r="Z47" s="2">
        <f t="shared" si="25"/>
        <v>0</v>
      </c>
      <c r="AA47" s="2">
        <f t="shared" si="26"/>
        <v>0</v>
      </c>
      <c r="AB47" s="2">
        <f t="shared" si="27"/>
        <v>0</v>
      </c>
      <c r="AC47" s="2">
        <f t="shared" si="28"/>
        <v>0</v>
      </c>
      <c r="AD47" s="2">
        <f t="shared" si="29"/>
        <v>0</v>
      </c>
      <c r="AE47" s="2">
        <f t="shared" si="30"/>
        <v>0</v>
      </c>
      <c r="AF47" s="2">
        <f t="shared" si="31"/>
        <v>0</v>
      </c>
      <c r="AG47" s="2">
        <f t="shared" si="32"/>
        <v>0</v>
      </c>
      <c r="AH47" s="2">
        <f t="shared" si="33"/>
        <v>0</v>
      </c>
    </row>
    <row r="48" spans="1:34">
      <c r="A48" t="str">
        <f t="shared" si="43"/>
        <v>Vegetables</v>
      </c>
      <c r="B48" t="str">
        <f t="shared" si="45"/>
        <v>Afar</v>
      </c>
      <c r="C48" s="2">
        <f t="shared" ref="C48:D48" si="79">C148/0.2</f>
        <v>770</v>
      </c>
      <c r="D48" s="2">
        <f t="shared" si="79"/>
        <v>2.5</v>
      </c>
      <c r="E48" s="2">
        <f t="shared" si="4"/>
        <v>770</v>
      </c>
      <c r="F48" s="2">
        <f t="shared" si="5"/>
        <v>2.5</v>
      </c>
      <c r="G48" s="2">
        <f t="shared" si="6"/>
        <v>770</v>
      </c>
      <c r="H48" s="2">
        <f t="shared" si="7"/>
        <v>2.5</v>
      </c>
      <c r="I48" s="2">
        <f t="shared" si="8"/>
        <v>770</v>
      </c>
      <c r="J48" s="2">
        <f t="shared" si="9"/>
        <v>2.5</v>
      </c>
      <c r="K48" s="2">
        <f t="shared" si="10"/>
        <v>770</v>
      </c>
      <c r="L48" s="2">
        <f t="shared" si="11"/>
        <v>2.5</v>
      </c>
      <c r="M48" s="2">
        <f t="shared" si="12"/>
        <v>770</v>
      </c>
      <c r="N48" s="2">
        <f t="shared" si="13"/>
        <v>2.5</v>
      </c>
      <c r="O48" s="2">
        <f t="shared" si="14"/>
        <v>770</v>
      </c>
      <c r="P48" s="2">
        <f t="shared" si="15"/>
        <v>2.5</v>
      </c>
      <c r="Q48" s="2">
        <f t="shared" si="16"/>
        <v>770</v>
      </c>
      <c r="R48" s="2">
        <f t="shared" si="17"/>
        <v>2.5</v>
      </c>
      <c r="S48" s="2">
        <f t="shared" si="18"/>
        <v>770</v>
      </c>
      <c r="T48" s="2">
        <f t="shared" si="19"/>
        <v>2.5</v>
      </c>
      <c r="U48" s="2">
        <f t="shared" si="20"/>
        <v>770</v>
      </c>
      <c r="V48" s="2">
        <f t="shared" si="21"/>
        <v>2.5</v>
      </c>
      <c r="W48" s="2">
        <f t="shared" si="22"/>
        <v>770</v>
      </c>
      <c r="X48" s="2">
        <f t="shared" si="23"/>
        <v>2.5</v>
      </c>
      <c r="Y48" s="2">
        <f t="shared" si="24"/>
        <v>770</v>
      </c>
      <c r="Z48" s="2">
        <f t="shared" si="25"/>
        <v>2.5</v>
      </c>
      <c r="AA48" s="2">
        <f t="shared" si="26"/>
        <v>770</v>
      </c>
      <c r="AB48" s="2">
        <f t="shared" si="27"/>
        <v>2.5</v>
      </c>
      <c r="AC48" s="2">
        <f t="shared" si="28"/>
        <v>770</v>
      </c>
      <c r="AD48" s="2">
        <f t="shared" si="29"/>
        <v>2.5</v>
      </c>
      <c r="AE48" s="2">
        <f t="shared" si="30"/>
        <v>770</v>
      </c>
      <c r="AF48" s="2">
        <f t="shared" si="31"/>
        <v>2.5</v>
      </c>
      <c r="AG48" s="2">
        <f t="shared" si="32"/>
        <v>770</v>
      </c>
      <c r="AH48" s="2">
        <f t="shared" si="33"/>
        <v>2.5</v>
      </c>
    </row>
    <row r="49" spans="1:34">
      <c r="A49" t="str">
        <f t="shared" si="43"/>
        <v>Vegetables</v>
      </c>
      <c r="B49" t="str">
        <f t="shared" si="45"/>
        <v>Amhara</v>
      </c>
      <c r="C49" s="2">
        <f t="shared" ref="C49:D49" si="80">C149/0.2</f>
        <v>325</v>
      </c>
      <c r="D49" s="2">
        <f t="shared" si="80"/>
        <v>2.5</v>
      </c>
      <c r="E49" s="2">
        <f t="shared" si="4"/>
        <v>325</v>
      </c>
      <c r="F49" s="2">
        <f t="shared" si="5"/>
        <v>2.5</v>
      </c>
      <c r="G49" s="2">
        <f t="shared" si="6"/>
        <v>325</v>
      </c>
      <c r="H49" s="2">
        <f t="shared" si="7"/>
        <v>2.5</v>
      </c>
      <c r="I49" s="2">
        <f t="shared" si="8"/>
        <v>325</v>
      </c>
      <c r="J49" s="2">
        <f t="shared" si="9"/>
        <v>2.5</v>
      </c>
      <c r="K49" s="2">
        <f t="shared" si="10"/>
        <v>325</v>
      </c>
      <c r="L49" s="2">
        <f t="shared" si="11"/>
        <v>2.5</v>
      </c>
      <c r="M49" s="2">
        <f t="shared" si="12"/>
        <v>325</v>
      </c>
      <c r="N49" s="2">
        <f t="shared" si="13"/>
        <v>2.5</v>
      </c>
      <c r="O49" s="2">
        <f t="shared" si="14"/>
        <v>325</v>
      </c>
      <c r="P49" s="2">
        <f t="shared" si="15"/>
        <v>2.5</v>
      </c>
      <c r="Q49" s="2">
        <f t="shared" si="16"/>
        <v>325</v>
      </c>
      <c r="R49" s="2">
        <f t="shared" si="17"/>
        <v>2.5</v>
      </c>
      <c r="S49" s="2">
        <f t="shared" si="18"/>
        <v>325</v>
      </c>
      <c r="T49" s="2">
        <f t="shared" si="19"/>
        <v>2.5</v>
      </c>
      <c r="U49" s="2">
        <f t="shared" si="20"/>
        <v>325</v>
      </c>
      <c r="V49" s="2">
        <f t="shared" si="21"/>
        <v>2.5</v>
      </c>
      <c r="W49" s="2">
        <f t="shared" si="22"/>
        <v>325</v>
      </c>
      <c r="X49" s="2">
        <f t="shared" si="23"/>
        <v>2.5</v>
      </c>
      <c r="Y49" s="2">
        <f t="shared" si="24"/>
        <v>325</v>
      </c>
      <c r="Z49" s="2">
        <f t="shared" si="25"/>
        <v>2.5</v>
      </c>
      <c r="AA49" s="2">
        <f t="shared" si="26"/>
        <v>325</v>
      </c>
      <c r="AB49" s="2">
        <f t="shared" si="27"/>
        <v>2.5</v>
      </c>
      <c r="AC49" s="2">
        <f t="shared" si="28"/>
        <v>325</v>
      </c>
      <c r="AD49" s="2">
        <f t="shared" si="29"/>
        <v>2.5</v>
      </c>
      <c r="AE49" s="2">
        <f t="shared" si="30"/>
        <v>325</v>
      </c>
      <c r="AF49" s="2">
        <f t="shared" si="31"/>
        <v>2.5</v>
      </c>
      <c r="AG49" s="2">
        <f t="shared" si="32"/>
        <v>325</v>
      </c>
      <c r="AH49" s="2">
        <f t="shared" si="33"/>
        <v>2.5</v>
      </c>
    </row>
    <row r="50" spans="1:34">
      <c r="A50" t="str">
        <f t="shared" si="43"/>
        <v>Vegetables</v>
      </c>
      <c r="B50" t="str">
        <f t="shared" si="45"/>
        <v>Gumuz</v>
      </c>
      <c r="C50" s="2">
        <f t="shared" ref="C50:D50" si="81">C150/0.2</f>
        <v>340</v>
      </c>
      <c r="D50" s="2">
        <f t="shared" si="81"/>
        <v>2.5</v>
      </c>
      <c r="E50" s="2">
        <f t="shared" si="4"/>
        <v>340</v>
      </c>
      <c r="F50" s="2">
        <f t="shared" si="5"/>
        <v>2.5</v>
      </c>
      <c r="G50" s="2">
        <f t="shared" si="6"/>
        <v>340</v>
      </c>
      <c r="H50" s="2">
        <f t="shared" si="7"/>
        <v>2.5</v>
      </c>
      <c r="I50" s="2">
        <f t="shared" si="8"/>
        <v>340</v>
      </c>
      <c r="J50" s="2">
        <f t="shared" si="9"/>
        <v>2.5</v>
      </c>
      <c r="K50" s="2">
        <f t="shared" si="10"/>
        <v>340</v>
      </c>
      <c r="L50" s="2">
        <f t="shared" si="11"/>
        <v>2.5</v>
      </c>
      <c r="M50" s="2">
        <f t="shared" si="12"/>
        <v>340</v>
      </c>
      <c r="N50" s="2">
        <f t="shared" si="13"/>
        <v>2.5</v>
      </c>
      <c r="O50" s="2">
        <f t="shared" si="14"/>
        <v>340</v>
      </c>
      <c r="P50" s="2">
        <f t="shared" si="15"/>
        <v>2.5</v>
      </c>
      <c r="Q50" s="2">
        <f t="shared" si="16"/>
        <v>340</v>
      </c>
      <c r="R50" s="2">
        <f t="shared" si="17"/>
        <v>2.5</v>
      </c>
      <c r="S50" s="2">
        <f t="shared" si="18"/>
        <v>340</v>
      </c>
      <c r="T50" s="2">
        <f t="shared" si="19"/>
        <v>2.5</v>
      </c>
      <c r="U50" s="2">
        <f t="shared" si="20"/>
        <v>340</v>
      </c>
      <c r="V50" s="2">
        <f t="shared" si="21"/>
        <v>2.5</v>
      </c>
      <c r="W50" s="2">
        <f t="shared" si="22"/>
        <v>340</v>
      </c>
      <c r="X50" s="2">
        <f t="shared" si="23"/>
        <v>2.5</v>
      </c>
      <c r="Y50" s="2">
        <f t="shared" si="24"/>
        <v>340</v>
      </c>
      <c r="Z50" s="2">
        <f t="shared" si="25"/>
        <v>2.5</v>
      </c>
      <c r="AA50" s="2">
        <f t="shared" si="26"/>
        <v>340</v>
      </c>
      <c r="AB50" s="2">
        <f t="shared" si="27"/>
        <v>2.5</v>
      </c>
      <c r="AC50" s="2">
        <f t="shared" si="28"/>
        <v>340</v>
      </c>
      <c r="AD50" s="2">
        <f t="shared" si="29"/>
        <v>2.5</v>
      </c>
      <c r="AE50" s="2">
        <f t="shared" si="30"/>
        <v>340</v>
      </c>
      <c r="AF50" s="2">
        <f t="shared" si="31"/>
        <v>2.5</v>
      </c>
      <c r="AG50" s="2">
        <f t="shared" si="32"/>
        <v>340</v>
      </c>
      <c r="AH50" s="2">
        <f t="shared" si="33"/>
        <v>2.5</v>
      </c>
    </row>
    <row r="51" spans="1:34">
      <c r="A51" t="str">
        <f t="shared" si="43"/>
        <v>Vegetables</v>
      </c>
      <c r="B51" t="str">
        <f t="shared" si="45"/>
        <v>DireDawa</v>
      </c>
      <c r="C51" s="2">
        <f t="shared" ref="C51:D51" si="82">C151/0.2</f>
        <v>500</v>
      </c>
      <c r="D51" s="2">
        <f t="shared" si="82"/>
        <v>2.5</v>
      </c>
      <c r="E51" s="2">
        <f t="shared" si="4"/>
        <v>500</v>
      </c>
      <c r="F51" s="2">
        <f t="shared" si="5"/>
        <v>2.5</v>
      </c>
      <c r="G51" s="2">
        <f t="shared" si="6"/>
        <v>500</v>
      </c>
      <c r="H51" s="2">
        <f t="shared" si="7"/>
        <v>2.5</v>
      </c>
      <c r="I51" s="2">
        <f t="shared" si="8"/>
        <v>500</v>
      </c>
      <c r="J51" s="2">
        <f t="shared" si="9"/>
        <v>2.5</v>
      </c>
      <c r="K51" s="2">
        <f t="shared" si="10"/>
        <v>500</v>
      </c>
      <c r="L51" s="2">
        <f t="shared" si="11"/>
        <v>2.5</v>
      </c>
      <c r="M51" s="2">
        <f t="shared" si="12"/>
        <v>500</v>
      </c>
      <c r="N51" s="2">
        <f t="shared" si="13"/>
        <v>2.5</v>
      </c>
      <c r="O51" s="2">
        <f t="shared" si="14"/>
        <v>500</v>
      </c>
      <c r="P51" s="2">
        <f t="shared" si="15"/>
        <v>2.5</v>
      </c>
      <c r="Q51" s="2">
        <f t="shared" si="16"/>
        <v>500</v>
      </c>
      <c r="R51" s="2">
        <f t="shared" si="17"/>
        <v>2.5</v>
      </c>
      <c r="S51" s="2">
        <f t="shared" si="18"/>
        <v>500</v>
      </c>
      <c r="T51" s="2">
        <f t="shared" si="19"/>
        <v>2.5</v>
      </c>
      <c r="U51" s="2">
        <f t="shared" si="20"/>
        <v>500</v>
      </c>
      <c r="V51" s="2">
        <f t="shared" si="21"/>
        <v>2.5</v>
      </c>
      <c r="W51" s="2">
        <f t="shared" si="22"/>
        <v>500</v>
      </c>
      <c r="X51" s="2">
        <f t="shared" si="23"/>
        <v>2.5</v>
      </c>
      <c r="Y51" s="2">
        <f t="shared" si="24"/>
        <v>500</v>
      </c>
      <c r="Z51" s="2">
        <f t="shared" si="25"/>
        <v>2.5</v>
      </c>
      <c r="AA51" s="2">
        <f t="shared" si="26"/>
        <v>500</v>
      </c>
      <c r="AB51" s="2">
        <f t="shared" si="27"/>
        <v>2.5</v>
      </c>
      <c r="AC51" s="2">
        <f t="shared" si="28"/>
        <v>500</v>
      </c>
      <c r="AD51" s="2">
        <f t="shared" si="29"/>
        <v>2.5</v>
      </c>
      <c r="AE51" s="2">
        <f t="shared" si="30"/>
        <v>500</v>
      </c>
      <c r="AF51" s="2">
        <f t="shared" si="31"/>
        <v>2.5</v>
      </c>
      <c r="AG51" s="2">
        <f t="shared" si="32"/>
        <v>500</v>
      </c>
      <c r="AH51" s="2">
        <f t="shared" si="33"/>
        <v>2.5</v>
      </c>
    </row>
    <row r="52" spans="1:34">
      <c r="A52" t="str">
        <f t="shared" si="43"/>
        <v>Vegetables</v>
      </c>
      <c r="B52" t="str">
        <f t="shared" si="45"/>
        <v>Gambela</v>
      </c>
      <c r="C52" s="2">
        <f t="shared" ref="C52:D52" si="83">C152/0.2</f>
        <v>410</v>
      </c>
      <c r="D52" s="2">
        <f t="shared" si="83"/>
        <v>0</v>
      </c>
      <c r="E52" s="2">
        <f t="shared" si="4"/>
        <v>410</v>
      </c>
      <c r="F52" s="2">
        <f t="shared" si="5"/>
        <v>0</v>
      </c>
      <c r="G52" s="2">
        <f t="shared" si="6"/>
        <v>410</v>
      </c>
      <c r="H52" s="2">
        <f t="shared" si="7"/>
        <v>0</v>
      </c>
      <c r="I52" s="2">
        <f t="shared" si="8"/>
        <v>410</v>
      </c>
      <c r="J52" s="2">
        <f t="shared" si="9"/>
        <v>0</v>
      </c>
      <c r="K52" s="2">
        <f t="shared" si="10"/>
        <v>410</v>
      </c>
      <c r="L52" s="2">
        <f t="shared" si="11"/>
        <v>0</v>
      </c>
      <c r="M52" s="2">
        <f t="shared" si="12"/>
        <v>410</v>
      </c>
      <c r="N52" s="2">
        <f t="shared" si="13"/>
        <v>0</v>
      </c>
      <c r="O52" s="2">
        <f t="shared" si="14"/>
        <v>410</v>
      </c>
      <c r="P52" s="2">
        <f t="shared" si="15"/>
        <v>0</v>
      </c>
      <c r="Q52" s="2">
        <f t="shared" si="16"/>
        <v>410</v>
      </c>
      <c r="R52" s="2">
        <f t="shared" si="17"/>
        <v>0</v>
      </c>
      <c r="S52" s="2">
        <f t="shared" si="18"/>
        <v>410</v>
      </c>
      <c r="T52" s="2">
        <f t="shared" si="19"/>
        <v>0</v>
      </c>
      <c r="U52" s="2">
        <f t="shared" si="20"/>
        <v>410</v>
      </c>
      <c r="V52" s="2">
        <f t="shared" si="21"/>
        <v>0</v>
      </c>
      <c r="W52" s="2">
        <f t="shared" si="22"/>
        <v>410</v>
      </c>
      <c r="X52" s="2">
        <f t="shared" si="23"/>
        <v>0</v>
      </c>
      <c r="Y52" s="2">
        <f t="shared" si="24"/>
        <v>410</v>
      </c>
      <c r="Z52" s="2">
        <f t="shared" si="25"/>
        <v>0</v>
      </c>
      <c r="AA52" s="2">
        <f t="shared" si="26"/>
        <v>410</v>
      </c>
      <c r="AB52" s="2">
        <f t="shared" si="27"/>
        <v>0</v>
      </c>
      <c r="AC52" s="2">
        <f t="shared" si="28"/>
        <v>410</v>
      </c>
      <c r="AD52" s="2">
        <f t="shared" si="29"/>
        <v>0</v>
      </c>
      <c r="AE52" s="2">
        <f t="shared" si="30"/>
        <v>410</v>
      </c>
      <c r="AF52" s="2">
        <f t="shared" si="31"/>
        <v>0</v>
      </c>
      <c r="AG52" s="2">
        <f t="shared" si="32"/>
        <v>410</v>
      </c>
      <c r="AH52" s="2">
        <f t="shared" si="33"/>
        <v>0</v>
      </c>
    </row>
    <row r="53" spans="1:34">
      <c r="A53" t="str">
        <f t="shared" si="43"/>
        <v>Vegetables</v>
      </c>
      <c r="B53" t="str">
        <f t="shared" si="45"/>
        <v>Harari</v>
      </c>
      <c r="C53" s="2">
        <f t="shared" ref="C53:D53" si="84">C153/0.2</f>
        <v>410</v>
      </c>
      <c r="D53" s="2">
        <f t="shared" si="84"/>
        <v>2.5</v>
      </c>
      <c r="E53" s="2">
        <f t="shared" si="4"/>
        <v>410</v>
      </c>
      <c r="F53" s="2">
        <f t="shared" si="5"/>
        <v>2.5</v>
      </c>
      <c r="G53" s="2">
        <f t="shared" si="6"/>
        <v>410</v>
      </c>
      <c r="H53" s="2">
        <f t="shared" si="7"/>
        <v>2.5</v>
      </c>
      <c r="I53" s="2">
        <f t="shared" si="8"/>
        <v>410</v>
      </c>
      <c r="J53" s="2">
        <f t="shared" si="9"/>
        <v>2.5</v>
      </c>
      <c r="K53" s="2">
        <f t="shared" si="10"/>
        <v>410</v>
      </c>
      <c r="L53" s="2">
        <f t="shared" si="11"/>
        <v>2.5</v>
      </c>
      <c r="M53" s="2">
        <f t="shared" si="12"/>
        <v>410</v>
      </c>
      <c r="N53" s="2">
        <f t="shared" si="13"/>
        <v>2.5</v>
      </c>
      <c r="O53" s="2">
        <f t="shared" si="14"/>
        <v>410</v>
      </c>
      <c r="P53" s="2">
        <f t="shared" si="15"/>
        <v>2.5</v>
      </c>
      <c r="Q53" s="2">
        <f t="shared" si="16"/>
        <v>410</v>
      </c>
      <c r="R53" s="2">
        <f t="shared" si="17"/>
        <v>2.5</v>
      </c>
      <c r="S53" s="2">
        <f t="shared" si="18"/>
        <v>410</v>
      </c>
      <c r="T53" s="2">
        <f t="shared" si="19"/>
        <v>2.5</v>
      </c>
      <c r="U53" s="2">
        <f t="shared" si="20"/>
        <v>410</v>
      </c>
      <c r="V53" s="2">
        <f t="shared" si="21"/>
        <v>2.5</v>
      </c>
      <c r="W53" s="2">
        <f t="shared" si="22"/>
        <v>410</v>
      </c>
      <c r="X53" s="2">
        <f t="shared" si="23"/>
        <v>2.5</v>
      </c>
      <c r="Y53" s="2">
        <f t="shared" si="24"/>
        <v>410</v>
      </c>
      <c r="Z53" s="2">
        <f t="shared" si="25"/>
        <v>2.5</v>
      </c>
      <c r="AA53" s="2">
        <f t="shared" si="26"/>
        <v>410</v>
      </c>
      <c r="AB53" s="2">
        <f t="shared" si="27"/>
        <v>2.5</v>
      </c>
      <c r="AC53" s="2">
        <f t="shared" si="28"/>
        <v>410</v>
      </c>
      <c r="AD53" s="2">
        <f t="shared" si="29"/>
        <v>2.5</v>
      </c>
      <c r="AE53" s="2">
        <f t="shared" si="30"/>
        <v>410</v>
      </c>
      <c r="AF53" s="2">
        <f t="shared" si="31"/>
        <v>2.5</v>
      </c>
      <c r="AG53" s="2">
        <f t="shared" si="32"/>
        <v>410</v>
      </c>
      <c r="AH53" s="2">
        <f t="shared" si="33"/>
        <v>2.5</v>
      </c>
    </row>
    <row r="54" spans="1:34">
      <c r="A54" t="str">
        <f t="shared" si="43"/>
        <v>Vegetables</v>
      </c>
      <c r="B54" t="str">
        <f t="shared" si="45"/>
        <v>Oromia</v>
      </c>
      <c r="C54" s="2">
        <f t="shared" ref="C54:D54" si="85">C154/0.2</f>
        <v>325</v>
      </c>
      <c r="D54" s="2">
        <f t="shared" si="85"/>
        <v>2.5</v>
      </c>
      <c r="E54" s="2">
        <f t="shared" si="4"/>
        <v>325</v>
      </c>
      <c r="F54" s="2">
        <f t="shared" si="5"/>
        <v>2.5</v>
      </c>
      <c r="G54" s="2">
        <f t="shared" si="6"/>
        <v>325</v>
      </c>
      <c r="H54" s="2">
        <f t="shared" si="7"/>
        <v>2.5</v>
      </c>
      <c r="I54" s="2">
        <f t="shared" si="8"/>
        <v>325</v>
      </c>
      <c r="J54" s="2">
        <f t="shared" si="9"/>
        <v>2.5</v>
      </c>
      <c r="K54" s="2">
        <f t="shared" si="10"/>
        <v>325</v>
      </c>
      <c r="L54" s="2">
        <f t="shared" si="11"/>
        <v>2.5</v>
      </c>
      <c r="M54" s="2">
        <f t="shared" si="12"/>
        <v>325</v>
      </c>
      <c r="N54" s="2">
        <f t="shared" si="13"/>
        <v>2.5</v>
      </c>
      <c r="O54" s="2">
        <f t="shared" si="14"/>
        <v>325</v>
      </c>
      <c r="P54" s="2">
        <f t="shared" si="15"/>
        <v>2.5</v>
      </c>
      <c r="Q54" s="2">
        <f t="shared" si="16"/>
        <v>325</v>
      </c>
      <c r="R54" s="2">
        <f t="shared" si="17"/>
        <v>2.5</v>
      </c>
      <c r="S54" s="2">
        <f t="shared" si="18"/>
        <v>325</v>
      </c>
      <c r="T54" s="2">
        <f t="shared" si="19"/>
        <v>2.5</v>
      </c>
      <c r="U54" s="2">
        <f t="shared" si="20"/>
        <v>325</v>
      </c>
      <c r="V54" s="2">
        <f t="shared" si="21"/>
        <v>2.5</v>
      </c>
      <c r="W54" s="2">
        <f t="shared" si="22"/>
        <v>325</v>
      </c>
      <c r="X54" s="2">
        <f t="shared" si="23"/>
        <v>2.5</v>
      </c>
      <c r="Y54" s="2">
        <f t="shared" si="24"/>
        <v>325</v>
      </c>
      <c r="Z54" s="2">
        <f t="shared" si="25"/>
        <v>2.5</v>
      </c>
      <c r="AA54" s="2">
        <f t="shared" si="26"/>
        <v>325</v>
      </c>
      <c r="AB54" s="2">
        <f t="shared" si="27"/>
        <v>2.5</v>
      </c>
      <c r="AC54" s="2">
        <f t="shared" si="28"/>
        <v>325</v>
      </c>
      <c r="AD54" s="2">
        <f t="shared" si="29"/>
        <v>2.5</v>
      </c>
      <c r="AE54" s="2">
        <f t="shared" si="30"/>
        <v>325</v>
      </c>
      <c r="AF54" s="2">
        <f t="shared" si="31"/>
        <v>2.5</v>
      </c>
      <c r="AG54" s="2">
        <f t="shared" si="32"/>
        <v>325</v>
      </c>
      <c r="AH54" s="2">
        <f t="shared" si="33"/>
        <v>2.5</v>
      </c>
    </row>
    <row r="55" spans="1:34">
      <c r="A55" t="str">
        <f t="shared" si="43"/>
        <v>Vegetables</v>
      </c>
      <c r="B55" t="str">
        <f t="shared" si="45"/>
        <v>Somali</v>
      </c>
      <c r="C55" s="2">
        <f t="shared" ref="C55:D55" si="86">C155/0.2</f>
        <v>0</v>
      </c>
      <c r="D55" s="2">
        <f t="shared" si="86"/>
        <v>2.5</v>
      </c>
      <c r="E55" s="2">
        <f t="shared" si="4"/>
        <v>0</v>
      </c>
      <c r="F55" s="2">
        <f t="shared" si="5"/>
        <v>2.5</v>
      </c>
      <c r="G55" s="2">
        <f t="shared" si="6"/>
        <v>0</v>
      </c>
      <c r="H55" s="2">
        <f t="shared" si="7"/>
        <v>2.5</v>
      </c>
      <c r="I55" s="2">
        <f t="shared" si="8"/>
        <v>0</v>
      </c>
      <c r="J55" s="2">
        <f t="shared" si="9"/>
        <v>2.5</v>
      </c>
      <c r="K55" s="2">
        <f t="shared" si="10"/>
        <v>0</v>
      </c>
      <c r="L55" s="2">
        <f t="shared" si="11"/>
        <v>2.5</v>
      </c>
      <c r="M55" s="2">
        <f t="shared" si="12"/>
        <v>0</v>
      </c>
      <c r="N55" s="2">
        <f t="shared" si="13"/>
        <v>2.5</v>
      </c>
      <c r="O55" s="2">
        <f t="shared" si="14"/>
        <v>0</v>
      </c>
      <c r="P55" s="2">
        <f t="shared" si="15"/>
        <v>2.5</v>
      </c>
      <c r="Q55" s="2">
        <f t="shared" si="16"/>
        <v>0</v>
      </c>
      <c r="R55" s="2">
        <f t="shared" si="17"/>
        <v>2.5</v>
      </c>
      <c r="S55" s="2">
        <f t="shared" si="18"/>
        <v>0</v>
      </c>
      <c r="T55" s="2">
        <f t="shared" si="19"/>
        <v>2.5</v>
      </c>
      <c r="U55" s="2">
        <f t="shared" si="20"/>
        <v>0</v>
      </c>
      <c r="V55" s="2">
        <f t="shared" si="21"/>
        <v>2.5</v>
      </c>
      <c r="W55" s="2">
        <f t="shared" si="22"/>
        <v>0</v>
      </c>
      <c r="X55" s="2">
        <f t="shared" si="23"/>
        <v>2.5</v>
      </c>
      <c r="Y55" s="2">
        <f t="shared" si="24"/>
        <v>0</v>
      </c>
      <c r="Z55" s="2">
        <f t="shared" si="25"/>
        <v>2.5</v>
      </c>
      <c r="AA55" s="2">
        <f t="shared" si="26"/>
        <v>0</v>
      </c>
      <c r="AB55" s="2">
        <f t="shared" si="27"/>
        <v>2.5</v>
      </c>
      <c r="AC55" s="2">
        <f t="shared" si="28"/>
        <v>0</v>
      </c>
      <c r="AD55" s="2">
        <f t="shared" si="29"/>
        <v>2.5</v>
      </c>
      <c r="AE55" s="2">
        <f t="shared" si="30"/>
        <v>0</v>
      </c>
      <c r="AF55" s="2">
        <f t="shared" si="31"/>
        <v>2.5</v>
      </c>
      <c r="AG55" s="2">
        <f t="shared" si="32"/>
        <v>0</v>
      </c>
      <c r="AH55" s="2">
        <f t="shared" si="33"/>
        <v>2.5</v>
      </c>
    </row>
    <row r="56" spans="1:34">
      <c r="A56" t="str">
        <f t="shared" si="43"/>
        <v>Vegetables</v>
      </c>
      <c r="B56" t="str">
        <f t="shared" si="45"/>
        <v>SNNPR</v>
      </c>
      <c r="C56" s="2">
        <f t="shared" ref="C56:D56" si="87">C156/0.2</f>
        <v>455</v>
      </c>
      <c r="D56" s="2">
        <f t="shared" si="87"/>
        <v>2.5</v>
      </c>
      <c r="E56" s="2">
        <f t="shared" si="4"/>
        <v>455</v>
      </c>
      <c r="F56" s="2">
        <f t="shared" si="5"/>
        <v>2.5</v>
      </c>
      <c r="G56" s="2">
        <f t="shared" si="6"/>
        <v>455</v>
      </c>
      <c r="H56" s="2">
        <f t="shared" si="7"/>
        <v>2.5</v>
      </c>
      <c r="I56" s="2">
        <f t="shared" si="8"/>
        <v>455</v>
      </c>
      <c r="J56" s="2">
        <f t="shared" si="9"/>
        <v>2.5</v>
      </c>
      <c r="K56" s="2">
        <f t="shared" si="10"/>
        <v>455</v>
      </c>
      <c r="L56" s="2">
        <f t="shared" si="11"/>
        <v>2.5</v>
      </c>
      <c r="M56" s="2">
        <f t="shared" si="12"/>
        <v>455</v>
      </c>
      <c r="N56" s="2">
        <f t="shared" si="13"/>
        <v>2.5</v>
      </c>
      <c r="O56" s="2">
        <f t="shared" si="14"/>
        <v>455</v>
      </c>
      <c r="P56" s="2">
        <f t="shared" si="15"/>
        <v>2.5</v>
      </c>
      <c r="Q56" s="2">
        <f t="shared" si="16"/>
        <v>455</v>
      </c>
      <c r="R56" s="2">
        <f t="shared" si="17"/>
        <v>2.5</v>
      </c>
      <c r="S56" s="2">
        <f t="shared" si="18"/>
        <v>455</v>
      </c>
      <c r="T56" s="2">
        <f t="shared" si="19"/>
        <v>2.5</v>
      </c>
      <c r="U56" s="2">
        <f t="shared" si="20"/>
        <v>455</v>
      </c>
      <c r="V56" s="2">
        <f t="shared" si="21"/>
        <v>2.5</v>
      </c>
      <c r="W56" s="2">
        <f t="shared" si="22"/>
        <v>455</v>
      </c>
      <c r="X56" s="2">
        <f t="shared" si="23"/>
        <v>2.5</v>
      </c>
      <c r="Y56" s="2">
        <f t="shared" si="24"/>
        <v>455</v>
      </c>
      <c r="Z56" s="2">
        <f t="shared" si="25"/>
        <v>2.5</v>
      </c>
      <c r="AA56" s="2">
        <f t="shared" si="26"/>
        <v>455</v>
      </c>
      <c r="AB56" s="2">
        <f t="shared" si="27"/>
        <v>2.5</v>
      </c>
      <c r="AC56" s="2">
        <f t="shared" si="28"/>
        <v>455</v>
      </c>
      <c r="AD56" s="2">
        <f t="shared" si="29"/>
        <v>2.5</v>
      </c>
      <c r="AE56" s="2">
        <f t="shared" si="30"/>
        <v>455</v>
      </c>
      <c r="AF56" s="2">
        <f t="shared" si="31"/>
        <v>2.5</v>
      </c>
      <c r="AG56" s="2">
        <f t="shared" si="32"/>
        <v>455</v>
      </c>
      <c r="AH56" s="2">
        <f t="shared" si="33"/>
        <v>2.5</v>
      </c>
    </row>
    <row r="57" spans="1:34">
      <c r="A57" t="str">
        <f t="shared" si="43"/>
        <v>Vegetables</v>
      </c>
      <c r="B57" t="str">
        <f t="shared" si="45"/>
        <v>Tigray</v>
      </c>
      <c r="C57" s="2">
        <f t="shared" ref="C57:D57" si="88">C157/0.2</f>
        <v>450</v>
      </c>
      <c r="D57" s="2">
        <f t="shared" si="88"/>
        <v>2.5</v>
      </c>
      <c r="E57" s="2">
        <f t="shared" si="4"/>
        <v>450</v>
      </c>
      <c r="F57" s="2">
        <f t="shared" si="5"/>
        <v>2.5</v>
      </c>
      <c r="G57" s="2">
        <f t="shared" si="6"/>
        <v>450</v>
      </c>
      <c r="H57" s="2">
        <f t="shared" si="7"/>
        <v>2.5</v>
      </c>
      <c r="I57" s="2">
        <f t="shared" si="8"/>
        <v>450</v>
      </c>
      <c r="J57" s="2">
        <f t="shared" si="9"/>
        <v>2.5</v>
      </c>
      <c r="K57" s="2">
        <f t="shared" si="10"/>
        <v>450</v>
      </c>
      <c r="L57" s="2">
        <f t="shared" si="11"/>
        <v>2.5</v>
      </c>
      <c r="M57" s="2">
        <f t="shared" si="12"/>
        <v>450</v>
      </c>
      <c r="N57" s="2">
        <f t="shared" si="13"/>
        <v>2.5</v>
      </c>
      <c r="O57" s="2">
        <f t="shared" si="14"/>
        <v>450</v>
      </c>
      <c r="P57" s="2">
        <f t="shared" si="15"/>
        <v>2.5</v>
      </c>
      <c r="Q57" s="2">
        <f t="shared" si="16"/>
        <v>450</v>
      </c>
      <c r="R57" s="2">
        <f t="shared" si="17"/>
        <v>2.5</v>
      </c>
      <c r="S57" s="2">
        <f t="shared" si="18"/>
        <v>450</v>
      </c>
      <c r="T57" s="2">
        <f t="shared" si="19"/>
        <v>2.5</v>
      </c>
      <c r="U57" s="2">
        <f t="shared" si="20"/>
        <v>450</v>
      </c>
      <c r="V57" s="2">
        <f t="shared" si="21"/>
        <v>2.5</v>
      </c>
      <c r="W57" s="2">
        <f t="shared" si="22"/>
        <v>450</v>
      </c>
      <c r="X57" s="2">
        <f t="shared" si="23"/>
        <v>2.5</v>
      </c>
      <c r="Y57" s="2">
        <f t="shared" si="24"/>
        <v>450</v>
      </c>
      <c r="Z57" s="2">
        <f t="shared" si="25"/>
        <v>2.5</v>
      </c>
      <c r="AA57" s="2">
        <f t="shared" si="26"/>
        <v>450</v>
      </c>
      <c r="AB57" s="2">
        <f t="shared" si="27"/>
        <v>2.5</v>
      </c>
      <c r="AC57" s="2">
        <f t="shared" si="28"/>
        <v>450</v>
      </c>
      <c r="AD57" s="2">
        <f t="shared" si="29"/>
        <v>2.5</v>
      </c>
      <c r="AE57" s="2">
        <f t="shared" si="30"/>
        <v>450</v>
      </c>
      <c r="AF57" s="2">
        <f t="shared" si="31"/>
        <v>2.5</v>
      </c>
      <c r="AG57" s="2">
        <f t="shared" si="32"/>
        <v>450</v>
      </c>
      <c r="AH57" s="2">
        <f t="shared" si="33"/>
        <v>2.5</v>
      </c>
    </row>
    <row r="58" spans="1:34">
      <c r="A58" t="str">
        <f t="shared" si="43"/>
        <v>Coffee</v>
      </c>
      <c r="B58" t="str">
        <f t="shared" si="45"/>
        <v>AddisAbaba</v>
      </c>
      <c r="C58" s="2">
        <f t="shared" ref="C58:D58" si="89">C158/0.2</f>
        <v>0</v>
      </c>
      <c r="D58" s="2">
        <f t="shared" si="89"/>
        <v>0</v>
      </c>
      <c r="E58" s="2">
        <f t="shared" si="4"/>
        <v>0</v>
      </c>
      <c r="F58" s="2">
        <f t="shared" si="5"/>
        <v>0</v>
      </c>
      <c r="G58" s="2">
        <f t="shared" si="6"/>
        <v>0</v>
      </c>
      <c r="H58" s="2">
        <f t="shared" si="7"/>
        <v>0</v>
      </c>
      <c r="I58" s="2">
        <f t="shared" si="8"/>
        <v>0</v>
      </c>
      <c r="J58" s="2">
        <f t="shared" si="9"/>
        <v>0</v>
      </c>
      <c r="K58" s="2">
        <f t="shared" si="10"/>
        <v>0</v>
      </c>
      <c r="L58" s="2">
        <f t="shared" si="11"/>
        <v>0</v>
      </c>
      <c r="M58" s="2">
        <f t="shared" si="12"/>
        <v>0</v>
      </c>
      <c r="N58" s="2">
        <f t="shared" si="13"/>
        <v>0</v>
      </c>
      <c r="O58" s="2">
        <f t="shared" si="14"/>
        <v>0</v>
      </c>
      <c r="P58" s="2">
        <f t="shared" si="15"/>
        <v>0</v>
      </c>
      <c r="Q58" s="2">
        <f t="shared" si="16"/>
        <v>0</v>
      </c>
      <c r="R58" s="2">
        <f t="shared" si="17"/>
        <v>0</v>
      </c>
      <c r="S58" s="2">
        <f t="shared" si="18"/>
        <v>0</v>
      </c>
      <c r="T58" s="2">
        <f t="shared" si="19"/>
        <v>0</v>
      </c>
      <c r="U58" s="2">
        <f t="shared" si="20"/>
        <v>0</v>
      </c>
      <c r="V58" s="2">
        <f t="shared" si="21"/>
        <v>0</v>
      </c>
      <c r="W58" s="2">
        <f t="shared" si="22"/>
        <v>0</v>
      </c>
      <c r="X58" s="2">
        <f t="shared" si="23"/>
        <v>0</v>
      </c>
      <c r="Y58" s="2">
        <f t="shared" si="24"/>
        <v>0</v>
      </c>
      <c r="Z58" s="2">
        <f t="shared" si="25"/>
        <v>0</v>
      </c>
      <c r="AA58" s="2">
        <f t="shared" si="26"/>
        <v>0</v>
      </c>
      <c r="AB58" s="2">
        <f t="shared" si="27"/>
        <v>0</v>
      </c>
      <c r="AC58" s="2">
        <f t="shared" si="28"/>
        <v>0</v>
      </c>
      <c r="AD58" s="2">
        <f t="shared" si="29"/>
        <v>0</v>
      </c>
      <c r="AE58" s="2">
        <f t="shared" si="30"/>
        <v>0</v>
      </c>
      <c r="AF58" s="2">
        <f t="shared" si="31"/>
        <v>0</v>
      </c>
      <c r="AG58" s="2">
        <f t="shared" si="32"/>
        <v>0</v>
      </c>
      <c r="AH58" s="2">
        <f t="shared" si="33"/>
        <v>0</v>
      </c>
    </row>
    <row r="59" spans="1:34">
      <c r="A59" t="str">
        <f t="shared" si="43"/>
        <v>Coffee</v>
      </c>
      <c r="B59" t="str">
        <f t="shared" si="45"/>
        <v>Afar</v>
      </c>
      <c r="C59" s="2">
        <f t="shared" ref="C59:D59" si="90">C159/0.2</f>
        <v>0</v>
      </c>
      <c r="D59" s="2">
        <f t="shared" si="90"/>
        <v>2.5</v>
      </c>
      <c r="E59" s="2">
        <f t="shared" si="4"/>
        <v>0</v>
      </c>
      <c r="F59" s="2">
        <f t="shared" si="5"/>
        <v>2.5</v>
      </c>
      <c r="G59" s="2">
        <f t="shared" si="6"/>
        <v>0</v>
      </c>
      <c r="H59" s="2">
        <f t="shared" si="7"/>
        <v>2.5</v>
      </c>
      <c r="I59" s="2">
        <f t="shared" si="8"/>
        <v>0</v>
      </c>
      <c r="J59" s="2">
        <f t="shared" si="9"/>
        <v>2.5</v>
      </c>
      <c r="K59" s="2">
        <f t="shared" si="10"/>
        <v>0</v>
      </c>
      <c r="L59" s="2">
        <f t="shared" si="11"/>
        <v>2.5</v>
      </c>
      <c r="M59" s="2">
        <f t="shared" si="12"/>
        <v>0</v>
      </c>
      <c r="N59" s="2">
        <f t="shared" si="13"/>
        <v>2.5</v>
      </c>
      <c r="O59" s="2">
        <f t="shared" si="14"/>
        <v>0</v>
      </c>
      <c r="P59" s="2">
        <f t="shared" si="15"/>
        <v>2.5</v>
      </c>
      <c r="Q59" s="2">
        <f t="shared" si="16"/>
        <v>0</v>
      </c>
      <c r="R59" s="2">
        <f t="shared" si="17"/>
        <v>2.5</v>
      </c>
      <c r="S59" s="2">
        <f t="shared" si="18"/>
        <v>0</v>
      </c>
      <c r="T59" s="2">
        <f t="shared" si="19"/>
        <v>2.5</v>
      </c>
      <c r="U59" s="2">
        <f t="shared" si="20"/>
        <v>0</v>
      </c>
      <c r="V59" s="2">
        <f t="shared" si="21"/>
        <v>2.5</v>
      </c>
      <c r="W59" s="2">
        <f t="shared" si="22"/>
        <v>0</v>
      </c>
      <c r="X59" s="2">
        <f t="shared" si="23"/>
        <v>2.5</v>
      </c>
      <c r="Y59" s="2">
        <f t="shared" si="24"/>
        <v>0</v>
      </c>
      <c r="Z59" s="2">
        <f t="shared" si="25"/>
        <v>2.5</v>
      </c>
      <c r="AA59" s="2">
        <f t="shared" si="26"/>
        <v>0</v>
      </c>
      <c r="AB59" s="2">
        <f t="shared" si="27"/>
        <v>2.5</v>
      </c>
      <c r="AC59" s="2">
        <f t="shared" si="28"/>
        <v>0</v>
      </c>
      <c r="AD59" s="2">
        <f t="shared" si="29"/>
        <v>2.5</v>
      </c>
      <c r="AE59" s="2">
        <f t="shared" si="30"/>
        <v>0</v>
      </c>
      <c r="AF59" s="2">
        <f t="shared" si="31"/>
        <v>2.5</v>
      </c>
      <c r="AG59" s="2">
        <f t="shared" si="32"/>
        <v>0</v>
      </c>
      <c r="AH59" s="2">
        <f t="shared" si="33"/>
        <v>2.5</v>
      </c>
    </row>
    <row r="60" spans="1:34">
      <c r="A60" t="str">
        <f t="shared" si="43"/>
        <v>Coffee</v>
      </c>
      <c r="B60" t="str">
        <f t="shared" si="45"/>
        <v>Amhara</v>
      </c>
      <c r="C60" s="2">
        <f t="shared" ref="C60:D60" si="91">C160/0.2</f>
        <v>35</v>
      </c>
      <c r="D60" s="2">
        <f t="shared" si="91"/>
        <v>2.5</v>
      </c>
      <c r="E60" s="2">
        <f t="shared" si="4"/>
        <v>35</v>
      </c>
      <c r="F60" s="2">
        <f t="shared" si="5"/>
        <v>2.5</v>
      </c>
      <c r="G60" s="2">
        <f t="shared" si="6"/>
        <v>35</v>
      </c>
      <c r="H60" s="2">
        <f t="shared" si="7"/>
        <v>2.5</v>
      </c>
      <c r="I60" s="2">
        <f t="shared" si="8"/>
        <v>35</v>
      </c>
      <c r="J60" s="2">
        <f t="shared" si="9"/>
        <v>2.5</v>
      </c>
      <c r="K60" s="2">
        <f t="shared" si="10"/>
        <v>35</v>
      </c>
      <c r="L60" s="2">
        <f t="shared" si="11"/>
        <v>2.5</v>
      </c>
      <c r="M60" s="2">
        <f t="shared" si="12"/>
        <v>35</v>
      </c>
      <c r="N60" s="2">
        <f t="shared" si="13"/>
        <v>2.5</v>
      </c>
      <c r="O60" s="2">
        <f t="shared" si="14"/>
        <v>35</v>
      </c>
      <c r="P60" s="2">
        <f t="shared" si="15"/>
        <v>2.5</v>
      </c>
      <c r="Q60" s="2">
        <f t="shared" si="16"/>
        <v>35</v>
      </c>
      <c r="R60" s="2">
        <f t="shared" si="17"/>
        <v>2.5</v>
      </c>
      <c r="S60" s="2">
        <f t="shared" si="18"/>
        <v>35</v>
      </c>
      <c r="T60" s="2">
        <f t="shared" si="19"/>
        <v>2.5</v>
      </c>
      <c r="U60" s="2">
        <f t="shared" si="20"/>
        <v>35</v>
      </c>
      <c r="V60" s="2">
        <f t="shared" si="21"/>
        <v>2.5</v>
      </c>
      <c r="W60" s="2">
        <f t="shared" si="22"/>
        <v>35</v>
      </c>
      <c r="X60" s="2">
        <f t="shared" si="23"/>
        <v>2.5</v>
      </c>
      <c r="Y60" s="2">
        <f t="shared" si="24"/>
        <v>35</v>
      </c>
      <c r="Z60" s="2">
        <f t="shared" si="25"/>
        <v>2.5</v>
      </c>
      <c r="AA60" s="2">
        <f t="shared" si="26"/>
        <v>35</v>
      </c>
      <c r="AB60" s="2">
        <f t="shared" si="27"/>
        <v>2.5</v>
      </c>
      <c r="AC60" s="2">
        <f t="shared" si="28"/>
        <v>35</v>
      </c>
      <c r="AD60" s="2">
        <f t="shared" si="29"/>
        <v>2.5</v>
      </c>
      <c r="AE60" s="2">
        <f t="shared" si="30"/>
        <v>35</v>
      </c>
      <c r="AF60" s="2">
        <f t="shared" si="31"/>
        <v>2.5</v>
      </c>
      <c r="AG60" s="2">
        <f t="shared" si="32"/>
        <v>35</v>
      </c>
      <c r="AH60" s="2">
        <f t="shared" si="33"/>
        <v>2.5</v>
      </c>
    </row>
    <row r="61" spans="1:34">
      <c r="A61" t="str">
        <f t="shared" si="43"/>
        <v>Coffee</v>
      </c>
      <c r="B61" t="str">
        <f t="shared" si="45"/>
        <v>Gumuz</v>
      </c>
      <c r="C61" s="2">
        <f t="shared" ref="C61:D61" si="92">C161/0.2</f>
        <v>45</v>
      </c>
      <c r="D61" s="2">
        <f t="shared" si="92"/>
        <v>2.5</v>
      </c>
      <c r="E61" s="2">
        <f t="shared" si="4"/>
        <v>45</v>
      </c>
      <c r="F61" s="2">
        <f t="shared" si="5"/>
        <v>2.5</v>
      </c>
      <c r="G61" s="2">
        <f t="shared" si="6"/>
        <v>45</v>
      </c>
      <c r="H61" s="2">
        <f t="shared" si="7"/>
        <v>2.5</v>
      </c>
      <c r="I61" s="2">
        <f t="shared" si="8"/>
        <v>45</v>
      </c>
      <c r="J61" s="2">
        <f t="shared" si="9"/>
        <v>2.5</v>
      </c>
      <c r="K61" s="2">
        <f t="shared" si="10"/>
        <v>45</v>
      </c>
      <c r="L61" s="2">
        <f t="shared" si="11"/>
        <v>2.5</v>
      </c>
      <c r="M61" s="2">
        <f t="shared" si="12"/>
        <v>45</v>
      </c>
      <c r="N61" s="2">
        <f t="shared" si="13"/>
        <v>2.5</v>
      </c>
      <c r="O61" s="2">
        <f t="shared" si="14"/>
        <v>45</v>
      </c>
      <c r="P61" s="2">
        <f t="shared" si="15"/>
        <v>2.5</v>
      </c>
      <c r="Q61" s="2">
        <f t="shared" si="16"/>
        <v>45</v>
      </c>
      <c r="R61" s="2">
        <f t="shared" si="17"/>
        <v>2.5</v>
      </c>
      <c r="S61" s="2">
        <f t="shared" si="18"/>
        <v>45</v>
      </c>
      <c r="T61" s="2">
        <f t="shared" si="19"/>
        <v>2.5</v>
      </c>
      <c r="U61" s="2">
        <f t="shared" si="20"/>
        <v>45</v>
      </c>
      <c r="V61" s="2">
        <f t="shared" si="21"/>
        <v>2.5</v>
      </c>
      <c r="W61" s="2">
        <f t="shared" si="22"/>
        <v>45</v>
      </c>
      <c r="X61" s="2">
        <f t="shared" si="23"/>
        <v>2.5</v>
      </c>
      <c r="Y61" s="2">
        <f t="shared" si="24"/>
        <v>45</v>
      </c>
      <c r="Z61" s="2">
        <f t="shared" si="25"/>
        <v>2.5</v>
      </c>
      <c r="AA61" s="2">
        <f t="shared" si="26"/>
        <v>45</v>
      </c>
      <c r="AB61" s="2">
        <f t="shared" si="27"/>
        <v>2.5</v>
      </c>
      <c r="AC61" s="2">
        <f t="shared" si="28"/>
        <v>45</v>
      </c>
      <c r="AD61" s="2">
        <f t="shared" si="29"/>
        <v>2.5</v>
      </c>
      <c r="AE61" s="2">
        <f t="shared" si="30"/>
        <v>45</v>
      </c>
      <c r="AF61" s="2">
        <f t="shared" si="31"/>
        <v>2.5</v>
      </c>
      <c r="AG61" s="2">
        <f t="shared" si="32"/>
        <v>45</v>
      </c>
      <c r="AH61" s="2">
        <f t="shared" si="33"/>
        <v>2.5</v>
      </c>
    </row>
    <row r="62" spans="1:34">
      <c r="A62" t="str">
        <f t="shared" si="43"/>
        <v>Coffee</v>
      </c>
      <c r="B62" t="str">
        <f t="shared" si="45"/>
        <v>DireDawa</v>
      </c>
      <c r="C62" s="2">
        <f t="shared" ref="C62:D62" si="93">C162/0.2</f>
        <v>20</v>
      </c>
      <c r="D62" s="2">
        <f t="shared" si="93"/>
        <v>2.5</v>
      </c>
      <c r="E62" s="2">
        <f t="shared" si="4"/>
        <v>20</v>
      </c>
      <c r="F62" s="2">
        <f t="shared" si="5"/>
        <v>2.5</v>
      </c>
      <c r="G62" s="2">
        <f t="shared" si="6"/>
        <v>20</v>
      </c>
      <c r="H62" s="2">
        <f t="shared" si="7"/>
        <v>2.5</v>
      </c>
      <c r="I62" s="2">
        <f t="shared" si="8"/>
        <v>20</v>
      </c>
      <c r="J62" s="2">
        <f t="shared" si="9"/>
        <v>2.5</v>
      </c>
      <c r="K62" s="2">
        <f t="shared" si="10"/>
        <v>20</v>
      </c>
      <c r="L62" s="2">
        <f t="shared" si="11"/>
        <v>2.5</v>
      </c>
      <c r="M62" s="2">
        <f t="shared" si="12"/>
        <v>20</v>
      </c>
      <c r="N62" s="2">
        <f t="shared" si="13"/>
        <v>2.5</v>
      </c>
      <c r="O62" s="2">
        <f t="shared" si="14"/>
        <v>20</v>
      </c>
      <c r="P62" s="2">
        <f t="shared" si="15"/>
        <v>2.5</v>
      </c>
      <c r="Q62" s="2">
        <f t="shared" si="16"/>
        <v>20</v>
      </c>
      <c r="R62" s="2">
        <f t="shared" si="17"/>
        <v>2.5</v>
      </c>
      <c r="S62" s="2">
        <f t="shared" si="18"/>
        <v>20</v>
      </c>
      <c r="T62" s="2">
        <f t="shared" si="19"/>
        <v>2.5</v>
      </c>
      <c r="U62" s="2">
        <f t="shared" si="20"/>
        <v>20</v>
      </c>
      <c r="V62" s="2">
        <f t="shared" si="21"/>
        <v>2.5</v>
      </c>
      <c r="W62" s="2">
        <f t="shared" si="22"/>
        <v>20</v>
      </c>
      <c r="X62" s="2">
        <f t="shared" si="23"/>
        <v>2.5</v>
      </c>
      <c r="Y62" s="2">
        <f t="shared" si="24"/>
        <v>20</v>
      </c>
      <c r="Z62" s="2">
        <f t="shared" si="25"/>
        <v>2.5</v>
      </c>
      <c r="AA62" s="2">
        <f t="shared" si="26"/>
        <v>20</v>
      </c>
      <c r="AB62" s="2">
        <f t="shared" si="27"/>
        <v>2.5</v>
      </c>
      <c r="AC62" s="2">
        <f t="shared" si="28"/>
        <v>20</v>
      </c>
      <c r="AD62" s="2">
        <f t="shared" si="29"/>
        <v>2.5</v>
      </c>
      <c r="AE62" s="2">
        <f t="shared" si="30"/>
        <v>20</v>
      </c>
      <c r="AF62" s="2">
        <f t="shared" si="31"/>
        <v>2.5</v>
      </c>
      <c r="AG62" s="2">
        <f t="shared" si="32"/>
        <v>20</v>
      </c>
      <c r="AH62" s="2">
        <f t="shared" si="33"/>
        <v>2.5</v>
      </c>
    </row>
    <row r="63" spans="1:34">
      <c r="A63" t="str">
        <f t="shared" si="43"/>
        <v>Coffee</v>
      </c>
      <c r="B63" t="str">
        <f t="shared" si="45"/>
        <v>Gambela</v>
      </c>
      <c r="C63" s="2">
        <f t="shared" ref="C63:D64" si="94">C163/0.2</f>
        <v>0</v>
      </c>
      <c r="D63" s="2">
        <f t="shared" si="94"/>
        <v>0</v>
      </c>
      <c r="E63" s="2">
        <f t="shared" si="4"/>
        <v>0</v>
      </c>
      <c r="F63" s="2">
        <f t="shared" si="5"/>
        <v>0</v>
      </c>
      <c r="G63" s="2">
        <f t="shared" si="6"/>
        <v>0</v>
      </c>
      <c r="H63" s="2">
        <f t="shared" si="7"/>
        <v>0</v>
      </c>
      <c r="I63" s="2">
        <f t="shared" si="8"/>
        <v>0</v>
      </c>
      <c r="J63" s="2">
        <f t="shared" si="9"/>
        <v>0</v>
      </c>
      <c r="K63" s="2">
        <f t="shared" si="10"/>
        <v>0</v>
      </c>
      <c r="L63" s="2">
        <f t="shared" si="11"/>
        <v>0</v>
      </c>
      <c r="M63" s="2">
        <f t="shared" si="12"/>
        <v>0</v>
      </c>
      <c r="N63" s="2">
        <f t="shared" si="13"/>
        <v>0</v>
      </c>
      <c r="O63" s="2">
        <f t="shared" si="14"/>
        <v>0</v>
      </c>
      <c r="P63" s="2">
        <f t="shared" si="15"/>
        <v>0</v>
      </c>
      <c r="Q63" s="2">
        <f t="shared" si="16"/>
        <v>0</v>
      </c>
      <c r="R63" s="2">
        <f t="shared" si="17"/>
        <v>0</v>
      </c>
      <c r="S63" s="2">
        <f t="shared" si="18"/>
        <v>0</v>
      </c>
      <c r="T63" s="2">
        <f t="shared" si="19"/>
        <v>0</v>
      </c>
      <c r="U63" s="2">
        <f t="shared" si="20"/>
        <v>0</v>
      </c>
      <c r="V63" s="2">
        <f t="shared" si="21"/>
        <v>0</v>
      </c>
      <c r="W63" s="2">
        <f t="shared" si="22"/>
        <v>0</v>
      </c>
      <c r="X63" s="2">
        <f t="shared" si="23"/>
        <v>0</v>
      </c>
      <c r="Y63" s="2">
        <f t="shared" si="24"/>
        <v>0</v>
      </c>
      <c r="Z63" s="2">
        <f t="shared" si="25"/>
        <v>0</v>
      </c>
      <c r="AA63" s="2">
        <f t="shared" si="26"/>
        <v>0</v>
      </c>
      <c r="AB63" s="2">
        <f t="shared" si="27"/>
        <v>0</v>
      </c>
      <c r="AC63" s="2">
        <f t="shared" si="28"/>
        <v>0</v>
      </c>
      <c r="AD63" s="2">
        <f t="shared" si="29"/>
        <v>0</v>
      </c>
      <c r="AE63" s="2">
        <f t="shared" si="30"/>
        <v>0</v>
      </c>
      <c r="AF63" s="2">
        <f t="shared" si="31"/>
        <v>0</v>
      </c>
      <c r="AG63" s="2">
        <f t="shared" si="32"/>
        <v>0</v>
      </c>
      <c r="AH63" s="2">
        <f t="shared" si="33"/>
        <v>0</v>
      </c>
    </row>
    <row r="64" spans="1:34">
      <c r="A64" t="str">
        <f t="shared" si="43"/>
        <v>Coffee</v>
      </c>
      <c r="B64" t="str">
        <f t="shared" si="45"/>
        <v>Harari</v>
      </c>
      <c r="C64" s="2">
        <f t="shared" si="94"/>
        <v>250</v>
      </c>
      <c r="D64" s="2">
        <f t="shared" ref="D64" si="95">D164/0.2</f>
        <v>2.5</v>
      </c>
      <c r="E64" s="2">
        <f t="shared" si="4"/>
        <v>250</v>
      </c>
      <c r="F64" s="2">
        <f t="shared" si="5"/>
        <v>2.5</v>
      </c>
      <c r="G64" s="2">
        <f t="shared" si="6"/>
        <v>250</v>
      </c>
      <c r="H64" s="2">
        <f t="shared" si="7"/>
        <v>2.5</v>
      </c>
      <c r="I64" s="2">
        <f t="shared" si="8"/>
        <v>250</v>
      </c>
      <c r="J64" s="2">
        <f t="shared" si="9"/>
        <v>2.5</v>
      </c>
      <c r="K64" s="2">
        <f t="shared" si="10"/>
        <v>250</v>
      </c>
      <c r="L64" s="2">
        <f t="shared" si="11"/>
        <v>2.5</v>
      </c>
      <c r="M64" s="2">
        <f t="shared" si="12"/>
        <v>250</v>
      </c>
      <c r="N64" s="2">
        <f t="shared" si="13"/>
        <v>2.5</v>
      </c>
      <c r="O64" s="2">
        <f t="shared" si="14"/>
        <v>250</v>
      </c>
      <c r="P64" s="2">
        <f t="shared" si="15"/>
        <v>2.5</v>
      </c>
      <c r="Q64" s="2">
        <f t="shared" si="16"/>
        <v>250</v>
      </c>
      <c r="R64" s="2">
        <f t="shared" si="17"/>
        <v>2.5</v>
      </c>
      <c r="S64" s="2">
        <f t="shared" si="18"/>
        <v>250</v>
      </c>
      <c r="T64" s="2">
        <f t="shared" si="19"/>
        <v>2.5</v>
      </c>
      <c r="U64" s="2">
        <f t="shared" si="20"/>
        <v>250</v>
      </c>
      <c r="V64" s="2">
        <f t="shared" si="21"/>
        <v>2.5</v>
      </c>
      <c r="W64" s="2">
        <f t="shared" si="22"/>
        <v>250</v>
      </c>
      <c r="X64" s="2">
        <f t="shared" si="23"/>
        <v>2.5</v>
      </c>
      <c r="Y64" s="2">
        <f t="shared" si="24"/>
        <v>250</v>
      </c>
      <c r="Z64" s="2">
        <f t="shared" si="25"/>
        <v>2.5</v>
      </c>
      <c r="AA64" s="2">
        <f t="shared" si="26"/>
        <v>250</v>
      </c>
      <c r="AB64" s="2">
        <f t="shared" si="27"/>
        <v>2.5</v>
      </c>
      <c r="AC64" s="2">
        <f t="shared" si="28"/>
        <v>250</v>
      </c>
      <c r="AD64" s="2">
        <f t="shared" si="29"/>
        <v>2.5</v>
      </c>
      <c r="AE64" s="2">
        <f t="shared" si="30"/>
        <v>250</v>
      </c>
      <c r="AF64" s="2">
        <f t="shared" si="31"/>
        <v>2.5</v>
      </c>
      <c r="AG64" s="2">
        <f t="shared" si="32"/>
        <v>250</v>
      </c>
      <c r="AH64" s="2">
        <f t="shared" si="33"/>
        <v>2.5</v>
      </c>
    </row>
    <row r="65" spans="1:34">
      <c r="A65" t="str">
        <f t="shared" si="43"/>
        <v>Coffee</v>
      </c>
      <c r="B65" t="str">
        <f t="shared" si="45"/>
        <v>Oromia</v>
      </c>
      <c r="C65" s="2">
        <f t="shared" ref="C65:D65" si="96">C165/0.2</f>
        <v>35</v>
      </c>
      <c r="D65" s="2">
        <f t="shared" si="96"/>
        <v>2.5</v>
      </c>
      <c r="E65" s="2">
        <f t="shared" si="4"/>
        <v>35</v>
      </c>
      <c r="F65" s="2">
        <f t="shared" si="5"/>
        <v>2.5</v>
      </c>
      <c r="G65" s="2">
        <f t="shared" si="6"/>
        <v>35</v>
      </c>
      <c r="H65" s="2">
        <f t="shared" si="7"/>
        <v>2.5</v>
      </c>
      <c r="I65" s="2">
        <f t="shared" si="8"/>
        <v>35</v>
      </c>
      <c r="J65" s="2">
        <f t="shared" si="9"/>
        <v>2.5</v>
      </c>
      <c r="K65" s="2">
        <f t="shared" si="10"/>
        <v>35</v>
      </c>
      <c r="L65" s="2">
        <f t="shared" si="11"/>
        <v>2.5</v>
      </c>
      <c r="M65" s="2">
        <f t="shared" si="12"/>
        <v>35</v>
      </c>
      <c r="N65" s="2">
        <f t="shared" si="13"/>
        <v>2.5</v>
      </c>
      <c r="O65" s="2">
        <f t="shared" si="14"/>
        <v>35</v>
      </c>
      <c r="P65" s="2">
        <f t="shared" si="15"/>
        <v>2.5</v>
      </c>
      <c r="Q65" s="2">
        <f t="shared" si="16"/>
        <v>35</v>
      </c>
      <c r="R65" s="2">
        <f t="shared" si="17"/>
        <v>2.5</v>
      </c>
      <c r="S65" s="2">
        <f t="shared" si="18"/>
        <v>35</v>
      </c>
      <c r="T65" s="2">
        <f t="shared" si="19"/>
        <v>2.5</v>
      </c>
      <c r="U65" s="2">
        <f t="shared" si="20"/>
        <v>35</v>
      </c>
      <c r="V65" s="2">
        <f t="shared" si="21"/>
        <v>2.5</v>
      </c>
      <c r="W65" s="2">
        <f t="shared" si="22"/>
        <v>35</v>
      </c>
      <c r="X65" s="2">
        <f t="shared" si="23"/>
        <v>2.5</v>
      </c>
      <c r="Y65" s="2">
        <f t="shared" si="24"/>
        <v>35</v>
      </c>
      <c r="Z65" s="2">
        <f t="shared" si="25"/>
        <v>2.5</v>
      </c>
      <c r="AA65" s="2">
        <f t="shared" si="26"/>
        <v>35</v>
      </c>
      <c r="AB65" s="2">
        <f t="shared" si="27"/>
        <v>2.5</v>
      </c>
      <c r="AC65" s="2">
        <f t="shared" si="28"/>
        <v>35</v>
      </c>
      <c r="AD65" s="2">
        <f t="shared" si="29"/>
        <v>2.5</v>
      </c>
      <c r="AE65" s="2">
        <f t="shared" si="30"/>
        <v>35</v>
      </c>
      <c r="AF65" s="2">
        <f t="shared" si="31"/>
        <v>2.5</v>
      </c>
      <c r="AG65" s="2">
        <f t="shared" si="32"/>
        <v>35</v>
      </c>
      <c r="AH65" s="2">
        <f t="shared" si="33"/>
        <v>2.5</v>
      </c>
    </row>
    <row r="66" spans="1:34">
      <c r="A66" t="str">
        <f t="shared" si="43"/>
        <v>Coffee</v>
      </c>
      <c r="B66" t="str">
        <f t="shared" si="45"/>
        <v>Somali</v>
      </c>
      <c r="C66" s="2">
        <f t="shared" ref="C66:D66" si="97">C166/0.2</f>
        <v>0</v>
      </c>
      <c r="D66" s="2">
        <f t="shared" si="97"/>
        <v>2.5</v>
      </c>
      <c r="E66" s="2">
        <f t="shared" si="4"/>
        <v>0</v>
      </c>
      <c r="F66" s="2">
        <f t="shared" si="5"/>
        <v>2.5</v>
      </c>
      <c r="G66" s="2">
        <f t="shared" si="6"/>
        <v>0</v>
      </c>
      <c r="H66" s="2">
        <f t="shared" si="7"/>
        <v>2.5</v>
      </c>
      <c r="I66" s="2">
        <f t="shared" si="8"/>
        <v>0</v>
      </c>
      <c r="J66" s="2">
        <f t="shared" si="9"/>
        <v>2.5</v>
      </c>
      <c r="K66" s="2">
        <f t="shared" si="10"/>
        <v>0</v>
      </c>
      <c r="L66" s="2">
        <f t="shared" si="11"/>
        <v>2.5</v>
      </c>
      <c r="M66" s="2">
        <f t="shared" si="12"/>
        <v>0</v>
      </c>
      <c r="N66" s="2">
        <f t="shared" si="13"/>
        <v>2.5</v>
      </c>
      <c r="O66" s="2">
        <f t="shared" si="14"/>
        <v>0</v>
      </c>
      <c r="P66" s="2">
        <f t="shared" si="15"/>
        <v>2.5</v>
      </c>
      <c r="Q66" s="2">
        <f t="shared" si="16"/>
        <v>0</v>
      </c>
      <c r="R66" s="2">
        <f t="shared" si="17"/>
        <v>2.5</v>
      </c>
      <c r="S66" s="2">
        <f t="shared" si="18"/>
        <v>0</v>
      </c>
      <c r="T66" s="2">
        <f t="shared" si="19"/>
        <v>2.5</v>
      </c>
      <c r="U66" s="2">
        <f t="shared" si="20"/>
        <v>0</v>
      </c>
      <c r="V66" s="2">
        <f t="shared" si="21"/>
        <v>2.5</v>
      </c>
      <c r="W66" s="2">
        <f t="shared" si="22"/>
        <v>0</v>
      </c>
      <c r="X66" s="2">
        <f t="shared" si="23"/>
        <v>2.5</v>
      </c>
      <c r="Y66" s="2">
        <f t="shared" si="24"/>
        <v>0</v>
      </c>
      <c r="Z66" s="2">
        <f t="shared" si="25"/>
        <v>2.5</v>
      </c>
      <c r="AA66" s="2">
        <f t="shared" si="26"/>
        <v>0</v>
      </c>
      <c r="AB66" s="2">
        <f t="shared" si="27"/>
        <v>2.5</v>
      </c>
      <c r="AC66" s="2">
        <f t="shared" si="28"/>
        <v>0</v>
      </c>
      <c r="AD66" s="2">
        <f t="shared" si="29"/>
        <v>2.5</v>
      </c>
      <c r="AE66" s="2">
        <f t="shared" si="30"/>
        <v>0</v>
      </c>
      <c r="AF66" s="2">
        <f t="shared" si="31"/>
        <v>2.5</v>
      </c>
      <c r="AG66" s="2">
        <f t="shared" si="32"/>
        <v>0</v>
      </c>
      <c r="AH66" s="2">
        <f t="shared" si="33"/>
        <v>2.5</v>
      </c>
    </row>
    <row r="67" spans="1:34">
      <c r="A67" t="str">
        <f t="shared" si="43"/>
        <v>Coffee</v>
      </c>
      <c r="B67" t="str">
        <f t="shared" si="45"/>
        <v>SNNPR</v>
      </c>
      <c r="C67" s="2">
        <f t="shared" ref="C67:D67" si="98">C167/0.2</f>
        <v>40</v>
      </c>
      <c r="D67" s="2">
        <f t="shared" si="98"/>
        <v>2.5</v>
      </c>
      <c r="E67" s="2">
        <f t="shared" si="4"/>
        <v>40</v>
      </c>
      <c r="F67" s="2">
        <f t="shared" si="5"/>
        <v>2.5</v>
      </c>
      <c r="G67" s="2">
        <f t="shared" si="6"/>
        <v>40</v>
      </c>
      <c r="H67" s="2">
        <f t="shared" si="7"/>
        <v>2.5</v>
      </c>
      <c r="I67" s="2">
        <f t="shared" si="8"/>
        <v>40</v>
      </c>
      <c r="J67" s="2">
        <f t="shared" si="9"/>
        <v>2.5</v>
      </c>
      <c r="K67" s="2">
        <f t="shared" si="10"/>
        <v>40</v>
      </c>
      <c r="L67" s="2">
        <f t="shared" si="11"/>
        <v>2.5</v>
      </c>
      <c r="M67" s="2">
        <f t="shared" si="12"/>
        <v>40</v>
      </c>
      <c r="N67" s="2">
        <f t="shared" si="13"/>
        <v>2.5</v>
      </c>
      <c r="O67" s="2">
        <f t="shared" si="14"/>
        <v>40</v>
      </c>
      <c r="P67" s="2">
        <f t="shared" si="15"/>
        <v>2.5</v>
      </c>
      <c r="Q67" s="2">
        <f t="shared" si="16"/>
        <v>40</v>
      </c>
      <c r="R67" s="2">
        <f t="shared" si="17"/>
        <v>2.5</v>
      </c>
      <c r="S67" s="2">
        <f t="shared" si="18"/>
        <v>40</v>
      </c>
      <c r="T67" s="2">
        <f t="shared" si="19"/>
        <v>2.5</v>
      </c>
      <c r="U67" s="2">
        <f t="shared" si="20"/>
        <v>40</v>
      </c>
      <c r="V67" s="2">
        <f t="shared" si="21"/>
        <v>2.5</v>
      </c>
      <c r="W67" s="2">
        <f t="shared" si="22"/>
        <v>40</v>
      </c>
      <c r="X67" s="2">
        <f t="shared" si="23"/>
        <v>2.5</v>
      </c>
      <c r="Y67" s="2">
        <f t="shared" si="24"/>
        <v>40</v>
      </c>
      <c r="Z67" s="2">
        <f t="shared" si="25"/>
        <v>2.5</v>
      </c>
      <c r="AA67" s="2">
        <f t="shared" si="26"/>
        <v>40</v>
      </c>
      <c r="AB67" s="2">
        <f t="shared" si="27"/>
        <v>2.5</v>
      </c>
      <c r="AC67" s="2">
        <f t="shared" si="28"/>
        <v>40</v>
      </c>
      <c r="AD67" s="2">
        <f t="shared" si="29"/>
        <v>2.5</v>
      </c>
      <c r="AE67" s="2">
        <f t="shared" si="30"/>
        <v>40</v>
      </c>
      <c r="AF67" s="2">
        <f t="shared" si="31"/>
        <v>2.5</v>
      </c>
      <c r="AG67" s="2">
        <f t="shared" si="32"/>
        <v>40</v>
      </c>
      <c r="AH67" s="2">
        <f t="shared" si="33"/>
        <v>2.5</v>
      </c>
    </row>
    <row r="68" spans="1:34">
      <c r="A68" t="str">
        <f t="shared" si="43"/>
        <v>Coffee</v>
      </c>
      <c r="B68" t="str">
        <f t="shared" si="45"/>
        <v>Tigray</v>
      </c>
      <c r="C68" s="2">
        <f t="shared" ref="C68:D68" si="99">C168/0.2</f>
        <v>60</v>
      </c>
      <c r="D68" s="2">
        <f t="shared" si="99"/>
        <v>2.5</v>
      </c>
      <c r="E68" s="2">
        <f t="shared" ref="E68" si="100">C68</f>
        <v>60</v>
      </c>
      <c r="F68" s="2">
        <f t="shared" ref="F68" si="101">D68</f>
        <v>2.5</v>
      </c>
      <c r="G68" s="2">
        <f t="shared" ref="G68" si="102">E68</f>
        <v>60</v>
      </c>
      <c r="H68" s="2">
        <f t="shared" ref="H68" si="103">F68</f>
        <v>2.5</v>
      </c>
      <c r="I68" s="2">
        <f t="shared" ref="I68" si="104">G68</f>
        <v>60</v>
      </c>
      <c r="J68" s="2">
        <f t="shared" ref="J68" si="105">H68</f>
        <v>2.5</v>
      </c>
      <c r="K68" s="2">
        <f t="shared" ref="K68" si="106">I68</f>
        <v>60</v>
      </c>
      <c r="L68" s="2">
        <f t="shared" ref="L68" si="107">J68</f>
        <v>2.5</v>
      </c>
      <c r="M68" s="2">
        <f t="shared" ref="M68" si="108">K68</f>
        <v>60</v>
      </c>
      <c r="N68" s="2">
        <f t="shared" ref="N68" si="109">L68</f>
        <v>2.5</v>
      </c>
      <c r="O68" s="2">
        <f t="shared" ref="O68" si="110">M68</f>
        <v>60</v>
      </c>
      <c r="P68" s="2">
        <f t="shared" ref="P68" si="111">N68</f>
        <v>2.5</v>
      </c>
      <c r="Q68" s="2">
        <f t="shared" ref="Q68" si="112">O68</f>
        <v>60</v>
      </c>
      <c r="R68" s="2">
        <f t="shared" ref="R68" si="113">P68</f>
        <v>2.5</v>
      </c>
      <c r="S68" s="2">
        <f t="shared" ref="S68" si="114">Q68</f>
        <v>60</v>
      </c>
      <c r="T68" s="2">
        <f t="shared" ref="T68" si="115">R68</f>
        <v>2.5</v>
      </c>
      <c r="U68" s="2">
        <f t="shared" ref="U68" si="116">S68</f>
        <v>60</v>
      </c>
      <c r="V68" s="2">
        <f t="shared" ref="V68" si="117">T68</f>
        <v>2.5</v>
      </c>
      <c r="W68" s="2">
        <f t="shared" ref="W68" si="118">U68</f>
        <v>60</v>
      </c>
      <c r="X68" s="2">
        <f t="shared" ref="X68" si="119">V68</f>
        <v>2.5</v>
      </c>
      <c r="Y68" s="2">
        <f t="shared" ref="Y68" si="120">W68</f>
        <v>60</v>
      </c>
      <c r="Z68" s="2">
        <f t="shared" ref="Z68" si="121">X68</f>
        <v>2.5</v>
      </c>
      <c r="AA68" s="2">
        <f t="shared" ref="AA68" si="122">Y68</f>
        <v>60</v>
      </c>
      <c r="AB68" s="2">
        <f t="shared" ref="AB68" si="123">Z68</f>
        <v>2.5</v>
      </c>
      <c r="AC68" s="2">
        <f t="shared" ref="AC68" si="124">AA68</f>
        <v>60</v>
      </c>
      <c r="AD68" s="2">
        <f t="shared" ref="AD68" si="125">AB68</f>
        <v>2.5</v>
      </c>
      <c r="AE68" s="2">
        <f t="shared" ref="AE68" si="126">AC68</f>
        <v>60</v>
      </c>
      <c r="AF68" s="2">
        <f t="shared" ref="AF68" si="127">AD68</f>
        <v>2.5</v>
      </c>
      <c r="AG68" s="2">
        <f t="shared" ref="AG68" si="128">AE68</f>
        <v>60</v>
      </c>
      <c r="AH68" s="2">
        <f t="shared" ref="AH68" si="129">AF68</f>
        <v>2.5</v>
      </c>
    </row>
    <row r="101" spans="1:4">
      <c r="A101" t="s">
        <v>127</v>
      </c>
      <c r="C101" t="str">
        <f t="array" ref="C101:D101">TRANSPOSE(Seasons)</f>
        <v>Kremt</v>
      </c>
      <c r="D101" t="str">
        <v>Belg</v>
      </c>
    </row>
    <row r="102" spans="1:4">
      <c r="C102">
        <v>2015</v>
      </c>
      <c r="D102">
        <v>2015</v>
      </c>
    </row>
    <row r="103" spans="1:4">
      <c r="A103" t="str">
        <f>sets!$H$3</f>
        <v>Teff</v>
      </c>
      <c r="B103" t="str">
        <f t="array" ref="B103:B113">Nodes</f>
        <v>AddisAbaba</v>
      </c>
      <c r="C103" s="2">
        <v>0</v>
      </c>
      <c r="D103" s="2">
        <v>0</v>
      </c>
    </row>
    <row r="104" spans="1:4">
      <c r="A104" t="str">
        <f>sets!$H$3</f>
        <v>Teff</v>
      </c>
      <c r="B104" t="str">
        <v>Afar</v>
      </c>
      <c r="C104" s="2">
        <v>0</v>
      </c>
      <c r="D104" s="2">
        <v>2.48</v>
      </c>
    </row>
    <row r="105" spans="1:4">
      <c r="A105" t="str">
        <f>sets!$H$3</f>
        <v>Teff</v>
      </c>
      <c r="B105" t="str">
        <v>Amhara</v>
      </c>
      <c r="C105" s="2">
        <v>4</v>
      </c>
      <c r="D105" s="2">
        <v>8</v>
      </c>
    </row>
    <row r="106" spans="1:4">
      <c r="A106" t="str">
        <f>sets!$H$3</f>
        <v>Teff</v>
      </c>
      <c r="B106" t="str">
        <v>Gumuz</v>
      </c>
      <c r="C106" s="2">
        <v>10</v>
      </c>
      <c r="D106" s="2">
        <v>0.5</v>
      </c>
    </row>
    <row r="107" spans="1:4">
      <c r="A107" t="str">
        <f>sets!$H$3</f>
        <v>Teff</v>
      </c>
      <c r="B107" t="str">
        <v>DireDawa</v>
      </c>
      <c r="C107" s="2">
        <v>0</v>
      </c>
      <c r="D107" s="2">
        <v>0.5</v>
      </c>
    </row>
    <row r="108" spans="1:4">
      <c r="A108" t="str">
        <f>sets!$H$3</f>
        <v>Teff</v>
      </c>
      <c r="B108" t="str">
        <v>Gambela</v>
      </c>
      <c r="C108" s="2">
        <v>0</v>
      </c>
      <c r="D108" s="2">
        <v>0</v>
      </c>
    </row>
    <row r="109" spans="1:4">
      <c r="A109" t="str">
        <f>sets!$H$3</f>
        <v>Teff</v>
      </c>
      <c r="B109" t="str">
        <v>Harari</v>
      </c>
      <c r="C109" s="2">
        <v>9</v>
      </c>
      <c r="D109" s="2">
        <v>0.5</v>
      </c>
    </row>
    <row r="110" spans="1:4">
      <c r="A110" t="str">
        <f>sets!$H$3</f>
        <v>Teff</v>
      </c>
      <c r="B110" t="str">
        <v>Oromia</v>
      </c>
      <c r="C110" s="2">
        <v>14</v>
      </c>
      <c r="D110" s="2">
        <v>5.9574468085106398</v>
      </c>
    </row>
    <row r="111" spans="1:4">
      <c r="A111" t="str">
        <f>sets!$H$3</f>
        <v>Teff</v>
      </c>
      <c r="B111" t="str">
        <v>Somali</v>
      </c>
      <c r="C111" s="2">
        <v>0</v>
      </c>
      <c r="D111" s="2">
        <v>0.5</v>
      </c>
    </row>
    <row r="112" spans="1:4">
      <c r="A112" t="str">
        <f>sets!$H$3</f>
        <v>Teff</v>
      </c>
      <c r="B112" t="str">
        <v>SNNPR</v>
      </c>
      <c r="C112" s="2">
        <v>13</v>
      </c>
      <c r="D112" s="2">
        <v>5.0606060606060597</v>
      </c>
    </row>
    <row r="113" spans="1:4">
      <c r="A113" t="str">
        <f>sets!$H$3</f>
        <v>Teff</v>
      </c>
      <c r="B113" t="str">
        <v>Tigray</v>
      </c>
      <c r="C113" s="2">
        <v>15</v>
      </c>
      <c r="D113" s="2">
        <v>5.84</v>
      </c>
    </row>
    <row r="114" spans="1:4">
      <c r="A114" t="str">
        <f t="shared" ref="A114:A168" si="130">INDEX(Food,MATCH(A103,Food,0)+1)</f>
        <v>Sorghum</v>
      </c>
      <c r="B114" t="str">
        <f>B103</f>
        <v>AddisAbaba</v>
      </c>
      <c r="C114" s="2">
        <v>0</v>
      </c>
      <c r="D114" s="2">
        <v>0</v>
      </c>
    </row>
    <row r="115" spans="1:4">
      <c r="A115" t="str">
        <f t="shared" si="130"/>
        <v>Sorghum</v>
      </c>
      <c r="B115" t="str">
        <f t="shared" ref="B115:B168" si="131">B104</f>
        <v>Afar</v>
      </c>
      <c r="C115" s="2">
        <v>16</v>
      </c>
      <c r="D115" s="2">
        <v>0.5</v>
      </c>
    </row>
    <row r="116" spans="1:4">
      <c r="A116" t="str">
        <f t="shared" si="130"/>
        <v>Sorghum</v>
      </c>
      <c r="B116" t="str">
        <f t="shared" si="131"/>
        <v>Amhara</v>
      </c>
      <c r="C116" s="2">
        <v>19</v>
      </c>
      <c r="D116" s="2">
        <v>8.6</v>
      </c>
    </row>
    <row r="117" spans="1:4">
      <c r="A117" t="str">
        <f t="shared" si="130"/>
        <v>Sorghum</v>
      </c>
      <c r="B117" t="str">
        <f t="shared" si="131"/>
        <v>Gumuz</v>
      </c>
      <c r="C117" s="2">
        <v>17</v>
      </c>
      <c r="D117" s="2">
        <v>0.5</v>
      </c>
    </row>
    <row r="118" spans="1:4">
      <c r="A118" t="str">
        <f t="shared" si="130"/>
        <v>Sorghum</v>
      </c>
      <c r="B118" t="str">
        <f t="shared" si="131"/>
        <v>DireDawa</v>
      </c>
      <c r="C118" s="2">
        <v>17</v>
      </c>
      <c r="D118" s="2">
        <v>1</v>
      </c>
    </row>
    <row r="119" spans="1:4">
      <c r="A119" t="str">
        <f t="shared" si="130"/>
        <v>Sorghum</v>
      </c>
      <c r="B119" t="str">
        <f t="shared" si="131"/>
        <v>Gambela</v>
      </c>
      <c r="C119" s="2">
        <v>23</v>
      </c>
      <c r="D119" s="2">
        <v>0</v>
      </c>
    </row>
    <row r="120" spans="1:4">
      <c r="A120" t="str">
        <f t="shared" si="130"/>
        <v>Sorghum</v>
      </c>
      <c r="B120" t="str">
        <f t="shared" si="131"/>
        <v>Harari</v>
      </c>
      <c r="C120" s="2">
        <v>15</v>
      </c>
      <c r="D120" s="2">
        <v>0.5</v>
      </c>
    </row>
    <row r="121" spans="1:4">
      <c r="A121" t="str">
        <f t="shared" si="130"/>
        <v>Sorghum</v>
      </c>
      <c r="B121" t="str">
        <f t="shared" si="131"/>
        <v>Oromia</v>
      </c>
      <c r="C121" s="2">
        <v>20</v>
      </c>
      <c r="D121" s="2">
        <v>7.7826086956521694</v>
      </c>
    </row>
    <row r="122" spans="1:4">
      <c r="A122" t="str">
        <f t="shared" si="130"/>
        <v>Sorghum</v>
      </c>
      <c r="B122" t="str">
        <f t="shared" si="131"/>
        <v>Somali</v>
      </c>
      <c r="C122" s="2">
        <v>14</v>
      </c>
      <c r="D122" s="2">
        <v>4.6739130434782599</v>
      </c>
    </row>
    <row r="123" spans="1:4">
      <c r="A123" t="str">
        <f t="shared" si="130"/>
        <v>Sorghum</v>
      </c>
      <c r="B123" t="str">
        <f t="shared" si="131"/>
        <v>SNNPR</v>
      </c>
      <c r="C123" s="2">
        <v>18</v>
      </c>
      <c r="D123" s="2">
        <v>5.4857142857142902</v>
      </c>
    </row>
    <row r="124" spans="1:4">
      <c r="A124" t="str">
        <f t="shared" si="130"/>
        <v>Sorghum</v>
      </c>
      <c r="B124" t="str">
        <f t="shared" si="131"/>
        <v>Tigray</v>
      </c>
      <c r="C124" s="2">
        <v>21</v>
      </c>
      <c r="D124" s="2">
        <v>0.5</v>
      </c>
    </row>
    <row r="125" spans="1:4">
      <c r="A125" t="str">
        <f t="shared" si="130"/>
        <v>Maize</v>
      </c>
      <c r="B125" t="str">
        <f t="shared" si="131"/>
        <v>AddisAbaba</v>
      </c>
      <c r="C125" s="2">
        <v>0</v>
      </c>
      <c r="D125" s="2">
        <v>0</v>
      </c>
    </row>
    <row r="126" spans="1:4">
      <c r="A126" t="str">
        <f t="shared" si="130"/>
        <v>Maize</v>
      </c>
      <c r="B126" t="str">
        <f t="shared" si="131"/>
        <v>Afar</v>
      </c>
      <c r="C126" s="2">
        <v>0</v>
      </c>
      <c r="D126" s="2">
        <v>0.5</v>
      </c>
    </row>
    <row r="127" spans="1:4">
      <c r="A127" t="str">
        <f t="shared" si="130"/>
        <v>Maize</v>
      </c>
      <c r="B127" t="str">
        <f t="shared" si="131"/>
        <v>Amhara</v>
      </c>
      <c r="C127" s="2">
        <v>23</v>
      </c>
      <c r="D127" s="2">
        <v>12.969999999999999</v>
      </c>
    </row>
    <row r="128" spans="1:4">
      <c r="A128" t="str">
        <f t="shared" si="130"/>
        <v>Maize</v>
      </c>
      <c r="B128" t="str">
        <f t="shared" si="131"/>
        <v>Gumuz</v>
      </c>
      <c r="C128" s="2">
        <v>22</v>
      </c>
      <c r="D128" s="2">
        <v>15.27</v>
      </c>
    </row>
    <row r="129" spans="1:4">
      <c r="A129" t="str">
        <f t="shared" si="130"/>
        <v>Maize</v>
      </c>
      <c r="B129" t="str">
        <f t="shared" si="131"/>
        <v>DireDawa</v>
      </c>
      <c r="C129" s="2">
        <v>16</v>
      </c>
      <c r="D129" s="2">
        <v>14.32</v>
      </c>
    </row>
    <row r="130" spans="1:4">
      <c r="A130" t="str">
        <f t="shared" si="130"/>
        <v>Maize</v>
      </c>
      <c r="B130" t="str">
        <f t="shared" si="131"/>
        <v>Gambela</v>
      </c>
      <c r="C130" s="2">
        <v>17</v>
      </c>
      <c r="D130" s="2">
        <v>0</v>
      </c>
    </row>
    <row r="131" spans="1:4">
      <c r="A131" t="str">
        <f t="shared" si="130"/>
        <v>Maize</v>
      </c>
      <c r="B131" t="str">
        <f t="shared" si="131"/>
        <v>Harari</v>
      </c>
      <c r="C131" s="2">
        <v>20</v>
      </c>
      <c r="D131" s="2">
        <v>0.5</v>
      </c>
    </row>
    <row r="132" spans="1:4">
      <c r="A132" t="str">
        <f t="shared" si="130"/>
        <v>Maize</v>
      </c>
      <c r="B132" t="str">
        <f t="shared" si="131"/>
        <v>Oromia</v>
      </c>
      <c r="C132" s="2">
        <v>25</v>
      </c>
      <c r="D132" s="2">
        <v>15.527363184079599</v>
      </c>
    </row>
    <row r="133" spans="1:4">
      <c r="A133" t="str">
        <f t="shared" si="130"/>
        <v>Maize</v>
      </c>
      <c r="B133" t="str">
        <f t="shared" si="131"/>
        <v>Somali</v>
      </c>
      <c r="C133" s="2">
        <v>18</v>
      </c>
      <c r="D133" s="2">
        <v>6.23</v>
      </c>
    </row>
    <row r="134" spans="1:4">
      <c r="A134" t="str">
        <f t="shared" si="130"/>
        <v>Maize</v>
      </c>
      <c r="B134" t="str">
        <f t="shared" si="131"/>
        <v>SNNPR</v>
      </c>
      <c r="C134" s="2">
        <v>23</v>
      </c>
      <c r="D134" s="2">
        <v>12.12</v>
      </c>
    </row>
    <row r="135" spans="1:4">
      <c r="A135" t="str">
        <f t="shared" si="130"/>
        <v>Maize</v>
      </c>
      <c r="B135" t="str">
        <f t="shared" si="131"/>
        <v>Tigray</v>
      </c>
      <c r="C135" s="2">
        <v>20</v>
      </c>
      <c r="D135" s="2">
        <v>9.57</v>
      </c>
    </row>
    <row r="136" spans="1:4">
      <c r="A136" t="str">
        <f t="shared" si="130"/>
        <v>Lentils</v>
      </c>
      <c r="B136" t="str">
        <f t="shared" si="131"/>
        <v>AddisAbaba</v>
      </c>
      <c r="C136" s="2">
        <v>0</v>
      </c>
      <c r="D136" s="2">
        <v>0</v>
      </c>
    </row>
    <row r="137" spans="1:4">
      <c r="A137" t="str">
        <f t="shared" si="130"/>
        <v>Lentils</v>
      </c>
      <c r="B137" t="str">
        <f t="shared" si="131"/>
        <v>Afar</v>
      </c>
      <c r="C137" s="2">
        <v>0</v>
      </c>
      <c r="D137" s="2">
        <v>1</v>
      </c>
    </row>
    <row r="138" spans="1:4">
      <c r="A138" t="str">
        <f t="shared" si="130"/>
        <v>Lentils</v>
      </c>
      <c r="B138" t="str">
        <f t="shared" si="131"/>
        <v>Amhara</v>
      </c>
      <c r="C138" s="2">
        <v>14</v>
      </c>
      <c r="D138" s="2">
        <v>5.2</v>
      </c>
    </row>
    <row r="139" spans="1:4">
      <c r="A139" t="str">
        <f t="shared" si="130"/>
        <v>Lentils</v>
      </c>
      <c r="B139" t="str">
        <f t="shared" si="131"/>
        <v>Gumuz</v>
      </c>
      <c r="C139" s="2">
        <v>15</v>
      </c>
      <c r="D139" s="2">
        <v>6.919999999999999</v>
      </c>
    </row>
    <row r="140" spans="1:4">
      <c r="A140" t="str">
        <f t="shared" si="130"/>
        <v>Lentils</v>
      </c>
      <c r="B140" t="str">
        <f t="shared" si="131"/>
        <v>DireDawa</v>
      </c>
      <c r="C140" s="2">
        <v>18</v>
      </c>
      <c r="D140" s="2">
        <v>0.5</v>
      </c>
    </row>
    <row r="141" spans="1:4">
      <c r="A141" t="str">
        <f t="shared" si="130"/>
        <v>Lentils</v>
      </c>
      <c r="B141" t="str">
        <f t="shared" si="131"/>
        <v>Gambela</v>
      </c>
      <c r="C141" s="2">
        <v>4</v>
      </c>
      <c r="D141" s="2">
        <v>0</v>
      </c>
    </row>
    <row r="142" spans="1:4">
      <c r="A142" t="str">
        <f t="shared" si="130"/>
        <v>Lentils</v>
      </c>
      <c r="B142" t="str">
        <f t="shared" si="131"/>
        <v>Harari</v>
      </c>
      <c r="C142" s="2">
        <v>0</v>
      </c>
      <c r="D142" s="2">
        <v>13.579999999999998</v>
      </c>
    </row>
    <row r="143" spans="1:4">
      <c r="A143" t="str">
        <f t="shared" si="130"/>
        <v>Lentils</v>
      </c>
      <c r="B143" t="str">
        <f t="shared" si="131"/>
        <v>Oromia</v>
      </c>
      <c r="C143" s="2">
        <v>15</v>
      </c>
      <c r="D143" s="2">
        <v>7</v>
      </c>
    </row>
    <row r="144" spans="1:4">
      <c r="A144" t="str">
        <f t="shared" si="130"/>
        <v>Lentils</v>
      </c>
      <c r="B144" t="str">
        <f t="shared" si="131"/>
        <v>Somali</v>
      </c>
      <c r="C144" s="2">
        <v>0</v>
      </c>
      <c r="D144" s="2">
        <v>1</v>
      </c>
    </row>
    <row r="145" spans="1:4">
      <c r="A145" t="str">
        <f t="shared" si="130"/>
        <v>Lentils</v>
      </c>
      <c r="B145" t="str">
        <f t="shared" si="131"/>
        <v>SNNPR</v>
      </c>
      <c r="C145" s="2">
        <v>13</v>
      </c>
      <c r="D145" s="2">
        <v>6.5999999999999988</v>
      </c>
    </row>
    <row r="146" spans="1:4">
      <c r="A146" t="str">
        <f t="shared" si="130"/>
        <v>Lentils</v>
      </c>
      <c r="B146" t="str">
        <f t="shared" si="131"/>
        <v>Tigray</v>
      </c>
      <c r="C146" s="2">
        <v>14</v>
      </c>
      <c r="D146" s="2">
        <v>0.5</v>
      </c>
    </row>
    <row r="147" spans="1:4">
      <c r="A147" t="str">
        <f t="shared" si="130"/>
        <v>Vegetables</v>
      </c>
      <c r="B147" t="str">
        <f t="shared" si="131"/>
        <v>AddisAbaba</v>
      </c>
      <c r="C147" s="2">
        <v>0</v>
      </c>
      <c r="D147" s="2">
        <v>0</v>
      </c>
    </row>
    <row r="148" spans="1:4">
      <c r="A148" t="str">
        <f t="shared" si="130"/>
        <v>Vegetables</v>
      </c>
      <c r="B148" t="str">
        <f t="shared" si="131"/>
        <v>Afar</v>
      </c>
      <c r="C148" s="2">
        <v>154</v>
      </c>
      <c r="D148" s="2">
        <v>0.5</v>
      </c>
    </row>
    <row r="149" spans="1:4">
      <c r="A149" t="str">
        <f t="shared" si="130"/>
        <v>Vegetables</v>
      </c>
      <c r="B149" t="str">
        <f t="shared" si="131"/>
        <v>Amhara</v>
      </c>
      <c r="C149" s="2">
        <v>65</v>
      </c>
      <c r="D149" s="2">
        <v>0.5</v>
      </c>
    </row>
    <row r="150" spans="1:4">
      <c r="A150" t="str">
        <f t="shared" si="130"/>
        <v>Vegetables</v>
      </c>
      <c r="B150" t="str">
        <f t="shared" si="131"/>
        <v>Gumuz</v>
      </c>
      <c r="C150" s="2">
        <v>68</v>
      </c>
      <c r="D150" s="2">
        <v>0.5</v>
      </c>
    </row>
    <row r="151" spans="1:4">
      <c r="A151" t="str">
        <f t="shared" si="130"/>
        <v>Vegetables</v>
      </c>
      <c r="B151" t="str">
        <f t="shared" si="131"/>
        <v>DireDawa</v>
      </c>
      <c r="C151" s="2">
        <v>100</v>
      </c>
      <c r="D151" s="2">
        <v>0.5</v>
      </c>
    </row>
    <row r="152" spans="1:4">
      <c r="A152" t="str">
        <f t="shared" si="130"/>
        <v>Vegetables</v>
      </c>
      <c r="B152" t="str">
        <f t="shared" si="131"/>
        <v>Gambela</v>
      </c>
      <c r="C152" s="2">
        <v>82</v>
      </c>
      <c r="D152" s="2">
        <v>0</v>
      </c>
    </row>
    <row r="153" spans="1:4">
      <c r="A153" t="str">
        <f t="shared" si="130"/>
        <v>Vegetables</v>
      </c>
      <c r="B153" t="str">
        <f t="shared" si="131"/>
        <v>Harari</v>
      </c>
      <c r="C153" s="2">
        <v>82</v>
      </c>
      <c r="D153" s="2">
        <v>0.5</v>
      </c>
    </row>
    <row r="154" spans="1:4">
      <c r="A154" t="str">
        <f t="shared" si="130"/>
        <v>Vegetables</v>
      </c>
      <c r="B154" t="str">
        <f t="shared" si="131"/>
        <v>Oromia</v>
      </c>
      <c r="C154" s="2">
        <v>65</v>
      </c>
      <c r="D154" s="2">
        <v>0.5</v>
      </c>
    </row>
    <row r="155" spans="1:4">
      <c r="A155" t="str">
        <f t="shared" si="130"/>
        <v>Vegetables</v>
      </c>
      <c r="B155" t="str">
        <f t="shared" si="131"/>
        <v>Somali</v>
      </c>
      <c r="C155" s="2">
        <v>0</v>
      </c>
      <c r="D155" s="2">
        <v>0.5</v>
      </c>
    </row>
    <row r="156" spans="1:4">
      <c r="A156" t="str">
        <f t="shared" si="130"/>
        <v>Vegetables</v>
      </c>
      <c r="B156" t="str">
        <f t="shared" si="131"/>
        <v>SNNPR</v>
      </c>
      <c r="C156" s="2">
        <v>91</v>
      </c>
      <c r="D156" s="2">
        <v>0.5</v>
      </c>
    </row>
    <row r="157" spans="1:4">
      <c r="A157" t="str">
        <f t="shared" si="130"/>
        <v>Vegetables</v>
      </c>
      <c r="B157" t="str">
        <f t="shared" si="131"/>
        <v>Tigray</v>
      </c>
      <c r="C157" s="2">
        <v>90</v>
      </c>
      <c r="D157" s="2">
        <v>0.5</v>
      </c>
    </row>
    <row r="158" spans="1:4">
      <c r="A158" t="str">
        <f t="shared" si="130"/>
        <v>Coffee</v>
      </c>
      <c r="B158" t="str">
        <f t="shared" si="131"/>
        <v>AddisAbaba</v>
      </c>
      <c r="C158" s="2">
        <v>0</v>
      </c>
      <c r="D158" s="2">
        <v>0</v>
      </c>
    </row>
    <row r="159" spans="1:4">
      <c r="A159" t="str">
        <f t="shared" si="130"/>
        <v>Coffee</v>
      </c>
      <c r="B159" t="str">
        <f t="shared" si="131"/>
        <v>Afar</v>
      </c>
      <c r="C159" s="2">
        <v>0</v>
      </c>
      <c r="D159" s="2">
        <v>0.5</v>
      </c>
    </row>
    <row r="160" spans="1:4">
      <c r="A160" t="str">
        <f t="shared" si="130"/>
        <v>Coffee</v>
      </c>
      <c r="B160" t="str">
        <f t="shared" si="131"/>
        <v>Amhara</v>
      </c>
      <c r="C160" s="2">
        <v>7</v>
      </c>
      <c r="D160" s="2">
        <v>0.5</v>
      </c>
    </row>
    <row r="161" spans="1:4">
      <c r="A161" t="str">
        <f t="shared" si="130"/>
        <v>Coffee</v>
      </c>
      <c r="B161" t="str">
        <f t="shared" si="131"/>
        <v>Gumuz</v>
      </c>
      <c r="C161" s="2">
        <v>9</v>
      </c>
      <c r="D161" s="2">
        <v>0.5</v>
      </c>
    </row>
    <row r="162" spans="1:4">
      <c r="A162" t="str">
        <f t="shared" si="130"/>
        <v>Coffee</v>
      </c>
      <c r="B162" t="str">
        <f t="shared" si="131"/>
        <v>DireDawa</v>
      </c>
      <c r="C162" s="2">
        <v>4</v>
      </c>
      <c r="D162" s="2">
        <v>0.5</v>
      </c>
    </row>
    <row r="163" spans="1:4">
      <c r="A163" t="str">
        <f t="shared" si="130"/>
        <v>Coffee</v>
      </c>
      <c r="B163" t="str">
        <f t="shared" si="131"/>
        <v>Gambela</v>
      </c>
      <c r="C163" s="2">
        <v>0</v>
      </c>
      <c r="D163" s="2">
        <v>0</v>
      </c>
    </row>
    <row r="164" spans="1:4">
      <c r="A164" t="str">
        <f t="shared" si="130"/>
        <v>Coffee</v>
      </c>
      <c r="B164" t="str">
        <f t="shared" si="131"/>
        <v>Harari</v>
      </c>
      <c r="C164" s="2">
        <v>50</v>
      </c>
      <c r="D164" s="2">
        <v>0.5</v>
      </c>
    </row>
    <row r="165" spans="1:4">
      <c r="A165" t="str">
        <f t="shared" si="130"/>
        <v>Coffee</v>
      </c>
      <c r="B165" t="str">
        <f t="shared" si="131"/>
        <v>Oromia</v>
      </c>
      <c r="C165" s="2">
        <v>7</v>
      </c>
      <c r="D165" s="2">
        <v>0.5</v>
      </c>
    </row>
    <row r="166" spans="1:4">
      <c r="A166" t="str">
        <f t="shared" si="130"/>
        <v>Coffee</v>
      </c>
      <c r="B166" t="str">
        <f t="shared" si="131"/>
        <v>Somali</v>
      </c>
      <c r="C166" s="2">
        <v>0</v>
      </c>
      <c r="D166" s="2">
        <v>0.5</v>
      </c>
    </row>
    <row r="167" spans="1:4">
      <c r="A167" t="str">
        <f t="shared" si="130"/>
        <v>Coffee</v>
      </c>
      <c r="B167" t="str">
        <f t="shared" si="131"/>
        <v>SNNPR</v>
      </c>
      <c r="C167" s="2">
        <v>8</v>
      </c>
      <c r="D167" s="2">
        <v>0.5</v>
      </c>
    </row>
    <row r="168" spans="1:4">
      <c r="A168" t="str">
        <f t="shared" si="130"/>
        <v>Coffee</v>
      </c>
      <c r="B168" t="str">
        <f t="shared" si="131"/>
        <v>Tigray</v>
      </c>
      <c r="C168" s="2">
        <v>12</v>
      </c>
      <c r="D168" s="2">
        <v>0.5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90"/>
  <sheetViews>
    <sheetView topLeftCell="A49" zoomScale="85" zoomScaleNormal="85" workbookViewId="0">
      <selection activeCell="F70" sqref="F70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" si="0">D1</f>
        <v>Belg</v>
      </c>
      <c r="G1" t="str">
        <f t="shared" ref="G1" si="1">E1</f>
        <v>Kremt</v>
      </c>
      <c r="H1" t="str">
        <f t="shared" ref="H1" si="2">F1</f>
        <v>Belg</v>
      </c>
      <c r="I1" t="str">
        <f t="shared" ref="I1" si="3">G1</f>
        <v>Kremt</v>
      </c>
      <c r="J1" t="str">
        <f t="shared" ref="J1" si="4">H1</f>
        <v>Belg</v>
      </c>
      <c r="K1" t="str">
        <f t="shared" ref="K1" si="5">I1</f>
        <v>Kremt</v>
      </c>
      <c r="L1" t="str">
        <f t="shared" ref="L1" si="6">J1</f>
        <v>Belg</v>
      </c>
      <c r="M1" t="str">
        <f t="shared" ref="M1" si="7">K1</f>
        <v>Kremt</v>
      </c>
      <c r="N1" t="str">
        <f t="shared" ref="N1" si="8">L1</f>
        <v>Belg</v>
      </c>
      <c r="O1" t="str">
        <f t="shared" ref="O1" si="9">M1</f>
        <v>Kremt</v>
      </c>
      <c r="P1" t="str">
        <f t="shared" ref="P1" si="10">N1</f>
        <v>Belg</v>
      </c>
      <c r="Q1" t="str">
        <f t="shared" ref="Q1" si="11">O1</f>
        <v>Kremt</v>
      </c>
      <c r="R1" t="str">
        <f t="shared" ref="R1" si="12">P1</f>
        <v>Belg</v>
      </c>
      <c r="S1" t="str">
        <f t="shared" ref="S1" si="13">Q1</f>
        <v>Kremt</v>
      </c>
      <c r="T1" t="str">
        <f t="shared" ref="T1" si="14">R1</f>
        <v>Belg</v>
      </c>
      <c r="U1" t="str">
        <f t="shared" ref="U1" si="15">S1</f>
        <v>Kremt</v>
      </c>
      <c r="V1" t="str">
        <f t="shared" ref="V1" si="16">T1</f>
        <v>Belg</v>
      </c>
      <c r="W1" t="str">
        <f t="shared" ref="W1" si="17">U1</f>
        <v>Kremt</v>
      </c>
      <c r="X1" t="str">
        <f t="shared" ref="X1" si="18">V1</f>
        <v>Belg</v>
      </c>
      <c r="Y1" t="str">
        <f t="shared" ref="Y1" si="19">W1</f>
        <v>Kremt</v>
      </c>
      <c r="Z1" t="str">
        <f t="shared" ref="Z1" si="20">X1</f>
        <v>Belg</v>
      </c>
      <c r="AA1" t="str">
        <f t="shared" ref="AA1" si="21">Y1</f>
        <v>Kremt</v>
      </c>
      <c r="AB1" t="str">
        <f t="shared" ref="AB1" si="22">Z1</f>
        <v>Belg</v>
      </c>
      <c r="AC1" t="str">
        <f t="shared" ref="AC1" si="23">AA1</f>
        <v>Kremt</v>
      </c>
      <c r="AD1" t="str">
        <f t="shared" ref="AD1" si="24">AB1</f>
        <v>Belg</v>
      </c>
      <c r="AE1" t="str">
        <f t="shared" ref="AE1" si="25">AC1</f>
        <v>Kremt</v>
      </c>
      <c r="AF1" t="str">
        <f t="shared" ref="AF1" si="26">AD1</f>
        <v>Belg</v>
      </c>
      <c r="AG1" t="str">
        <f t="shared" ref="AG1" si="27">AE1</f>
        <v>Kremt</v>
      </c>
      <c r="AH1" t="str">
        <f t="shared" ref="AH1" si="28">AF1</f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((RAND()*1+2)*110)*10*1.2</f>
        <v>3897.0236940707905</v>
      </c>
      <c r="D3" s="2">
        <f t="shared" ref="D3:AH11" ca="1" si="30">((RAND()*1+2)*110)*10*1.2</f>
        <v>3330.7676386417897</v>
      </c>
      <c r="E3" s="2">
        <f t="shared" ca="1" si="30"/>
        <v>3642.8461241592586</v>
      </c>
      <c r="F3" s="2">
        <f t="shared" ca="1" si="30"/>
        <v>2885.8203107039549</v>
      </c>
      <c r="G3" s="2">
        <f t="shared" ca="1" si="30"/>
        <v>3308.2381687839397</v>
      </c>
      <c r="H3" s="2">
        <f t="shared" ca="1" si="30"/>
        <v>3939.1774422903959</v>
      </c>
      <c r="I3" s="2">
        <f t="shared" ca="1" si="30"/>
        <v>3753.7325891834448</v>
      </c>
      <c r="J3" s="2">
        <f t="shared" ca="1" si="30"/>
        <v>2765.5799903397447</v>
      </c>
      <c r="K3" s="2">
        <f t="shared" ca="1" si="30"/>
        <v>3659.5052552163929</v>
      </c>
      <c r="L3" s="2">
        <f t="shared" ca="1" si="30"/>
        <v>2912.234124535295</v>
      </c>
      <c r="M3" s="2">
        <f t="shared" ca="1" si="30"/>
        <v>3221.5380927421475</v>
      </c>
      <c r="N3" s="2">
        <f t="shared" ca="1" si="30"/>
        <v>3078.8547803693477</v>
      </c>
      <c r="O3" s="2">
        <f t="shared" ca="1" si="30"/>
        <v>3247.3101168624471</v>
      </c>
      <c r="P3" s="2">
        <f t="shared" ca="1" si="30"/>
        <v>2798.0274188067233</v>
      </c>
      <c r="Q3" s="2">
        <f t="shared" ca="1" si="30"/>
        <v>3030.5935653429819</v>
      </c>
      <c r="R3" s="2">
        <f t="shared" ca="1" si="30"/>
        <v>3819.8513252792718</v>
      </c>
      <c r="S3" s="2">
        <f t="shared" ca="1" si="30"/>
        <v>2711.1267978160608</v>
      </c>
      <c r="T3" s="2">
        <f t="shared" ca="1" si="30"/>
        <v>2972.7624933713646</v>
      </c>
      <c r="U3" s="2">
        <f t="shared" ca="1" si="30"/>
        <v>3490.7025715416448</v>
      </c>
      <c r="V3" s="2">
        <f t="shared" ca="1" si="30"/>
        <v>2688.061833795241</v>
      </c>
      <c r="W3" s="2">
        <f t="shared" ca="1" si="30"/>
        <v>3324.402076780787</v>
      </c>
      <c r="X3" s="2">
        <f t="shared" ca="1" si="30"/>
        <v>3293.5241864818663</v>
      </c>
      <c r="Y3" s="2">
        <f t="shared" ca="1" si="30"/>
        <v>3452.1350242707636</v>
      </c>
      <c r="Z3" s="2">
        <f t="shared" ca="1" si="30"/>
        <v>3378.7995812568247</v>
      </c>
      <c r="AA3" s="2">
        <f t="shared" ca="1" si="30"/>
        <v>3272.4896080128356</v>
      </c>
      <c r="AB3" s="2">
        <f t="shared" ca="1" si="30"/>
        <v>3295.2611409850751</v>
      </c>
      <c r="AC3" s="2">
        <f t="shared" ca="1" si="30"/>
        <v>3765.0109317384822</v>
      </c>
      <c r="AD3" s="2">
        <f t="shared" ca="1" si="30"/>
        <v>3407.7540906320937</v>
      </c>
      <c r="AE3" s="2">
        <f t="shared" ca="1" si="30"/>
        <v>3415.4280203574158</v>
      </c>
      <c r="AF3" s="2">
        <f t="shared" ca="1" si="30"/>
        <v>2775.3046461942508</v>
      </c>
      <c r="AG3" s="2">
        <f t="shared" ca="1" si="30"/>
        <v>3834.9606382391921</v>
      </c>
      <c r="AH3" s="2">
        <f t="shared" ca="1" si="30"/>
        <v>3264.349148729385</v>
      </c>
    </row>
    <row r="4" spans="1:34">
      <c r="A4" t="str">
        <f>sets!$H$3</f>
        <v>Teff</v>
      </c>
      <c r="B4" t="str">
        <v>Afar</v>
      </c>
      <c r="C4" s="2">
        <f t="shared" ref="C4:R35" ca="1" si="31">((RAND()*1+2)*110)*10*1.2</f>
        <v>3179.3421702980895</v>
      </c>
      <c r="D4" s="2">
        <f t="shared" ca="1" si="30"/>
        <v>2784.8665507105984</v>
      </c>
      <c r="E4" s="2">
        <f t="shared" ca="1" si="30"/>
        <v>3511.4820491143305</v>
      </c>
      <c r="F4" s="2">
        <f t="shared" ca="1" si="30"/>
        <v>3441.4934506596669</v>
      </c>
      <c r="G4" s="2">
        <f t="shared" ca="1" si="30"/>
        <v>3353.0082517352485</v>
      </c>
      <c r="H4" s="2">
        <f t="shared" ca="1" si="30"/>
        <v>3208.7296296497884</v>
      </c>
      <c r="I4" s="2">
        <f t="shared" ca="1" si="30"/>
        <v>3951.1895140726456</v>
      </c>
      <c r="J4" s="2">
        <f t="shared" ca="1" si="30"/>
        <v>3711.5669667095431</v>
      </c>
      <c r="K4" s="2">
        <f t="shared" ca="1" si="30"/>
        <v>3057.0700590167517</v>
      </c>
      <c r="L4" s="2">
        <f t="shared" ca="1" si="30"/>
        <v>3657.6238722540324</v>
      </c>
      <c r="M4" s="2">
        <f t="shared" ca="1" si="30"/>
        <v>3271.3045550498969</v>
      </c>
      <c r="N4" s="2">
        <f t="shared" ca="1" si="30"/>
        <v>2958.1315703592945</v>
      </c>
      <c r="O4" s="2">
        <f t="shared" ca="1" si="30"/>
        <v>3121.0876107747745</v>
      </c>
      <c r="P4" s="2">
        <f t="shared" ca="1" si="30"/>
        <v>3238.9786999861321</v>
      </c>
      <c r="Q4" s="2">
        <f t="shared" ca="1" si="30"/>
        <v>3791.4451837873294</v>
      </c>
      <c r="R4" s="2">
        <f t="shared" ca="1" si="30"/>
        <v>3234.101081656609</v>
      </c>
      <c r="S4" s="2">
        <f t="shared" ca="1" si="30"/>
        <v>3396.365587254405</v>
      </c>
      <c r="T4" s="2">
        <f t="shared" ca="1" si="30"/>
        <v>3952.09886874941</v>
      </c>
      <c r="U4" s="2">
        <f t="shared" ca="1" si="30"/>
        <v>3097.5486575501604</v>
      </c>
      <c r="V4" s="2">
        <f t="shared" ca="1" si="30"/>
        <v>2870.9519974436116</v>
      </c>
      <c r="W4" s="2">
        <f t="shared" ca="1" si="30"/>
        <v>3110.4311416574155</v>
      </c>
      <c r="X4" s="2">
        <f t="shared" ca="1" si="30"/>
        <v>2953.9222281102961</v>
      </c>
      <c r="Y4" s="2">
        <f t="shared" ca="1" si="30"/>
        <v>3724.2459512634418</v>
      </c>
      <c r="Z4" s="2">
        <f t="shared" ca="1" si="30"/>
        <v>3613.9923028052067</v>
      </c>
      <c r="AA4" s="2">
        <f t="shared" ca="1" si="30"/>
        <v>3060.1817954354278</v>
      </c>
      <c r="AB4" s="2">
        <f t="shared" ca="1" si="30"/>
        <v>2969.764309314703</v>
      </c>
      <c r="AC4" s="2">
        <f t="shared" ca="1" si="30"/>
        <v>2664.9057912601425</v>
      </c>
      <c r="AD4" s="2">
        <f t="shared" ca="1" si="30"/>
        <v>3436.2416854041635</v>
      </c>
      <c r="AE4" s="2">
        <f t="shared" ca="1" si="30"/>
        <v>3080.8424027757906</v>
      </c>
      <c r="AF4" s="2">
        <f t="shared" ca="1" si="30"/>
        <v>3138.3943776619076</v>
      </c>
      <c r="AG4" s="2">
        <f t="shared" ca="1" si="30"/>
        <v>3762.800555125501</v>
      </c>
      <c r="AH4" s="2">
        <f t="shared" ca="1" si="30"/>
        <v>3166.677789871816</v>
      </c>
    </row>
    <row r="5" spans="1:34">
      <c r="A5" t="str">
        <f>sets!$H$3</f>
        <v>Teff</v>
      </c>
      <c r="B5" t="str">
        <v>Amhara</v>
      </c>
      <c r="C5" s="2">
        <f t="shared" ca="1" si="31"/>
        <v>2682.1077079658944</v>
      </c>
      <c r="D5" s="2">
        <f t="shared" ca="1" si="30"/>
        <v>3886.8754249875265</v>
      </c>
      <c r="E5" s="2">
        <f t="shared" ca="1" si="30"/>
        <v>3420.299137991623</v>
      </c>
      <c r="F5" s="2">
        <f t="shared" ca="1" si="30"/>
        <v>3617.8631196850256</v>
      </c>
      <c r="G5" s="2">
        <f t="shared" ca="1" si="30"/>
        <v>3795.0082212563998</v>
      </c>
      <c r="H5" s="2">
        <f t="shared" ca="1" si="30"/>
        <v>3755.8951935751625</v>
      </c>
      <c r="I5" s="2">
        <f t="shared" ca="1" si="30"/>
        <v>2796.8645997459289</v>
      </c>
      <c r="J5" s="2">
        <f t="shared" ca="1" si="30"/>
        <v>2892.4615723847123</v>
      </c>
      <c r="K5" s="2">
        <f t="shared" ca="1" si="30"/>
        <v>3933.4612254353815</v>
      </c>
      <c r="L5" s="2">
        <f t="shared" ca="1" si="30"/>
        <v>2716.8010704113285</v>
      </c>
      <c r="M5" s="2">
        <f t="shared" ca="1" si="30"/>
        <v>2882.9201622788019</v>
      </c>
      <c r="N5" s="2">
        <f t="shared" ca="1" si="30"/>
        <v>2856.4498169603189</v>
      </c>
      <c r="O5" s="2">
        <f t="shared" ca="1" si="30"/>
        <v>3268.9174149874048</v>
      </c>
      <c r="P5" s="2">
        <f t="shared" ca="1" si="30"/>
        <v>3053.9438583726592</v>
      </c>
      <c r="Q5" s="2">
        <f t="shared" ca="1" si="30"/>
        <v>3174.8328095821266</v>
      </c>
      <c r="R5" s="2">
        <f t="shared" ca="1" si="30"/>
        <v>3045.5999734959355</v>
      </c>
      <c r="S5" s="2">
        <f t="shared" ca="1" si="30"/>
        <v>3880.6211156824247</v>
      </c>
      <c r="T5" s="2">
        <f t="shared" ca="1" si="30"/>
        <v>3956.1479396410764</v>
      </c>
      <c r="U5" s="2">
        <f t="shared" ca="1" si="30"/>
        <v>3104.8694186699631</v>
      </c>
      <c r="V5" s="2">
        <f t="shared" ca="1" si="30"/>
        <v>3166.4843002612665</v>
      </c>
      <c r="W5" s="2">
        <f t="shared" ca="1" si="30"/>
        <v>3706.6021807561779</v>
      </c>
      <c r="X5" s="2">
        <f t="shared" ca="1" si="30"/>
        <v>3751.0565096428973</v>
      </c>
      <c r="Y5" s="2">
        <f t="shared" ca="1" si="30"/>
        <v>3398.3230390460967</v>
      </c>
      <c r="Z5" s="2">
        <f t="shared" ca="1" si="30"/>
        <v>3884.5938995012152</v>
      </c>
      <c r="AA5" s="2">
        <f t="shared" ca="1" si="30"/>
        <v>3592.707287565901</v>
      </c>
      <c r="AB5" s="2">
        <f t="shared" ca="1" si="30"/>
        <v>3957.2236952186881</v>
      </c>
      <c r="AC5" s="2">
        <f t="shared" ca="1" si="30"/>
        <v>2657.2707741055779</v>
      </c>
      <c r="AD5" s="2">
        <f t="shared" ca="1" si="30"/>
        <v>3936.1227343033761</v>
      </c>
      <c r="AE5" s="2">
        <f t="shared" ca="1" si="30"/>
        <v>3844.8458385196818</v>
      </c>
      <c r="AF5" s="2">
        <f t="shared" ca="1" si="30"/>
        <v>3054.6477544968111</v>
      </c>
      <c r="AG5" s="2">
        <f t="shared" ca="1" si="30"/>
        <v>3570.0077686716377</v>
      </c>
      <c r="AH5" s="2">
        <f t="shared" ca="1" si="30"/>
        <v>2868.7135163687067</v>
      </c>
    </row>
    <row r="6" spans="1:34">
      <c r="A6" t="str">
        <f>sets!$H$3</f>
        <v>Teff</v>
      </c>
      <c r="B6" t="str">
        <v>Gumuz</v>
      </c>
      <c r="C6" s="2">
        <f t="shared" ca="1" si="31"/>
        <v>3439.1530241761297</v>
      </c>
      <c r="D6" s="2">
        <f t="shared" ca="1" si="30"/>
        <v>2791.0304927117536</v>
      </c>
      <c r="E6" s="2">
        <f t="shared" ca="1" si="30"/>
        <v>2927.3000647089252</v>
      </c>
      <c r="F6" s="2">
        <f t="shared" ca="1" si="30"/>
        <v>3914.0222145189732</v>
      </c>
      <c r="G6" s="2">
        <f t="shared" ca="1" si="30"/>
        <v>2757.2061422218444</v>
      </c>
      <c r="H6" s="2">
        <f t="shared" ca="1" si="30"/>
        <v>3530.0853031224292</v>
      </c>
      <c r="I6" s="2">
        <f t="shared" ca="1" si="30"/>
        <v>2807.7267946588204</v>
      </c>
      <c r="J6" s="2">
        <f t="shared" ca="1" si="30"/>
        <v>3360.4564690296997</v>
      </c>
      <c r="K6" s="2">
        <f t="shared" ca="1" si="30"/>
        <v>3415.0023243225428</v>
      </c>
      <c r="L6" s="2">
        <f t="shared" ca="1" si="30"/>
        <v>3124.4563782775535</v>
      </c>
      <c r="M6" s="2">
        <f t="shared" ca="1" si="30"/>
        <v>2872.3737693663775</v>
      </c>
      <c r="N6" s="2">
        <f t="shared" ca="1" si="30"/>
        <v>2789.238875104958</v>
      </c>
      <c r="O6" s="2">
        <f t="shared" ca="1" si="30"/>
        <v>3425.806713873792</v>
      </c>
      <c r="P6" s="2">
        <f t="shared" ca="1" si="30"/>
        <v>2735.8180163147331</v>
      </c>
      <c r="Q6" s="2">
        <f t="shared" ca="1" si="30"/>
        <v>3162.2826002993129</v>
      </c>
      <c r="R6" s="2">
        <f t="shared" ca="1" si="30"/>
        <v>3215.8237815933085</v>
      </c>
      <c r="S6" s="2">
        <f t="shared" ca="1" si="30"/>
        <v>3420.0337427247496</v>
      </c>
      <c r="T6" s="2">
        <f t="shared" ca="1" si="30"/>
        <v>2907.9764893679294</v>
      </c>
      <c r="U6" s="2">
        <f t="shared" ca="1" si="30"/>
        <v>2660.1579611445259</v>
      </c>
      <c r="V6" s="2">
        <f t="shared" ca="1" si="30"/>
        <v>3947.3126783654429</v>
      </c>
      <c r="W6" s="2">
        <f t="shared" ca="1" si="30"/>
        <v>3838.1594790242179</v>
      </c>
      <c r="X6" s="2">
        <f t="shared" ca="1" si="30"/>
        <v>2975.8078000674973</v>
      </c>
      <c r="Y6" s="2">
        <f t="shared" ca="1" si="30"/>
        <v>2680.6663305717634</v>
      </c>
      <c r="Z6" s="2">
        <f t="shared" ca="1" si="30"/>
        <v>3475.3495750886818</v>
      </c>
      <c r="AA6" s="2">
        <f t="shared" ca="1" si="30"/>
        <v>3380.126543905033</v>
      </c>
      <c r="AB6" s="2">
        <f t="shared" ca="1" si="30"/>
        <v>3697.024114663308</v>
      </c>
      <c r="AC6" s="2">
        <f t="shared" ca="1" si="30"/>
        <v>3581.7291955279561</v>
      </c>
      <c r="AD6" s="2">
        <f t="shared" ca="1" si="30"/>
        <v>3439.5100421265029</v>
      </c>
      <c r="AE6" s="2">
        <f t="shared" ca="1" si="30"/>
        <v>3138.9688671175622</v>
      </c>
      <c r="AF6" s="2">
        <f t="shared" ca="1" si="30"/>
        <v>2660.4931347006873</v>
      </c>
      <c r="AG6" s="2">
        <f t="shared" ca="1" si="30"/>
        <v>3861.7079472625455</v>
      </c>
      <c r="AH6" s="2">
        <f t="shared" ca="1" si="30"/>
        <v>3846.0261703866508</v>
      </c>
    </row>
    <row r="7" spans="1:34">
      <c r="A7" t="str">
        <f>sets!$H$3</f>
        <v>Teff</v>
      </c>
      <c r="B7" t="str">
        <v>DireDawa</v>
      </c>
      <c r="C7" s="2">
        <f t="shared" ca="1" si="31"/>
        <v>3882.4056874527969</v>
      </c>
      <c r="D7" s="2">
        <f t="shared" ca="1" si="30"/>
        <v>3373.3013866991505</v>
      </c>
      <c r="E7" s="2">
        <f t="shared" ca="1" si="30"/>
        <v>3905.1373889115694</v>
      </c>
      <c r="F7" s="2">
        <f t="shared" ca="1" si="30"/>
        <v>3805.9914712479081</v>
      </c>
      <c r="G7" s="2">
        <f t="shared" ca="1" si="30"/>
        <v>2902.2648729747361</v>
      </c>
      <c r="H7" s="2">
        <f t="shared" ca="1" si="30"/>
        <v>3527.6827621445877</v>
      </c>
      <c r="I7" s="2">
        <f t="shared" ca="1" si="30"/>
        <v>2809.506190263136</v>
      </c>
      <c r="J7" s="2">
        <f t="shared" ca="1" si="30"/>
        <v>3629.0055083119955</v>
      </c>
      <c r="K7" s="2">
        <f t="shared" ca="1" si="30"/>
        <v>3311.5320630261081</v>
      </c>
      <c r="L7" s="2">
        <f t="shared" ca="1" si="30"/>
        <v>3414.0437026774398</v>
      </c>
      <c r="M7" s="2">
        <f t="shared" ca="1" si="30"/>
        <v>3574.8047527400572</v>
      </c>
      <c r="N7" s="2">
        <f t="shared" ca="1" si="30"/>
        <v>3275.8398793525616</v>
      </c>
      <c r="O7" s="2">
        <f t="shared" ca="1" si="30"/>
        <v>3806.7800702291156</v>
      </c>
      <c r="P7" s="2">
        <f t="shared" ca="1" si="30"/>
        <v>3254.7143103770986</v>
      </c>
      <c r="Q7" s="2">
        <f t="shared" ca="1" si="30"/>
        <v>2868.3997175716981</v>
      </c>
      <c r="R7" s="2">
        <f t="shared" ca="1" si="30"/>
        <v>3649.0558483616473</v>
      </c>
      <c r="S7" s="2">
        <f t="shared" ca="1" si="30"/>
        <v>2870.5619853517474</v>
      </c>
      <c r="T7" s="2">
        <f t="shared" ca="1" si="30"/>
        <v>2946.4820385222279</v>
      </c>
      <c r="U7" s="2">
        <f t="shared" ca="1" si="30"/>
        <v>3340.6701078210385</v>
      </c>
      <c r="V7" s="2">
        <f t="shared" ca="1" si="30"/>
        <v>3201.8388002949746</v>
      </c>
      <c r="W7" s="2">
        <f t="shared" ca="1" si="30"/>
        <v>3867.3798323218261</v>
      </c>
      <c r="X7" s="2">
        <f t="shared" ca="1" si="30"/>
        <v>3590.4728044088138</v>
      </c>
      <c r="Y7" s="2">
        <f t="shared" ca="1" si="30"/>
        <v>3242.5181018183011</v>
      </c>
      <c r="Z7" s="2">
        <f t="shared" ca="1" si="30"/>
        <v>3350.6151470399268</v>
      </c>
      <c r="AA7" s="2">
        <f t="shared" ca="1" si="30"/>
        <v>3256.0960222921181</v>
      </c>
      <c r="AB7" s="2">
        <f t="shared" ca="1" si="30"/>
        <v>3895.9026944961979</v>
      </c>
      <c r="AC7" s="2">
        <f t="shared" ca="1" si="30"/>
        <v>3770.4083901857925</v>
      </c>
      <c r="AD7" s="2">
        <f t="shared" ca="1" si="30"/>
        <v>2664.3519275189669</v>
      </c>
      <c r="AE7" s="2">
        <f t="shared" ca="1" si="30"/>
        <v>2950.5040638297282</v>
      </c>
      <c r="AF7" s="2">
        <f t="shared" ca="1" si="30"/>
        <v>2687.8616608980306</v>
      </c>
      <c r="AG7" s="2">
        <f t="shared" ca="1" si="30"/>
        <v>2664.0824870256693</v>
      </c>
      <c r="AH7" s="2">
        <f t="shared" ca="1" si="30"/>
        <v>3812.4416569452596</v>
      </c>
    </row>
    <row r="8" spans="1:34">
      <c r="A8" t="str">
        <f>sets!$H$3</f>
        <v>Teff</v>
      </c>
      <c r="B8" t="str">
        <v>Gambela</v>
      </c>
      <c r="C8" s="2">
        <f t="shared" ca="1" si="31"/>
        <v>3626.0881035932071</v>
      </c>
      <c r="D8" s="2">
        <f t="shared" ca="1" si="30"/>
        <v>3442.3288470642069</v>
      </c>
      <c r="E8" s="2">
        <f t="shared" ca="1" si="30"/>
        <v>3153.6343263496383</v>
      </c>
      <c r="F8" s="2">
        <f t="shared" ca="1" si="30"/>
        <v>3534.8530537167735</v>
      </c>
      <c r="G8" s="2">
        <f t="shared" ca="1" si="30"/>
        <v>3773.2236271939241</v>
      </c>
      <c r="H8" s="2">
        <f t="shared" ca="1" si="30"/>
        <v>2938.8079577732524</v>
      </c>
      <c r="I8" s="2">
        <f t="shared" ca="1" si="30"/>
        <v>3630.486099077018</v>
      </c>
      <c r="J8" s="2">
        <f t="shared" ca="1" si="30"/>
        <v>3057.72821320704</v>
      </c>
      <c r="K8" s="2">
        <f t="shared" ca="1" si="30"/>
        <v>3161.9159115675579</v>
      </c>
      <c r="L8" s="2">
        <f t="shared" ca="1" si="30"/>
        <v>3774.7441897306403</v>
      </c>
      <c r="M8" s="2">
        <f t="shared" ca="1" si="30"/>
        <v>2675.5454652489739</v>
      </c>
      <c r="N8" s="2">
        <f t="shared" ca="1" si="30"/>
        <v>3251.5440507027083</v>
      </c>
      <c r="O8" s="2">
        <f t="shared" ca="1" si="30"/>
        <v>3382.5951882219301</v>
      </c>
      <c r="P8" s="2">
        <f t="shared" ca="1" si="30"/>
        <v>3103.5095144055736</v>
      </c>
      <c r="Q8" s="2">
        <f t="shared" ca="1" si="30"/>
        <v>2863.7288526260277</v>
      </c>
      <c r="R8" s="2">
        <f t="shared" ca="1" si="30"/>
        <v>3005.7898252274249</v>
      </c>
      <c r="S8" s="2">
        <f t="shared" ca="1" si="30"/>
        <v>3764.89330152401</v>
      </c>
      <c r="T8" s="2">
        <f t="shared" ca="1" si="30"/>
        <v>2942.4791197841346</v>
      </c>
      <c r="U8" s="2">
        <f t="shared" ca="1" si="30"/>
        <v>3639.5578250458493</v>
      </c>
      <c r="V8" s="2">
        <f t="shared" ca="1" si="30"/>
        <v>2897.1008997934309</v>
      </c>
      <c r="W8" s="2">
        <f t="shared" ca="1" si="30"/>
        <v>3420.8660088164106</v>
      </c>
      <c r="X8" s="2">
        <f t="shared" ca="1" si="30"/>
        <v>2929.2374544766376</v>
      </c>
      <c r="Y8" s="2">
        <f t="shared" ca="1" si="30"/>
        <v>3845.0606107316294</v>
      </c>
      <c r="Z8" s="2">
        <f t="shared" ca="1" si="30"/>
        <v>3512.0579804390859</v>
      </c>
      <c r="AA8" s="2">
        <f t="shared" ca="1" si="30"/>
        <v>3707.7157655101441</v>
      </c>
      <c r="AB8" s="2">
        <f t="shared" ca="1" si="30"/>
        <v>3866.0673855754603</v>
      </c>
      <c r="AC8" s="2">
        <f t="shared" ca="1" si="30"/>
        <v>3760.7047034276516</v>
      </c>
      <c r="AD8" s="2">
        <f t="shared" ca="1" si="30"/>
        <v>3266.8516200134422</v>
      </c>
      <c r="AE8" s="2">
        <f t="shared" ca="1" si="30"/>
        <v>3586.6660473649135</v>
      </c>
      <c r="AF8" s="2">
        <f t="shared" ca="1" si="30"/>
        <v>3264.5364650619454</v>
      </c>
      <c r="AG8" s="2">
        <f t="shared" ca="1" si="30"/>
        <v>2890.3102426086039</v>
      </c>
      <c r="AH8" s="2">
        <f t="shared" ca="1" si="30"/>
        <v>3921.047322181761</v>
      </c>
    </row>
    <row r="9" spans="1:34">
      <c r="A9" t="str">
        <f>sets!$H$3</f>
        <v>Teff</v>
      </c>
      <c r="B9" t="str">
        <v>Harari</v>
      </c>
      <c r="C9" s="2">
        <f t="shared" ca="1" si="31"/>
        <v>3785.0590598621739</v>
      </c>
      <c r="D9" s="2">
        <f t="shared" ca="1" si="30"/>
        <v>2684.5759226531513</v>
      </c>
      <c r="E9" s="2">
        <f t="shared" ca="1" si="30"/>
        <v>3847.7840312403159</v>
      </c>
      <c r="F9" s="2">
        <f t="shared" ca="1" si="30"/>
        <v>3546.1374286050695</v>
      </c>
      <c r="G9" s="2">
        <f t="shared" ca="1" si="30"/>
        <v>3725.7595897288606</v>
      </c>
      <c r="H9" s="2">
        <f t="shared" ca="1" si="30"/>
        <v>3270.9237266778046</v>
      </c>
      <c r="I9" s="2">
        <f t="shared" ca="1" si="30"/>
        <v>3183.6167598116435</v>
      </c>
      <c r="J9" s="2">
        <f t="shared" ca="1" si="30"/>
        <v>3278.3948956506915</v>
      </c>
      <c r="K9" s="2">
        <f t="shared" ca="1" si="30"/>
        <v>2642.6201573837157</v>
      </c>
      <c r="L9" s="2">
        <f t="shared" ca="1" si="30"/>
        <v>3341.7941129062542</v>
      </c>
      <c r="M9" s="2">
        <f t="shared" ca="1" si="30"/>
        <v>2680.8504060050814</v>
      </c>
      <c r="N9" s="2">
        <f t="shared" ca="1" si="30"/>
        <v>3713.0168149110291</v>
      </c>
      <c r="O9" s="2">
        <f t="shared" ca="1" si="30"/>
        <v>2661.5082984123969</v>
      </c>
      <c r="P9" s="2">
        <f t="shared" ca="1" si="30"/>
        <v>3776.4371803731701</v>
      </c>
      <c r="Q9" s="2">
        <f t="shared" ca="1" si="30"/>
        <v>3496.5320604587478</v>
      </c>
      <c r="R9" s="2">
        <f t="shared" ca="1" si="30"/>
        <v>3238.6292916617681</v>
      </c>
      <c r="S9" s="2">
        <f t="shared" ca="1" si="30"/>
        <v>2712.8245694086922</v>
      </c>
      <c r="T9" s="2">
        <f t="shared" ca="1" si="30"/>
        <v>3165.0676755106902</v>
      </c>
      <c r="U9" s="2">
        <f t="shared" ca="1" si="30"/>
        <v>3796.0138494860321</v>
      </c>
      <c r="V9" s="2">
        <f t="shared" ca="1" si="30"/>
        <v>2990.285856385246</v>
      </c>
      <c r="W9" s="2">
        <f t="shared" ca="1" si="30"/>
        <v>3559.3508395268914</v>
      </c>
      <c r="X9" s="2">
        <f t="shared" ca="1" si="30"/>
        <v>3516.8051790655768</v>
      </c>
      <c r="Y9" s="2">
        <f t="shared" ca="1" si="30"/>
        <v>3609.3593548661493</v>
      </c>
      <c r="Z9" s="2">
        <f t="shared" ca="1" si="30"/>
        <v>2937.2462900926284</v>
      </c>
      <c r="AA9" s="2">
        <f t="shared" ca="1" si="30"/>
        <v>2961.1518062544887</v>
      </c>
      <c r="AB9" s="2">
        <f t="shared" ca="1" si="30"/>
        <v>3484.1433945134472</v>
      </c>
      <c r="AC9" s="2">
        <f t="shared" ca="1" si="30"/>
        <v>3921.9639673202587</v>
      </c>
      <c r="AD9" s="2">
        <f t="shared" ca="1" si="30"/>
        <v>3348.5393726862285</v>
      </c>
      <c r="AE9" s="2">
        <f t="shared" ca="1" si="30"/>
        <v>3586.7024815120403</v>
      </c>
      <c r="AF9" s="2">
        <f t="shared" ca="1" si="30"/>
        <v>3900.1810764258071</v>
      </c>
      <c r="AG9" s="2">
        <f t="shared" ca="1" si="30"/>
        <v>2971.2420407588625</v>
      </c>
      <c r="AH9" s="2">
        <f t="shared" ca="1" si="30"/>
        <v>3222.1217371301227</v>
      </c>
    </row>
    <row r="10" spans="1:34">
      <c r="A10" t="str">
        <f>sets!$H$3</f>
        <v>Teff</v>
      </c>
      <c r="B10" t="str">
        <v>Oromia</v>
      </c>
      <c r="C10" s="2">
        <f t="shared" ca="1" si="31"/>
        <v>3365.5765790453975</v>
      </c>
      <c r="D10" s="2">
        <f t="shared" ca="1" si="30"/>
        <v>2650.9647974354853</v>
      </c>
      <c r="E10" s="2">
        <f t="shared" ca="1" si="30"/>
        <v>3189.3168853107486</v>
      </c>
      <c r="F10" s="2">
        <f t="shared" ca="1" si="30"/>
        <v>2973.6679934084814</v>
      </c>
      <c r="G10" s="2">
        <f t="shared" ca="1" si="30"/>
        <v>2962.5460439568856</v>
      </c>
      <c r="H10" s="2">
        <f t="shared" ca="1" si="30"/>
        <v>3819.1598040360341</v>
      </c>
      <c r="I10" s="2">
        <f t="shared" ca="1" si="30"/>
        <v>3619.6579576805584</v>
      </c>
      <c r="J10" s="2">
        <f t="shared" ca="1" si="30"/>
        <v>3129.3168294451575</v>
      </c>
      <c r="K10" s="2">
        <f t="shared" ca="1" si="30"/>
        <v>2858.4230454827507</v>
      </c>
      <c r="L10" s="2">
        <f t="shared" ca="1" si="30"/>
        <v>3375.7986150073889</v>
      </c>
      <c r="M10" s="2">
        <f t="shared" ca="1" si="30"/>
        <v>3901.759371143251</v>
      </c>
      <c r="N10" s="2">
        <f t="shared" ca="1" si="30"/>
        <v>2898.3339846932881</v>
      </c>
      <c r="O10" s="2">
        <f t="shared" ca="1" si="30"/>
        <v>3758.2136653680777</v>
      </c>
      <c r="P10" s="2">
        <f t="shared" ca="1" si="30"/>
        <v>3268.4397925006156</v>
      </c>
      <c r="Q10" s="2">
        <f t="shared" ca="1" si="30"/>
        <v>3263.4234511329532</v>
      </c>
      <c r="R10" s="2">
        <f t="shared" ca="1" si="30"/>
        <v>2850.7637111675735</v>
      </c>
      <c r="S10" s="2">
        <f t="shared" ca="1" si="30"/>
        <v>3951.0565505744307</v>
      </c>
      <c r="T10" s="2">
        <f t="shared" ca="1" si="30"/>
        <v>3197.9476535911886</v>
      </c>
      <c r="U10" s="2">
        <f t="shared" ca="1" si="30"/>
        <v>3931.4987311519662</v>
      </c>
      <c r="V10" s="2">
        <f t="shared" ca="1" si="30"/>
        <v>2960.2302524078837</v>
      </c>
      <c r="W10" s="2">
        <f t="shared" ca="1" si="30"/>
        <v>3630.4207199422203</v>
      </c>
      <c r="X10" s="2">
        <f t="shared" ca="1" si="30"/>
        <v>3286.1942943830586</v>
      </c>
      <c r="Y10" s="2">
        <f t="shared" ca="1" si="30"/>
        <v>3877.5674719517197</v>
      </c>
      <c r="Z10" s="2">
        <f t="shared" ca="1" si="30"/>
        <v>3304.8567846453357</v>
      </c>
      <c r="AA10" s="2">
        <f t="shared" ca="1" si="30"/>
        <v>2892.152355776811</v>
      </c>
      <c r="AB10" s="2">
        <f t="shared" ca="1" si="30"/>
        <v>3519.4629730777601</v>
      </c>
      <c r="AC10" s="2">
        <f t="shared" ca="1" si="30"/>
        <v>2870.4388572518988</v>
      </c>
      <c r="AD10" s="2">
        <f t="shared" ca="1" si="30"/>
        <v>2747.4405490122663</v>
      </c>
      <c r="AE10" s="2">
        <f t="shared" ca="1" si="30"/>
        <v>3079.6127729433383</v>
      </c>
      <c r="AF10" s="2">
        <f t="shared" ca="1" si="30"/>
        <v>2646.2534860943838</v>
      </c>
      <c r="AG10" s="2">
        <f t="shared" ca="1" si="30"/>
        <v>3667.6838115190194</v>
      </c>
      <c r="AH10" s="2">
        <f t="shared" ca="1" si="30"/>
        <v>2805.3211818491404</v>
      </c>
    </row>
    <row r="11" spans="1:34">
      <c r="A11" t="str">
        <f>sets!$H$3</f>
        <v>Teff</v>
      </c>
      <c r="B11" t="str">
        <v>Somali</v>
      </c>
      <c r="C11" s="2">
        <f t="shared" ca="1" si="31"/>
        <v>3007.8258195289386</v>
      </c>
      <c r="D11" s="2">
        <f t="shared" ca="1" si="30"/>
        <v>3003.491998287062</v>
      </c>
      <c r="E11" s="2">
        <f t="shared" ca="1" si="30"/>
        <v>3781.0808631907148</v>
      </c>
      <c r="F11" s="2">
        <f t="shared" ca="1" si="30"/>
        <v>2768.1267277769043</v>
      </c>
      <c r="G11" s="2">
        <f t="shared" ca="1" si="30"/>
        <v>3757.6354553258016</v>
      </c>
      <c r="H11" s="2">
        <f t="shared" ca="1" si="30"/>
        <v>3729.1040926591709</v>
      </c>
      <c r="I11" s="2">
        <f t="shared" ca="1" si="30"/>
        <v>3134.3830551267838</v>
      </c>
      <c r="J11" s="2">
        <f t="shared" ca="1" si="30"/>
        <v>2703.5263784614349</v>
      </c>
      <c r="K11" s="2">
        <f t="shared" ref="K11:Z74" ca="1" si="32">((RAND()*1+2)*110)*10*1.2</f>
        <v>3670.3209177033414</v>
      </c>
      <c r="L11" s="2">
        <f t="shared" ca="1" si="32"/>
        <v>3821.0031155806882</v>
      </c>
      <c r="M11" s="2">
        <f t="shared" ca="1" si="32"/>
        <v>2956.8555613433778</v>
      </c>
      <c r="N11" s="2">
        <f t="shared" ca="1" si="32"/>
        <v>3735.6770118773175</v>
      </c>
      <c r="O11" s="2">
        <f t="shared" ca="1" si="32"/>
        <v>3086.4942718556035</v>
      </c>
      <c r="P11" s="2">
        <f t="shared" ca="1" si="32"/>
        <v>2731.1686239900559</v>
      </c>
      <c r="Q11" s="2">
        <f t="shared" ca="1" si="32"/>
        <v>3877.6834659283199</v>
      </c>
      <c r="R11" s="2">
        <f t="shared" ca="1" si="32"/>
        <v>3635.7989123004172</v>
      </c>
      <c r="S11" s="2">
        <f t="shared" ca="1" si="32"/>
        <v>3500.4322135894681</v>
      </c>
      <c r="T11" s="2">
        <f t="shared" ca="1" si="32"/>
        <v>3035.7758705503088</v>
      </c>
      <c r="U11" s="2">
        <f t="shared" ca="1" si="32"/>
        <v>2666.3149520369029</v>
      </c>
      <c r="V11" s="2">
        <f t="shared" ca="1" si="32"/>
        <v>2798.9023647423815</v>
      </c>
      <c r="W11" s="2">
        <f t="shared" ca="1" si="32"/>
        <v>3160.0747691529168</v>
      </c>
      <c r="X11" s="2">
        <f t="shared" ca="1" si="32"/>
        <v>3146.5719505488669</v>
      </c>
      <c r="Y11" s="2">
        <f t="shared" ca="1" si="32"/>
        <v>3453.5995453069067</v>
      </c>
      <c r="Z11" s="2">
        <f t="shared" ca="1" si="32"/>
        <v>3580.8553713356509</v>
      </c>
      <c r="AA11" s="2">
        <f t="shared" ref="AA11:AH74" ca="1" si="33">((RAND()*1+2)*110)*10*1.2</f>
        <v>3172.1120930306261</v>
      </c>
      <c r="AB11" s="2">
        <f t="shared" ca="1" si="33"/>
        <v>2821.5584676588728</v>
      </c>
      <c r="AC11" s="2">
        <f t="shared" ca="1" si="33"/>
        <v>3701.3715375642414</v>
      </c>
      <c r="AD11" s="2">
        <f t="shared" ca="1" si="33"/>
        <v>3854.6691955081978</v>
      </c>
      <c r="AE11" s="2">
        <f t="shared" ca="1" si="33"/>
        <v>3075.8949820182279</v>
      </c>
      <c r="AF11" s="2">
        <f t="shared" ca="1" si="33"/>
        <v>3788.6901784225006</v>
      </c>
      <c r="AG11" s="2">
        <f t="shared" ca="1" si="33"/>
        <v>3473.080196507703</v>
      </c>
      <c r="AH11" s="2">
        <f t="shared" ca="1" si="33"/>
        <v>2795.8750916442386</v>
      </c>
    </row>
    <row r="12" spans="1:34">
      <c r="A12" t="str">
        <f>sets!$H$3</f>
        <v>Teff</v>
      </c>
      <c r="B12" t="str">
        <v>SNNPR</v>
      </c>
      <c r="C12" s="2">
        <f t="shared" ca="1" si="31"/>
        <v>3513.5872317189283</v>
      </c>
      <c r="D12" s="2">
        <f t="shared" ca="1" si="31"/>
        <v>3572.6511118399821</v>
      </c>
      <c r="E12" s="2">
        <f t="shared" ca="1" si="31"/>
        <v>3034.5773452535336</v>
      </c>
      <c r="F12" s="2">
        <f t="shared" ca="1" si="31"/>
        <v>2704.9220281815897</v>
      </c>
      <c r="G12" s="2">
        <f t="shared" ca="1" si="31"/>
        <v>3316.3109281954362</v>
      </c>
      <c r="H12" s="2">
        <f t="shared" ca="1" si="31"/>
        <v>3946.7266439677505</v>
      </c>
      <c r="I12" s="2">
        <f t="shared" ca="1" si="31"/>
        <v>2678.7577295431115</v>
      </c>
      <c r="J12" s="2">
        <f t="shared" ca="1" si="31"/>
        <v>3120.8595537992137</v>
      </c>
      <c r="K12" s="2">
        <f t="shared" ca="1" si="31"/>
        <v>2788.2260674988647</v>
      </c>
      <c r="L12" s="2">
        <f t="shared" ca="1" si="31"/>
        <v>3846.9598060526591</v>
      </c>
      <c r="M12" s="2">
        <f t="shared" ca="1" si="31"/>
        <v>2649.7077570001175</v>
      </c>
      <c r="N12" s="2">
        <f t="shared" ca="1" si="31"/>
        <v>3440.9746170102039</v>
      </c>
      <c r="O12" s="2">
        <f t="shared" ca="1" si="31"/>
        <v>2876.5145636051216</v>
      </c>
      <c r="P12" s="2">
        <f t="shared" ca="1" si="31"/>
        <v>3716.7531629856412</v>
      </c>
      <c r="Q12" s="2">
        <f t="shared" ca="1" si="31"/>
        <v>3006.2085482392567</v>
      </c>
      <c r="R12" s="2">
        <f t="shared" ca="1" si="31"/>
        <v>2855.9576346092767</v>
      </c>
      <c r="S12" s="2">
        <f t="shared" ca="1" si="32"/>
        <v>2874.4989914849589</v>
      </c>
      <c r="T12" s="2">
        <f t="shared" ca="1" si="32"/>
        <v>2653.8633304047112</v>
      </c>
      <c r="U12" s="2">
        <f t="shared" ca="1" si="32"/>
        <v>3352.655945694049</v>
      </c>
      <c r="V12" s="2">
        <f t="shared" ca="1" si="32"/>
        <v>3031.934848321388</v>
      </c>
      <c r="W12" s="2">
        <f t="shared" ca="1" si="32"/>
        <v>2778.1676474534183</v>
      </c>
      <c r="X12" s="2">
        <f t="shared" ca="1" si="32"/>
        <v>3881.4681446156706</v>
      </c>
      <c r="Y12" s="2">
        <f t="shared" ca="1" si="32"/>
        <v>3130.6045039924034</v>
      </c>
      <c r="Z12" s="2">
        <f t="shared" ca="1" si="32"/>
        <v>2824.3238868619114</v>
      </c>
      <c r="AA12" s="2">
        <f t="shared" ca="1" si="33"/>
        <v>3540.1574273231931</v>
      </c>
      <c r="AB12" s="2">
        <f t="shared" ca="1" si="33"/>
        <v>3753.8711295483395</v>
      </c>
      <c r="AC12" s="2">
        <f t="shared" ca="1" si="33"/>
        <v>3896.7339395923336</v>
      </c>
      <c r="AD12" s="2">
        <f t="shared" ca="1" si="33"/>
        <v>2954.2329953796875</v>
      </c>
      <c r="AE12" s="2">
        <f t="shared" ca="1" si="33"/>
        <v>3285.2270431401794</v>
      </c>
      <c r="AF12" s="2">
        <f t="shared" ca="1" si="33"/>
        <v>3751.37449367204</v>
      </c>
      <c r="AG12" s="2">
        <f t="shared" ca="1" si="33"/>
        <v>3075.6136818902351</v>
      </c>
      <c r="AH12" s="2">
        <f t="shared" ca="1" si="33"/>
        <v>3406.1524012008981</v>
      </c>
    </row>
    <row r="13" spans="1:34">
      <c r="A13" t="str">
        <f>sets!$H$3</f>
        <v>Teff</v>
      </c>
      <c r="B13" t="str">
        <v>Tigray</v>
      </c>
      <c r="C13" s="2">
        <f t="shared" ca="1" si="31"/>
        <v>3742.4837729241913</v>
      </c>
      <c r="D13" s="2">
        <f t="shared" ca="1" si="31"/>
        <v>3289.9750509428472</v>
      </c>
      <c r="E13" s="2">
        <f t="shared" ca="1" si="31"/>
        <v>3346.8824886970519</v>
      </c>
      <c r="F13" s="2">
        <f t="shared" ca="1" si="31"/>
        <v>3913.2941138132892</v>
      </c>
      <c r="G13" s="2">
        <f t="shared" ca="1" si="31"/>
        <v>3201.1884586824999</v>
      </c>
      <c r="H13" s="2">
        <f t="shared" ca="1" si="31"/>
        <v>3379.7178168908745</v>
      </c>
      <c r="I13" s="2">
        <f t="shared" ca="1" si="31"/>
        <v>3581.0794163084006</v>
      </c>
      <c r="J13" s="2">
        <f t="shared" ca="1" si="31"/>
        <v>3232.6385131560169</v>
      </c>
      <c r="K13" s="2">
        <f t="shared" ca="1" si="31"/>
        <v>2847.6242657210173</v>
      </c>
      <c r="L13" s="2">
        <f t="shared" ca="1" si="31"/>
        <v>3029.8134315237789</v>
      </c>
      <c r="M13" s="2">
        <f t="shared" ca="1" si="31"/>
        <v>3303.1415327734289</v>
      </c>
      <c r="N13" s="2">
        <f t="shared" ca="1" si="31"/>
        <v>3000.7178821488042</v>
      </c>
      <c r="O13" s="2">
        <f t="shared" ca="1" si="31"/>
        <v>3888.2022026367349</v>
      </c>
      <c r="P13" s="2">
        <f t="shared" ca="1" si="31"/>
        <v>3714.8494317350169</v>
      </c>
      <c r="Q13" s="2">
        <f t="shared" ca="1" si="31"/>
        <v>3077.0541704373004</v>
      </c>
      <c r="R13" s="2">
        <f t="shared" ca="1" si="31"/>
        <v>3364.3480956035755</v>
      </c>
      <c r="S13" s="2">
        <f t="shared" ca="1" si="32"/>
        <v>3675.37685300159</v>
      </c>
      <c r="T13" s="2">
        <f t="shared" ca="1" si="32"/>
        <v>2655.2311071956346</v>
      </c>
      <c r="U13" s="2">
        <f t="shared" ca="1" si="32"/>
        <v>3735.0182426384445</v>
      </c>
      <c r="V13" s="2">
        <f t="shared" ca="1" si="32"/>
        <v>3204.0184264388713</v>
      </c>
      <c r="W13" s="2">
        <f t="shared" ca="1" si="32"/>
        <v>3133.7376567024589</v>
      </c>
      <c r="X13" s="2">
        <f t="shared" ca="1" si="32"/>
        <v>3428.2173904368242</v>
      </c>
      <c r="Y13" s="2">
        <f t="shared" ca="1" si="32"/>
        <v>3090.2630077584818</v>
      </c>
      <c r="Z13" s="2">
        <f t="shared" ca="1" si="32"/>
        <v>3543.2591457127041</v>
      </c>
      <c r="AA13" s="2">
        <f t="shared" ca="1" si="33"/>
        <v>3660.1911647698157</v>
      </c>
      <c r="AB13" s="2">
        <f t="shared" ca="1" si="33"/>
        <v>2932.7279154277644</v>
      </c>
      <c r="AC13" s="2">
        <f t="shared" ca="1" si="33"/>
        <v>2821.7730251658527</v>
      </c>
      <c r="AD13" s="2">
        <f t="shared" ca="1" si="33"/>
        <v>3328.9251985669089</v>
      </c>
      <c r="AE13" s="2">
        <f t="shared" ca="1" si="33"/>
        <v>3842.3592193513564</v>
      </c>
      <c r="AF13" s="2">
        <f t="shared" ca="1" si="33"/>
        <v>3403.8610520073244</v>
      </c>
      <c r="AG13" s="2">
        <f t="shared" ca="1" si="33"/>
        <v>2754.8333795772805</v>
      </c>
      <c r="AH13" s="2">
        <f t="shared" ca="1" si="33"/>
        <v>3734.551259542508</v>
      </c>
    </row>
    <row r="14" spans="1:34">
      <c r="A14" t="str">
        <f t="shared" ref="A14:A77" si="34">INDEX(Food,MATCH(A3,Food,0)+1)</f>
        <v>Sorghum</v>
      </c>
      <c r="B14" t="str">
        <f>B3</f>
        <v>AddisAbaba</v>
      </c>
      <c r="C14" s="2">
        <f t="shared" ca="1" si="31"/>
        <v>3017.1877318702036</v>
      </c>
      <c r="D14" s="2">
        <f t="shared" ca="1" si="31"/>
        <v>3112.2165276123983</v>
      </c>
      <c r="E14" s="2">
        <f t="shared" ca="1" si="31"/>
        <v>3154.1178141933801</v>
      </c>
      <c r="F14" s="2">
        <f t="shared" ca="1" si="31"/>
        <v>3762.9542822403669</v>
      </c>
      <c r="G14" s="2">
        <f t="shared" ca="1" si="31"/>
        <v>3117.827664444847</v>
      </c>
      <c r="H14" s="2">
        <f t="shared" ca="1" si="31"/>
        <v>3043.3881010043001</v>
      </c>
      <c r="I14" s="2">
        <f t="shared" ca="1" si="31"/>
        <v>2940.5701954940387</v>
      </c>
      <c r="J14" s="2">
        <f t="shared" ca="1" si="31"/>
        <v>2689.390193734876</v>
      </c>
      <c r="K14" s="2">
        <f t="shared" ca="1" si="31"/>
        <v>3562.2732844098414</v>
      </c>
      <c r="L14" s="2">
        <f t="shared" ca="1" si="31"/>
        <v>2783.3827597935328</v>
      </c>
      <c r="M14" s="2">
        <f t="shared" ca="1" si="31"/>
        <v>3241.221538579583</v>
      </c>
      <c r="N14" s="2">
        <f t="shared" ca="1" si="31"/>
        <v>2738.4135872581714</v>
      </c>
      <c r="O14" s="2">
        <f t="shared" ca="1" si="31"/>
        <v>2788.1975407138716</v>
      </c>
      <c r="P14" s="2">
        <f t="shared" ca="1" si="31"/>
        <v>3781.2497543420586</v>
      </c>
      <c r="Q14" s="2">
        <f t="shared" ca="1" si="31"/>
        <v>3325.120005332587</v>
      </c>
      <c r="R14" s="2">
        <f t="shared" ca="1" si="31"/>
        <v>3892.395958310387</v>
      </c>
      <c r="S14" s="2">
        <f t="shared" ca="1" si="32"/>
        <v>3663.9092353853493</v>
      </c>
      <c r="T14" s="2">
        <f t="shared" ca="1" si="32"/>
        <v>2650.0180241520816</v>
      </c>
      <c r="U14" s="2">
        <f t="shared" ca="1" si="32"/>
        <v>3872.0649753175048</v>
      </c>
      <c r="V14" s="2">
        <f t="shared" ca="1" si="32"/>
        <v>3887.2991041062514</v>
      </c>
      <c r="W14" s="2">
        <f t="shared" ca="1" si="32"/>
        <v>3006.4272978427553</v>
      </c>
      <c r="X14" s="2">
        <f t="shared" ca="1" si="32"/>
        <v>3762.4316697407994</v>
      </c>
      <c r="Y14" s="2">
        <f t="shared" ca="1" si="32"/>
        <v>2824.3384655313571</v>
      </c>
      <c r="Z14" s="2">
        <f t="shared" ca="1" si="32"/>
        <v>3652.6862545195822</v>
      </c>
      <c r="AA14" s="2">
        <f t="shared" ca="1" si="33"/>
        <v>3061.0865063251035</v>
      </c>
      <c r="AB14" s="2">
        <f t="shared" ca="1" si="33"/>
        <v>3148.0214784521468</v>
      </c>
      <c r="AC14" s="2">
        <f t="shared" ca="1" si="33"/>
        <v>3458.5097751041531</v>
      </c>
      <c r="AD14" s="2">
        <f t="shared" ca="1" si="33"/>
        <v>2699.895743625239</v>
      </c>
      <c r="AE14" s="2">
        <f t="shared" ca="1" si="33"/>
        <v>2891.7019065982367</v>
      </c>
      <c r="AF14" s="2">
        <f t="shared" ca="1" si="33"/>
        <v>2960.8046550512272</v>
      </c>
      <c r="AG14" s="2">
        <f t="shared" ca="1" si="33"/>
        <v>3823.7983086905019</v>
      </c>
      <c r="AH14" s="2">
        <f t="shared" ca="1" si="33"/>
        <v>2928.5418838212458</v>
      </c>
    </row>
    <row r="15" spans="1:34">
      <c r="A15" t="str">
        <f t="shared" si="34"/>
        <v>Sorghum</v>
      </c>
      <c r="B15" t="str">
        <f t="shared" ref="B15:B78" si="35">B4</f>
        <v>Afar</v>
      </c>
      <c r="C15" s="2">
        <f t="shared" ca="1" si="31"/>
        <v>2883.3729051787295</v>
      </c>
      <c r="D15" s="2">
        <f t="shared" ca="1" si="31"/>
        <v>3133.5951404708471</v>
      </c>
      <c r="E15" s="2">
        <f t="shared" ca="1" si="31"/>
        <v>3161.5744136739677</v>
      </c>
      <c r="F15" s="2">
        <f t="shared" ca="1" si="31"/>
        <v>3607.6388565065595</v>
      </c>
      <c r="G15" s="2">
        <f t="shared" ca="1" si="31"/>
        <v>3579.5223706544402</v>
      </c>
      <c r="H15" s="2">
        <f t="shared" ca="1" si="31"/>
        <v>3276.2484605477534</v>
      </c>
      <c r="I15" s="2">
        <f t="shared" ca="1" si="31"/>
        <v>3096.1455856552443</v>
      </c>
      <c r="J15" s="2">
        <f t="shared" ca="1" si="31"/>
        <v>3488.4902694442376</v>
      </c>
      <c r="K15" s="2">
        <f t="shared" ca="1" si="31"/>
        <v>3007.9416197206933</v>
      </c>
      <c r="L15" s="2">
        <f t="shared" ca="1" si="31"/>
        <v>3394.3570067437386</v>
      </c>
      <c r="M15" s="2">
        <f t="shared" ca="1" si="31"/>
        <v>3532.4630058230873</v>
      </c>
      <c r="N15" s="2">
        <f t="shared" ca="1" si="31"/>
        <v>3587.6650352978872</v>
      </c>
      <c r="O15" s="2">
        <f t="shared" ca="1" si="31"/>
        <v>3154.8404831200173</v>
      </c>
      <c r="P15" s="2">
        <f t="shared" ca="1" si="31"/>
        <v>3239.7882186406882</v>
      </c>
      <c r="Q15" s="2">
        <f t="shared" ca="1" si="31"/>
        <v>3818.9843459560411</v>
      </c>
      <c r="R15" s="2">
        <f t="shared" ca="1" si="31"/>
        <v>3754.1689439301331</v>
      </c>
      <c r="S15" s="2">
        <f t="shared" ca="1" si="32"/>
        <v>3417.3821257257605</v>
      </c>
      <c r="T15" s="2">
        <f t="shared" ca="1" si="32"/>
        <v>3343.5430641882563</v>
      </c>
      <c r="U15" s="2">
        <f t="shared" ca="1" si="32"/>
        <v>2972.3241507122634</v>
      </c>
      <c r="V15" s="2">
        <f t="shared" ca="1" si="32"/>
        <v>2752.5770759608281</v>
      </c>
      <c r="W15" s="2">
        <f t="shared" ca="1" si="32"/>
        <v>3876.8579527240718</v>
      </c>
      <c r="X15" s="2">
        <f t="shared" ca="1" si="32"/>
        <v>3739.5658696581754</v>
      </c>
      <c r="Y15" s="2">
        <f t="shared" ca="1" si="32"/>
        <v>3465.8235178243763</v>
      </c>
      <c r="Z15" s="2">
        <f t="shared" ca="1" si="32"/>
        <v>3196.0330474186162</v>
      </c>
      <c r="AA15" s="2">
        <f t="shared" ca="1" si="33"/>
        <v>3074.6329956417185</v>
      </c>
      <c r="AB15" s="2">
        <f t="shared" ca="1" si="33"/>
        <v>3603.063926544643</v>
      </c>
      <c r="AC15" s="2">
        <f t="shared" ca="1" si="33"/>
        <v>3608.6086697210653</v>
      </c>
      <c r="AD15" s="2">
        <f t="shared" ca="1" si="33"/>
        <v>3838.9608183202295</v>
      </c>
      <c r="AE15" s="2">
        <f t="shared" ca="1" si="33"/>
        <v>3167.7288466860136</v>
      </c>
      <c r="AF15" s="2">
        <f t="shared" ca="1" si="33"/>
        <v>3371.6755016480538</v>
      </c>
      <c r="AG15" s="2">
        <f t="shared" ca="1" si="33"/>
        <v>3644.6658635296076</v>
      </c>
      <c r="AH15" s="2">
        <f t="shared" ca="1" si="33"/>
        <v>3346.8952851608365</v>
      </c>
    </row>
    <row r="16" spans="1:34">
      <c r="A16" t="str">
        <f t="shared" si="34"/>
        <v>Sorghum</v>
      </c>
      <c r="B16" t="str">
        <f t="shared" si="35"/>
        <v>Amhara</v>
      </c>
      <c r="C16" s="2">
        <f t="shared" ca="1" si="31"/>
        <v>3613.3094141518823</v>
      </c>
      <c r="D16" s="2">
        <f t="shared" ca="1" si="31"/>
        <v>3001.3531547262583</v>
      </c>
      <c r="E16" s="2">
        <f t="shared" ca="1" si="31"/>
        <v>3851.5302550161136</v>
      </c>
      <c r="F16" s="2">
        <f t="shared" ca="1" si="31"/>
        <v>3699.7158768382783</v>
      </c>
      <c r="G16" s="2">
        <f t="shared" ca="1" si="31"/>
        <v>3221.9296490179709</v>
      </c>
      <c r="H16" s="2">
        <f t="shared" ca="1" si="31"/>
        <v>3721.78109499523</v>
      </c>
      <c r="I16" s="2">
        <f t="shared" ca="1" si="31"/>
        <v>3042.2535620540157</v>
      </c>
      <c r="J16" s="2">
        <f t="shared" ca="1" si="31"/>
        <v>3149.0344967515862</v>
      </c>
      <c r="K16" s="2">
        <f t="shared" ca="1" si="31"/>
        <v>3787.8150069304793</v>
      </c>
      <c r="L16" s="2">
        <f t="shared" ca="1" si="31"/>
        <v>3354.5439486000537</v>
      </c>
      <c r="M16" s="2">
        <f t="shared" ca="1" si="31"/>
        <v>3133.6689682915294</v>
      </c>
      <c r="N16" s="2">
        <f t="shared" ca="1" si="31"/>
        <v>2700.2506867115526</v>
      </c>
      <c r="O16" s="2">
        <f t="shared" ca="1" si="31"/>
        <v>3552.6764595736327</v>
      </c>
      <c r="P16" s="2">
        <f t="shared" ca="1" si="31"/>
        <v>3593.9866298756688</v>
      </c>
      <c r="Q16" s="2">
        <f t="shared" ca="1" si="31"/>
        <v>3514.9010851977187</v>
      </c>
      <c r="R16" s="2">
        <f t="shared" ca="1" si="31"/>
        <v>3432.1263640971247</v>
      </c>
      <c r="S16" s="2">
        <f t="shared" ca="1" si="32"/>
        <v>2995.2946030439025</v>
      </c>
      <c r="T16" s="2">
        <f t="shared" ca="1" si="32"/>
        <v>3475.9746007402978</v>
      </c>
      <c r="U16" s="2">
        <f t="shared" ca="1" si="32"/>
        <v>3702.6230381099072</v>
      </c>
      <c r="V16" s="2">
        <f t="shared" ca="1" si="32"/>
        <v>2942.7506722568155</v>
      </c>
      <c r="W16" s="2">
        <f t="shared" ca="1" si="32"/>
        <v>2767.9009656689691</v>
      </c>
      <c r="X16" s="2">
        <f t="shared" ca="1" si="32"/>
        <v>3055.1927428506306</v>
      </c>
      <c r="Y16" s="2">
        <f t="shared" ca="1" si="32"/>
        <v>3362.2205634394809</v>
      </c>
      <c r="Z16" s="2">
        <f t="shared" ca="1" si="32"/>
        <v>3425.8610964577902</v>
      </c>
      <c r="AA16" s="2">
        <f t="shared" ca="1" si="33"/>
        <v>2866.2987584007169</v>
      </c>
      <c r="AB16" s="2">
        <f t="shared" ca="1" si="33"/>
        <v>2877.2058601334779</v>
      </c>
      <c r="AC16" s="2">
        <f t="shared" ca="1" si="33"/>
        <v>2830.4996290831673</v>
      </c>
      <c r="AD16" s="2">
        <f t="shared" ca="1" si="33"/>
        <v>3469.3597784789663</v>
      </c>
      <c r="AE16" s="2">
        <f t="shared" ca="1" si="33"/>
        <v>3931.8512055544379</v>
      </c>
      <c r="AF16" s="2">
        <f t="shared" ca="1" si="33"/>
        <v>3743.0954356448842</v>
      </c>
      <c r="AG16" s="2">
        <f t="shared" ca="1" si="33"/>
        <v>2783.8108722191214</v>
      </c>
      <c r="AH16" s="2">
        <f t="shared" ca="1" si="33"/>
        <v>2767.0073135283906</v>
      </c>
    </row>
    <row r="17" spans="1:34">
      <c r="A17" t="str">
        <f t="shared" si="34"/>
        <v>Sorghum</v>
      </c>
      <c r="B17" t="str">
        <f t="shared" si="35"/>
        <v>Gumuz</v>
      </c>
      <c r="C17" s="2">
        <f t="shared" ca="1" si="31"/>
        <v>3463.8084067015056</v>
      </c>
      <c r="D17" s="2">
        <f t="shared" ca="1" si="31"/>
        <v>3280.4908122748793</v>
      </c>
      <c r="E17" s="2">
        <f t="shared" ca="1" si="31"/>
        <v>3674.7181530528965</v>
      </c>
      <c r="F17" s="2">
        <f t="shared" ca="1" si="31"/>
        <v>3349.6187501094087</v>
      </c>
      <c r="G17" s="2">
        <f t="shared" ca="1" si="31"/>
        <v>3755.3225978397759</v>
      </c>
      <c r="H17" s="2">
        <f t="shared" ca="1" si="31"/>
        <v>3409.2753617925946</v>
      </c>
      <c r="I17" s="2">
        <f t="shared" ca="1" si="31"/>
        <v>3677.790348014204</v>
      </c>
      <c r="J17" s="2">
        <f t="shared" ca="1" si="31"/>
        <v>3196.9390878729309</v>
      </c>
      <c r="K17" s="2">
        <f t="shared" ca="1" si="31"/>
        <v>3364.3008776801321</v>
      </c>
      <c r="L17" s="2">
        <f t="shared" ca="1" si="31"/>
        <v>3516.1033011643772</v>
      </c>
      <c r="M17" s="2">
        <f t="shared" ca="1" si="31"/>
        <v>2873.8468753403358</v>
      </c>
      <c r="N17" s="2">
        <f t="shared" ca="1" si="31"/>
        <v>3627.5649836308858</v>
      </c>
      <c r="O17" s="2">
        <f t="shared" ca="1" si="31"/>
        <v>3078.6308814641184</v>
      </c>
      <c r="P17" s="2">
        <f t="shared" ca="1" si="31"/>
        <v>2845.6305382036139</v>
      </c>
      <c r="Q17" s="2">
        <f t="shared" ca="1" si="31"/>
        <v>3937.00743544125</v>
      </c>
      <c r="R17" s="2">
        <f t="shared" ca="1" si="31"/>
        <v>2713.1924872781074</v>
      </c>
      <c r="S17" s="2">
        <f t="shared" ca="1" si="32"/>
        <v>2663.9785641149087</v>
      </c>
      <c r="T17" s="2">
        <f t="shared" ca="1" si="32"/>
        <v>3941.2972927263791</v>
      </c>
      <c r="U17" s="2">
        <f t="shared" ca="1" si="32"/>
        <v>3863.1517500891841</v>
      </c>
      <c r="V17" s="2">
        <f t="shared" ca="1" si="32"/>
        <v>3493.0662917257105</v>
      </c>
      <c r="W17" s="2">
        <f t="shared" ca="1" si="32"/>
        <v>2710.5908719825825</v>
      </c>
      <c r="X17" s="2">
        <f t="shared" ca="1" si="32"/>
        <v>3851.5811314427579</v>
      </c>
      <c r="Y17" s="2">
        <f t="shared" ca="1" si="32"/>
        <v>2915.8050123669741</v>
      </c>
      <c r="Z17" s="2">
        <f t="shared" ca="1" si="32"/>
        <v>3460.0100262415986</v>
      </c>
      <c r="AA17" s="2">
        <f t="shared" ca="1" si="33"/>
        <v>3878.051920861486</v>
      </c>
      <c r="AB17" s="2">
        <f t="shared" ca="1" si="33"/>
        <v>2794.5470545267622</v>
      </c>
      <c r="AC17" s="2">
        <f t="shared" ca="1" si="33"/>
        <v>3561.8489032154393</v>
      </c>
      <c r="AD17" s="2">
        <f t="shared" ca="1" si="33"/>
        <v>3924.1421350540513</v>
      </c>
      <c r="AE17" s="2">
        <f t="shared" ca="1" si="33"/>
        <v>2979.4977254994442</v>
      </c>
      <c r="AF17" s="2">
        <f t="shared" ca="1" si="33"/>
        <v>3016.771915901862</v>
      </c>
      <c r="AG17" s="2">
        <f t="shared" ca="1" si="33"/>
        <v>3916.8263837656477</v>
      </c>
      <c r="AH17" s="2">
        <f t="shared" ca="1" si="33"/>
        <v>3405.6619380096786</v>
      </c>
    </row>
    <row r="18" spans="1:34">
      <c r="A18" t="str">
        <f t="shared" si="34"/>
        <v>Sorghum</v>
      </c>
      <c r="B18" t="str">
        <f t="shared" si="35"/>
        <v>DireDawa</v>
      </c>
      <c r="C18" s="2">
        <f t="shared" ca="1" si="31"/>
        <v>3164.5376567686903</v>
      </c>
      <c r="D18" s="2">
        <f t="shared" ca="1" si="31"/>
        <v>2994.637929068665</v>
      </c>
      <c r="E18" s="2">
        <f t="shared" ca="1" si="31"/>
        <v>3341.6382778537309</v>
      </c>
      <c r="F18" s="2">
        <f t="shared" ca="1" si="31"/>
        <v>3104.1148113772042</v>
      </c>
      <c r="G18" s="2">
        <f t="shared" ca="1" si="31"/>
        <v>3588.6251134066797</v>
      </c>
      <c r="H18" s="2">
        <f t="shared" ca="1" si="31"/>
        <v>3842.9094411556425</v>
      </c>
      <c r="I18" s="2">
        <f t="shared" ca="1" si="31"/>
        <v>3459.8222214054167</v>
      </c>
      <c r="J18" s="2">
        <f t="shared" ca="1" si="31"/>
        <v>3735.0509830308538</v>
      </c>
      <c r="K18" s="2">
        <f t="shared" ca="1" si="31"/>
        <v>2964.9679236755264</v>
      </c>
      <c r="L18" s="2">
        <f t="shared" ca="1" si="31"/>
        <v>3696.2588265379809</v>
      </c>
      <c r="M18" s="2">
        <f t="shared" ca="1" si="31"/>
        <v>3794.664171956164</v>
      </c>
      <c r="N18" s="2">
        <f t="shared" ca="1" si="31"/>
        <v>3419.1542691541272</v>
      </c>
      <c r="O18" s="2">
        <f t="shared" ca="1" si="31"/>
        <v>3155.7653189519401</v>
      </c>
      <c r="P18" s="2">
        <f t="shared" ca="1" si="31"/>
        <v>2819.5254259062554</v>
      </c>
      <c r="Q18" s="2">
        <f t="shared" ca="1" si="31"/>
        <v>2850.6186184431785</v>
      </c>
      <c r="R18" s="2">
        <f t="shared" ca="1" si="31"/>
        <v>3313.1202539558267</v>
      </c>
      <c r="S18" s="2">
        <f t="shared" ca="1" si="32"/>
        <v>2658.8782361132789</v>
      </c>
      <c r="T18" s="2">
        <f t="shared" ca="1" si="32"/>
        <v>2655.9384363427457</v>
      </c>
      <c r="U18" s="2">
        <f t="shared" ca="1" si="32"/>
        <v>3702.1795158717432</v>
      </c>
      <c r="V18" s="2">
        <f t="shared" ca="1" si="32"/>
        <v>3281.7843945384507</v>
      </c>
      <c r="W18" s="2">
        <f t="shared" ca="1" si="32"/>
        <v>2722.314695383538</v>
      </c>
      <c r="X18" s="2">
        <f t="shared" ca="1" si="32"/>
        <v>3548.2538029597545</v>
      </c>
      <c r="Y18" s="2">
        <f t="shared" ca="1" si="32"/>
        <v>2757.8988759082063</v>
      </c>
      <c r="Z18" s="2">
        <f t="shared" ca="1" si="32"/>
        <v>3934.2521940549618</v>
      </c>
      <c r="AA18" s="2">
        <f t="shared" ca="1" si="33"/>
        <v>3646.5815030067956</v>
      </c>
      <c r="AB18" s="2">
        <f t="shared" ca="1" si="33"/>
        <v>3454.5265056970852</v>
      </c>
      <c r="AC18" s="2">
        <f t="shared" ca="1" si="33"/>
        <v>3950.1810101127089</v>
      </c>
      <c r="AD18" s="2">
        <f t="shared" ca="1" si="33"/>
        <v>3227.5585163572759</v>
      </c>
      <c r="AE18" s="2">
        <f t="shared" ca="1" si="33"/>
        <v>2794.5801761996927</v>
      </c>
      <c r="AF18" s="2">
        <f t="shared" ca="1" si="33"/>
        <v>3936.1624434679529</v>
      </c>
      <c r="AG18" s="2">
        <f t="shared" ca="1" si="33"/>
        <v>3485.6918391182139</v>
      </c>
      <c r="AH18" s="2">
        <f t="shared" ca="1" si="33"/>
        <v>2898.2770338152573</v>
      </c>
    </row>
    <row r="19" spans="1:34">
      <c r="A19" t="str">
        <f t="shared" si="34"/>
        <v>Sorghum</v>
      </c>
      <c r="B19" t="str">
        <f t="shared" si="35"/>
        <v>Gambela</v>
      </c>
      <c r="C19" s="2">
        <f t="shared" ca="1" si="31"/>
        <v>2966.858925146872</v>
      </c>
      <c r="D19" s="2">
        <f t="shared" ca="1" si="31"/>
        <v>3091.8145941153252</v>
      </c>
      <c r="E19" s="2">
        <f t="shared" ca="1" si="31"/>
        <v>2918.5276993193547</v>
      </c>
      <c r="F19" s="2">
        <f t="shared" ca="1" si="31"/>
        <v>3877.9416992706319</v>
      </c>
      <c r="G19" s="2">
        <f t="shared" ca="1" si="31"/>
        <v>3429.8484710431858</v>
      </c>
      <c r="H19" s="2">
        <f t="shared" ca="1" si="31"/>
        <v>3890.340469684993</v>
      </c>
      <c r="I19" s="2">
        <f t="shared" ca="1" si="31"/>
        <v>2663.8020104592988</v>
      </c>
      <c r="J19" s="2">
        <f t="shared" ca="1" si="31"/>
        <v>3833.8433527072871</v>
      </c>
      <c r="K19" s="2">
        <f t="shared" ca="1" si="31"/>
        <v>3377.7737791827431</v>
      </c>
      <c r="L19" s="2">
        <f t="shared" ca="1" si="31"/>
        <v>2877.031689593417</v>
      </c>
      <c r="M19" s="2">
        <f t="shared" ca="1" si="31"/>
        <v>2802.5649115942779</v>
      </c>
      <c r="N19" s="2">
        <f t="shared" ca="1" si="31"/>
        <v>3757.6508984779289</v>
      </c>
      <c r="O19" s="2">
        <f t="shared" ca="1" si="31"/>
        <v>3616.911182196131</v>
      </c>
      <c r="P19" s="2">
        <f t="shared" ca="1" si="31"/>
        <v>3598.243846899742</v>
      </c>
      <c r="Q19" s="2">
        <f t="shared" ca="1" si="31"/>
        <v>3451.1182321986967</v>
      </c>
      <c r="R19" s="2">
        <f t="shared" ca="1" si="31"/>
        <v>3462.8559205222405</v>
      </c>
      <c r="S19" s="2">
        <f t="shared" ca="1" si="32"/>
        <v>3070.0670029571334</v>
      </c>
      <c r="T19" s="2">
        <f t="shared" ca="1" si="32"/>
        <v>3019.0552924475855</v>
      </c>
      <c r="U19" s="2">
        <f t="shared" ca="1" si="32"/>
        <v>3860.5983434691784</v>
      </c>
      <c r="V19" s="2">
        <f t="shared" ca="1" si="32"/>
        <v>2783.2747691513391</v>
      </c>
      <c r="W19" s="2">
        <f t="shared" ca="1" si="32"/>
        <v>2670.189890445175</v>
      </c>
      <c r="X19" s="2">
        <f t="shared" ca="1" si="32"/>
        <v>3105.7217958991655</v>
      </c>
      <c r="Y19" s="2">
        <f t="shared" ca="1" si="32"/>
        <v>3326.0158657571783</v>
      </c>
      <c r="Z19" s="2">
        <f t="shared" ca="1" si="32"/>
        <v>3347.793973733254</v>
      </c>
      <c r="AA19" s="2">
        <f t="shared" ca="1" si="33"/>
        <v>3219.5478870787515</v>
      </c>
      <c r="AB19" s="2">
        <f t="shared" ca="1" si="33"/>
        <v>3638.5232838312559</v>
      </c>
      <c r="AC19" s="2">
        <f t="shared" ca="1" si="33"/>
        <v>3630.1865005322875</v>
      </c>
      <c r="AD19" s="2">
        <f t="shared" ca="1" si="33"/>
        <v>3300.3100674879383</v>
      </c>
      <c r="AE19" s="2">
        <f t="shared" ca="1" si="33"/>
        <v>2726.1338336626291</v>
      </c>
      <c r="AF19" s="2">
        <f t="shared" ca="1" si="33"/>
        <v>3896.2477119603491</v>
      </c>
      <c r="AG19" s="2">
        <f t="shared" ca="1" si="33"/>
        <v>3015.2900321376178</v>
      </c>
      <c r="AH19" s="2">
        <f t="shared" ca="1" si="33"/>
        <v>3088.4907299642268</v>
      </c>
    </row>
    <row r="20" spans="1:34">
      <c r="A20" t="str">
        <f t="shared" si="34"/>
        <v>Sorghum</v>
      </c>
      <c r="B20" t="str">
        <f t="shared" si="35"/>
        <v>Harari</v>
      </c>
      <c r="C20" s="2">
        <f t="shared" ca="1" si="31"/>
        <v>2823.4814738362061</v>
      </c>
      <c r="D20" s="2">
        <f t="shared" ca="1" si="31"/>
        <v>3364.470489889668</v>
      </c>
      <c r="E20" s="2">
        <f t="shared" ca="1" si="31"/>
        <v>3745.1662849167801</v>
      </c>
      <c r="F20" s="2">
        <f t="shared" ca="1" si="31"/>
        <v>3857.6864178915935</v>
      </c>
      <c r="G20" s="2">
        <f t="shared" ca="1" si="31"/>
        <v>3445.5656975182187</v>
      </c>
      <c r="H20" s="2">
        <f t="shared" ca="1" si="31"/>
        <v>3307.2834277989759</v>
      </c>
      <c r="I20" s="2">
        <f t="shared" ca="1" si="31"/>
        <v>3779.7625961454569</v>
      </c>
      <c r="J20" s="2">
        <f t="shared" ca="1" si="31"/>
        <v>3208.2631995694919</v>
      </c>
      <c r="K20" s="2">
        <f t="shared" ca="1" si="31"/>
        <v>3377.3589680243172</v>
      </c>
      <c r="L20" s="2">
        <f t="shared" ca="1" si="31"/>
        <v>3506.851202574212</v>
      </c>
      <c r="M20" s="2">
        <f t="shared" ca="1" si="31"/>
        <v>2847.0455099214246</v>
      </c>
      <c r="N20" s="2">
        <f t="shared" ca="1" si="31"/>
        <v>3403.4608104872627</v>
      </c>
      <c r="O20" s="2">
        <f t="shared" ca="1" si="31"/>
        <v>3948.8536763515999</v>
      </c>
      <c r="P20" s="2">
        <f t="shared" ca="1" si="31"/>
        <v>3178.4856166864015</v>
      </c>
      <c r="Q20" s="2">
        <f t="shared" ca="1" si="31"/>
        <v>3295.7986125200227</v>
      </c>
      <c r="R20" s="2">
        <f t="shared" ca="1" si="31"/>
        <v>3541.318625505553</v>
      </c>
      <c r="S20" s="2">
        <f t="shared" ca="1" si="32"/>
        <v>2901.1268021797828</v>
      </c>
      <c r="T20" s="2">
        <f t="shared" ca="1" si="32"/>
        <v>3131.0423610119428</v>
      </c>
      <c r="U20" s="2">
        <f t="shared" ca="1" si="32"/>
        <v>2658.1990910294962</v>
      </c>
      <c r="V20" s="2">
        <f t="shared" ca="1" si="32"/>
        <v>3259.8194284407027</v>
      </c>
      <c r="W20" s="2">
        <f t="shared" ca="1" si="32"/>
        <v>2867.9030947804008</v>
      </c>
      <c r="X20" s="2">
        <f t="shared" ca="1" si="32"/>
        <v>2962.1178530592342</v>
      </c>
      <c r="Y20" s="2">
        <f t="shared" ca="1" si="32"/>
        <v>3817.1309351764594</v>
      </c>
      <c r="Z20" s="2">
        <f t="shared" ca="1" si="32"/>
        <v>3448.3491505354827</v>
      </c>
      <c r="AA20" s="2">
        <f t="shared" ca="1" si="33"/>
        <v>3896.3185254338905</v>
      </c>
      <c r="AB20" s="2">
        <f t="shared" ca="1" si="33"/>
        <v>3255.8810764030545</v>
      </c>
      <c r="AC20" s="2">
        <f t="shared" ca="1" si="33"/>
        <v>3823.6426273402635</v>
      </c>
      <c r="AD20" s="2">
        <f t="shared" ca="1" si="33"/>
        <v>2901.4691892332953</v>
      </c>
      <c r="AE20" s="2">
        <f t="shared" ca="1" si="33"/>
        <v>3480.5840136520574</v>
      </c>
      <c r="AF20" s="2">
        <f t="shared" ca="1" si="33"/>
        <v>3141.4925186320993</v>
      </c>
      <c r="AG20" s="2">
        <f t="shared" ca="1" si="33"/>
        <v>3575.3402399184042</v>
      </c>
      <c r="AH20" s="2">
        <f t="shared" ca="1" si="33"/>
        <v>3735.2164719099674</v>
      </c>
    </row>
    <row r="21" spans="1:34">
      <c r="A21" t="str">
        <f t="shared" si="34"/>
        <v>Sorghum</v>
      </c>
      <c r="B21" t="str">
        <f t="shared" si="35"/>
        <v>Oromia</v>
      </c>
      <c r="C21" s="2">
        <f t="shared" ca="1" si="31"/>
        <v>2737.8648120030643</v>
      </c>
      <c r="D21" s="2">
        <f t="shared" ca="1" si="31"/>
        <v>3642.4003604091154</v>
      </c>
      <c r="E21" s="2">
        <f t="shared" ca="1" si="31"/>
        <v>3569.3538890021969</v>
      </c>
      <c r="F21" s="2">
        <f t="shared" ca="1" si="31"/>
        <v>2711.1773408438162</v>
      </c>
      <c r="G21" s="2">
        <f t="shared" ca="1" si="31"/>
        <v>3290.2212586454998</v>
      </c>
      <c r="H21" s="2">
        <f t="shared" ca="1" si="31"/>
        <v>3513.7318562512082</v>
      </c>
      <c r="I21" s="2">
        <f t="shared" ca="1" si="31"/>
        <v>2745.0929392768066</v>
      </c>
      <c r="J21" s="2">
        <f t="shared" ca="1" si="31"/>
        <v>3827.2686975793472</v>
      </c>
      <c r="K21" s="2">
        <f t="shared" ca="1" si="31"/>
        <v>3389.5818994868177</v>
      </c>
      <c r="L21" s="2">
        <f t="shared" ca="1" si="31"/>
        <v>3362.5495561845119</v>
      </c>
      <c r="M21" s="2">
        <f t="shared" ca="1" si="31"/>
        <v>3096.4211229923412</v>
      </c>
      <c r="N21" s="2">
        <f t="shared" ca="1" si="31"/>
        <v>3431.6603415684986</v>
      </c>
      <c r="O21" s="2">
        <f t="shared" ca="1" si="31"/>
        <v>2730.2160516327026</v>
      </c>
      <c r="P21" s="2">
        <f t="shared" ca="1" si="31"/>
        <v>2817.234537424908</v>
      </c>
      <c r="Q21" s="2">
        <f t="shared" ca="1" si="31"/>
        <v>3021.6376007260801</v>
      </c>
      <c r="R21" s="2">
        <f t="shared" ca="1" si="31"/>
        <v>2959.393898448448</v>
      </c>
      <c r="S21" s="2">
        <f t="shared" ca="1" si="32"/>
        <v>3650.03905624458</v>
      </c>
      <c r="T21" s="2">
        <f t="shared" ca="1" si="32"/>
        <v>3122.6354593541155</v>
      </c>
      <c r="U21" s="2">
        <f t="shared" ca="1" si="32"/>
        <v>3011.8111946280064</v>
      </c>
      <c r="V21" s="2">
        <f t="shared" ca="1" si="32"/>
        <v>2689.439321607128</v>
      </c>
      <c r="W21" s="2">
        <f t="shared" ca="1" si="32"/>
        <v>3359.9146844870857</v>
      </c>
      <c r="X21" s="2">
        <f t="shared" ca="1" si="32"/>
        <v>3480.0517026319735</v>
      </c>
      <c r="Y21" s="2">
        <f t="shared" ca="1" si="32"/>
        <v>3915.437598020656</v>
      </c>
      <c r="Z21" s="2">
        <f t="shared" ca="1" si="32"/>
        <v>3167.681528363305</v>
      </c>
      <c r="AA21" s="2">
        <f t="shared" ca="1" si="33"/>
        <v>3413.4536062049319</v>
      </c>
      <c r="AB21" s="2">
        <f t="shared" ca="1" si="33"/>
        <v>3730.6354704010555</v>
      </c>
      <c r="AC21" s="2">
        <f t="shared" ca="1" si="33"/>
        <v>3610.8224234611903</v>
      </c>
      <c r="AD21" s="2">
        <f t="shared" ca="1" si="33"/>
        <v>2684.0646581672686</v>
      </c>
      <c r="AE21" s="2">
        <f t="shared" ca="1" si="33"/>
        <v>3327.9357665595053</v>
      </c>
      <c r="AF21" s="2">
        <f t="shared" ca="1" si="33"/>
        <v>2823.4168678194114</v>
      </c>
      <c r="AG21" s="2">
        <f t="shared" ca="1" si="33"/>
        <v>3718.8581514211105</v>
      </c>
      <c r="AH21" s="2">
        <f t="shared" ca="1" si="33"/>
        <v>3528.9039053264937</v>
      </c>
    </row>
    <row r="22" spans="1:34">
      <c r="A22" t="str">
        <f t="shared" si="34"/>
        <v>Sorghum</v>
      </c>
      <c r="B22" t="str">
        <f t="shared" si="35"/>
        <v>Somali</v>
      </c>
      <c r="C22" s="2">
        <f t="shared" ca="1" si="31"/>
        <v>2975.2392702722809</v>
      </c>
      <c r="D22" s="2">
        <f t="shared" ca="1" si="31"/>
        <v>3801.7087864588857</v>
      </c>
      <c r="E22" s="2">
        <f t="shared" ca="1" si="31"/>
        <v>2986.2044542982062</v>
      </c>
      <c r="F22" s="2">
        <f t="shared" ca="1" si="31"/>
        <v>3683.2802445834463</v>
      </c>
      <c r="G22" s="2">
        <f t="shared" ca="1" si="31"/>
        <v>3630.809128076552</v>
      </c>
      <c r="H22" s="2">
        <f t="shared" ca="1" si="31"/>
        <v>3533.0714860456401</v>
      </c>
      <c r="I22" s="2">
        <f t="shared" ca="1" si="31"/>
        <v>2951.4361604290448</v>
      </c>
      <c r="J22" s="2">
        <f t="shared" ca="1" si="31"/>
        <v>3841.9321152118455</v>
      </c>
      <c r="K22" s="2">
        <f t="shared" ca="1" si="31"/>
        <v>3005.2147246778959</v>
      </c>
      <c r="L22" s="2">
        <f t="shared" ca="1" si="31"/>
        <v>2725.8714131653387</v>
      </c>
      <c r="M22" s="2">
        <f t="shared" ca="1" si="31"/>
        <v>3327.8844399113827</v>
      </c>
      <c r="N22" s="2">
        <f t="shared" ca="1" si="31"/>
        <v>3309.6972880264161</v>
      </c>
      <c r="O22" s="2">
        <f t="shared" ca="1" si="31"/>
        <v>2862.9155390550009</v>
      </c>
      <c r="P22" s="2">
        <f t="shared" ca="1" si="31"/>
        <v>3759.412902742934</v>
      </c>
      <c r="Q22" s="2">
        <f t="shared" ca="1" si="31"/>
        <v>3278.3118041894886</v>
      </c>
      <c r="R22" s="2">
        <f t="shared" ca="1" si="31"/>
        <v>2714.7119671006822</v>
      </c>
      <c r="S22" s="2">
        <f t="shared" ca="1" si="32"/>
        <v>2784.6825149249885</v>
      </c>
      <c r="T22" s="2">
        <f t="shared" ca="1" si="32"/>
        <v>3831.5031283419294</v>
      </c>
      <c r="U22" s="2">
        <f t="shared" ca="1" si="32"/>
        <v>3317.7697615152924</v>
      </c>
      <c r="V22" s="2">
        <f t="shared" ca="1" si="32"/>
        <v>3832.1828686255321</v>
      </c>
      <c r="W22" s="2">
        <f t="shared" ca="1" si="32"/>
        <v>3711.0591412574659</v>
      </c>
      <c r="X22" s="2">
        <f t="shared" ca="1" si="32"/>
        <v>3903.2673064917244</v>
      </c>
      <c r="Y22" s="2">
        <f t="shared" ca="1" si="32"/>
        <v>3223.4212172157058</v>
      </c>
      <c r="Z22" s="2">
        <f t="shared" ca="1" si="32"/>
        <v>2666.5293202240214</v>
      </c>
      <c r="AA22" s="2">
        <f t="shared" ca="1" si="33"/>
        <v>3138.4982564040615</v>
      </c>
      <c r="AB22" s="2">
        <f t="shared" ca="1" si="33"/>
        <v>2683.9318225263237</v>
      </c>
      <c r="AC22" s="2">
        <f t="shared" ca="1" si="33"/>
        <v>3433.1412175806927</v>
      </c>
      <c r="AD22" s="2">
        <f t="shared" ca="1" si="33"/>
        <v>2806.3753841791568</v>
      </c>
      <c r="AE22" s="2">
        <f t="shared" ca="1" si="33"/>
        <v>2737.7509999147051</v>
      </c>
      <c r="AF22" s="2">
        <f t="shared" ca="1" si="33"/>
        <v>3824.4895907970922</v>
      </c>
      <c r="AG22" s="2">
        <f t="shared" ca="1" si="33"/>
        <v>3490.0772277775977</v>
      </c>
      <c r="AH22" s="2">
        <f t="shared" ca="1" si="33"/>
        <v>3924.4249465597668</v>
      </c>
    </row>
    <row r="23" spans="1:34">
      <c r="A23" t="str">
        <f t="shared" si="34"/>
        <v>Sorghum</v>
      </c>
      <c r="B23" t="str">
        <f t="shared" si="35"/>
        <v>SNNPR</v>
      </c>
      <c r="C23" s="2">
        <f t="shared" ca="1" si="31"/>
        <v>3040.1167265872559</v>
      </c>
      <c r="D23" s="2">
        <f t="shared" ca="1" si="31"/>
        <v>3500.1875612779013</v>
      </c>
      <c r="E23" s="2">
        <f t="shared" ca="1" si="31"/>
        <v>3316.6110905942264</v>
      </c>
      <c r="F23" s="2">
        <f t="shared" ca="1" si="31"/>
        <v>2817.9074243326163</v>
      </c>
      <c r="G23" s="2">
        <f t="shared" ca="1" si="31"/>
        <v>2805.1708195175038</v>
      </c>
      <c r="H23" s="2">
        <f t="shared" ca="1" si="31"/>
        <v>3769.4580617437155</v>
      </c>
      <c r="I23" s="2">
        <f t="shared" ca="1" si="31"/>
        <v>3621.2054718709774</v>
      </c>
      <c r="J23" s="2">
        <f t="shared" ca="1" si="31"/>
        <v>3651.7477992568456</v>
      </c>
      <c r="K23" s="2">
        <f t="shared" ca="1" si="31"/>
        <v>3457.6143990154019</v>
      </c>
      <c r="L23" s="2">
        <f t="shared" ca="1" si="31"/>
        <v>3499.6766805850607</v>
      </c>
      <c r="M23" s="2">
        <f t="shared" ca="1" si="31"/>
        <v>2767.0588457801218</v>
      </c>
      <c r="N23" s="2">
        <f t="shared" ca="1" si="31"/>
        <v>3031.6417675100461</v>
      </c>
      <c r="O23" s="2">
        <f t="shared" ca="1" si="31"/>
        <v>3502.446029802687</v>
      </c>
      <c r="P23" s="2">
        <f t="shared" ca="1" si="31"/>
        <v>3204.3747974160783</v>
      </c>
      <c r="Q23" s="2">
        <f t="shared" ca="1" si="31"/>
        <v>2953.7394366204612</v>
      </c>
      <c r="R23" s="2">
        <f t="shared" ca="1" si="31"/>
        <v>3717.8951134093354</v>
      </c>
      <c r="S23" s="2">
        <f t="shared" ca="1" si="32"/>
        <v>3015.5570363011561</v>
      </c>
      <c r="T23" s="2">
        <f t="shared" ca="1" si="32"/>
        <v>2915.2687766343774</v>
      </c>
      <c r="U23" s="2">
        <f t="shared" ca="1" si="32"/>
        <v>3067.9972946570583</v>
      </c>
      <c r="V23" s="2">
        <f t="shared" ca="1" si="32"/>
        <v>3261.0005867896534</v>
      </c>
      <c r="W23" s="2">
        <f t="shared" ca="1" si="32"/>
        <v>2877.4053915175118</v>
      </c>
      <c r="X23" s="2">
        <f t="shared" ca="1" si="32"/>
        <v>3463.4528941967574</v>
      </c>
      <c r="Y23" s="2">
        <f t="shared" ca="1" si="32"/>
        <v>3237.1558060927837</v>
      </c>
      <c r="Z23" s="2">
        <f t="shared" ca="1" si="32"/>
        <v>3166.7594233440018</v>
      </c>
      <c r="AA23" s="2">
        <f t="shared" ca="1" si="33"/>
        <v>3146.9409471983568</v>
      </c>
      <c r="AB23" s="2">
        <f t="shared" ca="1" si="33"/>
        <v>2689.7806943227583</v>
      </c>
      <c r="AC23" s="2">
        <f t="shared" ca="1" si="33"/>
        <v>2783.4932771755834</v>
      </c>
      <c r="AD23" s="2">
        <f t="shared" ca="1" si="33"/>
        <v>3789.6924182515604</v>
      </c>
      <c r="AE23" s="2">
        <f t="shared" ca="1" si="33"/>
        <v>2967.1581138469701</v>
      </c>
      <c r="AF23" s="2">
        <f t="shared" ca="1" si="33"/>
        <v>3564.8526437798923</v>
      </c>
      <c r="AG23" s="2">
        <f t="shared" ca="1" si="33"/>
        <v>2657.6882157600016</v>
      </c>
      <c r="AH23" s="2">
        <f t="shared" ca="1" si="33"/>
        <v>2959.9480788203305</v>
      </c>
    </row>
    <row r="24" spans="1:34">
      <c r="A24" t="str">
        <f t="shared" si="34"/>
        <v>Sorghum</v>
      </c>
      <c r="B24" t="str">
        <f t="shared" si="35"/>
        <v>Tigray</v>
      </c>
      <c r="C24" s="2">
        <f t="shared" ca="1" si="31"/>
        <v>2752.1442902143904</v>
      </c>
      <c r="D24" s="2">
        <f t="shared" ca="1" si="31"/>
        <v>3159.5477459541025</v>
      </c>
      <c r="E24" s="2">
        <f t="shared" ca="1" si="31"/>
        <v>3180.9165076836084</v>
      </c>
      <c r="F24" s="2">
        <f t="shared" ca="1" si="31"/>
        <v>2670.2047467219504</v>
      </c>
      <c r="G24" s="2">
        <f t="shared" ca="1" si="31"/>
        <v>3209.2196266232299</v>
      </c>
      <c r="H24" s="2">
        <f t="shared" ca="1" si="31"/>
        <v>3492.9518176668612</v>
      </c>
      <c r="I24" s="2">
        <f t="shared" ca="1" si="31"/>
        <v>3445.3461624709817</v>
      </c>
      <c r="J24" s="2">
        <f t="shared" ca="1" si="31"/>
        <v>3592.699568845615</v>
      </c>
      <c r="K24" s="2">
        <f t="shared" ca="1" si="31"/>
        <v>3359.0697313960509</v>
      </c>
      <c r="L24" s="2">
        <f t="shared" ca="1" si="31"/>
        <v>3351.6109112184577</v>
      </c>
      <c r="M24" s="2">
        <f t="shared" ca="1" si="31"/>
        <v>3783.3639406935613</v>
      </c>
      <c r="N24" s="2">
        <f t="shared" ca="1" si="31"/>
        <v>3094.2991879346414</v>
      </c>
      <c r="O24" s="2">
        <f t="shared" ca="1" si="31"/>
        <v>3774.3153985427339</v>
      </c>
      <c r="P24" s="2">
        <f t="shared" ca="1" si="31"/>
        <v>3162.1744881882728</v>
      </c>
      <c r="Q24" s="2">
        <f t="shared" ca="1" si="31"/>
        <v>3677.5241558854009</v>
      </c>
      <c r="R24" s="2">
        <f t="shared" ca="1" si="31"/>
        <v>3003.8929362902832</v>
      </c>
      <c r="S24" s="2">
        <f t="shared" ca="1" si="32"/>
        <v>3820.8686436294274</v>
      </c>
      <c r="T24" s="2">
        <f t="shared" ca="1" si="32"/>
        <v>3565.8475217035798</v>
      </c>
      <c r="U24" s="2">
        <f t="shared" ca="1" si="32"/>
        <v>2875.6793388227288</v>
      </c>
      <c r="V24" s="2">
        <f t="shared" ca="1" si="32"/>
        <v>2900.6846828842617</v>
      </c>
      <c r="W24" s="2">
        <f t="shared" ca="1" si="32"/>
        <v>2850.370415126245</v>
      </c>
      <c r="X24" s="2">
        <f t="shared" ca="1" si="32"/>
        <v>3664.7104649486023</v>
      </c>
      <c r="Y24" s="2">
        <f t="shared" ca="1" si="32"/>
        <v>3093.0337121016164</v>
      </c>
      <c r="Z24" s="2">
        <f t="shared" ca="1" si="32"/>
        <v>3906.6025621551662</v>
      </c>
      <c r="AA24" s="2">
        <f t="shared" ca="1" si="33"/>
        <v>3817.2261936333152</v>
      </c>
      <c r="AB24" s="2">
        <f t="shared" ca="1" si="33"/>
        <v>2720.8398591781088</v>
      </c>
      <c r="AC24" s="2">
        <f t="shared" ca="1" si="33"/>
        <v>3810.524593518739</v>
      </c>
      <c r="AD24" s="2">
        <f t="shared" ca="1" si="33"/>
        <v>3791.3451212214754</v>
      </c>
      <c r="AE24" s="2">
        <f t="shared" ca="1" si="33"/>
        <v>2776.4605324843478</v>
      </c>
      <c r="AF24" s="2">
        <f t="shared" ca="1" si="33"/>
        <v>3888.2724776581808</v>
      </c>
      <c r="AG24" s="2">
        <f t="shared" ca="1" si="33"/>
        <v>2919.0948596009648</v>
      </c>
      <c r="AH24" s="2">
        <f t="shared" ca="1" si="33"/>
        <v>2945.0218086168807</v>
      </c>
    </row>
    <row r="25" spans="1:34">
      <c r="A25" t="str">
        <f t="shared" si="34"/>
        <v>Maize</v>
      </c>
      <c r="B25" t="str">
        <f t="shared" si="35"/>
        <v>AddisAbaba</v>
      </c>
      <c r="C25" s="2">
        <f t="shared" ca="1" si="31"/>
        <v>3513.2606159837183</v>
      </c>
      <c r="D25" s="2">
        <f t="shared" ca="1" si="31"/>
        <v>2923.7105005502904</v>
      </c>
      <c r="E25" s="2">
        <f t="shared" ca="1" si="31"/>
        <v>2938.5794964013689</v>
      </c>
      <c r="F25" s="2">
        <f t="shared" ca="1" si="31"/>
        <v>2766.5064515120316</v>
      </c>
      <c r="G25" s="2">
        <f t="shared" ca="1" si="31"/>
        <v>3370.9736847536465</v>
      </c>
      <c r="H25" s="2">
        <f t="shared" ca="1" si="31"/>
        <v>3427.9165182644319</v>
      </c>
      <c r="I25" s="2">
        <f t="shared" ca="1" si="31"/>
        <v>3365.4898212031076</v>
      </c>
      <c r="J25" s="2">
        <f t="shared" ca="1" si="31"/>
        <v>3369.5285954434735</v>
      </c>
      <c r="K25" s="2">
        <f t="shared" ca="1" si="31"/>
        <v>2978.9538688190109</v>
      </c>
      <c r="L25" s="2">
        <f t="shared" ca="1" si="31"/>
        <v>3212.9315490949816</v>
      </c>
      <c r="M25" s="2">
        <f t="shared" ca="1" si="31"/>
        <v>3169.7665391652758</v>
      </c>
      <c r="N25" s="2">
        <f t="shared" ca="1" si="31"/>
        <v>3147.9274280442742</v>
      </c>
      <c r="O25" s="2">
        <f t="shared" ca="1" si="31"/>
        <v>3544.1735562694294</v>
      </c>
      <c r="P25" s="2">
        <f t="shared" ca="1" si="31"/>
        <v>2734.1217561722883</v>
      </c>
      <c r="Q25" s="2">
        <f t="shared" ca="1" si="31"/>
        <v>2891.8752495996082</v>
      </c>
      <c r="R25" s="2">
        <f t="shared" ca="1" si="31"/>
        <v>3245.2843032355513</v>
      </c>
      <c r="S25" s="2">
        <f t="shared" ca="1" si="32"/>
        <v>3885.5005238408435</v>
      </c>
      <c r="T25" s="2">
        <f t="shared" ca="1" si="32"/>
        <v>2720.266264866164</v>
      </c>
      <c r="U25" s="2">
        <f t="shared" ca="1" si="32"/>
        <v>2916.7822821315526</v>
      </c>
      <c r="V25" s="2">
        <f t="shared" ca="1" si="32"/>
        <v>2715.7048746161495</v>
      </c>
      <c r="W25" s="2">
        <f t="shared" ca="1" si="32"/>
        <v>3889.9047266697335</v>
      </c>
      <c r="X25" s="2">
        <f t="shared" ca="1" si="32"/>
        <v>2913.1329640674398</v>
      </c>
      <c r="Y25" s="2">
        <f t="shared" ca="1" si="32"/>
        <v>3493.4115382502919</v>
      </c>
      <c r="Z25" s="2">
        <f t="shared" ca="1" si="32"/>
        <v>3945.4359381600648</v>
      </c>
      <c r="AA25" s="2">
        <f t="shared" ca="1" si="33"/>
        <v>3432.8868438717636</v>
      </c>
      <c r="AB25" s="2">
        <f t="shared" ca="1" si="33"/>
        <v>3526.3924400993287</v>
      </c>
      <c r="AC25" s="2">
        <f t="shared" ca="1" si="33"/>
        <v>3026.310689465186</v>
      </c>
      <c r="AD25" s="2">
        <f t="shared" ca="1" si="33"/>
        <v>3143.9438009539354</v>
      </c>
      <c r="AE25" s="2">
        <f t="shared" ca="1" si="33"/>
        <v>3383.974448100168</v>
      </c>
      <c r="AF25" s="2">
        <f t="shared" ca="1" si="33"/>
        <v>3067.7386591528898</v>
      </c>
      <c r="AG25" s="2">
        <f t="shared" ca="1" si="33"/>
        <v>3943.5393173092639</v>
      </c>
      <c r="AH25" s="2">
        <f t="shared" ca="1" si="33"/>
        <v>3224.2388113951329</v>
      </c>
    </row>
    <row r="26" spans="1:34">
      <c r="A26" t="str">
        <f t="shared" si="34"/>
        <v>Maize</v>
      </c>
      <c r="B26" t="str">
        <f t="shared" si="35"/>
        <v>Afar</v>
      </c>
      <c r="C26" s="2">
        <f t="shared" ca="1" si="31"/>
        <v>3894.3885243411714</v>
      </c>
      <c r="D26" s="2">
        <f t="shared" ca="1" si="31"/>
        <v>2643.5188301998696</v>
      </c>
      <c r="E26" s="2">
        <f t="shared" ca="1" si="31"/>
        <v>3803.9244979613341</v>
      </c>
      <c r="F26" s="2">
        <f t="shared" ca="1" si="31"/>
        <v>2822.3699729690311</v>
      </c>
      <c r="G26" s="2">
        <f t="shared" ca="1" si="31"/>
        <v>3556.0485625199726</v>
      </c>
      <c r="H26" s="2">
        <f t="shared" ca="1" si="31"/>
        <v>3807.644192790116</v>
      </c>
      <c r="I26" s="2">
        <f t="shared" ca="1" si="31"/>
        <v>3571.2437938526487</v>
      </c>
      <c r="J26" s="2">
        <f t="shared" ca="1" si="31"/>
        <v>3770.0345522144221</v>
      </c>
      <c r="K26" s="2">
        <f t="shared" ca="1" si="31"/>
        <v>3689.1616819077117</v>
      </c>
      <c r="L26" s="2">
        <f t="shared" ca="1" si="31"/>
        <v>3525.5031702429578</v>
      </c>
      <c r="M26" s="2">
        <f t="shared" ca="1" si="31"/>
        <v>3273.3041805316807</v>
      </c>
      <c r="N26" s="2">
        <f t="shared" ca="1" si="31"/>
        <v>3830.7037746020483</v>
      </c>
      <c r="O26" s="2">
        <f t="shared" ca="1" si="31"/>
        <v>3800.7334873364262</v>
      </c>
      <c r="P26" s="2">
        <f t="shared" ca="1" si="31"/>
        <v>2904.2126394787729</v>
      </c>
      <c r="Q26" s="2">
        <f t="shared" ca="1" si="31"/>
        <v>3690.7731538425946</v>
      </c>
      <c r="R26" s="2">
        <f t="shared" ca="1" si="31"/>
        <v>2924.3793412057007</v>
      </c>
      <c r="S26" s="2">
        <f t="shared" ca="1" si="32"/>
        <v>3091.6328658520706</v>
      </c>
      <c r="T26" s="2">
        <f t="shared" ca="1" si="32"/>
        <v>2664.1437595168318</v>
      </c>
      <c r="U26" s="2">
        <f t="shared" ca="1" si="32"/>
        <v>3124.8510929788486</v>
      </c>
      <c r="V26" s="2">
        <f t="shared" ca="1" si="32"/>
        <v>2801.7475893712499</v>
      </c>
      <c r="W26" s="2">
        <f t="shared" ca="1" si="32"/>
        <v>3540.8103532481455</v>
      </c>
      <c r="X26" s="2">
        <f t="shared" ca="1" si="32"/>
        <v>3592.3265424991446</v>
      </c>
      <c r="Y26" s="2">
        <f t="shared" ca="1" si="32"/>
        <v>3712.8244356296041</v>
      </c>
      <c r="Z26" s="2">
        <f t="shared" ca="1" si="32"/>
        <v>3936.2138980505547</v>
      </c>
      <c r="AA26" s="2">
        <f t="shared" ca="1" si="33"/>
        <v>3748.2816505974706</v>
      </c>
      <c r="AB26" s="2">
        <f t="shared" ca="1" si="33"/>
        <v>2950.3424361521243</v>
      </c>
      <c r="AC26" s="2">
        <f t="shared" ca="1" si="33"/>
        <v>3517.8212715661648</v>
      </c>
      <c r="AD26" s="2">
        <f t="shared" ca="1" si="33"/>
        <v>3262.4295612600754</v>
      </c>
      <c r="AE26" s="2">
        <f t="shared" ca="1" si="33"/>
        <v>2672.9193080225104</v>
      </c>
      <c r="AF26" s="2">
        <f t="shared" ca="1" si="33"/>
        <v>3402.4740206729125</v>
      </c>
      <c r="AG26" s="2">
        <f t="shared" ca="1" si="33"/>
        <v>3699.2345222625167</v>
      </c>
      <c r="AH26" s="2">
        <f t="shared" ca="1" si="33"/>
        <v>3404.5317254391639</v>
      </c>
    </row>
    <row r="27" spans="1:34">
      <c r="A27" t="str">
        <f t="shared" si="34"/>
        <v>Maize</v>
      </c>
      <c r="B27" t="str">
        <f t="shared" si="35"/>
        <v>Amhara</v>
      </c>
      <c r="C27" s="2">
        <f t="shared" ca="1" si="31"/>
        <v>3789.777936381754</v>
      </c>
      <c r="D27" s="2">
        <f t="shared" ca="1" si="31"/>
        <v>3724.857377569399</v>
      </c>
      <c r="E27" s="2">
        <f t="shared" ca="1" si="31"/>
        <v>3929.3673679987774</v>
      </c>
      <c r="F27" s="2">
        <f t="shared" ca="1" si="31"/>
        <v>3101.0439324009512</v>
      </c>
      <c r="G27" s="2">
        <f t="shared" ca="1" si="31"/>
        <v>3067.1004233320295</v>
      </c>
      <c r="H27" s="2">
        <f t="shared" ca="1" si="31"/>
        <v>3348.2342948167116</v>
      </c>
      <c r="I27" s="2">
        <f t="shared" ca="1" si="31"/>
        <v>3878.1293523458726</v>
      </c>
      <c r="J27" s="2">
        <f t="shared" ref="J27:Y90" ca="1" si="36">((RAND()*1+2)*110)*10*1.2</f>
        <v>3466.740771177942</v>
      </c>
      <c r="K27" s="2">
        <f t="shared" ca="1" si="36"/>
        <v>2731.9568645802278</v>
      </c>
      <c r="L27" s="2">
        <f t="shared" ca="1" si="36"/>
        <v>2810.8876681328761</v>
      </c>
      <c r="M27" s="2">
        <f t="shared" ca="1" si="36"/>
        <v>3334.4723605264676</v>
      </c>
      <c r="N27" s="2">
        <f t="shared" ca="1" si="36"/>
        <v>2740.8580541747715</v>
      </c>
      <c r="O27" s="2">
        <f t="shared" ca="1" si="36"/>
        <v>3367.0096393754584</v>
      </c>
      <c r="P27" s="2">
        <f t="shared" ca="1" si="36"/>
        <v>3845.0323918757663</v>
      </c>
      <c r="Q27" s="2">
        <f t="shared" ca="1" si="36"/>
        <v>3572.3545981885195</v>
      </c>
      <c r="R27" s="2">
        <f t="shared" ca="1" si="36"/>
        <v>2964.3030400855528</v>
      </c>
      <c r="S27" s="2">
        <f t="shared" ca="1" si="36"/>
        <v>3510.9282936213017</v>
      </c>
      <c r="T27" s="2">
        <f t="shared" ca="1" si="36"/>
        <v>3888.889307813457</v>
      </c>
      <c r="U27" s="2">
        <f t="shared" ca="1" si="36"/>
        <v>2935.8988339461539</v>
      </c>
      <c r="V27" s="2">
        <f t="shared" ca="1" si="36"/>
        <v>2785.9659093642977</v>
      </c>
      <c r="W27" s="2">
        <f t="shared" ca="1" si="36"/>
        <v>2664.9076916027052</v>
      </c>
      <c r="X27" s="2">
        <f t="shared" ca="1" si="36"/>
        <v>2641.6062147299076</v>
      </c>
      <c r="Y27" s="2">
        <f t="shared" ca="1" si="36"/>
        <v>3741.13003770673</v>
      </c>
      <c r="Z27" s="2">
        <f t="shared" ca="1" si="32"/>
        <v>2970.8798509374892</v>
      </c>
      <c r="AA27" s="2">
        <f t="shared" ca="1" si="33"/>
        <v>2758.9593311747121</v>
      </c>
      <c r="AB27" s="2">
        <f t="shared" ca="1" si="33"/>
        <v>3141.0683800516931</v>
      </c>
      <c r="AC27" s="2">
        <f t="shared" ca="1" si="33"/>
        <v>3176.1079261589607</v>
      </c>
      <c r="AD27" s="2">
        <f t="shared" ca="1" si="33"/>
        <v>2770.8254122985422</v>
      </c>
      <c r="AE27" s="2">
        <f t="shared" ca="1" si="33"/>
        <v>3405.9646205339618</v>
      </c>
      <c r="AF27" s="2">
        <f t="shared" ca="1" si="33"/>
        <v>3032.7287123764531</v>
      </c>
      <c r="AG27" s="2">
        <f t="shared" ca="1" si="33"/>
        <v>3229.7090766228312</v>
      </c>
      <c r="AH27" s="2">
        <f t="shared" ca="1" si="33"/>
        <v>2720.4359769009184</v>
      </c>
    </row>
    <row r="28" spans="1:34">
      <c r="A28" t="str">
        <f t="shared" si="34"/>
        <v>Maize</v>
      </c>
      <c r="B28" t="str">
        <f t="shared" si="35"/>
        <v>Gumuz</v>
      </c>
      <c r="C28" s="2">
        <f t="shared" ref="C28:R59" ca="1" si="37">((RAND()*1+2)*110)*10*1.2</f>
        <v>3764.2573725812649</v>
      </c>
      <c r="D28" s="2">
        <f t="shared" ca="1" si="37"/>
        <v>3227.4101536665576</v>
      </c>
      <c r="E28" s="2">
        <f t="shared" ca="1" si="37"/>
        <v>3843.5943056373708</v>
      </c>
      <c r="F28" s="2">
        <f t="shared" ca="1" si="37"/>
        <v>3398.6716057482358</v>
      </c>
      <c r="G28" s="2">
        <f t="shared" ca="1" si="37"/>
        <v>2735.1006377977055</v>
      </c>
      <c r="H28" s="2">
        <f t="shared" ca="1" si="37"/>
        <v>3072.9862585976812</v>
      </c>
      <c r="I28" s="2">
        <f t="shared" ca="1" si="37"/>
        <v>3871.3844813574169</v>
      </c>
      <c r="J28" s="2">
        <f t="shared" ca="1" si="37"/>
        <v>3591.6402921742197</v>
      </c>
      <c r="K28" s="2">
        <f t="shared" ca="1" si="37"/>
        <v>3034.0463975456028</v>
      </c>
      <c r="L28" s="2">
        <f t="shared" ca="1" si="37"/>
        <v>2927.9749004967466</v>
      </c>
      <c r="M28" s="2">
        <f t="shared" ca="1" si="37"/>
        <v>3709.1195261522466</v>
      </c>
      <c r="N28" s="2">
        <f t="shared" ca="1" si="37"/>
        <v>3182.0738327768677</v>
      </c>
      <c r="O28" s="2">
        <f t="shared" ca="1" si="37"/>
        <v>3923.1396706370151</v>
      </c>
      <c r="P28" s="2">
        <f t="shared" ca="1" si="37"/>
        <v>3771.0671053349188</v>
      </c>
      <c r="Q28" s="2">
        <f t="shared" ca="1" si="37"/>
        <v>3040.0646463774856</v>
      </c>
      <c r="R28" s="2">
        <f t="shared" ca="1" si="37"/>
        <v>3272.0593803383103</v>
      </c>
      <c r="S28" s="2">
        <f t="shared" ca="1" si="36"/>
        <v>3240.1957054402601</v>
      </c>
      <c r="T28" s="2">
        <f t="shared" ca="1" si="36"/>
        <v>2948.2619484705579</v>
      </c>
      <c r="U28" s="2">
        <f t="shared" ca="1" si="36"/>
        <v>3301.7051977790575</v>
      </c>
      <c r="V28" s="2">
        <f t="shared" ca="1" si="36"/>
        <v>2738.7598765466983</v>
      </c>
      <c r="W28" s="2">
        <f t="shared" ca="1" si="36"/>
        <v>3507.9281509014531</v>
      </c>
      <c r="X28" s="2">
        <f t="shared" ca="1" si="36"/>
        <v>3622.2354049622804</v>
      </c>
      <c r="Y28" s="2">
        <f t="shared" ca="1" si="36"/>
        <v>2688.3014869118915</v>
      </c>
      <c r="Z28" s="2">
        <f t="shared" ca="1" si="32"/>
        <v>2729.0042732929874</v>
      </c>
      <c r="AA28" s="2">
        <f t="shared" ca="1" si="33"/>
        <v>3868.475891457022</v>
      </c>
      <c r="AB28" s="2">
        <f t="shared" ca="1" si="33"/>
        <v>3400.2429350765719</v>
      </c>
      <c r="AC28" s="2">
        <f t="shared" ca="1" si="33"/>
        <v>3213.3909818563261</v>
      </c>
      <c r="AD28" s="2">
        <f t="shared" ca="1" si="33"/>
        <v>3750.4200315412459</v>
      </c>
      <c r="AE28" s="2">
        <f t="shared" ca="1" si="33"/>
        <v>3937.3016735683441</v>
      </c>
      <c r="AF28" s="2">
        <f t="shared" ca="1" si="33"/>
        <v>3045.2735609155202</v>
      </c>
      <c r="AG28" s="2">
        <f t="shared" ca="1" si="33"/>
        <v>2941.3577332489754</v>
      </c>
      <c r="AH28" s="2">
        <f t="shared" ca="1" si="33"/>
        <v>3404.4256887882489</v>
      </c>
    </row>
    <row r="29" spans="1:34">
      <c r="A29" t="str">
        <f t="shared" si="34"/>
        <v>Maize</v>
      </c>
      <c r="B29" t="str">
        <f t="shared" si="35"/>
        <v>DireDawa</v>
      </c>
      <c r="C29" s="2">
        <f t="shared" ca="1" si="37"/>
        <v>3206.3466465165679</v>
      </c>
      <c r="D29" s="2">
        <f t="shared" ca="1" si="37"/>
        <v>3776.7544442818735</v>
      </c>
      <c r="E29" s="2">
        <f t="shared" ca="1" si="37"/>
        <v>3921.7215521285711</v>
      </c>
      <c r="F29" s="2">
        <f t="shared" ca="1" si="37"/>
        <v>3545.8495021689669</v>
      </c>
      <c r="G29" s="2">
        <f t="shared" ca="1" si="37"/>
        <v>3019.6314444885425</v>
      </c>
      <c r="H29" s="2">
        <f t="shared" ca="1" si="37"/>
        <v>3496.5083096356661</v>
      </c>
      <c r="I29" s="2">
        <f t="shared" ca="1" si="37"/>
        <v>2718.0605793600657</v>
      </c>
      <c r="J29" s="2">
        <f t="shared" ca="1" si="37"/>
        <v>3387.7903569199548</v>
      </c>
      <c r="K29" s="2">
        <f t="shared" ca="1" si="37"/>
        <v>2713.7696489856467</v>
      </c>
      <c r="L29" s="2">
        <f t="shared" ca="1" si="37"/>
        <v>2729.5871837238797</v>
      </c>
      <c r="M29" s="2">
        <f t="shared" ca="1" si="37"/>
        <v>3498.9938913868823</v>
      </c>
      <c r="N29" s="2">
        <f t="shared" ca="1" si="37"/>
        <v>2855.6184674300021</v>
      </c>
      <c r="O29" s="2">
        <f t="shared" ca="1" si="37"/>
        <v>3787.6356954476432</v>
      </c>
      <c r="P29" s="2">
        <f t="shared" ca="1" si="37"/>
        <v>2709.4270116287998</v>
      </c>
      <c r="Q29" s="2">
        <f t="shared" ca="1" si="37"/>
        <v>3658.3734792649689</v>
      </c>
      <c r="R29" s="2">
        <f t="shared" ca="1" si="37"/>
        <v>3576.1452640936782</v>
      </c>
      <c r="S29" s="2">
        <f t="shared" ca="1" si="36"/>
        <v>2931.7639976745618</v>
      </c>
      <c r="T29" s="2">
        <f t="shared" ca="1" si="36"/>
        <v>2934.9405213652781</v>
      </c>
      <c r="U29" s="2">
        <f t="shared" ca="1" si="36"/>
        <v>3116.1297061065256</v>
      </c>
      <c r="V29" s="2">
        <f t="shared" ca="1" si="36"/>
        <v>2908.5073687493918</v>
      </c>
      <c r="W29" s="2">
        <f t="shared" ca="1" si="36"/>
        <v>3111.1290254971072</v>
      </c>
      <c r="X29" s="2">
        <f t="shared" ca="1" si="36"/>
        <v>3552.4663712323991</v>
      </c>
      <c r="Y29" s="2">
        <f t="shared" ca="1" si="36"/>
        <v>3919.7530137647409</v>
      </c>
      <c r="Z29" s="2">
        <f t="shared" ca="1" si="32"/>
        <v>3644.3674214162306</v>
      </c>
      <c r="AA29" s="2">
        <f t="shared" ca="1" si="33"/>
        <v>3148.6411085343816</v>
      </c>
      <c r="AB29" s="2">
        <f t="shared" ca="1" si="33"/>
        <v>3720.2293272247039</v>
      </c>
      <c r="AC29" s="2">
        <f t="shared" ca="1" si="33"/>
        <v>2843.4358500914468</v>
      </c>
      <c r="AD29" s="2">
        <f t="shared" ca="1" si="33"/>
        <v>3030.0155820534405</v>
      </c>
      <c r="AE29" s="2">
        <f t="shared" ca="1" si="33"/>
        <v>3169.8468648273256</v>
      </c>
      <c r="AF29" s="2">
        <f t="shared" ca="1" si="33"/>
        <v>3428.4840926316688</v>
      </c>
      <c r="AG29" s="2">
        <f t="shared" ca="1" si="33"/>
        <v>3813.3537242795123</v>
      </c>
      <c r="AH29" s="2">
        <f t="shared" ca="1" si="33"/>
        <v>2884.8458258319051</v>
      </c>
    </row>
    <row r="30" spans="1:34">
      <c r="A30" t="str">
        <f t="shared" si="34"/>
        <v>Maize</v>
      </c>
      <c r="B30" t="str">
        <f t="shared" si="35"/>
        <v>Gambela</v>
      </c>
      <c r="C30" s="2">
        <f t="shared" ca="1" si="37"/>
        <v>3750.1454508560473</v>
      </c>
      <c r="D30" s="2">
        <f t="shared" ca="1" si="37"/>
        <v>2813.2798448799035</v>
      </c>
      <c r="E30" s="2">
        <f t="shared" ca="1" si="37"/>
        <v>3423.490669020277</v>
      </c>
      <c r="F30" s="2">
        <f t="shared" ca="1" si="37"/>
        <v>3420.5742211624188</v>
      </c>
      <c r="G30" s="2">
        <f t="shared" ca="1" si="37"/>
        <v>3658.3081541062415</v>
      </c>
      <c r="H30" s="2">
        <f t="shared" ca="1" si="37"/>
        <v>2786.5703970848162</v>
      </c>
      <c r="I30" s="2">
        <f t="shared" ca="1" si="37"/>
        <v>3632.9786881933728</v>
      </c>
      <c r="J30" s="2">
        <f t="shared" ca="1" si="37"/>
        <v>3913.4131848258803</v>
      </c>
      <c r="K30" s="2">
        <f t="shared" ca="1" si="37"/>
        <v>2871.3981467717772</v>
      </c>
      <c r="L30" s="2">
        <f t="shared" ca="1" si="37"/>
        <v>3154.4488111167452</v>
      </c>
      <c r="M30" s="2">
        <f t="shared" ca="1" si="37"/>
        <v>2792.4757998934256</v>
      </c>
      <c r="N30" s="2">
        <f t="shared" ca="1" si="37"/>
        <v>2905.8265497456578</v>
      </c>
      <c r="O30" s="2">
        <f t="shared" ca="1" si="37"/>
        <v>2884.6035556471147</v>
      </c>
      <c r="P30" s="2">
        <f t="shared" ca="1" si="37"/>
        <v>2927.9271359365907</v>
      </c>
      <c r="Q30" s="2">
        <f t="shared" ca="1" si="37"/>
        <v>3210.8076766177292</v>
      </c>
      <c r="R30" s="2">
        <f t="shared" ca="1" si="37"/>
        <v>3297.0596834525245</v>
      </c>
      <c r="S30" s="2">
        <f t="shared" ca="1" si="36"/>
        <v>3895.4475731142234</v>
      </c>
      <c r="T30" s="2">
        <f t="shared" ca="1" si="36"/>
        <v>3235.7948044828327</v>
      </c>
      <c r="U30" s="2">
        <f t="shared" ca="1" si="36"/>
        <v>3273.3593077996825</v>
      </c>
      <c r="V30" s="2">
        <f t="shared" ca="1" si="36"/>
        <v>3135.2587487650967</v>
      </c>
      <c r="W30" s="2">
        <f t="shared" ca="1" si="36"/>
        <v>3888.3260875658639</v>
      </c>
      <c r="X30" s="2">
        <f t="shared" ca="1" si="36"/>
        <v>3307.6471410657655</v>
      </c>
      <c r="Y30" s="2">
        <f t="shared" ca="1" si="36"/>
        <v>2931.9764570852049</v>
      </c>
      <c r="Z30" s="2">
        <f t="shared" ca="1" si="32"/>
        <v>2917.2337359036728</v>
      </c>
      <c r="AA30" s="2">
        <f t="shared" ca="1" si="33"/>
        <v>3331.5591188871017</v>
      </c>
      <c r="AB30" s="2">
        <f t="shared" ca="1" si="33"/>
        <v>3927.9690435785201</v>
      </c>
      <c r="AC30" s="2">
        <f t="shared" ca="1" si="33"/>
        <v>3711.7854441605323</v>
      </c>
      <c r="AD30" s="2">
        <f t="shared" ca="1" si="33"/>
        <v>3788.9199038039724</v>
      </c>
      <c r="AE30" s="2">
        <f t="shared" ca="1" si="33"/>
        <v>3534.3322470555258</v>
      </c>
      <c r="AF30" s="2">
        <f t="shared" ca="1" si="33"/>
        <v>2719.2913510332278</v>
      </c>
      <c r="AG30" s="2">
        <f t="shared" ca="1" si="33"/>
        <v>2889.2962440352267</v>
      </c>
      <c r="AH30" s="2">
        <f t="shared" ca="1" si="33"/>
        <v>3856.7936459261964</v>
      </c>
    </row>
    <row r="31" spans="1:34">
      <c r="A31" t="str">
        <f t="shared" si="34"/>
        <v>Maize</v>
      </c>
      <c r="B31" t="str">
        <f t="shared" si="35"/>
        <v>Harari</v>
      </c>
      <c r="C31" s="2">
        <f t="shared" ca="1" si="37"/>
        <v>2946.6148814584003</v>
      </c>
      <c r="D31" s="2">
        <f t="shared" ca="1" si="37"/>
        <v>3187.9430067002945</v>
      </c>
      <c r="E31" s="2">
        <f t="shared" ca="1" si="37"/>
        <v>2672.0239038232608</v>
      </c>
      <c r="F31" s="2">
        <f t="shared" ca="1" si="37"/>
        <v>3471.1369191714593</v>
      </c>
      <c r="G31" s="2">
        <f t="shared" ca="1" si="37"/>
        <v>3764.1396301239711</v>
      </c>
      <c r="H31" s="2">
        <f t="shared" ca="1" si="37"/>
        <v>3259.1664596818905</v>
      </c>
      <c r="I31" s="2">
        <f t="shared" ca="1" si="37"/>
        <v>3630.2649514697578</v>
      </c>
      <c r="J31" s="2">
        <f t="shared" ca="1" si="37"/>
        <v>3641.2736519377049</v>
      </c>
      <c r="K31" s="2">
        <f t="shared" ca="1" si="37"/>
        <v>3713.6411085205336</v>
      </c>
      <c r="L31" s="2">
        <f t="shared" ca="1" si="37"/>
        <v>3950.7065924629505</v>
      </c>
      <c r="M31" s="2">
        <f t="shared" ca="1" si="37"/>
        <v>3089.0147532074079</v>
      </c>
      <c r="N31" s="2">
        <f t="shared" ca="1" si="37"/>
        <v>3522.461416737774</v>
      </c>
      <c r="O31" s="2">
        <f t="shared" ca="1" si="37"/>
        <v>3671.7167590223357</v>
      </c>
      <c r="P31" s="2">
        <f t="shared" ca="1" si="37"/>
        <v>2862.1059773464585</v>
      </c>
      <c r="Q31" s="2">
        <f t="shared" ca="1" si="37"/>
        <v>3101.0548837922179</v>
      </c>
      <c r="R31" s="2">
        <f t="shared" ca="1" si="37"/>
        <v>2800.2107543964989</v>
      </c>
      <c r="S31" s="2">
        <f t="shared" ca="1" si="36"/>
        <v>3674.8086509756608</v>
      </c>
      <c r="T31" s="2">
        <f t="shared" ca="1" si="36"/>
        <v>3280.7154234178365</v>
      </c>
      <c r="U31" s="2">
        <f t="shared" ca="1" si="36"/>
        <v>3858.6857538084796</v>
      </c>
      <c r="V31" s="2">
        <f t="shared" ca="1" si="36"/>
        <v>3450.7016134931723</v>
      </c>
      <c r="W31" s="2">
        <f t="shared" ca="1" si="36"/>
        <v>3197.6485489129695</v>
      </c>
      <c r="X31" s="2">
        <f t="shared" ca="1" si="36"/>
        <v>3579.6138424329761</v>
      </c>
      <c r="Y31" s="2">
        <f t="shared" ca="1" si="36"/>
        <v>3510.5474055314194</v>
      </c>
      <c r="Z31" s="2">
        <f t="shared" ca="1" si="32"/>
        <v>3285.1776850212609</v>
      </c>
      <c r="AA31" s="2">
        <f t="shared" ca="1" si="33"/>
        <v>3916.997801578178</v>
      </c>
      <c r="AB31" s="2">
        <f t="shared" ca="1" si="33"/>
        <v>2698.7318293145245</v>
      </c>
      <c r="AC31" s="2">
        <f t="shared" ca="1" si="33"/>
        <v>3898.6174882116984</v>
      </c>
      <c r="AD31" s="2">
        <f t="shared" ca="1" si="33"/>
        <v>3578.5927818142545</v>
      </c>
      <c r="AE31" s="2">
        <f t="shared" ca="1" si="33"/>
        <v>2728.9735537266465</v>
      </c>
      <c r="AF31" s="2">
        <f t="shared" ca="1" si="33"/>
        <v>3206.4730948354722</v>
      </c>
      <c r="AG31" s="2">
        <f t="shared" ca="1" si="33"/>
        <v>3666.2233864990494</v>
      </c>
      <c r="AH31" s="2">
        <f t="shared" ca="1" si="33"/>
        <v>3819.0805249635205</v>
      </c>
    </row>
    <row r="32" spans="1:34">
      <c r="A32" t="str">
        <f t="shared" si="34"/>
        <v>Maize</v>
      </c>
      <c r="B32" t="str">
        <f t="shared" si="35"/>
        <v>Oromia</v>
      </c>
      <c r="C32" s="2">
        <f t="shared" ca="1" si="37"/>
        <v>2654.9285487048628</v>
      </c>
      <c r="D32" s="2">
        <f t="shared" ca="1" si="37"/>
        <v>3197.433144211328</v>
      </c>
      <c r="E32" s="2">
        <f t="shared" ca="1" si="37"/>
        <v>2757.8738733454479</v>
      </c>
      <c r="F32" s="2">
        <f t="shared" ca="1" si="37"/>
        <v>3746.7655426872157</v>
      </c>
      <c r="G32" s="2">
        <f t="shared" ca="1" si="37"/>
        <v>3343.171839817333</v>
      </c>
      <c r="H32" s="2">
        <f t="shared" ca="1" si="37"/>
        <v>3308.971530157226</v>
      </c>
      <c r="I32" s="2">
        <f t="shared" ca="1" si="37"/>
        <v>3141.366076623442</v>
      </c>
      <c r="J32" s="2">
        <f t="shared" ca="1" si="37"/>
        <v>2862.3225083722905</v>
      </c>
      <c r="K32" s="2">
        <f t="shared" ca="1" si="37"/>
        <v>3773.3390199560527</v>
      </c>
      <c r="L32" s="2">
        <f t="shared" ca="1" si="37"/>
        <v>3353.8496939730835</v>
      </c>
      <c r="M32" s="2">
        <f t="shared" ca="1" si="37"/>
        <v>3715.301873360213</v>
      </c>
      <c r="N32" s="2">
        <f t="shared" ca="1" si="37"/>
        <v>3006.8819006694034</v>
      </c>
      <c r="O32" s="2">
        <f t="shared" ca="1" si="37"/>
        <v>3656.6008307049992</v>
      </c>
      <c r="P32" s="2">
        <f t="shared" ca="1" si="37"/>
        <v>3719.0336354549154</v>
      </c>
      <c r="Q32" s="2">
        <f t="shared" ca="1" si="37"/>
        <v>3352.8032406467905</v>
      </c>
      <c r="R32" s="2">
        <f t="shared" ca="1" si="37"/>
        <v>2667.4601293297578</v>
      </c>
      <c r="S32" s="2">
        <f t="shared" ca="1" si="36"/>
        <v>3755.6876667150582</v>
      </c>
      <c r="T32" s="2">
        <f t="shared" ca="1" si="36"/>
        <v>3610.8165726069069</v>
      </c>
      <c r="U32" s="2">
        <f t="shared" ca="1" si="36"/>
        <v>3210.1279927181881</v>
      </c>
      <c r="V32" s="2">
        <f t="shared" ca="1" si="36"/>
        <v>3280.5539361693491</v>
      </c>
      <c r="W32" s="2">
        <f t="shared" ca="1" si="36"/>
        <v>2779.9093590897269</v>
      </c>
      <c r="X32" s="2">
        <f t="shared" ca="1" si="36"/>
        <v>3936.0399008895042</v>
      </c>
      <c r="Y32" s="2">
        <f t="shared" ca="1" si="36"/>
        <v>3033.4062146280667</v>
      </c>
      <c r="Z32" s="2">
        <f t="shared" ca="1" si="32"/>
        <v>3263.8118017001675</v>
      </c>
      <c r="AA32" s="2">
        <f t="shared" ca="1" si="33"/>
        <v>3633.758216617513</v>
      </c>
      <c r="AB32" s="2">
        <f t="shared" ca="1" si="33"/>
        <v>3029.4297921977918</v>
      </c>
      <c r="AC32" s="2">
        <f t="shared" ca="1" si="33"/>
        <v>3702.1601737455899</v>
      </c>
      <c r="AD32" s="2">
        <f t="shared" ca="1" si="33"/>
        <v>3714.8722078398951</v>
      </c>
      <c r="AE32" s="2">
        <f t="shared" ca="1" si="33"/>
        <v>3823.9525183799337</v>
      </c>
      <c r="AF32" s="2">
        <f t="shared" ca="1" si="33"/>
        <v>3138.3859722524508</v>
      </c>
      <c r="AG32" s="2">
        <f t="shared" ca="1" si="33"/>
        <v>2935.7065925614379</v>
      </c>
      <c r="AH32" s="2">
        <f t="shared" ca="1" si="33"/>
        <v>2885.8718656732294</v>
      </c>
    </row>
    <row r="33" spans="1:34">
      <c r="A33" t="str">
        <f t="shared" si="34"/>
        <v>Maize</v>
      </c>
      <c r="B33" t="str">
        <f t="shared" si="35"/>
        <v>Somali</v>
      </c>
      <c r="C33" s="2">
        <f t="shared" ca="1" si="37"/>
        <v>3863.4571386006437</v>
      </c>
      <c r="D33" s="2">
        <f t="shared" ca="1" si="37"/>
        <v>2664.1098945162844</v>
      </c>
      <c r="E33" s="2">
        <f t="shared" ca="1" si="37"/>
        <v>3621.0954021370703</v>
      </c>
      <c r="F33" s="2">
        <f t="shared" ca="1" si="37"/>
        <v>3230.1978730423207</v>
      </c>
      <c r="G33" s="2">
        <f t="shared" ca="1" si="37"/>
        <v>3884.5246292340321</v>
      </c>
      <c r="H33" s="2">
        <f t="shared" ca="1" si="37"/>
        <v>3543.0075248507792</v>
      </c>
      <c r="I33" s="2">
        <f t="shared" ca="1" si="37"/>
        <v>2695.5905785475352</v>
      </c>
      <c r="J33" s="2">
        <f t="shared" ca="1" si="37"/>
        <v>3496.817464315433</v>
      </c>
      <c r="K33" s="2">
        <f t="shared" ca="1" si="37"/>
        <v>2850.1856038089759</v>
      </c>
      <c r="L33" s="2">
        <f t="shared" ca="1" si="37"/>
        <v>2913.6530799307179</v>
      </c>
      <c r="M33" s="2">
        <f t="shared" ca="1" si="37"/>
        <v>3567.4412469921413</v>
      </c>
      <c r="N33" s="2">
        <f t="shared" ca="1" si="37"/>
        <v>3802.2856454991243</v>
      </c>
      <c r="O33" s="2">
        <f t="shared" ca="1" si="37"/>
        <v>3147.2530648131888</v>
      </c>
      <c r="P33" s="2">
        <f t="shared" ca="1" si="37"/>
        <v>3406.1324359072255</v>
      </c>
      <c r="Q33" s="2">
        <f t="shared" ca="1" si="37"/>
        <v>3192.5366796818107</v>
      </c>
      <c r="R33" s="2">
        <f t="shared" ca="1" si="37"/>
        <v>2721.6710712715476</v>
      </c>
      <c r="S33" s="2">
        <f t="shared" ca="1" si="36"/>
        <v>3516.2880881219235</v>
      </c>
      <c r="T33" s="2">
        <f t="shared" ca="1" si="36"/>
        <v>3462.3837770442424</v>
      </c>
      <c r="U33" s="2">
        <f t="shared" ca="1" si="36"/>
        <v>2748.7169018856644</v>
      </c>
      <c r="V33" s="2">
        <f t="shared" ca="1" si="36"/>
        <v>3253.389484373201</v>
      </c>
      <c r="W33" s="2">
        <f t="shared" ca="1" si="36"/>
        <v>2827.7379417580846</v>
      </c>
      <c r="X33" s="2">
        <f t="shared" ca="1" si="36"/>
        <v>3305.2213583764997</v>
      </c>
      <c r="Y33" s="2">
        <f t="shared" ca="1" si="36"/>
        <v>3948.5674710069334</v>
      </c>
      <c r="Z33" s="2">
        <f t="shared" ca="1" si="32"/>
        <v>3437.0970579887362</v>
      </c>
      <c r="AA33" s="2">
        <f t="shared" ca="1" si="33"/>
        <v>3735.6592970728184</v>
      </c>
      <c r="AB33" s="2">
        <f t="shared" ca="1" si="33"/>
        <v>3316.2799640386042</v>
      </c>
      <c r="AC33" s="2">
        <f t="shared" ca="1" si="33"/>
        <v>3128.0018940436321</v>
      </c>
      <c r="AD33" s="2">
        <f t="shared" ca="1" si="33"/>
        <v>2674.2085918929802</v>
      </c>
      <c r="AE33" s="2">
        <f t="shared" ca="1" si="33"/>
        <v>2819.4106521321728</v>
      </c>
      <c r="AF33" s="2">
        <f t="shared" ca="1" si="33"/>
        <v>3037.7357681573781</v>
      </c>
      <c r="AG33" s="2">
        <f t="shared" ca="1" si="33"/>
        <v>2923.7061838629656</v>
      </c>
      <c r="AH33" s="2">
        <f t="shared" ca="1" si="33"/>
        <v>2717.1370939705148</v>
      </c>
    </row>
    <row r="34" spans="1:34">
      <c r="A34" t="str">
        <f t="shared" si="34"/>
        <v>Maize</v>
      </c>
      <c r="B34" t="str">
        <f t="shared" si="35"/>
        <v>SNNPR</v>
      </c>
      <c r="C34" s="2">
        <f t="shared" ca="1" si="37"/>
        <v>2711.6471007933924</v>
      </c>
      <c r="D34" s="2">
        <f t="shared" ca="1" si="37"/>
        <v>3605.2044877826543</v>
      </c>
      <c r="E34" s="2">
        <f t="shared" ca="1" si="37"/>
        <v>3331.1010795534789</v>
      </c>
      <c r="F34" s="2">
        <f t="shared" ca="1" si="37"/>
        <v>3560.7966978142372</v>
      </c>
      <c r="G34" s="2">
        <f t="shared" ca="1" si="37"/>
        <v>2644.8546651759707</v>
      </c>
      <c r="H34" s="2">
        <f t="shared" ca="1" si="37"/>
        <v>2700.9972156637882</v>
      </c>
      <c r="I34" s="2">
        <f t="shared" ca="1" si="37"/>
        <v>3072.4292412100808</v>
      </c>
      <c r="J34" s="2">
        <f t="shared" ca="1" si="37"/>
        <v>3471.0863438143292</v>
      </c>
      <c r="K34" s="2">
        <f t="shared" ca="1" si="37"/>
        <v>3910.729335438371</v>
      </c>
      <c r="L34" s="2">
        <f t="shared" ca="1" si="37"/>
        <v>3665.338358868968</v>
      </c>
      <c r="M34" s="2">
        <f t="shared" ca="1" si="37"/>
        <v>3757.8503255949336</v>
      </c>
      <c r="N34" s="2">
        <f t="shared" ca="1" si="37"/>
        <v>2812.8195782167427</v>
      </c>
      <c r="O34" s="2">
        <f t="shared" ca="1" si="37"/>
        <v>3442.9754766418969</v>
      </c>
      <c r="P34" s="2">
        <f t="shared" ca="1" si="37"/>
        <v>3331.9991285034548</v>
      </c>
      <c r="Q34" s="2">
        <f t="shared" ca="1" si="37"/>
        <v>2749.3514911001685</v>
      </c>
      <c r="R34" s="2">
        <f t="shared" ca="1" si="37"/>
        <v>3621.2934911991001</v>
      </c>
      <c r="S34" s="2">
        <f t="shared" ca="1" si="36"/>
        <v>3368.8318660914524</v>
      </c>
      <c r="T34" s="2">
        <f t="shared" ca="1" si="36"/>
        <v>3668.5313387304545</v>
      </c>
      <c r="U34" s="2">
        <f t="shared" ca="1" si="36"/>
        <v>3377.8103718213993</v>
      </c>
      <c r="V34" s="2">
        <f t="shared" ca="1" si="36"/>
        <v>3241.8191561445933</v>
      </c>
      <c r="W34" s="2">
        <f t="shared" ca="1" si="36"/>
        <v>3157.8159973161933</v>
      </c>
      <c r="X34" s="2">
        <f t="shared" ca="1" si="36"/>
        <v>3258.8036985884373</v>
      </c>
      <c r="Y34" s="2">
        <f t="shared" ca="1" si="36"/>
        <v>3382.0333828575681</v>
      </c>
      <c r="Z34" s="2">
        <f t="shared" ca="1" si="32"/>
        <v>3134.4322691579796</v>
      </c>
      <c r="AA34" s="2">
        <f t="shared" ca="1" si="33"/>
        <v>3755.7740475052706</v>
      </c>
      <c r="AB34" s="2">
        <f t="shared" ca="1" si="33"/>
        <v>3596.9806261990325</v>
      </c>
      <c r="AC34" s="2">
        <f t="shared" ca="1" si="33"/>
        <v>2826.3113243787129</v>
      </c>
      <c r="AD34" s="2">
        <f t="shared" ca="1" si="33"/>
        <v>3879.1204915120506</v>
      </c>
      <c r="AE34" s="2">
        <f t="shared" ca="1" si="33"/>
        <v>3473.3070292511507</v>
      </c>
      <c r="AF34" s="2">
        <f t="shared" ca="1" si="33"/>
        <v>2702.2148207289588</v>
      </c>
      <c r="AG34" s="2">
        <f t="shared" ca="1" si="33"/>
        <v>2683.1607213654838</v>
      </c>
      <c r="AH34" s="2">
        <f t="shared" ca="1" si="33"/>
        <v>2880.9526604243006</v>
      </c>
    </row>
    <row r="35" spans="1:34">
      <c r="A35" t="str">
        <f t="shared" si="34"/>
        <v>Maize</v>
      </c>
      <c r="B35" t="str">
        <f t="shared" si="35"/>
        <v>Tigray</v>
      </c>
      <c r="C35" s="2">
        <f t="shared" ca="1" si="37"/>
        <v>2695.4329945015302</v>
      </c>
      <c r="D35" s="2">
        <f t="shared" ca="1" si="37"/>
        <v>3329.6586361644218</v>
      </c>
      <c r="E35" s="2">
        <f t="shared" ca="1" si="37"/>
        <v>3909.2948298115807</v>
      </c>
      <c r="F35" s="2">
        <f t="shared" ca="1" si="37"/>
        <v>2923.7409255682328</v>
      </c>
      <c r="G35" s="2">
        <f t="shared" ca="1" si="37"/>
        <v>3691.4449194160798</v>
      </c>
      <c r="H35" s="2">
        <f t="shared" ca="1" si="37"/>
        <v>3279.4487090079679</v>
      </c>
      <c r="I35" s="2">
        <f t="shared" ca="1" si="37"/>
        <v>3511.0993339322217</v>
      </c>
      <c r="J35" s="2">
        <f t="shared" ca="1" si="37"/>
        <v>3385.0383768992783</v>
      </c>
      <c r="K35" s="2">
        <f t="shared" ca="1" si="37"/>
        <v>3047.2087213885684</v>
      </c>
      <c r="L35" s="2">
        <f t="shared" ca="1" si="37"/>
        <v>3021.6409921529198</v>
      </c>
      <c r="M35" s="2">
        <f t="shared" ca="1" si="37"/>
        <v>3179.520610540791</v>
      </c>
      <c r="N35" s="2">
        <f t="shared" ca="1" si="37"/>
        <v>3308.7500811532032</v>
      </c>
      <c r="O35" s="2">
        <f t="shared" ca="1" si="37"/>
        <v>3597.7220481728186</v>
      </c>
      <c r="P35" s="2">
        <f t="shared" ca="1" si="37"/>
        <v>3784.1212072719832</v>
      </c>
      <c r="Q35" s="2">
        <f t="shared" ca="1" si="37"/>
        <v>3094.1360672376295</v>
      </c>
      <c r="R35" s="2">
        <f t="shared" ca="1" si="37"/>
        <v>3706.0834511859844</v>
      </c>
      <c r="S35" s="2">
        <f t="shared" ca="1" si="36"/>
        <v>3499.4022108296663</v>
      </c>
      <c r="T35" s="2">
        <f t="shared" ca="1" si="36"/>
        <v>3010.0845849871798</v>
      </c>
      <c r="U35" s="2">
        <f t="shared" ca="1" si="36"/>
        <v>3119.0101902028723</v>
      </c>
      <c r="V35" s="2">
        <f t="shared" ca="1" si="36"/>
        <v>2934.8945046928507</v>
      </c>
      <c r="W35" s="2">
        <f t="shared" ca="1" si="36"/>
        <v>2796.6167026370035</v>
      </c>
      <c r="X35" s="2">
        <f t="shared" ca="1" si="36"/>
        <v>3227.8093855360025</v>
      </c>
      <c r="Y35" s="2">
        <f t="shared" ca="1" si="36"/>
        <v>3012.4861205582033</v>
      </c>
      <c r="Z35" s="2">
        <f t="shared" ca="1" si="32"/>
        <v>2684.2865009051625</v>
      </c>
      <c r="AA35" s="2">
        <f t="shared" ca="1" si="33"/>
        <v>3782.5406434367751</v>
      </c>
      <c r="AB35" s="2">
        <f t="shared" ca="1" si="33"/>
        <v>2688.8384201485023</v>
      </c>
      <c r="AC35" s="2">
        <f t="shared" ca="1" si="33"/>
        <v>3041.4396267662478</v>
      </c>
      <c r="AD35" s="2">
        <f t="shared" ca="1" si="33"/>
        <v>3034.6510844333434</v>
      </c>
      <c r="AE35" s="2">
        <f t="shared" ca="1" si="33"/>
        <v>2991.0812783443175</v>
      </c>
      <c r="AF35" s="2">
        <f t="shared" ca="1" si="33"/>
        <v>3533.4814380085741</v>
      </c>
      <c r="AG35" s="2">
        <f t="shared" ca="1" si="33"/>
        <v>3271.1387602723526</v>
      </c>
      <c r="AH35" s="2">
        <f t="shared" ca="1" si="33"/>
        <v>2994.1451711332943</v>
      </c>
    </row>
    <row r="36" spans="1:34">
      <c r="A36" t="str">
        <f t="shared" si="34"/>
        <v>Lentils</v>
      </c>
      <c r="B36" t="str">
        <f t="shared" si="35"/>
        <v>AddisAbaba</v>
      </c>
      <c r="C36" s="2">
        <f t="shared" ca="1" si="37"/>
        <v>3081.9431140412457</v>
      </c>
      <c r="D36" s="2">
        <f t="shared" ca="1" si="37"/>
        <v>3064.2737872474099</v>
      </c>
      <c r="E36" s="2">
        <f t="shared" ca="1" si="37"/>
        <v>3752.5250713479495</v>
      </c>
      <c r="F36" s="2">
        <f t="shared" ca="1" si="37"/>
        <v>3656.9412030031262</v>
      </c>
      <c r="G36" s="2">
        <f t="shared" ca="1" si="37"/>
        <v>3048.8347200609392</v>
      </c>
      <c r="H36" s="2">
        <f t="shared" ca="1" si="37"/>
        <v>3084.7375774681309</v>
      </c>
      <c r="I36" s="2">
        <f t="shared" ca="1" si="37"/>
        <v>3648.5564403215326</v>
      </c>
      <c r="J36" s="2">
        <f t="shared" ca="1" si="37"/>
        <v>2651.1107836530068</v>
      </c>
      <c r="K36" s="2">
        <f t="shared" ca="1" si="37"/>
        <v>3680.0685576878591</v>
      </c>
      <c r="L36" s="2">
        <f t="shared" ca="1" si="37"/>
        <v>3006.1469529116985</v>
      </c>
      <c r="M36" s="2">
        <f t="shared" ca="1" si="37"/>
        <v>3613.0457736281678</v>
      </c>
      <c r="N36" s="2">
        <f t="shared" ca="1" si="37"/>
        <v>3274.4428025842576</v>
      </c>
      <c r="O36" s="2">
        <f t="shared" ca="1" si="37"/>
        <v>3285.957178475845</v>
      </c>
      <c r="P36" s="2">
        <f t="shared" ca="1" si="37"/>
        <v>3269.3563185638677</v>
      </c>
      <c r="Q36" s="2">
        <f t="shared" ca="1" si="37"/>
        <v>3551.3151297513327</v>
      </c>
      <c r="R36" s="2">
        <f t="shared" ca="1" si="37"/>
        <v>3106.9166260719967</v>
      </c>
      <c r="S36" s="2">
        <f t="shared" ca="1" si="36"/>
        <v>3615.6530287633714</v>
      </c>
      <c r="T36" s="2">
        <f t="shared" ca="1" si="36"/>
        <v>2920.7331800774823</v>
      </c>
      <c r="U36" s="2">
        <f t="shared" ca="1" si="36"/>
        <v>3674.2496921580009</v>
      </c>
      <c r="V36" s="2">
        <f t="shared" ca="1" si="36"/>
        <v>2945.8603596256139</v>
      </c>
      <c r="W36" s="2">
        <f t="shared" ca="1" si="36"/>
        <v>2882.6007134624256</v>
      </c>
      <c r="X36" s="2">
        <f t="shared" ca="1" si="36"/>
        <v>3456.8126298745037</v>
      </c>
      <c r="Y36" s="2">
        <f t="shared" ca="1" si="36"/>
        <v>3267.0704274256636</v>
      </c>
      <c r="Z36" s="2">
        <f t="shared" ca="1" si="32"/>
        <v>3645.2493819011511</v>
      </c>
      <c r="AA36" s="2">
        <f t="shared" ca="1" si="33"/>
        <v>3408.1304472799861</v>
      </c>
      <c r="AB36" s="2">
        <f t="shared" ca="1" si="33"/>
        <v>2775.7355662749533</v>
      </c>
      <c r="AC36" s="2">
        <f t="shared" ca="1" si="33"/>
        <v>2829.0614479065575</v>
      </c>
      <c r="AD36" s="2">
        <f t="shared" ca="1" si="33"/>
        <v>3664.8803148038737</v>
      </c>
      <c r="AE36" s="2">
        <f t="shared" ca="1" si="33"/>
        <v>2731.9716972752876</v>
      </c>
      <c r="AF36" s="2">
        <f t="shared" ca="1" si="33"/>
        <v>3265.7515466908585</v>
      </c>
      <c r="AG36" s="2">
        <f t="shared" ca="1" si="33"/>
        <v>3040.9127141276626</v>
      </c>
      <c r="AH36" s="2">
        <f t="shared" ca="1" si="33"/>
        <v>2818.7479674081355</v>
      </c>
    </row>
    <row r="37" spans="1:34">
      <c r="A37" t="str">
        <f t="shared" si="34"/>
        <v>Lentils</v>
      </c>
      <c r="B37" t="str">
        <f t="shared" si="35"/>
        <v>Afar</v>
      </c>
      <c r="C37" s="2">
        <f t="shared" ca="1" si="37"/>
        <v>2735.9964952227656</v>
      </c>
      <c r="D37" s="2">
        <f t="shared" ca="1" si="37"/>
        <v>3552.3711080015187</v>
      </c>
      <c r="E37" s="2">
        <f t="shared" ca="1" si="37"/>
        <v>3214.8389905941108</v>
      </c>
      <c r="F37" s="2">
        <f t="shared" ca="1" si="37"/>
        <v>3739.1962303391206</v>
      </c>
      <c r="G37" s="2">
        <f t="shared" ca="1" si="37"/>
        <v>3043.0009821978824</v>
      </c>
      <c r="H37" s="2">
        <f t="shared" ca="1" si="37"/>
        <v>2891.8103973941083</v>
      </c>
      <c r="I37" s="2">
        <f t="shared" ca="1" si="37"/>
        <v>2818.9021474352348</v>
      </c>
      <c r="J37" s="2">
        <f t="shared" ca="1" si="37"/>
        <v>3241.2631894208484</v>
      </c>
      <c r="K37" s="2">
        <f t="shared" ca="1" si="37"/>
        <v>3223.7817149431626</v>
      </c>
      <c r="L37" s="2">
        <f t="shared" ca="1" si="37"/>
        <v>3653.2067087878754</v>
      </c>
      <c r="M37" s="2">
        <f t="shared" ca="1" si="37"/>
        <v>2991.0971537255928</v>
      </c>
      <c r="N37" s="2">
        <f t="shared" ca="1" si="37"/>
        <v>3607.5399204121536</v>
      </c>
      <c r="O37" s="2">
        <f t="shared" ca="1" si="37"/>
        <v>3656.1975821204169</v>
      </c>
      <c r="P37" s="2">
        <f t="shared" ca="1" si="37"/>
        <v>3903.4755940845262</v>
      </c>
      <c r="Q37" s="2">
        <f t="shared" ca="1" si="37"/>
        <v>3191.7799126009854</v>
      </c>
      <c r="R37" s="2">
        <f t="shared" ca="1" si="37"/>
        <v>2948.4816108772134</v>
      </c>
      <c r="S37" s="2">
        <f t="shared" ca="1" si="36"/>
        <v>3399.8993049826845</v>
      </c>
      <c r="T37" s="2">
        <f t="shared" ca="1" si="36"/>
        <v>3845.7558060760243</v>
      </c>
      <c r="U37" s="2">
        <f t="shared" ca="1" si="36"/>
        <v>3274.5012991853641</v>
      </c>
      <c r="V37" s="2">
        <f t="shared" ca="1" si="36"/>
        <v>3668.2550740573483</v>
      </c>
      <c r="W37" s="2">
        <f t="shared" ca="1" si="36"/>
        <v>2973.3198232560189</v>
      </c>
      <c r="X37" s="2">
        <f t="shared" ca="1" si="36"/>
        <v>3091.5637887080002</v>
      </c>
      <c r="Y37" s="2">
        <f t="shared" ca="1" si="36"/>
        <v>3879.0427591243383</v>
      </c>
      <c r="Z37" s="2">
        <f t="shared" ca="1" si="32"/>
        <v>2878.6755069535261</v>
      </c>
      <c r="AA37" s="2">
        <f t="shared" ca="1" si="33"/>
        <v>2944.5509902394738</v>
      </c>
      <c r="AB37" s="2">
        <f t="shared" ca="1" si="33"/>
        <v>3609.8390184123855</v>
      </c>
      <c r="AC37" s="2">
        <f t="shared" ca="1" si="33"/>
        <v>2764.3118542799461</v>
      </c>
      <c r="AD37" s="2">
        <f t="shared" ca="1" si="33"/>
        <v>3821.7365319189757</v>
      </c>
      <c r="AE37" s="2">
        <f t="shared" ca="1" si="33"/>
        <v>2688.0235231652491</v>
      </c>
      <c r="AF37" s="2">
        <f t="shared" ca="1" si="33"/>
        <v>3270.7900287509128</v>
      </c>
      <c r="AG37" s="2">
        <f t="shared" ca="1" si="33"/>
        <v>2889.5593069299057</v>
      </c>
      <c r="AH37" s="2">
        <f t="shared" ca="1" si="33"/>
        <v>3676.3357767132748</v>
      </c>
    </row>
    <row r="38" spans="1:34">
      <c r="A38" t="str">
        <f t="shared" si="34"/>
        <v>Lentils</v>
      </c>
      <c r="B38" t="str">
        <f t="shared" si="35"/>
        <v>Amhara</v>
      </c>
      <c r="C38" s="2">
        <f t="shared" ca="1" si="37"/>
        <v>3565.2936924353949</v>
      </c>
      <c r="D38" s="2">
        <f t="shared" ca="1" si="37"/>
        <v>3874.8591683889449</v>
      </c>
      <c r="E38" s="2">
        <f t="shared" ca="1" si="37"/>
        <v>3155.3246984500206</v>
      </c>
      <c r="F38" s="2">
        <f t="shared" ca="1" si="37"/>
        <v>3314.107068853868</v>
      </c>
      <c r="G38" s="2">
        <f t="shared" ca="1" si="37"/>
        <v>3718.7376411425239</v>
      </c>
      <c r="H38" s="2">
        <f t="shared" ca="1" si="37"/>
        <v>3745.9272569814029</v>
      </c>
      <c r="I38" s="2">
        <f t="shared" ca="1" si="37"/>
        <v>3030.8191838370963</v>
      </c>
      <c r="J38" s="2">
        <f t="shared" ca="1" si="37"/>
        <v>3306.4227294439906</v>
      </c>
      <c r="K38" s="2">
        <f t="shared" ca="1" si="37"/>
        <v>3261.0790799945776</v>
      </c>
      <c r="L38" s="2">
        <f t="shared" ca="1" si="37"/>
        <v>3238.5087898392785</v>
      </c>
      <c r="M38" s="2">
        <f t="shared" ca="1" si="37"/>
        <v>2695.0192923927975</v>
      </c>
      <c r="N38" s="2">
        <f t="shared" ca="1" si="37"/>
        <v>2915.2404136845776</v>
      </c>
      <c r="O38" s="2">
        <f t="shared" ca="1" si="37"/>
        <v>3832.0906728220461</v>
      </c>
      <c r="P38" s="2">
        <f t="shared" ca="1" si="37"/>
        <v>3235.7282800986586</v>
      </c>
      <c r="Q38" s="2">
        <f t="shared" ca="1" si="37"/>
        <v>3695.9614495458559</v>
      </c>
      <c r="R38" s="2">
        <f t="shared" ca="1" si="37"/>
        <v>2663.2728528836024</v>
      </c>
      <c r="S38" s="2">
        <f t="shared" ca="1" si="36"/>
        <v>2671.7709637364574</v>
      </c>
      <c r="T38" s="2">
        <f t="shared" ca="1" si="36"/>
        <v>3504.8079079337122</v>
      </c>
      <c r="U38" s="2">
        <f t="shared" ca="1" si="36"/>
        <v>2799.956271227094</v>
      </c>
      <c r="V38" s="2">
        <f t="shared" ca="1" si="36"/>
        <v>3132.8871443596604</v>
      </c>
      <c r="W38" s="2">
        <f t="shared" ca="1" si="36"/>
        <v>3546.9273365381964</v>
      </c>
      <c r="X38" s="2">
        <f t="shared" ca="1" si="36"/>
        <v>3621.647441219553</v>
      </c>
      <c r="Y38" s="2">
        <f t="shared" ca="1" si="36"/>
        <v>3255.5215580399863</v>
      </c>
      <c r="Z38" s="2">
        <f t="shared" ca="1" si="32"/>
        <v>2927.4824957901014</v>
      </c>
      <c r="AA38" s="2">
        <f t="shared" ca="1" si="33"/>
        <v>3134.1667656425848</v>
      </c>
      <c r="AB38" s="2">
        <f t="shared" ca="1" si="33"/>
        <v>3015.8943465846542</v>
      </c>
      <c r="AC38" s="2">
        <f t="shared" ca="1" si="33"/>
        <v>3117.8433686071412</v>
      </c>
      <c r="AD38" s="2">
        <f t="shared" ca="1" si="33"/>
        <v>3284.3225693065624</v>
      </c>
      <c r="AE38" s="2">
        <f t="shared" ca="1" si="33"/>
        <v>3702.490045685794</v>
      </c>
      <c r="AF38" s="2">
        <f t="shared" ca="1" si="33"/>
        <v>3018.476132139162</v>
      </c>
      <c r="AG38" s="2">
        <f t="shared" ca="1" si="33"/>
        <v>2733.4141390208856</v>
      </c>
      <c r="AH38" s="2">
        <f t="shared" ca="1" si="33"/>
        <v>2709.6297949897048</v>
      </c>
    </row>
    <row r="39" spans="1:34">
      <c r="A39" t="str">
        <f t="shared" si="34"/>
        <v>Lentils</v>
      </c>
      <c r="B39" t="str">
        <f t="shared" si="35"/>
        <v>Gumuz</v>
      </c>
      <c r="C39" s="2">
        <f t="shared" ca="1" si="37"/>
        <v>3808.1103211175168</v>
      </c>
      <c r="D39" s="2">
        <f t="shared" ca="1" si="37"/>
        <v>2774.5407976523206</v>
      </c>
      <c r="E39" s="2">
        <f t="shared" ca="1" si="37"/>
        <v>2786.6247338797807</v>
      </c>
      <c r="F39" s="2">
        <f t="shared" ca="1" si="37"/>
        <v>2977.6703114078359</v>
      </c>
      <c r="G39" s="2">
        <f t="shared" ca="1" si="37"/>
        <v>3081.0856933801142</v>
      </c>
      <c r="H39" s="2">
        <f t="shared" ca="1" si="37"/>
        <v>2937.403247236633</v>
      </c>
      <c r="I39" s="2">
        <f t="shared" ca="1" si="37"/>
        <v>3931.69760203845</v>
      </c>
      <c r="J39" s="2">
        <f t="shared" ca="1" si="37"/>
        <v>3955.6313692527751</v>
      </c>
      <c r="K39" s="2">
        <f t="shared" ca="1" si="37"/>
        <v>3844.2323492235537</v>
      </c>
      <c r="L39" s="2">
        <f t="shared" ca="1" si="37"/>
        <v>3910.1633299000659</v>
      </c>
      <c r="M39" s="2">
        <f t="shared" ca="1" si="37"/>
        <v>2680.6597976931375</v>
      </c>
      <c r="N39" s="2">
        <f t="shared" ca="1" si="37"/>
        <v>3415.0096520792772</v>
      </c>
      <c r="O39" s="2">
        <f t="shared" ca="1" si="37"/>
        <v>2670.4734659107676</v>
      </c>
      <c r="P39" s="2">
        <f t="shared" ca="1" si="37"/>
        <v>2953.6354728556707</v>
      </c>
      <c r="Q39" s="2">
        <f t="shared" ca="1" si="37"/>
        <v>2950.7625758098693</v>
      </c>
      <c r="R39" s="2">
        <f t="shared" ca="1" si="37"/>
        <v>2700.3225023304399</v>
      </c>
      <c r="S39" s="2">
        <f t="shared" ca="1" si="36"/>
        <v>3467.2589475412906</v>
      </c>
      <c r="T39" s="2">
        <f t="shared" ca="1" si="36"/>
        <v>3682.5563087444898</v>
      </c>
      <c r="U39" s="2">
        <f t="shared" ca="1" si="36"/>
        <v>3900.3337638768958</v>
      </c>
      <c r="V39" s="2">
        <f t="shared" ca="1" si="36"/>
        <v>3084.5664741997716</v>
      </c>
      <c r="W39" s="2">
        <f t="shared" ca="1" si="36"/>
        <v>3151.0486624859327</v>
      </c>
      <c r="X39" s="2">
        <f t="shared" ca="1" si="36"/>
        <v>3094.2199621766808</v>
      </c>
      <c r="Y39" s="2">
        <f t="shared" ca="1" si="36"/>
        <v>3487.7315092639042</v>
      </c>
      <c r="Z39" s="2">
        <f t="shared" ca="1" si="32"/>
        <v>3206.608751060995</v>
      </c>
      <c r="AA39" s="2">
        <f t="shared" ca="1" si="33"/>
        <v>3411.5447168861347</v>
      </c>
      <c r="AB39" s="2">
        <f t="shared" ca="1" si="33"/>
        <v>2825.2184126691877</v>
      </c>
      <c r="AC39" s="2">
        <f t="shared" ca="1" si="33"/>
        <v>3330.6358782710604</v>
      </c>
      <c r="AD39" s="2">
        <f t="shared" ca="1" si="33"/>
        <v>3143.4916396820322</v>
      </c>
      <c r="AE39" s="2">
        <f t="shared" ca="1" si="33"/>
        <v>3291.6770191661803</v>
      </c>
      <c r="AF39" s="2">
        <f t="shared" ca="1" si="33"/>
        <v>3747.9352655729308</v>
      </c>
      <c r="AG39" s="2">
        <f t="shared" ca="1" si="33"/>
        <v>3294.2325645035235</v>
      </c>
      <c r="AH39" s="2">
        <f t="shared" ca="1" si="33"/>
        <v>3030.8042053199692</v>
      </c>
    </row>
    <row r="40" spans="1:34">
      <c r="A40" t="str">
        <f t="shared" si="34"/>
        <v>Lentils</v>
      </c>
      <c r="B40" t="str">
        <f t="shared" si="35"/>
        <v>DireDawa</v>
      </c>
      <c r="C40" s="2">
        <f t="shared" ca="1" si="37"/>
        <v>3624.12135138434</v>
      </c>
      <c r="D40" s="2">
        <f t="shared" ca="1" si="37"/>
        <v>3173.4390363964872</v>
      </c>
      <c r="E40" s="2">
        <f t="shared" ca="1" si="37"/>
        <v>3828.3565476313347</v>
      </c>
      <c r="F40" s="2">
        <f t="shared" ca="1" si="37"/>
        <v>3453.0869972274163</v>
      </c>
      <c r="G40" s="2">
        <f t="shared" ca="1" si="37"/>
        <v>3477.2483451277863</v>
      </c>
      <c r="H40" s="2">
        <f t="shared" ca="1" si="37"/>
        <v>2926.9761208446357</v>
      </c>
      <c r="I40" s="2">
        <f t="shared" ca="1" si="37"/>
        <v>3243.3437174024975</v>
      </c>
      <c r="J40" s="2">
        <f t="shared" ca="1" si="37"/>
        <v>3492.0516300297741</v>
      </c>
      <c r="K40" s="2">
        <f t="shared" ca="1" si="37"/>
        <v>3343.449192273285</v>
      </c>
      <c r="L40" s="2">
        <f t="shared" ca="1" si="37"/>
        <v>3806.148148771219</v>
      </c>
      <c r="M40" s="2">
        <f t="shared" ca="1" si="37"/>
        <v>3846.9257325261769</v>
      </c>
      <c r="N40" s="2">
        <f t="shared" ca="1" si="37"/>
        <v>3456.3245575729566</v>
      </c>
      <c r="O40" s="2">
        <f t="shared" ca="1" si="37"/>
        <v>3575.5071025369498</v>
      </c>
      <c r="P40" s="2">
        <f t="shared" ca="1" si="37"/>
        <v>3336.6765760643761</v>
      </c>
      <c r="Q40" s="2">
        <f t="shared" ca="1" si="37"/>
        <v>3404.5694549899149</v>
      </c>
      <c r="R40" s="2">
        <f t="shared" ca="1" si="37"/>
        <v>3834.1591094670675</v>
      </c>
      <c r="S40" s="2">
        <f t="shared" ca="1" si="36"/>
        <v>2795.6347224309097</v>
      </c>
      <c r="T40" s="2">
        <f t="shared" ca="1" si="36"/>
        <v>3125.1759250361742</v>
      </c>
      <c r="U40" s="2">
        <f t="shared" ca="1" si="36"/>
        <v>2864.8974683595225</v>
      </c>
      <c r="V40" s="2">
        <f t="shared" ca="1" si="36"/>
        <v>3276.0563186337713</v>
      </c>
      <c r="W40" s="2">
        <f t="shared" ca="1" si="36"/>
        <v>2653.9098321804163</v>
      </c>
      <c r="X40" s="2">
        <f t="shared" ca="1" si="36"/>
        <v>3035.1991229847436</v>
      </c>
      <c r="Y40" s="2">
        <f t="shared" ca="1" si="36"/>
        <v>2856.6061933915767</v>
      </c>
      <c r="Z40" s="2">
        <f t="shared" ca="1" si="32"/>
        <v>2885.3107026511948</v>
      </c>
      <c r="AA40" s="2">
        <f t="shared" ca="1" si="33"/>
        <v>2933.9203325038447</v>
      </c>
      <c r="AB40" s="2">
        <f t="shared" ca="1" si="33"/>
        <v>3023.9924393579645</v>
      </c>
      <c r="AC40" s="2">
        <f t="shared" ca="1" si="33"/>
        <v>3881.3962072836739</v>
      </c>
      <c r="AD40" s="2">
        <f t="shared" ca="1" si="33"/>
        <v>3311.9084613924997</v>
      </c>
      <c r="AE40" s="2">
        <f t="shared" ca="1" si="33"/>
        <v>3616.7793855263817</v>
      </c>
      <c r="AF40" s="2">
        <f t="shared" ca="1" si="33"/>
        <v>3454.8157715710072</v>
      </c>
      <c r="AG40" s="2">
        <f t="shared" ca="1" si="33"/>
        <v>2891.7655520397016</v>
      </c>
      <c r="AH40" s="2">
        <f t="shared" ca="1" si="33"/>
        <v>2790.5774636119841</v>
      </c>
    </row>
    <row r="41" spans="1:34">
      <c r="A41" t="str">
        <f t="shared" si="34"/>
        <v>Lentils</v>
      </c>
      <c r="B41" t="str">
        <f t="shared" si="35"/>
        <v>Gambela</v>
      </c>
      <c r="C41" s="2">
        <f t="shared" ca="1" si="37"/>
        <v>2782.8052904840542</v>
      </c>
      <c r="D41" s="2">
        <f t="shared" ca="1" si="37"/>
        <v>3196.9632365525313</v>
      </c>
      <c r="E41" s="2">
        <f t="shared" ca="1" si="37"/>
        <v>3601.61977360844</v>
      </c>
      <c r="F41" s="2">
        <f t="shared" ca="1" si="37"/>
        <v>2819.0833018651128</v>
      </c>
      <c r="G41" s="2">
        <f t="shared" ca="1" si="37"/>
        <v>2866.1120826366391</v>
      </c>
      <c r="H41" s="2">
        <f t="shared" ca="1" si="37"/>
        <v>3070.6237011248918</v>
      </c>
      <c r="I41" s="2">
        <f t="shared" ca="1" si="37"/>
        <v>3676.1416338897893</v>
      </c>
      <c r="J41" s="2">
        <f t="shared" ca="1" si="37"/>
        <v>2887.5596388766126</v>
      </c>
      <c r="K41" s="2">
        <f t="shared" ca="1" si="37"/>
        <v>3702.5128555749284</v>
      </c>
      <c r="L41" s="2">
        <f t="shared" ca="1" si="37"/>
        <v>3940.6151586947071</v>
      </c>
      <c r="M41" s="2">
        <f t="shared" ca="1" si="37"/>
        <v>3375.3339915681217</v>
      </c>
      <c r="N41" s="2">
        <f t="shared" ca="1" si="37"/>
        <v>3638.560187885721</v>
      </c>
      <c r="O41" s="2">
        <f t="shared" ca="1" si="37"/>
        <v>3177.0650815097238</v>
      </c>
      <c r="P41" s="2">
        <f t="shared" ca="1" si="37"/>
        <v>2685.7171414180643</v>
      </c>
      <c r="Q41" s="2">
        <f t="shared" ca="1" si="37"/>
        <v>2763.6350353722382</v>
      </c>
      <c r="R41" s="2">
        <f t="shared" ca="1" si="37"/>
        <v>2873.6638907962197</v>
      </c>
      <c r="S41" s="2">
        <f t="shared" ca="1" si="36"/>
        <v>2671.3082034395134</v>
      </c>
      <c r="T41" s="2">
        <f t="shared" ca="1" si="36"/>
        <v>3709.61329143482</v>
      </c>
      <c r="U41" s="2">
        <f t="shared" ca="1" si="36"/>
        <v>3703.8024030013794</v>
      </c>
      <c r="V41" s="2">
        <f t="shared" ca="1" si="36"/>
        <v>3057.436497986148</v>
      </c>
      <c r="W41" s="2">
        <f t="shared" ca="1" si="36"/>
        <v>3605.9614611058573</v>
      </c>
      <c r="X41" s="2">
        <f t="shared" ca="1" si="36"/>
        <v>3274.8836970177531</v>
      </c>
      <c r="Y41" s="2">
        <f t="shared" ca="1" si="36"/>
        <v>3272.7907446239537</v>
      </c>
      <c r="Z41" s="2">
        <f t="shared" ca="1" si="32"/>
        <v>3811.1360200782192</v>
      </c>
      <c r="AA41" s="2">
        <f t="shared" ca="1" si="33"/>
        <v>2798.2186699168628</v>
      </c>
      <c r="AB41" s="2">
        <f t="shared" ca="1" si="33"/>
        <v>3855.5776058342444</v>
      </c>
      <c r="AC41" s="2">
        <f t="shared" ca="1" si="33"/>
        <v>3339.1930473405741</v>
      </c>
      <c r="AD41" s="2">
        <f t="shared" ca="1" si="33"/>
        <v>2715.4371817719925</v>
      </c>
      <c r="AE41" s="2">
        <f t="shared" ca="1" si="33"/>
        <v>2966.5961286074503</v>
      </c>
      <c r="AF41" s="2">
        <f t="shared" ca="1" si="33"/>
        <v>3584.8161730680845</v>
      </c>
      <c r="AG41" s="2">
        <f t="shared" ca="1" si="33"/>
        <v>3089.4114540914056</v>
      </c>
      <c r="AH41" s="2">
        <f t="shared" ca="1" si="33"/>
        <v>3680.7799808018203</v>
      </c>
    </row>
    <row r="42" spans="1:34">
      <c r="A42" t="str">
        <f t="shared" si="34"/>
        <v>Lentils</v>
      </c>
      <c r="B42" t="str">
        <f t="shared" si="35"/>
        <v>Harari</v>
      </c>
      <c r="C42" s="2">
        <f t="shared" ca="1" si="37"/>
        <v>3868.3341198435269</v>
      </c>
      <c r="D42" s="2">
        <f t="shared" ca="1" si="37"/>
        <v>2716.7451524211715</v>
      </c>
      <c r="E42" s="2">
        <f t="shared" ca="1" si="37"/>
        <v>2648.173269216979</v>
      </c>
      <c r="F42" s="2">
        <f t="shared" ca="1" si="37"/>
        <v>2889.4922459390214</v>
      </c>
      <c r="G42" s="2">
        <f t="shared" ca="1" si="37"/>
        <v>3146.1814299070193</v>
      </c>
      <c r="H42" s="2">
        <f t="shared" ca="1" si="37"/>
        <v>3817.7719147800158</v>
      </c>
      <c r="I42" s="2">
        <f t="shared" ca="1" si="37"/>
        <v>3754.5086963233448</v>
      </c>
      <c r="J42" s="2">
        <f t="shared" ca="1" si="37"/>
        <v>2978.8540061611466</v>
      </c>
      <c r="K42" s="2">
        <f t="shared" ca="1" si="37"/>
        <v>3520.9791564856573</v>
      </c>
      <c r="L42" s="2">
        <f t="shared" ca="1" si="37"/>
        <v>2773.6193272687497</v>
      </c>
      <c r="M42" s="2">
        <f t="shared" ca="1" si="37"/>
        <v>3369.0140395586322</v>
      </c>
      <c r="N42" s="2">
        <f t="shared" ca="1" si="37"/>
        <v>2953.2146754341989</v>
      </c>
      <c r="O42" s="2">
        <f t="shared" ca="1" si="37"/>
        <v>3214.6604852525493</v>
      </c>
      <c r="P42" s="2">
        <f t="shared" ca="1" si="37"/>
        <v>3034.4167820273547</v>
      </c>
      <c r="Q42" s="2">
        <f t="shared" ca="1" si="37"/>
        <v>3664.4085247779158</v>
      </c>
      <c r="R42" s="2">
        <f t="shared" ca="1" si="37"/>
        <v>2801.6719023971377</v>
      </c>
      <c r="S42" s="2">
        <f t="shared" ca="1" si="36"/>
        <v>3343.6869169207916</v>
      </c>
      <c r="T42" s="2">
        <f t="shared" ca="1" si="36"/>
        <v>3562.8191655634087</v>
      </c>
      <c r="U42" s="2">
        <f t="shared" ca="1" si="36"/>
        <v>3901.791902879505</v>
      </c>
      <c r="V42" s="2">
        <f t="shared" ca="1" si="36"/>
        <v>2709.7525098734436</v>
      </c>
      <c r="W42" s="2">
        <f t="shared" ca="1" si="36"/>
        <v>3232.0150572785456</v>
      </c>
      <c r="X42" s="2">
        <f t="shared" ca="1" si="36"/>
        <v>2871.5036395025513</v>
      </c>
      <c r="Y42" s="2">
        <f t="shared" ca="1" si="36"/>
        <v>3028.6626871862532</v>
      </c>
      <c r="Z42" s="2">
        <f t="shared" ca="1" si="32"/>
        <v>3264.036851050666</v>
      </c>
      <c r="AA42" s="2">
        <f t="shared" ca="1" si="33"/>
        <v>3265.1703825801474</v>
      </c>
      <c r="AB42" s="2">
        <f t="shared" ca="1" si="33"/>
        <v>2785.0239816037752</v>
      </c>
      <c r="AC42" s="2">
        <f t="shared" ca="1" si="33"/>
        <v>2917.6891872246283</v>
      </c>
      <c r="AD42" s="2">
        <f t="shared" ca="1" si="33"/>
        <v>3288.7882963531029</v>
      </c>
      <c r="AE42" s="2">
        <f t="shared" ca="1" si="33"/>
        <v>2733.529930568387</v>
      </c>
      <c r="AF42" s="2">
        <f t="shared" ca="1" si="33"/>
        <v>3550.0470304735522</v>
      </c>
      <c r="AG42" s="2">
        <f t="shared" ca="1" si="33"/>
        <v>2759.509124386786</v>
      </c>
      <c r="AH42" s="2">
        <f t="shared" ref="D42:AH90" ca="1" si="38">((RAND()*1+2)*110)*10*1.2</f>
        <v>2658.5042295356288</v>
      </c>
    </row>
    <row r="43" spans="1:34">
      <c r="A43" t="str">
        <f t="shared" si="34"/>
        <v>Lentils</v>
      </c>
      <c r="B43" t="str">
        <f t="shared" si="35"/>
        <v>Oromia</v>
      </c>
      <c r="C43" s="2">
        <f t="shared" ca="1" si="37"/>
        <v>3589.3342518415961</v>
      </c>
      <c r="D43" s="2">
        <f t="shared" ca="1" si="38"/>
        <v>2996.6079043469426</v>
      </c>
      <c r="E43" s="2">
        <f t="shared" ca="1" si="38"/>
        <v>3375.5713238264402</v>
      </c>
      <c r="F43" s="2">
        <f t="shared" ca="1" si="38"/>
        <v>3288.3369057280133</v>
      </c>
      <c r="G43" s="2">
        <f t="shared" ca="1" si="38"/>
        <v>3671.410521182027</v>
      </c>
      <c r="H43" s="2">
        <f t="shared" ca="1" si="38"/>
        <v>2664.0514491127487</v>
      </c>
      <c r="I43" s="2">
        <f t="shared" ca="1" si="38"/>
        <v>2805.8040113824777</v>
      </c>
      <c r="J43" s="2">
        <f t="shared" ca="1" si="38"/>
        <v>2783.8492689540526</v>
      </c>
      <c r="K43" s="2">
        <f t="shared" ca="1" si="38"/>
        <v>2836.1350356921225</v>
      </c>
      <c r="L43" s="2">
        <f t="shared" ca="1" si="38"/>
        <v>3352.4474299649155</v>
      </c>
      <c r="M43" s="2">
        <f t="shared" ca="1" si="38"/>
        <v>3865.9069158946877</v>
      </c>
      <c r="N43" s="2">
        <f t="shared" ca="1" si="38"/>
        <v>3540.1099516838299</v>
      </c>
      <c r="O43" s="2">
        <f t="shared" ca="1" si="38"/>
        <v>2745.1609792953604</v>
      </c>
      <c r="P43" s="2">
        <f t="shared" ca="1" si="38"/>
        <v>3339.4077124686769</v>
      </c>
      <c r="Q43" s="2">
        <f t="shared" ca="1" si="38"/>
        <v>3707.4181979122577</v>
      </c>
      <c r="R43" s="2">
        <f t="shared" ca="1" si="38"/>
        <v>3606.152048274143</v>
      </c>
      <c r="S43" s="2">
        <f t="shared" ca="1" si="38"/>
        <v>3551.3430188142383</v>
      </c>
      <c r="T43" s="2">
        <f t="shared" ca="1" si="38"/>
        <v>3414.1783454008414</v>
      </c>
      <c r="U43" s="2">
        <f t="shared" ca="1" si="38"/>
        <v>2674.5605791678468</v>
      </c>
      <c r="V43" s="2">
        <f t="shared" ca="1" si="38"/>
        <v>3525.2271192762996</v>
      </c>
      <c r="W43" s="2">
        <f t="shared" ca="1" si="38"/>
        <v>3802.4069565531827</v>
      </c>
      <c r="X43" s="2">
        <f t="shared" ca="1" si="38"/>
        <v>3858.5394711545605</v>
      </c>
      <c r="Y43" s="2">
        <f t="shared" ca="1" si="38"/>
        <v>3448.7033085833591</v>
      </c>
      <c r="Z43" s="2">
        <f t="shared" ca="1" si="38"/>
        <v>3349.4330307821883</v>
      </c>
      <c r="AA43" s="2">
        <f t="shared" ca="1" si="38"/>
        <v>3399.8829115187732</v>
      </c>
      <c r="AB43" s="2">
        <f t="shared" ca="1" si="38"/>
        <v>3264.970709615</v>
      </c>
      <c r="AC43" s="2">
        <f t="shared" ca="1" si="38"/>
        <v>3453.8247397902037</v>
      </c>
      <c r="AD43" s="2">
        <f t="shared" ca="1" si="38"/>
        <v>2883.541903143388</v>
      </c>
      <c r="AE43" s="2">
        <f t="shared" ca="1" si="38"/>
        <v>3712.9546987755684</v>
      </c>
      <c r="AF43" s="2">
        <f t="shared" ca="1" si="38"/>
        <v>3613.4766383454248</v>
      </c>
      <c r="AG43" s="2">
        <f t="shared" ca="1" si="38"/>
        <v>3799.6259651557057</v>
      </c>
      <c r="AH43" s="2">
        <f t="shared" ca="1" si="38"/>
        <v>3532.3512288002794</v>
      </c>
    </row>
    <row r="44" spans="1:34">
      <c r="A44" t="str">
        <f t="shared" si="34"/>
        <v>Lentils</v>
      </c>
      <c r="B44" t="str">
        <f t="shared" si="35"/>
        <v>Somali</v>
      </c>
      <c r="C44" s="2">
        <f t="shared" ca="1" si="37"/>
        <v>2747.9900245636341</v>
      </c>
      <c r="D44" s="2">
        <f t="shared" ca="1" si="38"/>
        <v>3876.8824219905587</v>
      </c>
      <c r="E44" s="2">
        <f t="shared" ca="1" si="38"/>
        <v>2668.9887820917797</v>
      </c>
      <c r="F44" s="2">
        <f t="shared" ca="1" si="38"/>
        <v>3768.6332685566331</v>
      </c>
      <c r="G44" s="2">
        <f t="shared" ca="1" si="38"/>
        <v>3689.9894872883874</v>
      </c>
      <c r="H44" s="2">
        <f t="shared" ca="1" si="38"/>
        <v>3789.7463644597578</v>
      </c>
      <c r="I44" s="2">
        <f t="shared" ca="1" si="38"/>
        <v>3626.2803294418645</v>
      </c>
      <c r="J44" s="2">
        <f t="shared" ca="1" si="38"/>
        <v>3805.7766832223979</v>
      </c>
      <c r="K44" s="2">
        <f t="shared" ca="1" si="38"/>
        <v>3472.4180724073276</v>
      </c>
      <c r="L44" s="2">
        <f t="shared" ca="1" si="38"/>
        <v>3843.3016422050109</v>
      </c>
      <c r="M44" s="2">
        <f t="shared" ca="1" si="38"/>
        <v>3649.7204551980694</v>
      </c>
      <c r="N44" s="2">
        <f t="shared" ca="1" si="38"/>
        <v>3529.2867044634518</v>
      </c>
      <c r="O44" s="2">
        <f t="shared" ca="1" si="38"/>
        <v>3184.400009273762</v>
      </c>
      <c r="P44" s="2">
        <f t="shared" ca="1" si="38"/>
        <v>3537.8969738672758</v>
      </c>
      <c r="Q44" s="2">
        <f t="shared" ca="1" si="38"/>
        <v>3122.8843140243907</v>
      </c>
      <c r="R44" s="2">
        <f t="shared" ca="1" si="38"/>
        <v>2676.3931380332801</v>
      </c>
      <c r="S44" s="2">
        <f t="shared" ca="1" si="38"/>
        <v>2890.6762587591288</v>
      </c>
      <c r="T44" s="2">
        <f t="shared" ca="1" si="38"/>
        <v>2656.7795278682488</v>
      </c>
      <c r="U44" s="2">
        <f t="shared" ca="1" si="38"/>
        <v>3170.717058923462</v>
      </c>
      <c r="V44" s="2">
        <f t="shared" ca="1" si="38"/>
        <v>3674.0303686429106</v>
      </c>
      <c r="W44" s="2">
        <f t="shared" ca="1" si="38"/>
        <v>3112.9715825353496</v>
      </c>
      <c r="X44" s="2">
        <f t="shared" ca="1" si="38"/>
        <v>2692.7020062042361</v>
      </c>
      <c r="Y44" s="2">
        <f t="shared" ca="1" si="38"/>
        <v>3661.0199098996818</v>
      </c>
      <c r="Z44" s="2">
        <f t="shared" ca="1" si="38"/>
        <v>2673.4101810938378</v>
      </c>
      <c r="AA44" s="2">
        <f t="shared" ca="1" si="38"/>
        <v>2741.8881726576187</v>
      </c>
      <c r="AB44" s="2">
        <f t="shared" ca="1" si="38"/>
        <v>3572.4997146665596</v>
      </c>
      <c r="AC44" s="2">
        <f t="shared" ca="1" si="38"/>
        <v>2686.7530715187286</v>
      </c>
      <c r="AD44" s="2">
        <f t="shared" ca="1" si="38"/>
        <v>3281.8985094189825</v>
      </c>
      <c r="AE44" s="2">
        <f t="shared" ca="1" si="38"/>
        <v>3158.896864800613</v>
      </c>
      <c r="AF44" s="2">
        <f t="shared" ca="1" si="38"/>
        <v>3228.1219402307715</v>
      </c>
      <c r="AG44" s="2">
        <f t="shared" ca="1" si="38"/>
        <v>3146.4329460254048</v>
      </c>
      <c r="AH44" s="2">
        <f t="shared" ca="1" si="38"/>
        <v>3537.3888816160675</v>
      </c>
    </row>
    <row r="45" spans="1:34">
      <c r="A45" t="str">
        <f t="shared" si="34"/>
        <v>Lentils</v>
      </c>
      <c r="B45" t="str">
        <f t="shared" si="35"/>
        <v>SNNPR</v>
      </c>
      <c r="C45" s="2">
        <f t="shared" ca="1" si="37"/>
        <v>3506.5135661663062</v>
      </c>
      <c r="D45" s="2">
        <f t="shared" ca="1" si="38"/>
        <v>3019.9984634880798</v>
      </c>
      <c r="E45" s="2">
        <f t="shared" ca="1" si="38"/>
        <v>3533.6205587531699</v>
      </c>
      <c r="F45" s="2">
        <f t="shared" ca="1" si="38"/>
        <v>3897.0566522704544</v>
      </c>
      <c r="G45" s="2">
        <f t="shared" ca="1" si="38"/>
        <v>3914.1808093590157</v>
      </c>
      <c r="H45" s="2">
        <f t="shared" ca="1" si="38"/>
        <v>3525.0706197386171</v>
      </c>
      <c r="I45" s="2">
        <f t="shared" ca="1" si="38"/>
        <v>2818.311794915287</v>
      </c>
      <c r="J45" s="2">
        <f t="shared" ca="1" si="38"/>
        <v>3429.4139812056364</v>
      </c>
      <c r="K45" s="2">
        <f t="shared" ca="1" si="38"/>
        <v>3605.9558023253344</v>
      </c>
      <c r="L45" s="2">
        <f t="shared" ca="1" si="38"/>
        <v>3648.0769397121676</v>
      </c>
      <c r="M45" s="2">
        <f t="shared" ca="1" si="38"/>
        <v>3929.1487422850246</v>
      </c>
      <c r="N45" s="2">
        <f t="shared" ca="1" si="38"/>
        <v>3768.6740873287913</v>
      </c>
      <c r="O45" s="2">
        <f t="shared" ca="1" si="38"/>
        <v>3826.1527807516659</v>
      </c>
      <c r="P45" s="2">
        <f t="shared" ca="1" si="38"/>
        <v>2752.2003379100606</v>
      </c>
      <c r="Q45" s="2">
        <f t="shared" ca="1" si="38"/>
        <v>3366.3757905150514</v>
      </c>
      <c r="R45" s="2">
        <f t="shared" ca="1" si="38"/>
        <v>3251.1031725454204</v>
      </c>
      <c r="S45" s="2">
        <f t="shared" ca="1" si="38"/>
        <v>3307.9796042177572</v>
      </c>
      <c r="T45" s="2">
        <f t="shared" ca="1" si="38"/>
        <v>3309.2108894235598</v>
      </c>
      <c r="U45" s="2">
        <f t="shared" ca="1" si="38"/>
        <v>3128.011745382199</v>
      </c>
      <c r="V45" s="2">
        <f t="shared" ca="1" si="38"/>
        <v>3292.5975290927049</v>
      </c>
      <c r="W45" s="2">
        <f t="shared" ca="1" si="38"/>
        <v>3743.1797641398125</v>
      </c>
      <c r="X45" s="2">
        <f t="shared" ca="1" si="38"/>
        <v>3325.7889847108731</v>
      </c>
      <c r="Y45" s="2">
        <f t="shared" ca="1" si="38"/>
        <v>3925.5974465637178</v>
      </c>
      <c r="Z45" s="2">
        <f t="shared" ca="1" si="38"/>
        <v>2888.7584644537724</v>
      </c>
      <c r="AA45" s="2">
        <f t="shared" ca="1" si="38"/>
        <v>3733.2434381362218</v>
      </c>
      <c r="AB45" s="2">
        <f t="shared" ca="1" si="38"/>
        <v>2643.379925196265</v>
      </c>
      <c r="AC45" s="2">
        <f t="shared" ca="1" si="38"/>
        <v>2678.4173478140619</v>
      </c>
      <c r="AD45" s="2">
        <f t="shared" ca="1" si="38"/>
        <v>3298.0512186856777</v>
      </c>
      <c r="AE45" s="2">
        <f t="shared" ca="1" si="38"/>
        <v>3080.6611312440432</v>
      </c>
      <c r="AF45" s="2">
        <f t="shared" ca="1" si="38"/>
        <v>3789.5393607972137</v>
      </c>
      <c r="AG45" s="2">
        <f t="shared" ca="1" si="38"/>
        <v>3171.179839735732</v>
      </c>
      <c r="AH45" s="2">
        <f t="shared" ca="1" si="38"/>
        <v>3768.3061404398723</v>
      </c>
    </row>
    <row r="46" spans="1:34">
      <c r="A46" t="str">
        <f t="shared" si="34"/>
        <v>Lentils</v>
      </c>
      <c r="B46" t="str">
        <f t="shared" si="35"/>
        <v>Tigray</v>
      </c>
      <c r="C46" s="2">
        <f t="shared" ca="1" si="37"/>
        <v>3179.1599792434622</v>
      </c>
      <c r="D46" s="2">
        <f t="shared" ca="1" si="38"/>
        <v>3363.7695670509179</v>
      </c>
      <c r="E46" s="2">
        <f t="shared" ca="1" si="38"/>
        <v>3375.9573565326764</v>
      </c>
      <c r="F46" s="2">
        <f t="shared" ca="1" si="38"/>
        <v>3141.9247154403843</v>
      </c>
      <c r="G46" s="2">
        <f t="shared" ca="1" si="38"/>
        <v>3710.8170550383129</v>
      </c>
      <c r="H46" s="2">
        <f t="shared" ca="1" si="38"/>
        <v>3370.4386979935575</v>
      </c>
      <c r="I46" s="2">
        <f t="shared" ca="1" si="38"/>
        <v>3249.5944513128334</v>
      </c>
      <c r="J46" s="2">
        <f t="shared" ca="1" si="38"/>
        <v>2771.1516447240233</v>
      </c>
      <c r="K46" s="2">
        <f t="shared" ca="1" si="38"/>
        <v>3439.2167873082631</v>
      </c>
      <c r="L46" s="2">
        <f t="shared" ca="1" si="38"/>
        <v>3244.6550328021663</v>
      </c>
      <c r="M46" s="2">
        <f t="shared" ca="1" si="38"/>
        <v>3483.7816000191751</v>
      </c>
      <c r="N46" s="2">
        <f t="shared" ca="1" si="38"/>
        <v>2979.9103659386615</v>
      </c>
      <c r="O46" s="2">
        <f t="shared" ca="1" si="38"/>
        <v>3054.5520540704829</v>
      </c>
      <c r="P46" s="2">
        <f t="shared" ca="1" si="38"/>
        <v>3921.6770557433115</v>
      </c>
      <c r="Q46" s="2">
        <f t="shared" ca="1" si="38"/>
        <v>2943.1559693353452</v>
      </c>
      <c r="R46" s="2">
        <f t="shared" ca="1" si="38"/>
        <v>3666.1049378681405</v>
      </c>
      <c r="S46" s="2">
        <f t="shared" ca="1" si="38"/>
        <v>3916.6358413105108</v>
      </c>
      <c r="T46" s="2">
        <f t="shared" ca="1" si="38"/>
        <v>3417.3254574405059</v>
      </c>
      <c r="U46" s="2">
        <f t="shared" ca="1" si="38"/>
        <v>3479.4496689016541</v>
      </c>
      <c r="V46" s="2">
        <f t="shared" ca="1" si="38"/>
        <v>2786.0726283033009</v>
      </c>
      <c r="W46" s="2">
        <f t="shared" ca="1" si="38"/>
        <v>2666.7528318667482</v>
      </c>
      <c r="X46" s="2">
        <f t="shared" ca="1" si="38"/>
        <v>3660.2803467144372</v>
      </c>
      <c r="Y46" s="2">
        <f t="shared" ca="1" si="38"/>
        <v>3567.3370465926641</v>
      </c>
      <c r="Z46" s="2">
        <f t="shared" ca="1" si="38"/>
        <v>3080.1778866740569</v>
      </c>
      <c r="AA46" s="2">
        <f t="shared" ca="1" si="38"/>
        <v>3781.807128716041</v>
      </c>
      <c r="AB46" s="2">
        <f t="shared" ca="1" si="38"/>
        <v>3159.5053436309786</v>
      </c>
      <c r="AC46" s="2">
        <f t="shared" ca="1" si="38"/>
        <v>2710.9948430590493</v>
      </c>
      <c r="AD46" s="2">
        <f t="shared" ca="1" si="38"/>
        <v>2666.784192012055</v>
      </c>
      <c r="AE46" s="2">
        <f t="shared" ca="1" si="38"/>
        <v>2868.3776661947718</v>
      </c>
      <c r="AF46" s="2">
        <f t="shared" ca="1" si="38"/>
        <v>2748.0152677863657</v>
      </c>
      <c r="AG46" s="2">
        <f t="shared" ca="1" si="38"/>
        <v>3875.063824462221</v>
      </c>
      <c r="AH46" s="2">
        <f t="shared" ca="1" si="38"/>
        <v>2810.8169191931088</v>
      </c>
    </row>
    <row r="47" spans="1:34">
      <c r="A47" t="str">
        <f t="shared" si="34"/>
        <v>Vegetables</v>
      </c>
      <c r="B47" t="str">
        <f t="shared" si="35"/>
        <v>AddisAbaba</v>
      </c>
      <c r="C47" s="2">
        <f t="shared" ca="1" si="37"/>
        <v>2651.7810299212138</v>
      </c>
      <c r="D47" s="2">
        <f t="shared" ca="1" si="38"/>
        <v>2759.3042967805627</v>
      </c>
      <c r="E47" s="2">
        <f t="shared" ca="1" si="38"/>
        <v>3269.4012930614576</v>
      </c>
      <c r="F47" s="2">
        <f t="shared" ca="1" si="38"/>
        <v>3167.7066060600573</v>
      </c>
      <c r="G47" s="2">
        <f t="shared" ca="1" si="38"/>
        <v>3572.7215870644391</v>
      </c>
      <c r="H47" s="2">
        <f t="shared" ca="1" si="38"/>
        <v>3340.6902319375777</v>
      </c>
      <c r="I47" s="2">
        <f t="shared" ca="1" si="38"/>
        <v>3467.7235033275306</v>
      </c>
      <c r="J47" s="2">
        <f t="shared" ca="1" si="38"/>
        <v>3668.2546564804438</v>
      </c>
      <c r="K47" s="2">
        <f t="shared" ca="1" si="38"/>
        <v>2713.7915351937672</v>
      </c>
      <c r="L47" s="2">
        <f t="shared" ca="1" si="38"/>
        <v>3214.7643995256954</v>
      </c>
      <c r="M47" s="2">
        <f t="shared" ca="1" si="38"/>
        <v>3628.7141533040294</v>
      </c>
      <c r="N47" s="2">
        <f t="shared" ca="1" si="38"/>
        <v>3320.5959401102123</v>
      </c>
      <c r="O47" s="2">
        <f t="shared" ca="1" si="38"/>
        <v>2925.0051590060843</v>
      </c>
      <c r="P47" s="2">
        <f t="shared" ca="1" si="38"/>
        <v>3616.4413238633229</v>
      </c>
      <c r="Q47" s="2">
        <f t="shared" ca="1" si="38"/>
        <v>2688.9820851441355</v>
      </c>
      <c r="R47" s="2">
        <f t="shared" ca="1" si="38"/>
        <v>3518.911009285956</v>
      </c>
      <c r="S47" s="2">
        <f t="shared" ca="1" si="38"/>
        <v>3390.0933130965605</v>
      </c>
      <c r="T47" s="2">
        <f t="shared" ca="1" si="38"/>
        <v>2679.9910258884825</v>
      </c>
      <c r="U47" s="2">
        <f t="shared" ca="1" si="38"/>
        <v>3290.3170971211616</v>
      </c>
      <c r="V47" s="2">
        <f t="shared" ca="1" si="38"/>
        <v>3353.63213625136</v>
      </c>
      <c r="W47" s="2">
        <f t="shared" ca="1" si="38"/>
        <v>2773.9321660417509</v>
      </c>
      <c r="X47" s="2">
        <f t="shared" ca="1" si="38"/>
        <v>2968.4784607341408</v>
      </c>
      <c r="Y47" s="2">
        <f t="shared" ca="1" si="38"/>
        <v>3033.0876288975696</v>
      </c>
      <c r="Z47" s="2">
        <f t="shared" ca="1" si="38"/>
        <v>3740.6274391465681</v>
      </c>
      <c r="AA47" s="2">
        <f t="shared" ca="1" si="38"/>
        <v>3834.2544382734854</v>
      </c>
      <c r="AB47" s="2">
        <f t="shared" ca="1" si="38"/>
        <v>3004.1663605694225</v>
      </c>
      <c r="AC47" s="2">
        <f t="shared" ca="1" si="38"/>
        <v>2752.5015525934632</v>
      </c>
      <c r="AD47" s="2">
        <f t="shared" ca="1" si="38"/>
        <v>3569.7956631905113</v>
      </c>
      <c r="AE47" s="2">
        <f t="shared" ca="1" si="38"/>
        <v>3418.2819047294333</v>
      </c>
      <c r="AF47" s="2">
        <f t="shared" ca="1" si="38"/>
        <v>3667.8044440924032</v>
      </c>
      <c r="AG47" s="2">
        <f t="shared" ca="1" si="38"/>
        <v>3367.7026350396168</v>
      </c>
      <c r="AH47" s="2">
        <f t="shared" ca="1" si="38"/>
        <v>2937.412719614475</v>
      </c>
    </row>
    <row r="48" spans="1:34">
      <c r="A48" t="str">
        <f t="shared" si="34"/>
        <v>Vegetables</v>
      </c>
      <c r="B48" t="str">
        <f t="shared" si="35"/>
        <v>Afar</v>
      </c>
      <c r="C48" s="2">
        <f t="shared" ca="1" si="37"/>
        <v>3949.9276196490459</v>
      </c>
      <c r="D48" s="2">
        <f t="shared" ca="1" si="38"/>
        <v>3954.4495703294933</v>
      </c>
      <c r="E48" s="2">
        <f t="shared" ca="1" si="38"/>
        <v>2811.5622640836445</v>
      </c>
      <c r="F48" s="2">
        <f t="shared" ca="1" si="38"/>
        <v>3040.0831913271218</v>
      </c>
      <c r="G48" s="2">
        <f t="shared" ca="1" si="38"/>
        <v>2682.3632149061527</v>
      </c>
      <c r="H48" s="2">
        <f t="shared" ca="1" si="38"/>
        <v>3517.7841212473099</v>
      </c>
      <c r="I48" s="2">
        <f t="shared" ca="1" si="38"/>
        <v>3330.8709697297427</v>
      </c>
      <c r="J48" s="2">
        <f t="shared" ca="1" si="38"/>
        <v>2951.9494855585576</v>
      </c>
      <c r="K48" s="2">
        <f t="shared" ca="1" si="38"/>
        <v>3315.5683881051632</v>
      </c>
      <c r="L48" s="2">
        <f t="shared" ca="1" si="38"/>
        <v>2921.2959774109372</v>
      </c>
      <c r="M48" s="2">
        <f t="shared" ca="1" si="38"/>
        <v>3130.9731033526482</v>
      </c>
      <c r="N48" s="2">
        <f t="shared" ca="1" si="38"/>
        <v>2981.3753010273581</v>
      </c>
      <c r="O48" s="2">
        <f t="shared" ca="1" si="38"/>
        <v>3679.4236150543093</v>
      </c>
      <c r="P48" s="2">
        <f t="shared" ca="1" si="38"/>
        <v>3498.2750393977021</v>
      </c>
      <c r="Q48" s="2">
        <f t="shared" ca="1" si="38"/>
        <v>3836.8202183979815</v>
      </c>
      <c r="R48" s="2">
        <f t="shared" ca="1" si="38"/>
        <v>3016.5686250416315</v>
      </c>
      <c r="S48" s="2">
        <f t="shared" ca="1" si="38"/>
        <v>2664.2013410630079</v>
      </c>
      <c r="T48" s="2">
        <f t="shared" ca="1" si="38"/>
        <v>3523.8648556436242</v>
      </c>
      <c r="U48" s="2">
        <f t="shared" ca="1" si="38"/>
        <v>2858.3429485354359</v>
      </c>
      <c r="V48" s="2">
        <f t="shared" ca="1" si="38"/>
        <v>3606.0577331481627</v>
      </c>
      <c r="W48" s="2">
        <f t="shared" ca="1" si="38"/>
        <v>3813.2543307827241</v>
      </c>
      <c r="X48" s="2">
        <f t="shared" ca="1" si="38"/>
        <v>3331.1444554801828</v>
      </c>
      <c r="Y48" s="2">
        <f t="shared" ca="1" si="38"/>
        <v>3744.819497535907</v>
      </c>
      <c r="Z48" s="2">
        <f t="shared" ca="1" si="38"/>
        <v>3955.1190419181835</v>
      </c>
      <c r="AA48" s="2">
        <f t="shared" ca="1" si="38"/>
        <v>3402.1218611054937</v>
      </c>
      <c r="AB48" s="2">
        <f t="shared" ca="1" si="38"/>
        <v>3208.5828764463176</v>
      </c>
      <c r="AC48" s="2">
        <f t="shared" ca="1" si="38"/>
        <v>3593.6887840700019</v>
      </c>
      <c r="AD48" s="2">
        <f t="shared" ca="1" si="38"/>
        <v>2922.064098493945</v>
      </c>
      <c r="AE48" s="2">
        <f t="shared" ca="1" si="38"/>
        <v>2657.4599164090755</v>
      </c>
      <c r="AF48" s="2">
        <f t="shared" ca="1" si="38"/>
        <v>3920.5888109587404</v>
      </c>
      <c r="AG48" s="2">
        <f t="shared" ca="1" si="38"/>
        <v>3580.9680939124478</v>
      </c>
      <c r="AH48" s="2">
        <f t="shared" ca="1" si="38"/>
        <v>3946.5350060271812</v>
      </c>
    </row>
    <row r="49" spans="1:34">
      <c r="A49" t="str">
        <f t="shared" si="34"/>
        <v>Vegetables</v>
      </c>
      <c r="B49" t="str">
        <f t="shared" si="35"/>
        <v>Amhara</v>
      </c>
      <c r="C49" s="2">
        <f t="shared" ca="1" si="37"/>
        <v>2697.6957279758103</v>
      </c>
      <c r="D49" s="2">
        <f t="shared" ca="1" si="38"/>
        <v>3615.4959640766169</v>
      </c>
      <c r="E49" s="2">
        <f t="shared" ca="1" si="38"/>
        <v>3873.948899548529</v>
      </c>
      <c r="F49" s="2">
        <f t="shared" ca="1" si="38"/>
        <v>3599.0885873854372</v>
      </c>
      <c r="G49" s="2">
        <f t="shared" ca="1" si="38"/>
        <v>3815.9821256649852</v>
      </c>
      <c r="H49" s="2">
        <f t="shared" ca="1" si="38"/>
        <v>3013.4441523089899</v>
      </c>
      <c r="I49" s="2">
        <f t="shared" ca="1" si="38"/>
        <v>3466.0238823272548</v>
      </c>
      <c r="J49" s="2">
        <f t="shared" ca="1" si="38"/>
        <v>2972.9842369632784</v>
      </c>
      <c r="K49" s="2">
        <f t="shared" ca="1" si="38"/>
        <v>2814.668051921381</v>
      </c>
      <c r="L49" s="2">
        <f t="shared" ca="1" si="38"/>
        <v>3955.3227189104009</v>
      </c>
      <c r="M49" s="2">
        <f t="shared" ca="1" si="38"/>
        <v>3517.4422205662427</v>
      </c>
      <c r="N49" s="2">
        <f t="shared" ca="1" si="38"/>
        <v>2834.0120639294187</v>
      </c>
      <c r="O49" s="2">
        <f t="shared" ca="1" si="38"/>
        <v>3052.0336242848553</v>
      </c>
      <c r="P49" s="2">
        <f t="shared" ca="1" si="38"/>
        <v>3710.5086800694326</v>
      </c>
      <c r="Q49" s="2">
        <f t="shared" ca="1" si="38"/>
        <v>3938.246050904906</v>
      </c>
      <c r="R49" s="2">
        <f t="shared" ca="1" si="38"/>
        <v>3776.8044586832871</v>
      </c>
      <c r="S49" s="2">
        <f t="shared" ca="1" si="38"/>
        <v>3622.215188791457</v>
      </c>
      <c r="T49" s="2">
        <f t="shared" ca="1" si="38"/>
        <v>3730.672556491771</v>
      </c>
      <c r="U49" s="2">
        <f t="shared" ca="1" si="38"/>
        <v>3328.411974387805</v>
      </c>
      <c r="V49" s="2">
        <f t="shared" ca="1" si="38"/>
        <v>3590.4086937734533</v>
      </c>
      <c r="W49" s="2">
        <f t="shared" ca="1" si="38"/>
        <v>3424.6412113307542</v>
      </c>
      <c r="X49" s="2">
        <f t="shared" ca="1" si="38"/>
        <v>3011.4077577793328</v>
      </c>
      <c r="Y49" s="2">
        <f t="shared" ca="1" si="38"/>
        <v>3517.0814259121657</v>
      </c>
      <c r="Z49" s="2">
        <f t="shared" ca="1" si="38"/>
        <v>2645.5311983756069</v>
      </c>
      <c r="AA49" s="2">
        <f t="shared" ca="1" si="38"/>
        <v>3924.7296415676583</v>
      </c>
      <c r="AB49" s="2">
        <f t="shared" ca="1" si="38"/>
        <v>3743.2049819797317</v>
      </c>
      <c r="AC49" s="2">
        <f t="shared" ca="1" si="38"/>
        <v>3656.5227458362001</v>
      </c>
      <c r="AD49" s="2">
        <f t="shared" ca="1" si="38"/>
        <v>3362.2832399269946</v>
      </c>
      <c r="AE49" s="2">
        <f t="shared" ca="1" si="38"/>
        <v>2766.1722995222876</v>
      </c>
      <c r="AF49" s="2">
        <f t="shared" ca="1" si="38"/>
        <v>3390.3739971022665</v>
      </c>
      <c r="AG49" s="2">
        <f t="shared" ca="1" si="38"/>
        <v>2766.4058764607976</v>
      </c>
      <c r="AH49" s="2">
        <f t="shared" ca="1" si="38"/>
        <v>3352.2264956945228</v>
      </c>
    </row>
    <row r="50" spans="1:34">
      <c r="A50" t="str">
        <f t="shared" si="34"/>
        <v>Vegetables</v>
      </c>
      <c r="B50" t="str">
        <f t="shared" si="35"/>
        <v>Gumuz</v>
      </c>
      <c r="C50" s="2">
        <f t="shared" ca="1" si="37"/>
        <v>3225.9183250500887</v>
      </c>
      <c r="D50" s="2">
        <f t="shared" ca="1" si="38"/>
        <v>3077.2905240873956</v>
      </c>
      <c r="E50" s="2">
        <f t="shared" ca="1" si="38"/>
        <v>3435.6619378262308</v>
      </c>
      <c r="F50" s="2">
        <f t="shared" ca="1" si="38"/>
        <v>3582.5170338065809</v>
      </c>
      <c r="G50" s="2">
        <f t="shared" ca="1" si="38"/>
        <v>2736.4010419521674</v>
      </c>
      <c r="H50" s="2">
        <f t="shared" ca="1" si="38"/>
        <v>2663.6571356192712</v>
      </c>
      <c r="I50" s="2">
        <f t="shared" ca="1" si="38"/>
        <v>2989.8450730775571</v>
      </c>
      <c r="J50" s="2">
        <f t="shared" ca="1" si="38"/>
        <v>3087.6843686710213</v>
      </c>
      <c r="K50" s="2">
        <f t="shared" ca="1" si="38"/>
        <v>2687.5642919841011</v>
      </c>
      <c r="L50" s="2">
        <f t="shared" ca="1" si="38"/>
        <v>2947.6991421666903</v>
      </c>
      <c r="M50" s="2">
        <f t="shared" ca="1" si="38"/>
        <v>3457.0614457914421</v>
      </c>
      <c r="N50" s="2">
        <f t="shared" ca="1" si="38"/>
        <v>3614.2355077800835</v>
      </c>
      <c r="O50" s="2">
        <f t="shared" ca="1" si="38"/>
        <v>3154.7643339733372</v>
      </c>
      <c r="P50" s="2">
        <f t="shared" ca="1" si="38"/>
        <v>2775.3397991087836</v>
      </c>
      <c r="Q50" s="2">
        <f t="shared" ca="1" si="38"/>
        <v>3793.4331019939805</v>
      </c>
      <c r="R50" s="2">
        <f t="shared" ca="1" si="38"/>
        <v>3933.7536175934792</v>
      </c>
      <c r="S50" s="2">
        <f t="shared" ca="1" si="38"/>
        <v>3004.9105960119946</v>
      </c>
      <c r="T50" s="2">
        <f t="shared" ca="1" si="38"/>
        <v>3583.6880062672276</v>
      </c>
      <c r="U50" s="2">
        <f t="shared" ca="1" si="38"/>
        <v>3530.8550656510465</v>
      </c>
      <c r="V50" s="2">
        <f t="shared" ca="1" si="38"/>
        <v>2915.7017378178002</v>
      </c>
      <c r="W50" s="2">
        <f t="shared" ca="1" si="38"/>
        <v>3740.9427453106218</v>
      </c>
      <c r="X50" s="2">
        <f t="shared" ca="1" si="38"/>
        <v>3360.1797211891558</v>
      </c>
      <c r="Y50" s="2">
        <f t="shared" ca="1" si="38"/>
        <v>2871.7319499398968</v>
      </c>
      <c r="Z50" s="2">
        <f t="shared" ca="1" si="38"/>
        <v>2837.4545188528714</v>
      </c>
      <c r="AA50" s="2">
        <f t="shared" ca="1" si="38"/>
        <v>2753.7450152820879</v>
      </c>
      <c r="AB50" s="2">
        <f t="shared" ca="1" si="38"/>
        <v>3335.4251948207648</v>
      </c>
      <c r="AC50" s="2">
        <f t="shared" ca="1" si="38"/>
        <v>3146.7270245768509</v>
      </c>
      <c r="AD50" s="2">
        <f t="shared" ca="1" si="38"/>
        <v>3390.2848872910681</v>
      </c>
      <c r="AE50" s="2">
        <f t="shared" ca="1" si="38"/>
        <v>3584.177391949876</v>
      </c>
      <c r="AF50" s="2">
        <f t="shared" ca="1" si="38"/>
        <v>3040.6777855001851</v>
      </c>
      <c r="AG50" s="2">
        <f t="shared" ca="1" si="38"/>
        <v>3263.197788532711</v>
      </c>
      <c r="AH50" s="2">
        <f t="shared" ca="1" si="38"/>
        <v>3763.0816387782156</v>
      </c>
    </row>
    <row r="51" spans="1:34">
      <c r="A51" t="str">
        <f t="shared" si="34"/>
        <v>Vegetables</v>
      </c>
      <c r="B51" t="str">
        <f t="shared" si="35"/>
        <v>DireDawa</v>
      </c>
      <c r="C51" s="2">
        <f t="shared" ca="1" si="37"/>
        <v>2840.5590830093611</v>
      </c>
      <c r="D51" s="2">
        <f t="shared" ca="1" si="38"/>
        <v>3606.7261797465603</v>
      </c>
      <c r="E51" s="2">
        <f t="shared" ca="1" si="38"/>
        <v>3797.9346094816051</v>
      </c>
      <c r="F51" s="2">
        <f t="shared" ca="1" si="38"/>
        <v>3523.4984525202181</v>
      </c>
      <c r="G51" s="2">
        <f t="shared" ca="1" si="38"/>
        <v>3304.8700102007379</v>
      </c>
      <c r="H51" s="2">
        <f t="shared" ca="1" si="38"/>
        <v>2832.6563622453127</v>
      </c>
      <c r="I51" s="2">
        <f t="shared" ca="1" si="38"/>
        <v>2867.0472033032038</v>
      </c>
      <c r="J51" s="2">
        <f t="shared" ref="J51:Y90" ca="1" si="39">((RAND()*1+2)*110)*10*1.2</f>
        <v>3401.1337520549127</v>
      </c>
      <c r="K51" s="2">
        <f t="shared" ca="1" si="39"/>
        <v>3354.3244676880308</v>
      </c>
      <c r="L51" s="2">
        <f t="shared" ca="1" si="39"/>
        <v>3321.7134134323264</v>
      </c>
      <c r="M51" s="2">
        <f t="shared" ca="1" si="39"/>
        <v>3624.2716425054923</v>
      </c>
      <c r="N51" s="2">
        <f t="shared" ca="1" si="39"/>
        <v>3278.0543894448879</v>
      </c>
      <c r="O51" s="2">
        <f t="shared" ca="1" si="39"/>
        <v>3184.363074650068</v>
      </c>
      <c r="P51" s="2">
        <f t="shared" ca="1" si="39"/>
        <v>3695.0360594785434</v>
      </c>
      <c r="Q51" s="2">
        <f t="shared" ca="1" si="39"/>
        <v>3093.6726868370101</v>
      </c>
      <c r="R51" s="2">
        <f t="shared" ca="1" si="39"/>
        <v>2873.5259156723719</v>
      </c>
      <c r="S51" s="2">
        <f t="shared" ca="1" si="39"/>
        <v>3446.3818560663708</v>
      </c>
      <c r="T51" s="2">
        <f t="shared" ca="1" si="39"/>
        <v>3606.9015146071001</v>
      </c>
      <c r="U51" s="2">
        <f t="shared" ca="1" si="39"/>
        <v>3550.1981645026976</v>
      </c>
      <c r="V51" s="2">
        <f t="shared" ca="1" si="39"/>
        <v>3540.1209439970107</v>
      </c>
      <c r="W51" s="2">
        <f t="shared" ca="1" si="39"/>
        <v>3647.8099868578015</v>
      </c>
      <c r="X51" s="2">
        <f t="shared" ca="1" si="39"/>
        <v>2857.5188008636455</v>
      </c>
      <c r="Y51" s="2">
        <f t="shared" ca="1" si="39"/>
        <v>3251.8914265398239</v>
      </c>
      <c r="Z51" s="2">
        <f t="shared" ref="Z51:AH90" ca="1" si="40">((RAND()*1+2)*110)*10*1.2</f>
        <v>3718.0349086343531</v>
      </c>
      <c r="AA51" s="2">
        <f t="shared" ca="1" si="40"/>
        <v>3405.8404572513496</v>
      </c>
      <c r="AB51" s="2">
        <f t="shared" ca="1" si="40"/>
        <v>3949.9240703345463</v>
      </c>
      <c r="AC51" s="2">
        <f t="shared" ca="1" si="40"/>
        <v>3890.4966003631462</v>
      </c>
      <c r="AD51" s="2">
        <f t="shared" ca="1" si="40"/>
        <v>3876.3621145931547</v>
      </c>
      <c r="AE51" s="2">
        <f t="shared" ca="1" si="40"/>
        <v>2865.9713623753864</v>
      </c>
      <c r="AF51" s="2">
        <f t="shared" ca="1" si="40"/>
        <v>2666.4307355346741</v>
      </c>
      <c r="AG51" s="2">
        <f t="shared" ca="1" si="40"/>
        <v>3809.4435820407521</v>
      </c>
      <c r="AH51" s="2">
        <f t="shared" ca="1" si="40"/>
        <v>3201.8861629279554</v>
      </c>
    </row>
    <row r="52" spans="1:34">
      <c r="A52" t="str">
        <f t="shared" si="34"/>
        <v>Vegetables</v>
      </c>
      <c r="B52" t="str">
        <f t="shared" si="35"/>
        <v>Gambela</v>
      </c>
      <c r="C52" s="2">
        <f t="shared" ca="1" si="37"/>
        <v>3043.494699785278</v>
      </c>
      <c r="D52" s="2">
        <f t="shared" ca="1" si="37"/>
        <v>3844.7033920352887</v>
      </c>
      <c r="E52" s="2">
        <f t="shared" ca="1" si="37"/>
        <v>3546.8131257712621</v>
      </c>
      <c r="F52" s="2">
        <f t="shared" ca="1" si="37"/>
        <v>3267.3542791157838</v>
      </c>
      <c r="G52" s="2">
        <f t="shared" ca="1" si="37"/>
        <v>2825.1501468442912</v>
      </c>
      <c r="H52" s="2">
        <f t="shared" ca="1" si="37"/>
        <v>3207.6584691430548</v>
      </c>
      <c r="I52" s="2">
        <f t="shared" ref="I52:X90" ca="1" si="41">((RAND()*1+2)*110)*10*1.2</f>
        <v>2815.2954406412478</v>
      </c>
      <c r="J52" s="2">
        <f t="shared" ca="1" si="41"/>
        <v>3767.4915673387086</v>
      </c>
      <c r="K52" s="2">
        <f t="shared" ca="1" si="41"/>
        <v>3702.0272025556906</v>
      </c>
      <c r="L52" s="2">
        <f t="shared" ca="1" si="41"/>
        <v>3098.9862868757</v>
      </c>
      <c r="M52" s="2">
        <f t="shared" ca="1" si="41"/>
        <v>3252.1220871731848</v>
      </c>
      <c r="N52" s="2">
        <f t="shared" ca="1" si="41"/>
        <v>3838.6748334648919</v>
      </c>
      <c r="O52" s="2">
        <f t="shared" ca="1" si="41"/>
        <v>3180.1340420093234</v>
      </c>
      <c r="P52" s="2">
        <f t="shared" ca="1" si="41"/>
        <v>3782.1991835613853</v>
      </c>
      <c r="Q52" s="2">
        <f t="shared" ca="1" si="41"/>
        <v>3122.6260950566634</v>
      </c>
      <c r="R52" s="2">
        <f t="shared" ca="1" si="41"/>
        <v>3476.1987524077981</v>
      </c>
      <c r="S52" s="2">
        <f t="shared" ca="1" si="41"/>
        <v>3260.2951900089324</v>
      </c>
      <c r="T52" s="2">
        <f t="shared" ca="1" si="41"/>
        <v>3580.9263881564575</v>
      </c>
      <c r="U52" s="2">
        <f t="shared" ca="1" si="41"/>
        <v>3614.1864003253409</v>
      </c>
      <c r="V52" s="2">
        <f t="shared" ca="1" si="41"/>
        <v>3898.3467015130605</v>
      </c>
      <c r="W52" s="2">
        <f t="shared" ca="1" si="41"/>
        <v>3291.2340418368854</v>
      </c>
      <c r="X52" s="2">
        <f t="shared" ca="1" si="41"/>
        <v>3481.722581918224</v>
      </c>
      <c r="Y52" s="2">
        <f t="shared" ca="1" si="39"/>
        <v>3294.9065315829175</v>
      </c>
      <c r="Z52" s="2">
        <f t="shared" ca="1" si="40"/>
        <v>2732.7740750459311</v>
      </c>
      <c r="AA52" s="2">
        <f t="shared" ca="1" si="40"/>
        <v>2693.4518952418612</v>
      </c>
      <c r="AB52" s="2">
        <f t="shared" ca="1" si="40"/>
        <v>3779.6500193859629</v>
      </c>
      <c r="AC52" s="2">
        <f t="shared" ca="1" si="40"/>
        <v>3658.9186518460942</v>
      </c>
      <c r="AD52" s="2">
        <f t="shared" ca="1" si="40"/>
        <v>3210.9123187791361</v>
      </c>
      <c r="AE52" s="2">
        <f t="shared" ca="1" si="40"/>
        <v>3661.2139135389298</v>
      </c>
      <c r="AF52" s="2">
        <f t="shared" ca="1" si="40"/>
        <v>2654.1383011381381</v>
      </c>
      <c r="AG52" s="2">
        <f t="shared" ca="1" si="40"/>
        <v>2996.7189490325568</v>
      </c>
      <c r="AH52" s="2">
        <f t="shared" ca="1" si="40"/>
        <v>3844.7165724375755</v>
      </c>
    </row>
    <row r="53" spans="1:34">
      <c r="A53" t="str">
        <f t="shared" si="34"/>
        <v>Vegetables</v>
      </c>
      <c r="B53" t="str">
        <f t="shared" si="35"/>
        <v>Harari</v>
      </c>
      <c r="C53" s="2">
        <f t="shared" ref="C53:R90" ca="1" si="42">((RAND()*1+2)*110)*10*1.2</f>
        <v>2862.6592216864965</v>
      </c>
      <c r="D53" s="2">
        <f t="shared" ca="1" si="42"/>
        <v>3161.0969061289156</v>
      </c>
      <c r="E53" s="2">
        <f t="shared" ca="1" si="42"/>
        <v>2712.2701707260662</v>
      </c>
      <c r="F53" s="2">
        <f t="shared" ca="1" si="42"/>
        <v>3043.1846675909151</v>
      </c>
      <c r="G53" s="2">
        <f t="shared" ca="1" si="42"/>
        <v>2749.4110229515359</v>
      </c>
      <c r="H53" s="2">
        <f t="shared" ca="1" si="42"/>
        <v>3677.443520894531</v>
      </c>
      <c r="I53" s="2">
        <f t="shared" ca="1" si="42"/>
        <v>2939.3892753371765</v>
      </c>
      <c r="J53" s="2">
        <f t="shared" ca="1" si="42"/>
        <v>3891.4551312851931</v>
      </c>
      <c r="K53" s="2">
        <f t="shared" ca="1" si="42"/>
        <v>3872.9808923479286</v>
      </c>
      <c r="L53" s="2">
        <f t="shared" ca="1" si="42"/>
        <v>3071.9689152178421</v>
      </c>
      <c r="M53" s="2">
        <f t="shared" ca="1" si="42"/>
        <v>3147.8837131790278</v>
      </c>
      <c r="N53" s="2">
        <f t="shared" ca="1" si="42"/>
        <v>2898.9951041802115</v>
      </c>
      <c r="O53" s="2">
        <f t="shared" ca="1" si="42"/>
        <v>2847.0680206781249</v>
      </c>
      <c r="P53" s="2">
        <f t="shared" ca="1" si="42"/>
        <v>2965.0335806588923</v>
      </c>
      <c r="Q53" s="2">
        <f t="shared" ca="1" si="42"/>
        <v>2676.8120383938012</v>
      </c>
      <c r="R53" s="2">
        <f t="shared" ca="1" si="42"/>
        <v>2750.0498573314921</v>
      </c>
      <c r="S53" s="2">
        <f t="shared" ca="1" si="41"/>
        <v>3865.3204951407142</v>
      </c>
      <c r="T53" s="2">
        <f t="shared" ca="1" si="41"/>
        <v>2666.031902979159</v>
      </c>
      <c r="U53" s="2">
        <f t="shared" ca="1" si="41"/>
        <v>2891.8179992283322</v>
      </c>
      <c r="V53" s="2">
        <f t="shared" ca="1" si="41"/>
        <v>3068.1735821633206</v>
      </c>
      <c r="W53" s="2">
        <f t="shared" ca="1" si="41"/>
        <v>3308.8424093878975</v>
      </c>
      <c r="X53" s="2">
        <f t="shared" ca="1" si="41"/>
        <v>2896.0637738350119</v>
      </c>
      <c r="Y53" s="2">
        <f t="shared" ca="1" si="39"/>
        <v>3301.6322445215997</v>
      </c>
      <c r="Z53" s="2">
        <f t="shared" ca="1" si="40"/>
        <v>3852.9835371911204</v>
      </c>
      <c r="AA53" s="2">
        <f t="shared" ca="1" si="40"/>
        <v>2830.3576343033428</v>
      </c>
      <c r="AB53" s="2">
        <f t="shared" ca="1" si="40"/>
        <v>3858.4371175449969</v>
      </c>
      <c r="AC53" s="2">
        <f t="shared" ca="1" si="40"/>
        <v>3458.9992208544868</v>
      </c>
      <c r="AD53" s="2">
        <f t="shared" ca="1" si="40"/>
        <v>2670.104721263438</v>
      </c>
      <c r="AE53" s="2">
        <f t="shared" ca="1" si="40"/>
        <v>3140.8102281181323</v>
      </c>
      <c r="AF53" s="2">
        <f t="shared" ca="1" si="40"/>
        <v>3331.4120127413375</v>
      </c>
      <c r="AG53" s="2">
        <f t="shared" ca="1" si="40"/>
        <v>3649.6138685253645</v>
      </c>
      <c r="AH53" s="2">
        <f t="shared" ca="1" si="40"/>
        <v>3140.7730842991245</v>
      </c>
    </row>
    <row r="54" spans="1:34">
      <c r="A54" t="str">
        <f t="shared" si="34"/>
        <v>Vegetables</v>
      </c>
      <c r="B54" t="str">
        <f t="shared" si="35"/>
        <v>Oromia</v>
      </c>
      <c r="C54" s="2">
        <f t="shared" ca="1" si="42"/>
        <v>3895.8359939033116</v>
      </c>
      <c r="D54" s="2">
        <f t="shared" ca="1" si="42"/>
        <v>3329.4766153925816</v>
      </c>
      <c r="E54" s="2">
        <f t="shared" ca="1" si="42"/>
        <v>2774.4682192529522</v>
      </c>
      <c r="F54" s="2">
        <f t="shared" ca="1" si="42"/>
        <v>2940.4779003185536</v>
      </c>
      <c r="G54" s="2">
        <f t="shared" ca="1" si="42"/>
        <v>3799.5272462789899</v>
      </c>
      <c r="H54" s="2">
        <f t="shared" ca="1" si="42"/>
        <v>3276.4273051468545</v>
      </c>
      <c r="I54" s="2">
        <f t="shared" ca="1" si="42"/>
        <v>3532.8662264649433</v>
      </c>
      <c r="J54" s="2">
        <f t="shared" ca="1" si="42"/>
        <v>3780.24048279814</v>
      </c>
      <c r="K54" s="2">
        <f t="shared" ca="1" si="42"/>
        <v>3587.9524330314603</v>
      </c>
      <c r="L54" s="2">
        <f t="shared" ca="1" si="42"/>
        <v>2659.9362023871868</v>
      </c>
      <c r="M54" s="2">
        <f t="shared" ca="1" si="42"/>
        <v>3418.8044826298278</v>
      </c>
      <c r="N54" s="2">
        <f t="shared" ca="1" si="42"/>
        <v>2762.9341321709899</v>
      </c>
      <c r="O54" s="2">
        <f t="shared" ca="1" si="42"/>
        <v>3441.9035137736687</v>
      </c>
      <c r="P54" s="2">
        <f t="shared" ca="1" si="42"/>
        <v>3772.6263432298138</v>
      </c>
      <c r="Q54" s="2">
        <f t="shared" ca="1" si="42"/>
        <v>3224.9998118861472</v>
      </c>
      <c r="R54" s="2">
        <f t="shared" ca="1" si="42"/>
        <v>2946.8176204632496</v>
      </c>
      <c r="S54" s="2">
        <f t="shared" ca="1" si="41"/>
        <v>3648.508704561546</v>
      </c>
      <c r="T54" s="2">
        <f t="shared" ca="1" si="41"/>
        <v>3884.5203602862539</v>
      </c>
      <c r="U54" s="2">
        <f t="shared" ca="1" si="41"/>
        <v>3209.2587085525311</v>
      </c>
      <c r="V54" s="2">
        <f t="shared" ca="1" si="41"/>
        <v>3745.4210278741994</v>
      </c>
      <c r="W54" s="2">
        <f t="shared" ca="1" si="41"/>
        <v>3060.2790717347884</v>
      </c>
      <c r="X54" s="2">
        <f t="shared" ca="1" si="41"/>
        <v>3077.9615185772445</v>
      </c>
      <c r="Y54" s="2">
        <f t="shared" ca="1" si="39"/>
        <v>3885.4161941099287</v>
      </c>
      <c r="Z54" s="2">
        <f t="shared" ca="1" si="40"/>
        <v>3410.3795856889046</v>
      </c>
      <c r="AA54" s="2">
        <f t="shared" ca="1" si="40"/>
        <v>3056.717784013741</v>
      </c>
      <c r="AB54" s="2">
        <f t="shared" ca="1" si="40"/>
        <v>3175.2110586180484</v>
      </c>
      <c r="AC54" s="2">
        <f t="shared" ca="1" si="40"/>
        <v>3225.1353995303975</v>
      </c>
      <c r="AD54" s="2">
        <f t="shared" ca="1" si="40"/>
        <v>2991.3860151431031</v>
      </c>
      <c r="AE54" s="2">
        <f t="shared" ca="1" si="40"/>
        <v>3427.7631281396366</v>
      </c>
      <c r="AF54" s="2">
        <f t="shared" ca="1" si="40"/>
        <v>2683.9472647984749</v>
      </c>
      <c r="AG54" s="2">
        <f t="shared" ca="1" si="40"/>
        <v>3489.879773766073</v>
      </c>
      <c r="AH54" s="2">
        <f t="shared" ca="1" si="40"/>
        <v>3723.7528612962515</v>
      </c>
    </row>
    <row r="55" spans="1:34">
      <c r="A55" t="str">
        <f t="shared" si="34"/>
        <v>Vegetables</v>
      </c>
      <c r="B55" t="str">
        <f t="shared" si="35"/>
        <v>Somali</v>
      </c>
      <c r="C55" s="2">
        <f t="shared" ca="1" si="42"/>
        <v>3801.2107614426454</v>
      </c>
      <c r="D55" s="2">
        <f t="shared" ca="1" si="42"/>
        <v>3185.2703651463971</v>
      </c>
      <c r="E55" s="2">
        <f t="shared" ca="1" si="42"/>
        <v>3635.6000683101543</v>
      </c>
      <c r="F55" s="2">
        <f t="shared" ca="1" si="42"/>
        <v>3638.1000096348521</v>
      </c>
      <c r="G55" s="2">
        <f t="shared" ca="1" si="42"/>
        <v>3152.5961489757142</v>
      </c>
      <c r="H55" s="2">
        <f t="shared" ca="1" si="42"/>
        <v>3093.2506899204491</v>
      </c>
      <c r="I55" s="2">
        <f t="shared" ca="1" si="42"/>
        <v>3806.7497824340239</v>
      </c>
      <c r="J55" s="2">
        <f t="shared" ca="1" si="42"/>
        <v>3154.3281097268655</v>
      </c>
      <c r="K55" s="2">
        <f t="shared" ca="1" si="42"/>
        <v>2793.8555542467125</v>
      </c>
      <c r="L55" s="2">
        <f t="shared" ca="1" si="42"/>
        <v>3154.3435245387905</v>
      </c>
      <c r="M55" s="2">
        <f t="shared" ca="1" si="42"/>
        <v>3793.4006891754552</v>
      </c>
      <c r="N55" s="2">
        <f t="shared" ca="1" si="42"/>
        <v>2792.3967921981007</v>
      </c>
      <c r="O55" s="2">
        <f t="shared" ca="1" si="42"/>
        <v>2995.9907732570623</v>
      </c>
      <c r="P55" s="2">
        <f t="shared" ca="1" si="42"/>
        <v>2888.8023695756506</v>
      </c>
      <c r="Q55" s="2">
        <f t="shared" ca="1" si="42"/>
        <v>3643.2502708733737</v>
      </c>
      <c r="R55" s="2">
        <f t="shared" ca="1" si="42"/>
        <v>3922.6984509714885</v>
      </c>
      <c r="S55" s="2">
        <f t="shared" ca="1" si="41"/>
        <v>3863.349541148868</v>
      </c>
      <c r="T55" s="2">
        <f t="shared" ca="1" si="41"/>
        <v>3361.3697059681231</v>
      </c>
      <c r="U55" s="2">
        <f t="shared" ca="1" si="41"/>
        <v>2751.0448588681197</v>
      </c>
      <c r="V55" s="2">
        <f t="shared" ca="1" si="41"/>
        <v>3305.8808231938574</v>
      </c>
      <c r="W55" s="2">
        <f t="shared" ca="1" si="41"/>
        <v>3005.3321644976781</v>
      </c>
      <c r="X55" s="2">
        <f t="shared" ca="1" si="41"/>
        <v>3353.8368857706046</v>
      </c>
      <c r="Y55" s="2">
        <f t="shared" ca="1" si="39"/>
        <v>2984.9826789540148</v>
      </c>
      <c r="Z55" s="2">
        <f t="shared" ca="1" si="40"/>
        <v>2922.9027518610815</v>
      </c>
      <c r="AA55" s="2">
        <f t="shared" ca="1" si="40"/>
        <v>3828.699765172898</v>
      </c>
      <c r="AB55" s="2">
        <f t="shared" ca="1" si="40"/>
        <v>3951.8194071445932</v>
      </c>
      <c r="AC55" s="2">
        <f t="shared" ca="1" si="40"/>
        <v>2735.4698994372457</v>
      </c>
      <c r="AD55" s="2">
        <f t="shared" ca="1" si="40"/>
        <v>2794.1829552465592</v>
      </c>
      <c r="AE55" s="2">
        <f t="shared" ca="1" si="40"/>
        <v>3115.0496468604974</v>
      </c>
      <c r="AF55" s="2">
        <f t="shared" ca="1" si="40"/>
        <v>2965.7046267803676</v>
      </c>
      <c r="AG55" s="2">
        <f t="shared" ca="1" si="40"/>
        <v>3144.8378057964887</v>
      </c>
      <c r="AH55" s="2">
        <f t="shared" ca="1" si="40"/>
        <v>3639.5079534864371</v>
      </c>
    </row>
    <row r="56" spans="1:34">
      <c r="A56" t="str">
        <f t="shared" si="34"/>
        <v>Vegetables</v>
      </c>
      <c r="B56" t="str">
        <f t="shared" si="35"/>
        <v>SNNPR</v>
      </c>
      <c r="C56" s="2">
        <f t="shared" ca="1" si="42"/>
        <v>2980.3549772508554</v>
      </c>
      <c r="D56" s="2">
        <f t="shared" ca="1" si="42"/>
        <v>3588.0181129289072</v>
      </c>
      <c r="E56" s="2">
        <f t="shared" ca="1" si="42"/>
        <v>3230.1772531633364</v>
      </c>
      <c r="F56" s="2">
        <f t="shared" ca="1" si="42"/>
        <v>2975.582615584281</v>
      </c>
      <c r="G56" s="2">
        <f t="shared" ca="1" si="42"/>
        <v>2753.4337965840382</v>
      </c>
      <c r="H56" s="2">
        <f t="shared" ca="1" si="42"/>
        <v>3903.089974911396</v>
      </c>
      <c r="I56" s="2">
        <f t="shared" ca="1" si="42"/>
        <v>3801.8639582635806</v>
      </c>
      <c r="J56" s="2">
        <f t="shared" ca="1" si="42"/>
        <v>2854.032639186164</v>
      </c>
      <c r="K56" s="2">
        <f t="shared" ca="1" si="42"/>
        <v>3557.4142852896443</v>
      </c>
      <c r="L56" s="2">
        <f t="shared" ca="1" si="42"/>
        <v>3079.7067455942279</v>
      </c>
      <c r="M56" s="2">
        <f t="shared" ca="1" si="42"/>
        <v>3172.3198884617636</v>
      </c>
      <c r="N56" s="2">
        <f t="shared" ca="1" si="42"/>
        <v>3950.9375644712263</v>
      </c>
      <c r="O56" s="2">
        <f t="shared" ca="1" si="42"/>
        <v>3590.2369335068429</v>
      </c>
      <c r="P56" s="2">
        <f t="shared" ca="1" si="42"/>
        <v>3114.5486271959294</v>
      </c>
      <c r="Q56" s="2">
        <f t="shared" ca="1" si="42"/>
        <v>2701.8204591496201</v>
      </c>
      <c r="R56" s="2">
        <f t="shared" ca="1" si="42"/>
        <v>2676.2808650480206</v>
      </c>
      <c r="S56" s="2">
        <f t="shared" ca="1" si="41"/>
        <v>3054.9380387540004</v>
      </c>
      <c r="T56" s="2">
        <f t="shared" ca="1" si="41"/>
        <v>3424.5784529127159</v>
      </c>
      <c r="U56" s="2">
        <f t="shared" ca="1" si="41"/>
        <v>3252.2707998092606</v>
      </c>
      <c r="V56" s="2">
        <f t="shared" ca="1" si="41"/>
        <v>3001.7601522063233</v>
      </c>
      <c r="W56" s="2">
        <f t="shared" ca="1" si="41"/>
        <v>3197.9149720828455</v>
      </c>
      <c r="X56" s="2">
        <f t="shared" ca="1" si="41"/>
        <v>3729.8118389094107</v>
      </c>
      <c r="Y56" s="2">
        <f t="shared" ca="1" si="39"/>
        <v>2950.8361823433265</v>
      </c>
      <c r="Z56" s="2">
        <f t="shared" ca="1" si="40"/>
        <v>3051.303534836883</v>
      </c>
      <c r="AA56" s="2">
        <f t="shared" ca="1" si="40"/>
        <v>2971.0350210604543</v>
      </c>
      <c r="AB56" s="2">
        <f t="shared" ca="1" si="40"/>
        <v>3404.1388890128619</v>
      </c>
      <c r="AC56" s="2">
        <f t="shared" ca="1" si="40"/>
        <v>3616.3169927736485</v>
      </c>
      <c r="AD56" s="2">
        <f t="shared" ca="1" si="40"/>
        <v>3829.1218326188146</v>
      </c>
      <c r="AE56" s="2">
        <f t="shared" ca="1" si="40"/>
        <v>3070.0104820906404</v>
      </c>
      <c r="AF56" s="2">
        <f t="shared" ca="1" si="40"/>
        <v>2976.9603812824157</v>
      </c>
      <c r="AG56" s="2">
        <f t="shared" ca="1" si="40"/>
        <v>3268.8975085781517</v>
      </c>
      <c r="AH56" s="2">
        <f t="shared" ca="1" si="40"/>
        <v>3440.9607635597345</v>
      </c>
    </row>
    <row r="57" spans="1:34">
      <c r="A57" t="str">
        <f t="shared" si="34"/>
        <v>Vegetables</v>
      </c>
      <c r="B57" t="str">
        <f t="shared" si="35"/>
        <v>Tigray</v>
      </c>
      <c r="C57" s="2">
        <f t="shared" ca="1" si="42"/>
        <v>3277.9321598220731</v>
      </c>
      <c r="D57" s="2">
        <f t="shared" ca="1" si="42"/>
        <v>3579.6729403157428</v>
      </c>
      <c r="E57" s="2">
        <f t="shared" ca="1" si="42"/>
        <v>2899.0060919986568</v>
      </c>
      <c r="F57" s="2">
        <f t="shared" ca="1" si="42"/>
        <v>2999.2898379864614</v>
      </c>
      <c r="G57" s="2">
        <f t="shared" ca="1" si="42"/>
        <v>3470.0285380651999</v>
      </c>
      <c r="H57" s="2">
        <f t="shared" ca="1" si="42"/>
        <v>3950.7682798767573</v>
      </c>
      <c r="I57" s="2">
        <f t="shared" ca="1" si="42"/>
        <v>3647.1742398054371</v>
      </c>
      <c r="J57" s="2">
        <f t="shared" ca="1" si="42"/>
        <v>3838.1068130101326</v>
      </c>
      <c r="K57" s="2">
        <f t="shared" ca="1" si="42"/>
        <v>2666.6538469572561</v>
      </c>
      <c r="L57" s="2">
        <f t="shared" ca="1" si="42"/>
        <v>2956.2351440132884</v>
      </c>
      <c r="M57" s="2">
        <f t="shared" ca="1" si="42"/>
        <v>3555.9383023863525</v>
      </c>
      <c r="N57" s="2">
        <f t="shared" ca="1" si="42"/>
        <v>3738.1279015544123</v>
      </c>
      <c r="O57" s="2">
        <f t="shared" ca="1" si="42"/>
        <v>2741.7425032930864</v>
      </c>
      <c r="P57" s="2">
        <f t="shared" ca="1" si="42"/>
        <v>3739.8357070925945</v>
      </c>
      <c r="Q57" s="2">
        <f t="shared" ca="1" si="42"/>
        <v>3746.3181030302585</v>
      </c>
      <c r="R57" s="2">
        <f t="shared" ca="1" si="42"/>
        <v>2737.431578205978</v>
      </c>
      <c r="S57" s="2">
        <f t="shared" ca="1" si="41"/>
        <v>3459.3787997803065</v>
      </c>
      <c r="T57" s="2">
        <f t="shared" ca="1" si="41"/>
        <v>2832.0730445587424</v>
      </c>
      <c r="U57" s="2">
        <f t="shared" ca="1" si="41"/>
        <v>2958.0839271716191</v>
      </c>
      <c r="V57" s="2">
        <f t="shared" ca="1" si="41"/>
        <v>3689.9436070386973</v>
      </c>
      <c r="W57" s="2">
        <f t="shared" ca="1" si="41"/>
        <v>3115.7701229404825</v>
      </c>
      <c r="X57" s="2">
        <f t="shared" ca="1" si="41"/>
        <v>3487.6389715334194</v>
      </c>
      <c r="Y57" s="2">
        <f t="shared" ca="1" si="39"/>
        <v>2720.2856292684819</v>
      </c>
      <c r="Z57" s="2">
        <f t="shared" ca="1" si="40"/>
        <v>3441.4184887082288</v>
      </c>
      <c r="AA57" s="2">
        <f t="shared" ca="1" si="40"/>
        <v>2772.0279678046136</v>
      </c>
      <c r="AB57" s="2">
        <f t="shared" ca="1" si="40"/>
        <v>3939.7586511407517</v>
      </c>
      <c r="AC57" s="2">
        <f t="shared" ca="1" si="40"/>
        <v>2810.451814648854</v>
      </c>
      <c r="AD57" s="2">
        <f t="shared" ca="1" si="40"/>
        <v>3233.1112611019585</v>
      </c>
      <c r="AE57" s="2">
        <f t="shared" ca="1" si="40"/>
        <v>2770.3362777362995</v>
      </c>
      <c r="AF57" s="2">
        <f t="shared" ca="1" si="40"/>
        <v>2761.3872803427921</v>
      </c>
      <c r="AG57" s="2">
        <f t="shared" ca="1" si="40"/>
        <v>3411.008427074994</v>
      </c>
      <c r="AH57" s="2">
        <f t="shared" ca="1" si="40"/>
        <v>3418.5843622062471</v>
      </c>
    </row>
    <row r="58" spans="1:34">
      <c r="A58" t="str">
        <f t="shared" si="34"/>
        <v>Coffee</v>
      </c>
      <c r="B58" t="str">
        <f t="shared" si="35"/>
        <v>AddisAbaba</v>
      </c>
      <c r="C58" s="2">
        <f t="shared" ca="1" si="42"/>
        <v>3017.4781967099984</v>
      </c>
      <c r="D58" s="2">
        <f t="shared" ca="1" si="42"/>
        <v>2946.185971961434</v>
      </c>
      <c r="E58" s="2">
        <f t="shared" ca="1" si="42"/>
        <v>2696.3175883273457</v>
      </c>
      <c r="F58" s="2">
        <f t="shared" ca="1" si="42"/>
        <v>3819.5787801080542</v>
      </c>
      <c r="G58" s="2">
        <f t="shared" ca="1" si="42"/>
        <v>3155.1344295985064</v>
      </c>
      <c r="H58" s="2">
        <f t="shared" ca="1" si="42"/>
        <v>2866.044275315413</v>
      </c>
      <c r="I58" s="2">
        <f t="shared" ca="1" si="42"/>
        <v>3462.6552780835959</v>
      </c>
      <c r="J58" s="2">
        <f t="shared" ca="1" si="42"/>
        <v>3039.3142051324044</v>
      </c>
      <c r="K58" s="2">
        <f t="shared" ca="1" si="42"/>
        <v>3609.9744586453407</v>
      </c>
      <c r="L58" s="2">
        <f t="shared" ca="1" si="42"/>
        <v>3223.8842240837666</v>
      </c>
      <c r="M58" s="2">
        <f t="shared" ca="1" si="42"/>
        <v>2759.2194036406659</v>
      </c>
      <c r="N58" s="2">
        <f t="shared" ca="1" si="42"/>
        <v>3419.5437680072223</v>
      </c>
      <c r="O58" s="2">
        <f t="shared" ca="1" si="42"/>
        <v>2773.3207623611947</v>
      </c>
      <c r="P58" s="2">
        <f t="shared" ca="1" si="42"/>
        <v>3314.9307314191874</v>
      </c>
      <c r="Q58" s="2">
        <f t="shared" ca="1" si="42"/>
        <v>3017.0383777937245</v>
      </c>
      <c r="R58" s="2">
        <f t="shared" ca="1" si="42"/>
        <v>3894.8709780218587</v>
      </c>
      <c r="S58" s="2">
        <f t="shared" ca="1" si="41"/>
        <v>3139.2432156397995</v>
      </c>
      <c r="T58" s="2">
        <f t="shared" ca="1" si="41"/>
        <v>2879.0081687888182</v>
      </c>
      <c r="U58" s="2">
        <f t="shared" ca="1" si="41"/>
        <v>3661.168721922355</v>
      </c>
      <c r="V58" s="2">
        <f t="shared" ca="1" si="41"/>
        <v>2780.1104408194637</v>
      </c>
      <c r="W58" s="2">
        <f t="shared" ca="1" si="41"/>
        <v>2859.9919769243666</v>
      </c>
      <c r="X58" s="2">
        <f t="shared" ca="1" si="41"/>
        <v>3288.5733319448996</v>
      </c>
      <c r="Y58" s="2">
        <f t="shared" ca="1" si="39"/>
        <v>2895.5689187756034</v>
      </c>
      <c r="Z58" s="2">
        <f t="shared" ca="1" si="40"/>
        <v>3465.700227637225</v>
      </c>
      <c r="AA58" s="2">
        <f t="shared" ca="1" si="40"/>
        <v>2843.3504351851325</v>
      </c>
      <c r="AB58" s="2">
        <f t="shared" ca="1" si="40"/>
        <v>2850.4946266761058</v>
      </c>
      <c r="AC58" s="2">
        <f t="shared" ca="1" si="40"/>
        <v>3689.2614833872603</v>
      </c>
      <c r="AD58" s="2">
        <f t="shared" ca="1" si="40"/>
        <v>3654.7592414475284</v>
      </c>
      <c r="AE58" s="2">
        <f t="shared" ca="1" si="40"/>
        <v>3302.2086891802978</v>
      </c>
      <c r="AF58" s="2">
        <f t="shared" ca="1" si="40"/>
        <v>3472.8529807694767</v>
      </c>
      <c r="AG58" s="2">
        <f t="shared" ca="1" si="40"/>
        <v>3306.0079519528399</v>
      </c>
      <c r="AH58" s="2">
        <f t="shared" ca="1" si="40"/>
        <v>3521.7420172747989</v>
      </c>
    </row>
    <row r="59" spans="1:34">
      <c r="A59" t="str">
        <f t="shared" si="34"/>
        <v>Coffee</v>
      </c>
      <c r="B59" t="str">
        <f t="shared" si="35"/>
        <v>Afar</v>
      </c>
      <c r="C59" s="2">
        <f t="shared" ca="1" si="42"/>
        <v>3834.2310807493636</v>
      </c>
      <c r="D59" s="2">
        <f t="shared" ca="1" si="42"/>
        <v>2739.7335040261964</v>
      </c>
      <c r="E59" s="2">
        <f t="shared" ca="1" si="42"/>
        <v>2695.1284292582827</v>
      </c>
      <c r="F59" s="2">
        <f t="shared" ca="1" si="42"/>
        <v>3652.3340176052075</v>
      </c>
      <c r="G59" s="2">
        <f t="shared" ca="1" si="42"/>
        <v>3480.6162532512762</v>
      </c>
      <c r="H59" s="2">
        <f t="shared" ca="1" si="42"/>
        <v>3016.5870616747166</v>
      </c>
      <c r="I59" s="2">
        <f t="shared" ca="1" si="42"/>
        <v>3267.1509831394565</v>
      </c>
      <c r="J59" s="2">
        <f t="shared" ca="1" si="42"/>
        <v>3169.9182478031039</v>
      </c>
      <c r="K59" s="2">
        <f t="shared" ca="1" si="42"/>
        <v>3866.2924608345356</v>
      </c>
      <c r="L59" s="2">
        <f t="shared" ca="1" si="42"/>
        <v>3123.5458477980183</v>
      </c>
      <c r="M59" s="2">
        <f t="shared" ca="1" si="42"/>
        <v>3469.2658088301487</v>
      </c>
      <c r="N59" s="2">
        <f t="shared" ca="1" si="42"/>
        <v>3738.8311758509426</v>
      </c>
      <c r="O59" s="2">
        <f t="shared" ca="1" si="42"/>
        <v>2650.9917529000891</v>
      </c>
      <c r="P59" s="2">
        <f t="shared" ca="1" si="42"/>
        <v>3449.5231930334039</v>
      </c>
      <c r="Q59" s="2">
        <f t="shared" ca="1" si="42"/>
        <v>2646.1364353277513</v>
      </c>
      <c r="R59" s="2">
        <f t="shared" ca="1" si="42"/>
        <v>2903.8834043630554</v>
      </c>
      <c r="S59" s="2">
        <f t="shared" ca="1" si="41"/>
        <v>3530.9665201125308</v>
      </c>
      <c r="T59" s="2">
        <f t="shared" ca="1" si="41"/>
        <v>3819.2748549107091</v>
      </c>
      <c r="U59" s="2">
        <f t="shared" ca="1" si="41"/>
        <v>3762.8655809995435</v>
      </c>
      <c r="V59" s="2">
        <f t="shared" ca="1" si="41"/>
        <v>3119.4339339804069</v>
      </c>
      <c r="W59" s="2">
        <f t="shared" ca="1" si="41"/>
        <v>3227.4376012052621</v>
      </c>
      <c r="X59" s="2">
        <f t="shared" ca="1" si="41"/>
        <v>3586.1725236826846</v>
      </c>
      <c r="Y59" s="2">
        <f t="shared" ca="1" si="39"/>
        <v>2712.9063996103946</v>
      </c>
      <c r="Z59" s="2">
        <f t="shared" ca="1" si="40"/>
        <v>3170.5207923337903</v>
      </c>
      <c r="AA59" s="2">
        <f t="shared" ca="1" si="40"/>
        <v>3260.0507817617545</v>
      </c>
      <c r="AB59" s="2">
        <f t="shared" ca="1" si="40"/>
        <v>3415.6925268939426</v>
      </c>
      <c r="AC59" s="2">
        <f t="shared" ca="1" si="40"/>
        <v>3312.9187838880193</v>
      </c>
      <c r="AD59" s="2">
        <f t="shared" ca="1" si="40"/>
        <v>3837.7912715339776</v>
      </c>
      <c r="AE59" s="2">
        <f t="shared" ca="1" si="40"/>
        <v>2883.0428037985062</v>
      </c>
      <c r="AF59" s="2">
        <f t="shared" ca="1" si="40"/>
        <v>3482.9859857070469</v>
      </c>
      <c r="AG59" s="2">
        <f t="shared" ca="1" si="40"/>
        <v>3474.0617297244535</v>
      </c>
      <c r="AH59" s="2">
        <f t="shared" ca="1" si="40"/>
        <v>3559.6627599169756</v>
      </c>
    </row>
    <row r="60" spans="1:34">
      <c r="A60" t="str">
        <f t="shared" si="34"/>
        <v>Coffee</v>
      </c>
      <c r="B60" t="str">
        <f t="shared" si="35"/>
        <v>Amhara</v>
      </c>
      <c r="C60" s="2">
        <f t="shared" ca="1" si="42"/>
        <v>3846.0939203773314</v>
      </c>
      <c r="D60" s="2">
        <f t="shared" ca="1" si="42"/>
        <v>3401.6954839592699</v>
      </c>
      <c r="E60" s="2">
        <f t="shared" ca="1" si="42"/>
        <v>3117.2833076270085</v>
      </c>
      <c r="F60" s="2">
        <f t="shared" ca="1" si="42"/>
        <v>3134.3799649471343</v>
      </c>
      <c r="G60" s="2">
        <f t="shared" ca="1" si="42"/>
        <v>3058.2715806068622</v>
      </c>
      <c r="H60" s="2">
        <f t="shared" ca="1" si="42"/>
        <v>3818.777744130713</v>
      </c>
      <c r="I60" s="2">
        <f t="shared" ca="1" si="42"/>
        <v>3297.8111874940546</v>
      </c>
      <c r="J60" s="2">
        <f t="shared" ca="1" si="42"/>
        <v>3796.1211352447885</v>
      </c>
      <c r="K60" s="2">
        <f t="shared" ca="1" si="42"/>
        <v>3901.6105400725764</v>
      </c>
      <c r="L60" s="2">
        <f t="shared" ca="1" si="42"/>
        <v>3949.5346179837911</v>
      </c>
      <c r="M60" s="2">
        <f t="shared" ca="1" si="42"/>
        <v>3001.4757972082793</v>
      </c>
      <c r="N60" s="2">
        <f t="shared" ca="1" si="42"/>
        <v>2653.6827041500728</v>
      </c>
      <c r="O60" s="2">
        <f t="shared" ca="1" si="42"/>
        <v>3273.9477153107409</v>
      </c>
      <c r="P60" s="2">
        <f t="shared" ca="1" si="42"/>
        <v>2992.2800985274207</v>
      </c>
      <c r="Q60" s="2">
        <f t="shared" ca="1" si="42"/>
        <v>3656.7233683013092</v>
      </c>
      <c r="R60" s="2">
        <f t="shared" ca="1" si="42"/>
        <v>3479.4372809223387</v>
      </c>
      <c r="S60" s="2">
        <f t="shared" ca="1" si="41"/>
        <v>3861.3228647615438</v>
      </c>
      <c r="T60" s="2">
        <f t="shared" ca="1" si="41"/>
        <v>3040.9392902364675</v>
      </c>
      <c r="U60" s="2">
        <f t="shared" ca="1" si="41"/>
        <v>2991.8640497317369</v>
      </c>
      <c r="V60" s="2">
        <f t="shared" ca="1" si="41"/>
        <v>3771.7533887926534</v>
      </c>
      <c r="W60" s="2">
        <f t="shared" ca="1" si="41"/>
        <v>2765.3709093381772</v>
      </c>
      <c r="X60" s="2">
        <f t="shared" ca="1" si="41"/>
        <v>2646.4430907643882</v>
      </c>
      <c r="Y60" s="2">
        <f t="shared" ca="1" si="39"/>
        <v>3844.1009841066088</v>
      </c>
      <c r="Z60" s="2">
        <f t="shared" ca="1" si="40"/>
        <v>3723.4078788252546</v>
      </c>
      <c r="AA60" s="2">
        <f t="shared" ca="1" si="40"/>
        <v>3132.2199692494341</v>
      </c>
      <c r="AB60" s="2">
        <f t="shared" ca="1" si="40"/>
        <v>3063.8466854531689</v>
      </c>
      <c r="AC60" s="2">
        <f t="shared" ca="1" si="40"/>
        <v>3154.2195822617859</v>
      </c>
      <c r="AD60" s="2">
        <f t="shared" ca="1" si="40"/>
        <v>2759.759031979544</v>
      </c>
      <c r="AE60" s="2">
        <f t="shared" ca="1" si="40"/>
        <v>2863.4899679926834</v>
      </c>
      <c r="AF60" s="2">
        <f t="shared" ca="1" si="40"/>
        <v>3273.1394003867363</v>
      </c>
      <c r="AG60" s="2">
        <f t="shared" ca="1" si="40"/>
        <v>3174.1631571416551</v>
      </c>
      <c r="AH60" s="2">
        <f t="shared" ca="1" si="40"/>
        <v>3698.488885409487</v>
      </c>
    </row>
    <row r="61" spans="1:34">
      <c r="A61" t="str">
        <f t="shared" si="34"/>
        <v>Coffee</v>
      </c>
      <c r="B61" t="str">
        <f t="shared" si="35"/>
        <v>Gumuz</v>
      </c>
      <c r="C61" s="2">
        <f t="shared" ca="1" si="42"/>
        <v>3099.4690770019233</v>
      </c>
      <c r="D61" s="2">
        <f t="shared" ca="1" si="42"/>
        <v>3129.8308254070862</v>
      </c>
      <c r="E61" s="2">
        <f t="shared" ca="1" si="42"/>
        <v>3013.714864917732</v>
      </c>
      <c r="F61" s="2">
        <f t="shared" ca="1" si="42"/>
        <v>3886.1516849818763</v>
      </c>
      <c r="G61" s="2">
        <f t="shared" ca="1" si="42"/>
        <v>3348.6222167519722</v>
      </c>
      <c r="H61" s="2">
        <f t="shared" ca="1" si="42"/>
        <v>3126.767647130685</v>
      </c>
      <c r="I61" s="2">
        <f t="shared" ca="1" si="42"/>
        <v>3891.0331307299002</v>
      </c>
      <c r="J61" s="2">
        <f t="shared" ca="1" si="42"/>
        <v>3929.7402453830273</v>
      </c>
      <c r="K61" s="2">
        <f t="shared" ca="1" si="42"/>
        <v>2677.8163415432932</v>
      </c>
      <c r="L61" s="2">
        <f t="shared" ca="1" si="42"/>
        <v>2909.9452065759297</v>
      </c>
      <c r="M61" s="2">
        <f t="shared" ca="1" si="42"/>
        <v>3801.6942813468936</v>
      </c>
      <c r="N61" s="2">
        <f t="shared" ca="1" si="42"/>
        <v>3354.7098333400495</v>
      </c>
      <c r="O61" s="2">
        <f t="shared" ca="1" si="42"/>
        <v>3758.449920422313</v>
      </c>
      <c r="P61" s="2">
        <f t="shared" ca="1" si="42"/>
        <v>3722.3179187837723</v>
      </c>
      <c r="Q61" s="2">
        <f t="shared" ca="1" si="42"/>
        <v>2688.0930197821949</v>
      </c>
      <c r="R61" s="2">
        <f t="shared" ca="1" si="42"/>
        <v>3641.362469809631</v>
      </c>
      <c r="S61" s="2">
        <f t="shared" ca="1" si="41"/>
        <v>3718.1403956356844</v>
      </c>
      <c r="T61" s="2">
        <f t="shared" ca="1" si="41"/>
        <v>3446.2596513099365</v>
      </c>
      <c r="U61" s="2">
        <f t="shared" ca="1" si="41"/>
        <v>3161.824664384666</v>
      </c>
      <c r="V61" s="2">
        <f t="shared" ca="1" si="41"/>
        <v>3807.7407629511663</v>
      </c>
      <c r="W61" s="2">
        <f t="shared" ca="1" si="41"/>
        <v>2792.2527689666017</v>
      </c>
      <c r="X61" s="2">
        <f t="shared" ca="1" si="41"/>
        <v>3467.9385912805178</v>
      </c>
      <c r="Y61" s="2">
        <f t="shared" ca="1" si="39"/>
        <v>3119.4655013638917</v>
      </c>
      <c r="Z61" s="2">
        <f t="shared" ca="1" si="40"/>
        <v>3166.5927626989455</v>
      </c>
      <c r="AA61" s="2">
        <f t="shared" ca="1" si="40"/>
        <v>3030.7245636714401</v>
      </c>
      <c r="AB61" s="2">
        <f t="shared" ca="1" si="40"/>
        <v>3176.3763886651964</v>
      </c>
      <c r="AC61" s="2">
        <f t="shared" ca="1" si="40"/>
        <v>3829.61642113157</v>
      </c>
      <c r="AD61" s="2">
        <f t="shared" ca="1" si="40"/>
        <v>3545.1272763671263</v>
      </c>
      <c r="AE61" s="2">
        <f t="shared" ca="1" si="40"/>
        <v>3705.3881189930994</v>
      </c>
      <c r="AF61" s="2">
        <f t="shared" ca="1" si="40"/>
        <v>3751.5287639962908</v>
      </c>
      <c r="AG61" s="2">
        <f t="shared" ca="1" si="40"/>
        <v>3267.4972977181028</v>
      </c>
      <c r="AH61" s="2">
        <f t="shared" ca="1" si="40"/>
        <v>2749.1646484019961</v>
      </c>
    </row>
    <row r="62" spans="1:34">
      <c r="A62" t="str">
        <f t="shared" si="34"/>
        <v>Coffee</v>
      </c>
      <c r="B62" t="str">
        <f t="shared" si="35"/>
        <v>DireDawa</v>
      </c>
      <c r="C62" s="2">
        <f t="shared" ca="1" si="42"/>
        <v>3622.4949607825824</v>
      </c>
      <c r="D62" s="2">
        <f t="shared" ca="1" si="42"/>
        <v>2707.4658190863984</v>
      </c>
      <c r="E62" s="2">
        <f t="shared" ca="1" si="42"/>
        <v>2866.2967242003515</v>
      </c>
      <c r="F62" s="2">
        <f t="shared" ca="1" si="42"/>
        <v>3195.6077525285932</v>
      </c>
      <c r="G62" s="2">
        <f t="shared" ca="1" si="42"/>
        <v>3779.6166101552794</v>
      </c>
      <c r="H62" s="2">
        <f t="shared" ca="1" si="42"/>
        <v>3467.0232204038962</v>
      </c>
      <c r="I62" s="2">
        <f t="shared" ca="1" si="42"/>
        <v>3713.2738804783971</v>
      </c>
      <c r="J62" s="2">
        <f t="shared" ca="1" si="42"/>
        <v>3790.9743251372352</v>
      </c>
      <c r="K62" s="2">
        <f t="shared" ca="1" si="42"/>
        <v>3427.684563617292</v>
      </c>
      <c r="L62" s="2">
        <f t="shared" ca="1" si="42"/>
        <v>3843.6346142489729</v>
      </c>
      <c r="M62" s="2">
        <f t="shared" ca="1" si="42"/>
        <v>3844.3682283678886</v>
      </c>
      <c r="N62" s="2">
        <f t="shared" ca="1" si="42"/>
        <v>3215.8645190936936</v>
      </c>
      <c r="O62" s="2">
        <f t="shared" ca="1" si="42"/>
        <v>3648.8623855644973</v>
      </c>
      <c r="P62" s="2">
        <f t="shared" ca="1" si="42"/>
        <v>3813.7151512281798</v>
      </c>
      <c r="Q62" s="2">
        <f t="shared" ca="1" si="42"/>
        <v>3824.3554796435765</v>
      </c>
      <c r="R62" s="2">
        <f t="shared" ca="1" si="42"/>
        <v>3081.6090106683687</v>
      </c>
      <c r="S62" s="2">
        <f t="shared" ca="1" si="41"/>
        <v>2683.8009908900708</v>
      </c>
      <c r="T62" s="2">
        <f t="shared" ca="1" si="41"/>
        <v>2958.9196852905529</v>
      </c>
      <c r="U62" s="2">
        <f t="shared" ca="1" si="41"/>
        <v>3355.907105680938</v>
      </c>
      <c r="V62" s="2">
        <f t="shared" ca="1" si="41"/>
        <v>3798.5645406442668</v>
      </c>
      <c r="W62" s="2">
        <f t="shared" ca="1" si="41"/>
        <v>3319.405326445592</v>
      </c>
      <c r="X62" s="2">
        <f t="shared" ca="1" si="41"/>
        <v>3464.8221670360481</v>
      </c>
      <c r="Y62" s="2">
        <f t="shared" ca="1" si="39"/>
        <v>3236.9189288510988</v>
      </c>
      <c r="Z62" s="2">
        <f t="shared" ca="1" si="40"/>
        <v>3018.5317431964399</v>
      </c>
      <c r="AA62" s="2">
        <f t="shared" ca="1" si="40"/>
        <v>3210.5313128976327</v>
      </c>
      <c r="AB62" s="2">
        <f t="shared" ca="1" si="40"/>
        <v>3408.8035649611079</v>
      </c>
      <c r="AC62" s="2">
        <f t="shared" ca="1" si="40"/>
        <v>3609.3193094570456</v>
      </c>
      <c r="AD62" s="2">
        <f t="shared" ca="1" si="40"/>
        <v>2861.3800693392341</v>
      </c>
      <c r="AE62" s="2">
        <f t="shared" ca="1" si="40"/>
        <v>2699.9055913065581</v>
      </c>
      <c r="AF62" s="2">
        <f t="shared" ca="1" si="40"/>
        <v>3167.0630450481453</v>
      </c>
      <c r="AG62" s="2">
        <f t="shared" ca="1" si="40"/>
        <v>3606.0820222403213</v>
      </c>
      <c r="AH62" s="2">
        <f t="shared" ca="1" si="40"/>
        <v>2951.6732602764696</v>
      </c>
    </row>
    <row r="63" spans="1:34">
      <c r="A63" t="str">
        <f t="shared" si="34"/>
        <v>Coffee</v>
      </c>
      <c r="B63" t="str">
        <f t="shared" si="35"/>
        <v>Gambela</v>
      </c>
      <c r="C63" s="2">
        <f t="shared" ca="1" si="42"/>
        <v>3916.2836536755594</v>
      </c>
      <c r="D63" s="2">
        <f t="shared" ca="1" si="42"/>
        <v>3030.0321344431254</v>
      </c>
      <c r="E63" s="2">
        <f t="shared" ca="1" si="42"/>
        <v>3308.4928372167201</v>
      </c>
      <c r="F63" s="2">
        <f t="shared" ca="1" si="42"/>
        <v>3808.3287800610879</v>
      </c>
      <c r="G63" s="2">
        <f t="shared" ca="1" si="42"/>
        <v>2702.9328121746062</v>
      </c>
      <c r="H63" s="2">
        <f t="shared" ca="1" si="42"/>
        <v>2971.2363141035721</v>
      </c>
      <c r="I63" s="2">
        <f t="shared" ca="1" si="42"/>
        <v>3917.4512305145895</v>
      </c>
      <c r="J63" s="2">
        <f t="shared" ca="1" si="42"/>
        <v>3340.9808479883063</v>
      </c>
      <c r="K63" s="2">
        <f t="shared" ca="1" si="42"/>
        <v>2896.0515544297923</v>
      </c>
      <c r="L63" s="2">
        <f t="shared" ca="1" si="42"/>
        <v>2991.2252156155619</v>
      </c>
      <c r="M63" s="2">
        <f t="shared" ca="1" si="42"/>
        <v>2671.4634866630868</v>
      </c>
      <c r="N63" s="2">
        <f t="shared" ca="1" si="42"/>
        <v>2939.0842627730458</v>
      </c>
      <c r="O63" s="2">
        <f t="shared" ca="1" si="42"/>
        <v>3235.8565207546667</v>
      </c>
      <c r="P63" s="2">
        <f t="shared" ca="1" si="42"/>
        <v>3506.1210947562408</v>
      </c>
      <c r="Q63" s="2">
        <f t="shared" ca="1" si="42"/>
        <v>3268.0139371220175</v>
      </c>
      <c r="R63" s="2">
        <f t="shared" ca="1" si="42"/>
        <v>2721.3466006169656</v>
      </c>
      <c r="S63" s="2">
        <f t="shared" ca="1" si="41"/>
        <v>3890.6049940929306</v>
      </c>
      <c r="T63" s="2">
        <f t="shared" ca="1" si="41"/>
        <v>2744.4210871221972</v>
      </c>
      <c r="U63" s="2">
        <f t="shared" ca="1" si="41"/>
        <v>3449.4741907674306</v>
      </c>
      <c r="V63" s="2">
        <f t="shared" ca="1" si="41"/>
        <v>3355.2678512654024</v>
      </c>
      <c r="W63" s="2">
        <f t="shared" ca="1" si="41"/>
        <v>2740.2067009823145</v>
      </c>
      <c r="X63" s="2">
        <f t="shared" ca="1" si="41"/>
        <v>3792.4726442739525</v>
      </c>
      <c r="Y63" s="2">
        <f t="shared" ca="1" si="39"/>
        <v>2732.0135547616342</v>
      </c>
      <c r="Z63" s="2">
        <f t="shared" ca="1" si="40"/>
        <v>3304.7519261572206</v>
      </c>
      <c r="AA63" s="2">
        <f t="shared" ca="1" si="40"/>
        <v>2674.5305735235283</v>
      </c>
      <c r="AB63" s="2">
        <f t="shared" ca="1" si="40"/>
        <v>3050.2631932962645</v>
      </c>
      <c r="AC63" s="2">
        <f t="shared" ca="1" si="40"/>
        <v>3326.868204323699</v>
      </c>
      <c r="AD63" s="2">
        <f t="shared" ca="1" si="40"/>
        <v>3238.6263081229922</v>
      </c>
      <c r="AE63" s="2">
        <f t="shared" ca="1" si="40"/>
        <v>3265.9599940117473</v>
      </c>
      <c r="AF63" s="2">
        <f t="shared" ca="1" si="40"/>
        <v>3649.1388056004625</v>
      </c>
      <c r="AG63" s="2">
        <f t="shared" ca="1" si="40"/>
        <v>3205.5009465576031</v>
      </c>
      <c r="AH63" s="2">
        <f t="shared" ca="1" si="40"/>
        <v>3288.9804174282003</v>
      </c>
    </row>
    <row r="64" spans="1:34">
      <c r="A64" t="str">
        <f t="shared" si="34"/>
        <v>Coffee</v>
      </c>
      <c r="B64" t="str">
        <f t="shared" si="35"/>
        <v>Harari</v>
      </c>
      <c r="C64" s="2">
        <f t="shared" ca="1" si="42"/>
        <v>3711.315842838982</v>
      </c>
      <c r="D64" s="2">
        <f t="shared" ca="1" si="42"/>
        <v>3146.4086155285227</v>
      </c>
      <c r="E64" s="2">
        <f t="shared" ca="1" si="42"/>
        <v>3223.9302581108573</v>
      </c>
      <c r="F64" s="2">
        <f t="shared" ca="1" si="42"/>
        <v>2952.1502757944986</v>
      </c>
      <c r="G64" s="2">
        <f t="shared" ca="1" si="42"/>
        <v>2671.5488219395352</v>
      </c>
      <c r="H64" s="2">
        <f t="shared" ca="1" si="42"/>
        <v>3023.308524799565</v>
      </c>
      <c r="I64" s="2">
        <f t="shared" ca="1" si="42"/>
        <v>3375.1930075702794</v>
      </c>
      <c r="J64" s="2">
        <f t="shared" ca="1" si="42"/>
        <v>3034.7246401816915</v>
      </c>
      <c r="K64" s="2">
        <f t="shared" ca="1" si="42"/>
        <v>3512.8888936217249</v>
      </c>
      <c r="L64" s="2">
        <f t="shared" ca="1" si="42"/>
        <v>2885.9354491316035</v>
      </c>
      <c r="M64" s="2">
        <f t="shared" ca="1" si="42"/>
        <v>2722.628242545693</v>
      </c>
      <c r="N64" s="2">
        <f t="shared" ca="1" si="42"/>
        <v>3329.1680865852445</v>
      </c>
      <c r="O64" s="2">
        <f t="shared" ca="1" si="42"/>
        <v>3092.086937272426</v>
      </c>
      <c r="P64" s="2">
        <f t="shared" ca="1" si="42"/>
        <v>3902.8864870089933</v>
      </c>
      <c r="Q64" s="2">
        <f t="shared" ca="1" si="42"/>
        <v>2788.5664613971976</v>
      </c>
      <c r="R64" s="2">
        <f t="shared" ca="1" si="42"/>
        <v>2924.8175019747109</v>
      </c>
      <c r="S64" s="2">
        <f t="shared" ca="1" si="41"/>
        <v>3442.8476689446293</v>
      </c>
      <c r="T64" s="2">
        <f t="shared" ca="1" si="41"/>
        <v>2805.7622064361835</v>
      </c>
      <c r="U64" s="2">
        <f t="shared" ca="1" si="41"/>
        <v>3198.322686725804</v>
      </c>
      <c r="V64" s="2">
        <f t="shared" ca="1" si="41"/>
        <v>3529.5018482139935</v>
      </c>
      <c r="W64" s="2">
        <f t="shared" ca="1" si="41"/>
        <v>3474.0774218855427</v>
      </c>
      <c r="X64" s="2">
        <f t="shared" ca="1" si="41"/>
        <v>3069.2145074357372</v>
      </c>
      <c r="Y64" s="2">
        <f t="shared" ca="1" si="39"/>
        <v>3008.6924722648364</v>
      </c>
      <c r="Z64" s="2">
        <f t="shared" ca="1" si="40"/>
        <v>2746.3047831888398</v>
      </c>
      <c r="AA64" s="2">
        <f t="shared" ca="1" si="40"/>
        <v>3369.5825062652734</v>
      </c>
      <c r="AB64" s="2">
        <f t="shared" ca="1" si="40"/>
        <v>2648.6606863140273</v>
      </c>
      <c r="AC64" s="2">
        <f t="shared" ca="1" si="40"/>
        <v>3196.208674480712</v>
      </c>
      <c r="AD64" s="2">
        <f t="shared" ca="1" si="40"/>
        <v>3843.8644336507195</v>
      </c>
      <c r="AE64" s="2">
        <f t="shared" ca="1" si="40"/>
        <v>3671.5752143499221</v>
      </c>
      <c r="AF64" s="2">
        <f t="shared" ca="1" si="40"/>
        <v>2890.4612042279173</v>
      </c>
      <c r="AG64" s="2">
        <f t="shared" ca="1" si="40"/>
        <v>2929.2210034842828</v>
      </c>
      <c r="AH64" s="2">
        <f t="shared" ca="1" si="40"/>
        <v>3876.9076246554196</v>
      </c>
    </row>
    <row r="65" spans="1:34">
      <c r="A65" t="str">
        <f t="shared" si="34"/>
        <v>Coffee</v>
      </c>
      <c r="B65" t="str">
        <f t="shared" si="35"/>
        <v>Oromia</v>
      </c>
      <c r="C65" s="2">
        <f t="shared" ca="1" si="42"/>
        <v>2938.0227884015048</v>
      </c>
      <c r="D65" s="2">
        <f t="shared" ca="1" si="42"/>
        <v>3807.9263087669005</v>
      </c>
      <c r="E65" s="2">
        <f t="shared" ca="1" si="42"/>
        <v>3605.3216547659695</v>
      </c>
      <c r="F65" s="2">
        <f t="shared" ca="1" si="42"/>
        <v>3395.3041357773091</v>
      </c>
      <c r="G65" s="2">
        <f t="shared" ca="1" si="42"/>
        <v>3014.168678249041</v>
      </c>
      <c r="H65" s="2">
        <f t="shared" ca="1" si="42"/>
        <v>3569.0835001707756</v>
      </c>
      <c r="I65" s="2">
        <f t="shared" ca="1" si="42"/>
        <v>2991.9805747817531</v>
      </c>
      <c r="J65" s="2">
        <f t="shared" ca="1" si="42"/>
        <v>3773.8305496588387</v>
      </c>
      <c r="K65" s="2">
        <f t="shared" ca="1" si="42"/>
        <v>2828.2543058103988</v>
      </c>
      <c r="L65" s="2">
        <f t="shared" ca="1" si="42"/>
        <v>3142.9402063831071</v>
      </c>
      <c r="M65" s="2">
        <f t="shared" ca="1" si="42"/>
        <v>3301.7468232590413</v>
      </c>
      <c r="N65" s="2">
        <f t="shared" ca="1" si="42"/>
        <v>3252.7179409767209</v>
      </c>
      <c r="O65" s="2">
        <f t="shared" ca="1" si="42"/>
        <v>3679.2277182204116</v>
      </c>
      <c r="P65" s="2">
        <f t="shared" ca="1" si="42"/>
        <v>3199.1483364052024</v>
      </c>
      <c r="Q65" s="2">
        <f t="shared" ca="1" si="42"/>
        <v>3702.0246923117411</v>
      </c>
      <c r="R65" s="2">
        <f t="shared" ca="1" si="42"/>
        <v>3556.1886910137459</v>
      </c>
      <c r="S65" s="2">
        <f t="shared" ca="1" si="41"/>
        <v>2839.2989536847303</v>
      </c>
      <c r="T65" s="2">
        <f t="shared" ca="1" si="41"/>
        <v>3472.831725322716</v>
      </c>
      <c r="U65" s="2">
        <f t="shared" ca="1" si="41"/>
        <v>3837.912522238702</v>
      </c>
      <c r="V65" s="2">
        <f t="shared" ca="1" si="41"/>
        <v>3780.3875548080837</v>
      </c>
      <c r="W65" s="2">
        <f t="shared" ca="1" si="41"/>
        <v>3898.5161965888033</v>
      </c>
      <c r="X65" s="2">
        <f t="shared" ca="1" si="41"/>
        <v>2710.6344895596576</v>
      </c>
      <c r="Y65" s="2">
        <f t="shared" ca="1" si="39"/>
        <v>3674.3437772626858</v>
      </c>
      <c r="Z65" s="2">
        <f t="shared" ca="1" si="40"/>
        <v>3642.7937742813428</v>
      </c>
      <c r="AA65" s="2">
        <f t="shared" ca="1" si="40"/>
        <v>3226.5917170015882</v>
      </c>
      <c r="AB65" s="2">
        <f t="shared" ca="1" si="40"/>
        <v>3852.6981242684597</v>
      </c>
      <c r="AC65" s="2">
        <f t="shared" ca="1" si="40"/>
        <v>3644.3075693074488</v>
      </c>
      <c r="AD65" s="2">
        <f t="shared" ca="1" si="40"/>
        <v>2728.8451120373952</v>
      </c>
      <c r="AE65" s="2">
        <f t="shared" ca="1" si="40"/>
        <v>3811.050618335551</v>
      </c>
      <c r="AF65" s="2">
        <f t="shared" ca="1" si="40"/>
        <v>3238.6098837320351</v>
      </c>
      <c r="AG65" s="2">
        <f t="shared" ca="1" si="40"/>
        <v>3357.4161970552254</v>
      </c>
      <c r="AH65" s="2">
        <f t="shared" ca="1" si="40"/>
        <v>3216.8791292016826</v>
      </c>
    </row>
    <row r="66" spans="1:34">
      <c r="A66" t="str">
        <f t="shared" si="34"/>
        <v>Coffee</v>
      </c>
      <c r="B66" t="str">
        <f t="shared" si="35"/>
        <v>Somali</v>
      </c>
      <c r="C66" s="2">
        <f t="shared" ca="1" si="42"/>
        <v>3855.1344170349685</v>
      </c>
      <c r="D66" s="2">
        <f t="shared" ca="1" si="42"/>
        <v>2860.0120407792301</v>
      </c>
      <c r="E66" s="2">
        <f t="shared" ca="1" si="42"/>
        <v>3912.8335063486875</v>
      </c>
      <c r="F66" s="2">
        <f t="shared" ca="1" si="42"/>
        <v>3902.3610012640966</v>
      </c>
      <c r="G66" s="2">
        <f t="shared" ca="1" si="42"/>
        <v>3164.1987718307887</v>
      </c>
      <c r="H66" s="2">
        <f t="shared" ca="1" si="42"/>
        <v>2988.5527152503514</v>
      </c>
      <c r="I66" s="2">
        <f t="shared" ca="1" si="42"/>
        <v>3538.2216443395505</v>
      </c>
      <c r="J66" s="2">
        <f t="shared" ca="1" si="42"/>
        <v>3602.193747562897</v>
      </c>
      <c r="K66" s="2">
        <f t="shared" ca="1" si="42"/>
        <v>3549.3620175862829</v>
      </c>
      <c r="L66" s="2">
        <f t="shared" ca="1" si="42"/>
        <v>3549.1888874097826</v>
      </c>
      <c r="M66" s="2">
        <f t="shared" ca="1" si="42"/>
        <v>3628.4053288613622</v>
      </c>
      <c r="N66" s="2">
        <f t="shared" ca="1" si="42"/>
        <v>3294.8219742041192</v>
      </c>
      <c r="O66" s="2">
        <f t="shared" ca="1" si="42"/>
        <v>3061.8596796429915</v>
      </c>
      <c r="P66" s="2">
        <f t="shared" ca="1" si="42"/>
        <v>3109.8978480663068</v>
      </c>
      <c r="Q66" s="2">
        <f t="shared" ca="1" si="42"/>
        <v>3701.1768112255395</v>
      </c>
      <c r="R66" s="2">
        <f t="shared" ca="1" si="42"/>
        <v>3516.2727370005664</v>
      </c>
      <c r="S66" s="2">
        <f t="shared" ca="1" si="41"/>
        <v>3402.9160871095955</v>
      </c>
      <c r="T66" s="2">
        <f t="shared" ca="1" si="41"/>
        <v>3881.010601743626</v>
      </c>
      <c r="U66" s="2">
        <f t="shared" ca="1" si="41"/>
        <v>3945.3529814534149</v>
      </c>
      <c r="V66" s="2">
        <f t="shared" ca="1" si="41"/>
        <v>3209.5944264443283</v>
      </c>
      <c r="W66" s="2">
        <f t="shared" ca="1" si="41"/>
        <v>3696.7521283393748</v>
      </c>
      <c r="X66" s="2">
        <f t="shared" ca="1" si="41"/>
        <v>3290.891909275786</v>
      </c>
      <c r="Y66" s="2">
        <f t="shared" ca="1" si="39"/>
        <v>2737.6381247643162</v>
      </c>
      <c r="Z66" s="2">
        <f t="shared" ca="1" si="40"/>
        <v>2964.2681429305571</v>
      </c>
      <c r="AA66" s="2">
        <f t="shared" ca="1" si="40"/>
        <v>3104.9672547081109</v>
      </c>
      <c r="AB66" s="2">
        <f t="shared" ca="1" si="40"/>
        <v>3814.302588151897</v>
      </c>
      <c r="AC66" s="2">
        <f t="shared" ca="1" si="40"/>
        <v>2870.7786985739554</v>
      </c>
      <c r="AD66" s="2">
        <f t="shared" ca="1" si="40"/>
        <v>3105.7428156007695</v>
      </c>
      <c r="AE66" s="2">
        <f t="shared" ca="1" si="40"/>
        <v>3463.4034982177914</v>
      </c>
      <c r="AF66" s="2">
        <f t="shared" ca="1" si="40"/>
        <v>3571.292071386481</v>
      </c>
      <c r="AG66" s="2">
        <f t="shared" ca="1" si="40"/>
        <v>2947.8195350448646</v>
      </c>
      <c r="AH66" s="2">
        <f t="shared" ca="1" si="40"/>
        <v>2645.6601880314643</v>
      </c>
    </row>
    <row r="67" spans="1:34">
      <c r="A67" t="str">
        <f t="shared" si="34"/>
        <v>Coffee</v>
      </c>
      <c r="B67" t="str">
        <f t="shared" si="35"/>
        <v>SNNPR</v>
      </c>
      <c r="C67" s="2">
        <f t="shared" ca="1" si="42"/>
        <v>3327.0777532668708</v>
      </c>
      <c r="D67" s="2">
        <f t="shared" ca="1" si="42"/>
        <v>2701.0225101552128</v>
      </c>
      <c r="E67" s="2">
        <f t="shared" ca="1" si="42"/>
        <v>2949.7348433999568</v>
      </c>
      <c r="F67" s="2">
        <f t="shared" ca="1" si="42"/>
        <v>2652.5044804081658</v>
      </c>
      <c r="G67" s="2">
        <f t="shared" ca="1" si="42"/>
        <v>3750.8158420022919</v>
      </c>
      <c r="H67" s="2">
        <f t="shared" ca="1" si="42"/>
        <v>3561.047255870043</v>
      </c>
      <c r="I67" s="2">
        <f t="shared" ca="1" si="42"/>
        <v>3346.2916246013574</v>
      </c>
      <c r="J67" s="2">
        <f t="shared" ca="1" si="42"/>
        <v>3476.3210243521671</v>
      </c>
      <c r="K67" s="2">
        <f t="shared" ca="1" si="42"/>
        <v>2805.8875268422771</v>
      </c>
      <c r="L67" s="2">
        <f t="shared" ca="1" si="42"/>
        <v>3202.3808285425562</v>
      </c>
      <c r="M67" s="2">
        <f t="shared" ca="1" si="42"/>
        <v>3230.2537688881453</v>
      </c>
      <c r="N67" s="2">
        <f t="shared" ca="1" si="42"/>
        <v>3673.4999562892108</v>
      </c>
      <c r="O67" s="2">
        <f t="shared" ca="1" si="42"/>
        <v>3469.6078891494999</v>
      </c>
      <c r="P67" s="2">
        <f t="shared" ca="1" si="42"/>
        <v>3664.0747572388364</v>
      </c>
      <c r="Q67" s="2">
        <f t="shared" ca="1" si="42"/>
        <v>3184.4029778613772</v>
      </c>
      <c r="R67" s="2">
        <f t="shared" ca="1" si="42"/>
        <v>2785.8734579645384</v>
      </c>
      <c r="S67" s="2">
        <f t="shared" ca="1" si="41"/>
        <v>3630.1483792402296</v>
      </c>
      <c r="T67" s="2">
        <f t="shared" ca="1" si="41"/>
        <v>3232.6315047738431</v>
      </c>
      <c r="U67" s="2">
        <f t="shared" ca="1" si="41"/>
        <v>3100.6559864214219</v>
      </c>
      <c r="V67" s="2">
        <f t="shared" ca="1" si="41"/>
        <v>3025.5949638510001</v>
      </c>
      <c r="W67" s="2">
        <f t="shared" ca="1" si="41"/>
        <v>2685.2562507130037</v>
      </c>
      <c r="X67" s="2">
        <f t="shared" ca="1" si="41"/>
        <v>3182.5248193408484</v>
      </c>
      <c r="Y67" s="2">
        <f t="shared" ca="1" si="39"/>
        <v>2994.4991394622862</v>
      </c>
      <c r="Z67" s="2">
        <f t="shared" ca="1" si="40"/>
        <v>3859.9806639791773</v>
      </c>
      <c r="AA67" s="2">
        <f t="shared" ca="1" si="40"/>
        <v>3614.6135069874349</v>
      </c>
      <c r="AB67" s="2">
        <f t="shared" ca="1" si="40"/>
        <v>3536.0245789579158</v>
      </c>
      <c r="AC67" s="2">
        <f t="shared" ca="1" si="40"/>
        <v>3180.0070049016767</v>
      </c>
      <c r="AD67" s="2">
        <f t="shared" ca="1" si="40"/>
        <v>3945.6767859232591</v>
      </c>
      <c r="AE67" s="2">
        <f t="shared" ca="1" si="40"/>
        <v>2793.2134976565712</v>
      </c>
      <c r="AF67" s="2">
        <f t="shared" ca="1" si="40"/>
        <v>3934.1202379133056</v>
      </c>
      <c r="AG67" s="2">
        <f t="shared" ca="1" si="40"/>
        <v>3326.364481320245</v>
      </c>
      <c r="AH67" s="2">
        <f t="shared" ca="1" si="40"/>
        <v>3579.4223756128317</v>
      </c>
    </row>
    <row r="68" spans="1:34">
      <c r="A68" t="str">
        <f t="shared" si="34"/>
        <v>Coffee</v>
      </c>
      <c r="B68" t="str">
        <f t="shared" si="35"/>
        <v>Tigray</v>
      </c>
      <c r="C68" s="2">
        <f t="shared" ca="1" si="42"/>
        <v>3656.9581438036143</v>
      </c>
      <c r="D68" s="2">
        <f t="shared" ca="1" si="42"/>
        <v>3677.3811983935452</v>
      </c>
      <c r="E68" s="2">
        <f t="shared" ca="1" si="42"/>
        <v>2713.287223563852</v>
      </c>
      <c r="F68" s="2">
        <f t="shared" ca="1" si="42"/>
        <v>3736.6228323357122</v>
      </c>
      <c r="G68" s="2">
        <f t="shared" ca="1" si="42"/>
        <v>2908.3558280730008</v>
      </c>
      <c r="H68" s="2">
        <f t="shared" ca="1" si="42"/>
        <v>3857.1229320760349</v>
      </c>
      <c r="I68" s="2">
        <f t="shared" ca="1" si="42"/>
        <v>3466.7016857377503</v>
      </c>
      <c r="J68" s="2">
        <f t="shared" ca="1" si="42"/>
        <v>3386.4246238396072</v>
      </c>
      <c r="K68" s="2">
        <f t="shared" ca="1" si="42"/>
        <v>2812.9006111471485</v>
      </c>
      <c r="L68" s="2">
        <f t="shared" ca="1" si="42"/>
        <v>2699.5088423105676</v>
      </c>
      <c r="M68" s="2">
        <f t="shared" ca="1" si="42"/>
        <v>3542.340527652796</v>
      </c>
      <c r="N68" s="2">
        <f t="shared" ca="1" si="42"/>
        <v>2969.4263662870871</v>
      </c>
      <c r="O68" s="2">
        <f t="shared" ca="1" si="42"/>
        <v>3896.371727275286</v>
      </c>
      <c r="P68" s="2">
        <f t="shared" ca="1" si="42"/>
        <v>2650.3530964061433</v>
      </c>
      <c r="Q68" s="2">
        <f t="shared" ca="1" si="42"/>
        <v>3739.0103156465748</v>
      </c>
      <c r="R68" s="2">
        <f t="shared" ref="R68:AG90" ca="1" si="43">((RAND()*1+2)*110)*10*1.2</f>
        <v>2688.4692472945339</v>
      </c>
      <c r="S68" s="2">
        <f t="shared" ca="1" si="43"/>
        <v>3594.1991212631597</v>
      </c>
      <c r="T68" s="2">
        <f t="shared" ca="1" si="43"/>
        <v>3761.2164669311096</v>
      </c>
      <c r="U68" s="2">
        <f t="shared" ca="1" si="43"/>
        <v>3799.3679583077733</v>
      </c>
      <c r="V68" s="2">
        <f t="shared" ca="1" si="43"/>
        <v>2946.9135510131969</v>
      </c>
      <c r="W68" s="2">
        <f t="shared" ca="1" si="43"/>
        <v>3896.6487092680363</v>
      </c>
      <c r="X68" s="2">
        <f t="shared" ca="1" si="43"/>
        <v>3473.0797391480714</v>
      </c>
      <c r="Y68" s="2">
        <f t="shared" ca="1" si="43"/>
        <v>2971.0852166996733</v>
      </c>
      <c r="Z68" s="2">
        <f t="shared" ca="1" si="43"/>
        <v>2976.109222202469</v>
      </c>
      <c r="AA68" s="2">
        <f t="shared" ca="1" si="43"/>
        <v>2855.3733859817598</v>
      </c>
      <c r="AB68" s="2">
        <f t="shared" ca="1" si="43"/>
        <v>2960.2807691365292</v>
      </c>
      <c r="AC68" s="2">
        <f t="shared" ca="1" si="43"/>
        <v>3412.4500846879287</v>
      </c>
      <c r="AD68" s="2">
        <f t="shared" ca="1" si="43"/>
        <v>3913.0366397264811</v>
      </c>
      <c r="AE68" s="2">
        <f t="shared" ca="1" si="43"/>
        <v>3659.4382965914542</v>
      </c>
      <c r="AF68" s="2">
        <f t="shared" ca="1" si="43"/>
        <v>3572.9649543300307</v>
      </c>
      <c r="AG68" s="2">
        <f t="shared" ca="1" si="43"/>
        <v>3747.4875404409013</v>
      </c>
      <c r="AH68" s="2">
        <f t="shared" ca="1" si="40"/>
        <v>3897.062561490296</v>
      </c>
    </row>
    <row r="69" spans="1:34">
      <c r="A69" t="str">
        <f t="shared" si="34"/>
        <v>Beef</v>
      </c>
      <c r="B69" t="str">
        <f t="shared" si="35"/>
        <v>AddisAbaba</v>
      </c>
      <c r="C69" s="2">
        <f t="shared" ref="C69:R90" ca="1" si="44">((RAND()*1+2)*110)*10*1.2</f>
        <v>2783.2005343580536</v>
      </c>
      <c r="D69" s="2">
        <f t="shared" ca="1" si="44"/>
        <v>3946.5070656786943</v>
      </c>
      <c r="E69" s="2">
        <f t="shared" ca="1" si="44"/>
        <v>3306.4835510996354</v>
      </c>
      <c r="F69" s="2">
        <f t="shared" ca="1" si="44"/>
        <v>3626.8195329011128</v>
      </c>
      <c r="G69" s="2">
        <f t="shared" ca="1" si="44"/>
        <v>3322.1854553544567</v>
      </c>
      <c r="H69" s="2">
        <f t="shared" ca="1" si="44"/>
        <v>3674.1728581555417</v>
      </c>
      <c r="I69" s="2">
        <f t="shared" ca="1" si="44"/>
        <v>3092.7663943982229</v>
      </c>
      <c r="J69" s="2">
        <f t="shared" ca="1" si="44"/>
        <v>3698.8256251624175</v>
      </c>
      <c r="K69" s="2">
        <f t="shared" ca="1" si="44"/>
        <v>3109.5810276824618</v>
      </c>
      <c r="L69" s="2">
        <f t="shared" ca="1" si="44"/>
        <v>3108.3447537083175</v>
      </c>
      <c r="M69" s="2">
        <f t="shared" ca="1" si="44"/>
        <v>3639.7265347540856</v>
      </c>
      <c r="N69" s="2">
        <f t="shared" ca="1" si="44"/>
        <v>2751.4006010421485</v>
      </c>
      <c r="O69" s="2">
        <f t="shared" ca="1" si="44"/>
        <v>2872.2970907683598</v>
      </c>
      <c r="P69" s="2">
        <f t="shared" ca="1" si="44"/>
        <v>3232.360550940246</v>
      </c>
      <c r="Q69" s="2">
        <f t="shared" ca="1" si="44"/>
        <v>3713.7579249048817</v>
      </c>
      <c r="R69" s="2">
        <f t="shared" ca="1" si="44"/>
        <v>3040.2569114936891</v>
      </c>
      <c r="S69" s="2">
        <f t="shared" ca="1" si="43"/>
        <v>2640.8139662760091</v>
      </c>
      <c r="T69" s="2">
        <f t="shared" ca="1" si="43"/>
        <v>2725.165536600422</v>
      </c>
      <c r="U69" s="2">
        <f t="shared" ca="1" si="43"/>
        <v>3309.42755748011</v>
      </c>
      <c r="V69" s="2">
        <f t="shared" ca="1" si="43"/>
        <v>3490.7373657412495</v>
      </c>
      <c r="W69" s="2">
        <f t="shared" ca="1" si="43"/>
        <v>3267.3611505970512</v>
      </c>
      <c r="X69" s="2">
        <f t="shared" ca="1" si="43"/>
        <v>3558.4925721160225</v>
      </c>
      <c r="Y69" s="2">
        <f t="shared" ca="1" si="43"/>
        <v>3042.9973787335789</v>
      </c>
      <c r="Z69" s="2">
        <f t="shared" ca="1" si="43"/>
        <v>2695.9519799882992</v>
      </c>
      <c r="AA69" s="2">
        <f t="shared" ca="1" si="43"/>
        <v>3152.6271995300863</v>
      </c>
      <c r="AB69" s="2">
        <f t="shared" ca="1" si="43"/>
        <v>3788.6293738414761</v>
      </c>
      <c r="AC69" s="2">
        <f t="shared" ca="1" si="43"/>
        <v>3004.2550390711222</v>
      </c>
      <c r="AD69" s="2">
        <f t="shared" ca="1" si="43"/>
        <v>3677.2179132609326</v>
      </c>
      <c r="AE69" s="2">
        <f t="shared" ca="1" si="43"/>
        <v>3791.3370758128426</v>
      </c>
      <c r="AF69" s="2">
        <f t="shared" ca="1" si="43"/>
        <v>3709.8147744396329</v>
      </c>
      <c r="AG69" s="2">
        <f t="shared" ca="1" si="43"/>
        <v>3819.0544096342642</v>
      </c>
      <c r="AH69" s="2">
        <f t="shared" ca="1" si="40"/>
        <v>3494.4501577241135</v>
      </c>
    </row>
    <row r="70" spans="1:34">
      <c r="A70" t="str">
        <f t="shared" si="34"/>
        <v>Beef</v>
      </c>
      <c r="B70" t="str">
        <f t="shared" si="35"/>
        <v>Afar</v>
      </c>
      <c r="C70" s="2">
        <f t="shared" ca="1" si="44"/>
        <v>3053.2941288491288</v>
      </c>
      <c r="D70" s="2">
        <f t="shared" ca="1" si="44"/>
        <v>2816.8103991264738</v>
      </c>
      <c r="E70" s="2">
        <f t="shared" ca="1" si="44"/>
        <v>3567.5628737327729</v>
      </c>
      <c r="F70" s="2">
        <f t="shared" ca="1" si="44"/>
        <v>3755.9834018390816</v>
      </c>
      <c r="G70" s="2">
        <f t="shared" ca="1" si="44"/>
        <v>3844.6122873240092</v>
      </c>
      <c r="H70" s="2">
        <f t="shared" ca="1" si="44"/>
        <v>3662.5973391529778</v>
      </c>
      <c r="I70" s="2">
        <f t="shared" ca="1" si="44"/>
        <v>2937.218440149758</v>
      </c>
      <c r="J70" s="2">
        <f t="shared" ca="1" si="44"/>
        <v>3326.0152626406616</v>
      </c>
      <c r="K70" s="2">
        <f t="shared" ca="1" si="44"/>
        <v>3783.6667089245757</v>
      </c>
      <c r="L70" s="2">
        <f t="shared" ca="1" si="44"/>
        <v>3931.61075141232</v>
      </c>
      <c r="M70" s="2">
        <f t="shared" ca="1" si="44"/>
        <v>2938.8590925989961</v>
      </c>
      <c r="N70" s="2">
        <f t="shared" ca="1" si="44"/>
        <v>3378.3739780102119</v>
      </c>
      <c r="O70" s="2">
        <f t="shared" ca="1" si="44"/>
        <v>2865.2298082919501</v>
      </c>
      <c r="P70" s="2">
        <f t="shared" ca="1" si="44"/>
        <v>2759.8340018471827</v>
      </c>
      <c r="Q70" s="2">
        <f t="shared" ca="1" si="44"/>
        <v>3079.9968121578336</v>
      </c>
      <c r="R70" s="2">
        <f t="shared" ca="1" si="44"/>
        <v>2977.9848428956243</v>
      </c>
      <c r="S70" s="2">
        <f t="shared" ca="1" si="43"/>
        <v>3838.8914852862849</v>
      </c>
      <c r="T70" s="2">
        <f t="shared" ca="1" si="43"/>
        <v>3543.2271991637381</v>
      </c>
      <c r="U70" s="2">
        <f t="shared" ca="1" si="43"/>
        <v>2844.0055271096976</v>
      </c>
      <c r="V70" s="2">
        <f t="shared" ca="1" si="43"/>
        <v>2842.3843080217453</v>
      </c>
      <c r="W70" s="2">
        <f t="shared" ca="1" si="43"/>
        <v>3423.3951939777426</v>
      </c>
      <c r="X70" s="2">
        <f t="shared" ca="1" si="43"/>
        <v>2978.1866038535791</v>
      </c>
      <c r="Y70" s="2">
        <f t="shared" ca="1" si="43"/>
        <v>2723.2402182415203</v>
      </c>
      <c r="Z70" s="2">
        <f t="shared" ca="1" si="43"/>
        <v>3200.6873673170721</v>
      </c>
      <c r="AA70" s="2">
        <f t="shared" ca="1" si="43"/>
        <v>3762.948010007939</v>
      </c>
      <c r="AB70" s="2">
        <f t="shared" ca="1" si="43"/>
        <v>3606.4908908150014</v>
      </c>
      <c r="AC70" s="2">
        <f t="shared" ca="1" si="43"/>
        <v>3948.7418129599309</v>
      </c>
      <c r="AD70" s="2">
        <f t="shared" ca="1" si="43"/>
        <v>3238.7325945515154</v>
      </c>
      <c r="AE70" s="2">
        <f t="shared" ca="1" si="43"/>
        <v>2698.0231736693208</v>
      </c>
      <c r="AF70" s="2">
        <f t="shared" ca="1" si="43"/>
        <v>2733.7287797190511</v>
      </c>
      <c r="AG70" s="2">
        <f t="shared" ca="1" si="43"/>
        <v>3324.4267525511727</v>
      </c>
      <c r="AH70" s="2">
        <f t="shared" ca="1" si="40"/>
        <v>3485.8470323767392</v>
      </c>
    </row>
    <row r="71" spans="1:34">
      <c r="A71" t="str">
        <f t="shared" si="34"/>
        <v>Beef</v>
      </c>
      <c r="B71" t="str">
        <f t="shared" si="35"/>
        <v>Amhara</v>
      </c>
      <c r="C71" s="2">
        <f t="shared" ca="1" si="44"/>
        <v>3467.2639007311559</v>
      </c>
      <c r="D71" s="2">
        <f t="shared" ca="1" si="44"/>
        <v>3768.0596636167538</v>
      </c>
      <c r="E71" s="2">
        <f t="shared" ca="1" si="44"/>
        <v>2749.3235106553016</v>
      </c>
      <c r="F71" s="2">
        <f t="shared" ca="1" si="44"/>
        <v>3489.4733592091911</v>
      </c>
      <c r="G71" s="2">
        <f t="shared" ca="1" si="44"/>
        <v>3213.7536467753403</v>
      </c>
      <c r="H71" s="2">
        <f t="shared" ca="1" si="44"/>
        <v>3297.0127198364225</v>
      </c>
      <c r="I71" s="2">
        <f t="shared" ca="1" si="44"/>
        <v>2664.7109415454947</v>
      </c>
      <c r="J71" s="2">
        <f t="shared" ca="1" si="44"/>
        <v>3610.5613376749193</v>
      </c>
      <c r="K71" s="2">
        <f t="shared" ca="1" si="44"/>
        <v>3952.4021738342472</v>
      </c>
      <c r="L71" s="2">
        <f t="shared" ca="1" si="44"/>
        <v>3793.3379997118709</v>
      </c>
      <c r="M71" s="2">
        <f t="shared" ca="1" si="44"/>
        <v>2752.8483722542878</v>
      </c>
      <c r="N71" s="2">
        <f t="shared" ca="1" si="44"/>
        <v>3276.7334783223837</v>
      </c>
      <c r="O71" s="2">
        <f t="shared" ca="1" si="44"/>
        <v>3883.072236939207</v>
      </c>
      <c r="P71" s="2">
        <f t="shared" ca="1" si="44"/>
        <v>3117.5844396571015</v>
      </c>
      <c r="Q71" s="2">
        <f t="shared" ca="1" si="44"/>
        <v>3622.1205034581312</v>
      </c>
      <c r="R71" s="2">
        <f t="shared" ca="1" si="44"/>
        <v>3057.0802136114462</v>
      </c>
      <c r="S71" s="2">
        <f t="shared" ca="1" si="43"/>
        <v>3354.9901109085536</v>
      </c>
      <c r="T71" s="2">
        <f t="shared" ca="1" si="43"/>
        <v>3737.8995227980881</v>
      </c>
      <c r="U71" s="2">
        <f t="shared" ca="1" si="43"/>
        <v>2991.4404532767235</v>
      </c>
      <c r="V71" s="2">
        <f t="shared" ca="1" si="43"/>
        <v>3100.8628245705568</v>
      </c>
      <c r="W71" s="2">
        <f t="shared" ca="1" si="43"/>
        <v>2821.1529226601092</v>
      </c>
      <c r="X71" s="2">
        <f t="shared" ca="1" si="43"/>
        <v>3536.1315910211292</v>
      </c>
      <c r="Y71" s="2">
        <f t="shared" ca="1" si="43"/>
        <v>3616.5586329759399</v>
      </c>
      <c r="Z71" s="2">
        <f t="shared" ca="1" si="43"/>
        <v>2673.6767367773045</v>
      </c>
      <c r="AA71" s="2">
        <f t="shared" ca="1" si="43"/>
        <v>3931.285380615861</v>
      </c>
      <c r="AB71" s="2">
        <f t="shared" ca="1" si="43"/>
        <v>2834.1065287757929</v>
      </c>
      <c r="AC71" s="2">
        <f t="shared" ca="1" si="43"/>
        <v>3518.3448645722451</v>
      </c>
      <c r="AD71" s="2">
        <f t="shared" ca="1" si="43"/>
        <v>3611.9720403453016</v>
      </c>
      <c r="AE71" s="2">
        <f t="shared" ca="1" si="43"/>
        <v>3709.8811221547508</v>
      </c>
      <c r="AF71" s="2">
        <f t="shared" ca="1" si="43"/>
        <v>3681.6118278662175</v>
      </c>
      <c r="AG71" s="2">
        <f t="shared" ca="1" si="43"/>
        <v>3594.5947510791907</v>
      </c>
      <c r="AH71" s="2">
        <f t="shared" ca="1" si="40"/>
        <v>3386.048263129619</v>
      </c>
    </row>
    <row r="72" spans="1:34">
      <c r="A72" t="str">
        <f t="shared" si="34"/>
        <v>Beef</v>
      </c>
      <c r="B72" t="str">
        <f t="shared" si="35"/>
        <v>Gumuz</v>
      </c>
      <c r="C72" s="2">
        <f t="shared" ca="1" si="44"/>
        <v>2925.3583246272765</v>
      </c>
      <c r="D72" s="2">
        <f t="shared" ca="1" si="44"/>
        <v>3414.0761235003706</v>
      </c>
      <c r="E72" s="2">
        <f t="shared" ca="1" si="44"/>
        <v>3280.9675736999911</v>
      </c>
      <c r="F72" s="2">
        <f t="shared" ca="1" si="44"/>
        <v>2917.4290950040427</v>
      </c>
      <c r="G72" s="2">
        <f t="shared" ca="1" si="44"/>
        <v>3031.4985953175046</v>
      </c>
      <c r="H72" s="2">
        <f t="shared" ca="1" si="44"/>
        <v>3054.8417214752058</v>
      </c>
      <c r="I72" s="2">
        <f t="shared" ca="1" si="44"/>
        <v>3067.2717497173003</v>
      </c>
      <c r="J72" s="2">
        <f t="shared" ca="1" si="44"/>
        <v>3259.0791136691651</v>
      </c>
      <c r="K72" s="2">
        <f t="shared" ca="1" si="44"/>
        <v>3786.9519428832309</v>
      </c>
      <c r="L72" s="2">
        <f t="shared" ca="1" si="44"/>
        <v>3366.0359706906693</v>
      </c>
      <c r="M72" s="2">
        <f t="shared" ca="1" si="44"/>
        <v>3357.2880759397444</v>
      </c>
      <c r="N72" s="2">
        <f t="shared" ca="1" si="44"/>
        <v>3076.4657491388862</v>
      </c>
      <c r="O72" s="2">
        <f t="shared" ca="1" si="44"/>
        <v>3916.5603644494013</v>
      </c>
      <c r="P72" s="2">
        <f t="shared" ca="1" si="44"/>
        <v>3857.0897372118498</v>
      </c>
      <c r="Q72" s="2">
        <f t="shared" ca="1" si="44"/>
        <v>3642.4613342683897</v>
      </c>
      <c r="R72" s="2">
        <f t="shared" ca="1" si="44"/>
        <v>3280.8939715449246</v>
      </c>
      <c r="S72" s="2">
        <f t="shared" ca="1" si="43"/>
        <v>3641.8133065413667</v>
      </c>
      <c r="T72" s="2">
        <f t="shared" ca="1" si="43"/>
        <v>3250.7542116118707</v>
      </c>
      <c r="U72" s="2">
        <f t="shared" ca="1" si="43"/>
        <v>3098.628799365501</v>
      </c>
      <c r="V72" s="2">
        <f t="shared" ca="1" si="43"/>
        <v>3922.4014012449238</v>
      </c>
      <c r="W72" s="2">
        <f t="shared" ca="1" si="43"/>
        <v>3172.8094278857943</v>
      </c>
      <c r="X72" s="2">
        <f t="shared" ca="1" si="43"/>
        <v>3519.9665614753776</v>
      </c>
      <c r="Y72" s="2">
        <f t="shared" ca="1" si="43"/>
        <v>3263.1804415749334</v>
      </c>
      <c r="Z72" s="2">
        <f t="shared" ca="1" si="43"/>
        <v>2905.3401828171304</v>
      </c>
      <c r="AA72" s="2">
        <f t="shared" ca="1" si="43"/>
        <v>3822.8510641430939</v>
      </c>
      <c r="AB72" s="2">
        <f t="shared" ca="1" si="43"/>
        <v>3466.4281981421504</v>
      </c>
      <c r="AC72" s="2">
        <f t="shared" ca="1" si="43"/>
        <v>3244.8572842335357</v>
      </c>
      <c r="AD72" s="2">
        <f t="shared" ca="1" si="43"/>
        <v>3312.0910986563363</v>
      </c>
      <c r="AE72" s="2">
        <f t="shared" ca="1" si="43"/>
        <v>2815.730976922966</v>
      </c>
      <c r="AF72" s="2">
        <f t="shared" ca="1" si="43"/>
        <v>3203.130610790095</v>
      </c>
      <c r="AG72" s="2">
        <f t="shared" ca="1" si="43"/>
        <v>2956.3046958560967</v>
      </c>
      <c r="AH72" s="2">
        <f t="shared" ca="1" si="40"/>
        <v>2866.3811103116054</v>
      </c>
    </row>
    <row r="73" spans="1:34">
      <c r="A73" t="str">
        <f t="shared" si="34"/>
        <v>Beef</v>
      </c>
      <c r="B73" t="str">
        <f t="shared" si="35"/>
        <v>DireDawa</v>
      </c>
      <c r="C73" s="2">
        <f t="shared" ca="1" si="44"/>
        <v>3724.0202410518336</v>
      </c>
      <c r="D73" s="2">
        <f t="shared" ca="1" si="44"/>
        <v>3156.9339539310154</v>
      </c>
      <c r="E73" s="2">
        <f t="shared" ca="1" si="44"/>
        <v>3083.5407523895888</v>
      </c>
      <c r="F73" s="2">
        <f t="shared" ca="1" si="44"/>
        <v>2972.0365320935525</v>
      </c>
      <c r="G73" s="2">
        <f t="shared" ca="1" si="44"/>
        <v>3488.8533465032065</v>
      </c>
      <c r="H73" s="2">
        <f t="shared" ca="1" si="44"/>
        <v>3541.9619046924099</v>
      </c>
      <c r="I73" s="2">
        <f t="shared" ca="1" si="44"/>
        <v>3364.5223575280761</v>
      </c>
      <c r="J73" s="2">
        <f t="shared" ca="1" si="44"/>
        <v>3073.3038686846744</v>
      </c>
      <c r="K73" s="2">
        <f t="shared" ca="1" si="44"/>
        <v>3453.2747288813875</v>
      </c>
      <c r="L73" s="2">
        <f t="shared" ca="1" si="44"/>
        <v>3173.8104892917663</v>
      </c>
      <c r="M73" s="2">
        <f t="shared" ca="1" si="44"/>
        <v>2810.8367204366828</v>
      </c>
      <c r="N73" s="2">
        <f t="shared" ca="1" si="44"/>
        <v>2647.2433709489251</v>
      </c>
      <c r="O73" s="2">
        <f t="shared" ca="1" si="44"/>
        <v>3675.3055689438133</v>
      </c>
      <c r="P73" s="2">
        <f t="shared" ca="1" si="44"/>
        <v>3827.070784863246</v>
      </c>
      <c r="Q73" s="2">
        <f t="shared" ca="1" si="44"/>
        <v>2872.1796449810649</v>
      </c>
      <c r="R73" s="2">
        <f t="shared" ca="1" si="44"/>
        <v>3939.587989478523</v>
      </c>
      <c r="S73" s="2">
        <f t="shared" ca="1" si="43"/>
        <v>3941.6714194429601</v>
      </c>
      <c r="T73" s="2">
        <f t="shared" ca="1" si="43"/>
        <v>3138.3392936876835</v>
      </c>
      <c r="U73" s="2">
        <f t="shared" ca="1" si="43"/>
        <v>3588.0032390321617</v>
      </c>
      <c r="V73" s="2">
        <f t="shared" ca="1" si="43"/>
        <v>2799.8574786444974</v>
      </c>
      <c r="W73" s="2">
        <f t="shared" ca="1" si="43"/>
        <v>3663.0516695791312</v>
      </c>
      <c r="X73" s="2">
        <f t="shared" ca="1" si="43"/>
        <v>3492.6315986479563</v>
      </c>
      <c r="Y73" s="2">
        <f t="shared" ca="1" si="43"/>
        <v>3234.7222613536896</v>
      </c>
      <c r="Z73" s="2">
        <f t="shared" ca="1" si="43"/>
        <v>3248.9071951000892</v>
      </c>
      <c r="AA73" s="2">
        <f t="shared" ca="1" si="43"/>
        <v>3249.7836951454378</v>
      </c>
      <c r="AB73" s="2">
        <f t="shared" ca="1" si="43"/>
        <v>3749.5579969451419</v>
      </c>
      <c r="AC73" s="2">
        <f t="shared" ca="1" si="43"/>
        <v>3917.6398936939681</v>
      </c>
      <c r="AD73" s="2">
        <f t="shared" ca="1" si="43"/>
        <v>3047.0734873606161</v>
      </c>
      <c r="AE73" s="2">
        <f t="shared" ca="1" si="43"/>
        <v>2826.8771196805201</v>
      </c>
      <c r="AF73" s="2">
        <f t="shared" ca="1" si="43"/>
        <v>3775.4987319790816</v>
      </c>
      <c r="AG73" s="2">
        <f t="shared" ca="1" si="43"/>
        <v>2823.6152608755679</v>
      </c>
      <c r="AH73" s="2">
        <f t="shared" ca="1" si="40"/>
        <v>3245.8417361012421</v>
      </c>
    </row>
    <row r="74" spans="1:34">
      <c r="A74" t="str">
        <f t="shared" si="34"/>
        <v>Beef</v>
      </c>
      <c r="B74" t="str">
        <f t="shared" si="35"/>
        <v>Gambela</v>
      </c>
      <c r="C74" s="2">
        <f t="shared" ca="1" si="44"/>
        <v>3166.9668379687473</v>
      </c>
      <c r="D74" s="2">
        <f t="shared" ca="1" si="44"/>
        <v>3863.6420897057478</v>
      </c>
      <c r="E74" s="2">
        <f t="shared" ca="1" si="44"/>
        <v>2927.8890856774256</v>
      </c>
      <c r="F74" s="2">
        <f t="shared" ca="1" si="44"/>
        <v>3540.3230147376003</v>
      </c>
      <c r="G74" s="2">
        <f t="shared" ca="1" si="44"/>
        <v>2935.9081917810131</v>
      </c>
      <c r="H74" s="2">
        <f t="shared" ca="1" si="44"/>
        <v>3672.6401308902305</v>
      </c>
      <c r="I74" s="2">
        <f t="shared" ca="1" si="44"/>
        <v>3951.6383029360454</v>
      </c>
      <c r="J74" s="2">
        <f t="shared" ca="1" si="44"/>
        <v>3523.7229856705435</v>
      </c>
      <c r="K74" s="2">
        <f t="shared" ca="1" si="44"/>
        <v>3799.489305160535</v>
      </c>
      <c r="L74" s="2">
        <f t="shared" ca="1" si="44"/>
        <v>3604.6734515115254</v>
      </c>
      <c r="M74" s="2">
        <f t="shared" ca="1" si="44"/>
        <v>2869.2659082795549</v>
      </c>
      <c r="N74" s="2">
        <f t="shared" ca="1" si="44"/>
        <v>3041.0346805105355</v>
      </c>
      <c r="O74" s="2">
        <f t="shared" ca="1" si="44"/>
        <v>3122.1136573797316</v>
      </c>
      <c r="P74" s="2">
        <f t="shared" ca="1" si="44"/>
        <v>3636.2155428233323</v>
      </c>
      <c r="Q74" s="2">
        <f t="shared" ca="1" si="44"/>
        <v>3784.8610934036028</v>
      </c>
      <c r="R74" s="2">
        <f t="shared" ca="1" si="44"/>
        <v>3840.6880277979735</v>
      </c>
      <c r="S74" s="2">
        <f t="shared" ca="1" si="43"/>
        <v>3197.6816312383239</v>
      </c>
      <c r="T74" s="2">
        <f t="shared" ca="1" si="43"/>
        <v>3420.817516442301</v>
      </c>
      <c r="U74" s="2">
        <f t="shared" ca="1" si="43"/>
        <v>3528.5891063549461</v>
      </c>
      <c r="V74" s="2">
        <f t="shared" ca="1" si="43"/>
        <v>2754.9918645599014</v>
      </c>
      <c r="W74" s="2">
        <f t="shared" ca="1" si="43"/>
        <v>3309.663645657427</v>
      </c>
      <c r="X74" s="2">
        <f t="shared" ca="1" si="43"/>
        <v>3161.6209002773048</v>
      </c>
      <c r="Y74" s="2">
        <f t="shared" ca="1" si="43"/>
        <v>3168.2679887327386</v>
      </c>
      <c r="Z74" s="2">
        <f t="shared" ca="1" si="43"/>
        <v>3501.735248608039</v>
      </c>
      <c r="AA74" s="2">
        <f t="shared" ca="1" si="43"/>
        <v>3834.7283508351893</v>
      </c>
      <c r="AB74" s="2">
        <f t="shared" ca="1" si="43"/>
        <v>3152.1933062056187</v>
      </c>
      <c r="AC74" s="2">
        <f t="shared" ca="1" si="43"/>
        <v>2772.8524588816163</v>
      </c>
      <c r="AD74" s="2">
        <f t="shared" ca="1" si="43"/>
        <v>2825.5099903091045</v>
      </c>
      <c r="AE74" s="2">
        <f t="shared" ca="1" si="43"/>
        <v>3322.3735201854206</v>
      </c>
      <c r="AF74" s="2">
        <f t="shared" ca="1" si="43"/>
        <v>3841.5318822920999</v>
      </c>
      <c r="AG74" s="2">
        <f t="shared" ca="1" si="43"/>
        <v>3903.3218594142318</v>
      </c>
      <c r="AH74" s="2">
        <f t="shared" ca="1" si="40"/>
        <v>3689.9346881159399</v>
      </c>
    </row>
    <row r="75" spans="1:34">
      <c r="A75" t="str">
        <f t="shared" si="34"/>
        <v>Beef</v>
      </c>
      <c r="B75" t="str">
        <f t="shared" si="35"/>
        <v>Harari</v>
      </c>
      <c r="C75" s="2">
        <f t="shared" ca="1" si="44"/>
        <v>3524.6743937397482</v>
      </c>
      <c r="D75" s="2">
        <f t="shared" ca="1" si="44"/>
        <v>3918.0073961693033</v>
      </c>
      <c r="E75" s="2">
        <f t="shared" ca="1" si="44"/>
        <v>2850.7099004628194</v>
      </c>
      <c r="F75" s="2">
        <f t="shared" ca="1" si="44"/>
        <v>3391.5270055510941</v>
      </c>
      <c r="G75" s="2">
        <f t="shared" ca="1" si="44"/>
        <v>3577.1724450802408</v>
      </c>
      <c r="H75" s="2">
        <f t="shared" ca="1" si="44"/>
        <v>3708.0889498812803</v>
      </c>
      <c r="I75" s="2">
        <f t="shared" ca="1" si="44"/>
        <v>3811.9201326119414</v>
      </c>
      <c r="J75" s="2">
        <f t="shared" ca="1" si="44"/>
        <v>3286.7259766988286</v>
      </c>
      <c r="K75" s="2">
        <f t="shared" ca="1" si="44"/>
        <v>3068.0860550675475</v>
      </c>
      <c r="L75" s="2">
        <f t="shared" ca="1" si="44"/>
        <v>2688.0457459357272</v>
      </c>
      <c r="M75" s="2">
        <f t="shared" ca="1" si="44"/>
        <v>2946.3616056696492</v>
      </c>
      <c r="N75" s="2">
        <f t="shared" ca="1" si="44"/>
        <v>2658.7336252916275</v>
      </c>
      <c r="O75" s="2">
        <f t="shared" ca="1" si="44"/>
        <v>3361.8518114428052</v>
      </c>
      <c r="P75" s="2">
        <f t="shared" ca="1" si="44"/>
        <v>2907.2642447510816</v>
      </c>
      <c r="Q75" s="2">
        <f t="shared" ca="1" si="44"/>
        <v>3044.5973079918431</v>
      </c>
      <c r="R75" s="2">
        <f t="shared" ca="1" si="44"/>
        <v>3741.9602944841959</v>
      </c>
      <c r="S75" s="2">
        <f t="shared" ca="1" si="43"/>
        <v>3569.2517472415298</v>
      </c>
      <c r="T75" s="2">
        <f t="shared" ca="1" si="43"/>
        <v>3187.9814110886896</v>
      </c>
      <c r="U75" s="2">
        <f t="shared" ca="1" si="43"/>
        <v>3459.853016828959</v>
      </c>
      <c r="V75" s="2">
        <f t="shared" ca="1" si="43"/>
        <v>2989.2201348802914</v>
      </c>
      <c r="W75" s="2">
        <f t="shared" ca="1" si="43"/>
        <v>3705.5615831357568</v>
      </c>
      <c r="X75" s="2">
        <f t="shared" ca="1" si="43"/>
        <v>3957.99770923086</v>
      </c>
      <c r="Y75" s="2">
        <f t="shared" ca="1" si="43"/>
        <v>3657.3806170598814</v>
      </c>
      <c r="Z75" s="2">
        <f t="shared" ca="1" si="43"/>
        <v>3545.7312090798623</v>
      </c>
      <c r="AA75" s="2">
        <f t="shared" ca="1" si="43"/>
        <v>3357.9807871194548</v>
      </c>
      <c r="AB75" s="2">
        <f t="shared" ca="1" si="43"/>
        <v>3473.3835994271285</v>
      </c>
      <c r="AC75" s="2">
        <f t="shared" ca="1" si="43"/>
        <v>3839.1211326846715</v>
      </c>
      <c r="AD75" s="2">
        <f t="shared" ca="1" si="43"/>
        <v>3086.860712757446</v>
      </c>
      <c r="AE75" s="2">
        <f t="shared" ca="1" si="43"/>
        <v>2940.2927244377552</v>
      </c>
      <c r="AF75" s="2">
        <f t="shared" ca="1" si="43"/>
        <v>2989.9844989137314</v>
      </c>
      <c r="AG75" s="2">
        <f t="shared" ca="1" si="43"/>
        <v>3293.7450281972192</v>
      </c>
      <c r="AH75" s="2">
        <f t="shared" ca="1" si="40"/>
        <v>3445.9398535925125</v>
      </c>
    </row>
    <row r="76" spans="1:34">
      <c r="A76" t="str">
        <f t="shared" si="34"/>
        <v>Beef</v>
      </c>
      <c r="B76" t="str">
        <f t="shared" si="35"/>
        <v>Oromia</v>
      </c>
      <c r="C76" s="2">
        <f t="shared" ca="1" si="44"/>
        <v>3362.5985876715845</v>
      </c>
      <c r="D76" s="2">
        <f t="shared" ca="1" si="44"/>
        <v>3614.6528382730544</v>
      </c>
      <c r="E76" s="2">
        <f t="shared" ca="1" si="44"/>
        <v>3741.7086785148813</v>
      </c>
      <c r="F76" s="2">
        <f t="shared" ca="1" si="44"/>
        <v>3564.0935534659316</v>
      </c>
      <c r="G76" s="2">
        <f t="shared" ca="1" si="44"/>
        <v>2862.7031330275308</v>
      </c>
      <c r="H76" s="2">
        <f t="shared" ca="1" si="44"/>
        <v>2970.6162813244332</v>
      </c>
      <c r="I76" s="2">
        <f t="shared" ca="1" si="44"/>
        <v>3496.228507313273</v>
      </c>
      <c r="J76" s="2">
        <f t="shared" ca="1" si="44"/>
        <v>3857.5289960409282</v>
      </c>
      <c r="K76" s="2">
        <f t="shared" ca="1" si="44"/>
        <v>2748.8815748584861</v>
      </c>
      <c r="L76" s="2">
        <f t="shared" ca="1" si="44"/>
        <v>3456.7310694778339</v>
      </c>
      <c r="M76" s="2">
        <f t="shared" ca="1" si="44"/>
        <v>2749.4045393109432</v>
      </c>
      <c r="N76" s="2">
        <f t="shared" ca="1" si="44"/>
        <v>2675.4114880977368</v>
      </c>
      <c r="O76" s="2">
        <f t="shared" ca="1" si="44"/>
        <v>3174.0496528954841</v>
      </c>
      <c r="P76" s="2">
        <f t="shared" ca="1" si="44"/>
        <v>2644.6746507699859</v>
      </c>
      <c r="Q76" s="2">
        <f t="shared" ca="1" si="44"/>
        <v>3770.3693170982592</v>
      </c>
      <c r="R76" s="2">
        <f t="shared" ca="1" si="44"/>
        <v>3050.8920630906227</v>
      </c>
      <c r="S76" s="2">
        <f t="shared" ca="1" si="43"/>
        <v>3054.6658239949502</v>
      </c>
      <c r="T76" s="2">
        <f t="shared" ca="1" si="43"/>
        <v>3958.8579555532169</v>
      </c>
      <c r="U76" s="2">
        <f t="shared" ca="1" si="43"/>
        <v>3869.8537871403687</v>
      </c>
      <c r="V76" s="2">
        <f t="shared" ca="1" si="43"/>
        <v>3184.5430088600406</v>
      </c>
      <c r="W76" s="2">
        <f t="shared" ca="1" si="43"/>
        <v>3645.3556336630822</v>
      </c>
      <c r="X76" s="2">
        <f t="shared" ca="1" si="43"/>
        <v>3722.6529119097722</v>
      </c>
      <c r="Y76" s="2">
        <f t="shared" ca="1" si="43"/>
        <v>3112.6934850872149</v>
      </c>
      <c r="Z76" s="2">
        <f t="shared" ca="1" si="43"/>
        <v>3007.9306064334269</v>
      </c>
      <c r="AA76" s="2">
        <f t="shared" ca="1" si="43"/>
        <v>3274.971728118016</v>
      </c>
      <c r="AB76" s="2">
        <f t="shared" ca="1" si="43"/>
        <v>2744.1568750910087</v>
      </c>
      <c r="AC76" s="2">
        <f t="shared" ca="1" si="43"/>
        <v>3511.9682812012011</v>
      </c>
      <c r="AD76" s="2">
        <f t="shared" ca="1" si="43"/>
        <v>3353.9122522319108</v>
      </c>
      <c r="AE76" s="2">
        <f t="shared" ca="1" si="43"/>
        <v>2741.9856764276487</v>
      </c>
      <c r="AF76" s="2">
        <f t="shared" ca="1" si="43"/>
        <v>3592.6101111045305</v>
      </c>
      <c r="AG76" s="2">
        <f t="shared" ca="1" si="43"/>
        <v>2675.648038558536</v>
      </c>
      <c r="AH76" s="2">
        <f t="shared" ca="1" si="40"/>
        <v>3839.1971672659247</v>
      </c>
    </row>
    <row r="77" spans="1:34">
      <c r="A77" t="str">
        <f t="shared" si="34"/>
        <v>Beef</v>
      </c>
      <c r="B77" t="str">
        <f t="shared" si="35"/>
        <v>Somali</v>
      </c>
      <c r="C77" s="2">
        <f t="shared" ca="1" si="44"/>
        <v>3103.9155737389087</v>
      </c>
      <c r="D77" s="2">
        <f t="shared" ca="1" si="44"/>
        <v>3201.9738892256055</v>
      </c>
      <c r="E77" s="2">
        <f t="shared" ca="1" si="44"/>
        <v>3425.9979927195641</v>
      </c>
      <c r="F77" s="2">
        <f t="shared" ca="1" si="44"/>
        <v>3732.1488185221588</v>
      </c>
      <c r="G77" s="2">
        <f t="shared" ca="1" si="44"/>
        <v>2978.0619727417452</v>
      </c>
      <c r="H77" s="2">
        <f t="shared" ca="1" si="44"/>
        <v>2799.3950150549977</v>
      </c>
      <c r="I77" s="2">
        <f t="shared" ca="1" si="44"/>
        <v>3609.4091290538126</v>
      </c>
      <c r="J77" s="2">
        <f t="shared" ca="1" si="44"/>
        <v>3210.2690582039577</v>
      </c>
      <c r="K77" s="2">
        <f t="shared" ca="1" si="44"/>
        <v>2818.6293519094238</v>
      </c>
      <c r="L77" s="2">
        <f t="shared" ca="1" si="44"/>
        <v>3672.5431285641903</v>
      </c>
      <c r="M77" s="2">
        <f t="shared" ca="1" si="44"/>
        <v>3080.0447453438378</v>
      </c>
      <c r="N77" s="2">
        <f t="shared" ca="1" si="44"/>
        <v>3261.7058896750732</v>
      </c>
      <c r="O77" s="2">
        <f t="shared" ca="1" si="44"/>
        <v>3472.4140507465131</v>
      </c>
      <c r="P77" s="2">
        <f t="shared" ca="1" si="44"/>
        <v>3097.6354024020802</v>
      </c>
      <c r="Q77" s="2">
        <f t="shared" ca="1" si="44"/>
        <v>3685.4477519738748</v>
      </c>
      <c r="R77" s="2">
        <f t="shared" ca="1" si="44"/>
        <v>3488.6464444743483</v>
      </c>
      <c r="S77" s="2">
        <f t="shared" ca="1" si="43"/>
        <v>3889.6439149193579</v>
      </c>
      <c r="T77" s="2">
        <f t="shared" ca="1" si="43"/>
        <v>3626.4012177184877</v>
      </c>
      <c r="U77" s="2">
        <f t="shared" ca="1" si="43"/>
        <v>2895.9330638256001</v>
      </c>
      <c r="V77" s="2">
        <f t="shared" ca="1" si="43"/>
        <v>3156.7837568360796</v>
      </c>
      <c r="W77" s="2">
        <f t="shared" ca="1" si="43"/>
        <v>2665.2447857163065</v>
      </c>
      <c r="X77" s="2">
        <f t="shared" ca="1" si="43"/>
        <v>3500.6212052171522</v>
      </c>
      <c r="Y77" s="2">
        <f t="shared" ca="1" si="43"/>
        <v>2694.1760576393726</v>
      </c>
      <c r="Z77" s="2">
        <f t="shared" ca="1" si="43"/>
        <v>3344.9572963937121</v>
      </c>
      <c r="AA77" s="2">
        <f t="shared" ca="1" si="43"/>
        <v>2642.1613702854684</v>
      </c>
      <c r="AB77" s="2">
        <f t="shared" ca="1" si="43"/>
        <v>2908.4655199675913</v>
      </c>
      <c r="AC77" s="2">
        <f t="shared" ca="1" si="43"/>
        <v>2997.6077043549271</v>
      </c>
      <c r="AD77" s="2">
        <f t="shared" ca="1" si="43"/>
        <v>3947.8738393242893</v>
      </c>
      <c r="AE77" s="2">
        <f t="shared" ca="1" si="43"/>
        <v>3878.0765408103216</v>
      </c>
      <c r="AF77" s="2">
        <f t="shared" ca="1" si="43"/>
        <v>3183.285262778224</v>
      </c>
      <c r="AG77" s="2">
        <f t="shared" ca="1" si="43"/>
        <v>2970.0925497553453</v>
      </c>
      <c r="AH77" s="2">
        <f t="shared" ca="1" si="40"/>
        <v>3775.3914115241651</v>
      </c>
    </row>
    <row r="78" spans="1:34">
      <c r="A78" t="str">
        <f t="shared" ref="A78:A90" si="45">INDEX(Food,MATCH(A67,Food,0)+1)</f>
        <v>Beef</v>
      </c>
      <c r="B78" t="str">
        <f t="shared" si="35"/>
        <v>SNNPR</v>
      </c>
      <c r="C78" s="2">
        <f t="shared" ca="1" si="44"/>
        <v>2957.3027032703199</v>
      </c>
      <c r="D78" s="2">
        <f t="shared" ca="1" si="44"/>
        <v>2961.722278397438</v>
      </c>
      <c r="E78" s="2">
        <f t="shared" ca="1" si="44"/>
        <v>3285.6461864319881</v>
      </c>
      <c r="F78" s="2">
        <f t="shared" ca="1" si="44"/>
        <v>2759.433379523633</v>
      </c>
      <c r="G78" s="2">
        <f t="shared" ca="1" si="44"/>
        <v>3566.4044824559469</v>
      </c>
      <c r="H78" s="2">
        <f t="shared" ca="1" si="44"/>
        <v>2723.795319200708</v>
      </c>
      <c r="I78" s="2">
        <f t="shared" ca="1" si="44"/>
        <v>2976.1597857023621</v>
      </c>
      <c r="J78" s="2">
        <f t="shared" ca="1" si="44"/>
        <v>3466.0939688028457</v>
      </c>
      <c r="K78" s="2">
        <f t="shared" ca="1" si="44"/>
        <v>3353.9621262695173</v>
      </c>
      <c r="L78" s="2">
        <f t="shared" ca="1" si="44"/>
        <v>2850.1039332543173</v>
      </c>
      <c r="M78" s="2">
        <f t="shared" ca="1" si="44"/>
        <v>3115.7288055403619</v>
      </c>
      <c r="N78" s="2">
        <f t="shared" ca="1" si="44"/>
        <v>3560.3361861694925</v>
      </c>
      <c r="O78" s="2">
        <f t="shared" ca="1" si="44"/>
        <v>3542.2045358303376</v>
      </c>
      <c r="P78" s="2">
        <f t="shared" ca="1" si="44"/>
        <v>3903.7797350231795</v>
      </c>
      <c r="Q78" s="2">
        <f t="shared" ca="1" si="44"/>
        <v>2750.265069321174</v>
      </c>
      <c r="R78" s="2">
        <f t="shared" ca="1" si="44"/>
        <v>3166.6801762325913</v>
      </c>
      <c r="S78" s="2">
        <f t="shared" ca="1" si="43"/>
        <v>2836.8334575131948</v>
      </c>
      <c r="T78" s="2">
        <f t="shared" ca="1" si="43"/>
        <v>3658.1730949359094</v>
      </c>
      <c r="U78" s="2">
        <f t="shared" ca="1" si="43"/>
        <v>3830.9880939981663</v>
      </c>
      <c r="V78" s="2">
        <f t="shared" ca="1" si="43"/>
        <v>2963.7861906015291</v>
      </c>
      <c r="W78" s="2">
        <f t="shared" ca="1" si="43"/>
        <v>3592.495710520278</v>
      </c>
      <c r="X78" s="2">
        <f t="shared" ca="1" si="43"/>
        <v>3356.1351835306336</v>
      </c>
      <c r="Y78" s="2">
        <f t="shared" ca="1" si="43"/>
        <v>3640.7418066296455</v>
      </c>
      <c r="Z78" s="2">
        <f t="shared" ca="1" si="43"/>
        <v>2800.6016854149616</v>
      </c>
      <c r="AA78" s="2">
        <f t="shared" ca="1" si="43"/>
        <v>3371.5608076998437</v>
      </c>
      <c r="AB78" s="2">
        <f t="shared" ca="1" si="43"/>
        <v>3317.7622402266047</v>
      </c>
      <c r="AC78" s="2">
        <f t="shared" ca="1" si="43"/>
        <v>2778.7303577725506</v>
      </c>
      <c r="AD78" s="2">
        <f t="shared" ca="1" si="43"/>
        <v>3133.6396568404257</v>
      </c>
      <c r="AE78" s="2">
        <f t="shared" ca="1" si="43"/>
        <v>3512.2607591534493</v>
      </c>
      <c r="AF78" s="2">
        <f t="shared" ca="1" si="43"/>
        <v>2925.3408641399724</v>
      </c>
      <c r="AG78" s="2">
        <f t="shared" ca="1" si="43"/>
        <v>3619.8164684312605</v>
      </c>
      <c r="AH78" s="2">
        <f t="shared" ca="1" si="40"/>
        <v>2661.3915832671441</v>
      </c>
    </row>
    <row r="79" spans="1:34">
      <c r="A79" t="str">
        <f t="shared" si="45"/>
        <v>Beef</v>
      </c>
      <c r="B79" t="str">
        <f t="shared" ref="B79:B90" si="46">B68</f>
        <v>Tigray</v>
      </c>
      <c r="C79" s="2">
        <f t="shared" ca="1" si="44"/>
        <v>2962.4678516976555</v>
      </c>
      <c r="D79" s="2">
        <f t="shared" ca="1" si="44"/>
        <v>3832.8694552642141</v>
      </c>
      <c r="E79" s="2">
        <f t="shared" ca="1" si="44"/>
        <v>2688.1964906614016</v>
      </c>
      <c r="F79" s="2">
        <f t="shared" ca="1" si="44"/>
        <v>3704.7233591606077</v>
      </c>
      <c r="G79" s="2">
        <f t="shared" ca="1" si="44"/>
        <v>2958.9608453631108</v>
      </c>
      <c r="H79" s="2">
        <f t="shared" ca="1" si="44"/>
        <v>3432.4978061535608</v>
      </c>
      <c r="I79" s="2">
        <f t="shared" ca="1" si="44"/>
        <v>2756.1911006018695</v>
      </c>
      <c r="J79" s="2">
        <f t="shared" ca="1" si="44"/>
        <v>3273.9999809154447</v>
      </c>
      <c r="K79" s="2">
        <f t="shared" ca="1" si="44"/>
        <v>3708.9157147724895</v>
      </c>
      <c r="L79" s="2">
        <f t="shared" ca="1" si="44"/>
        <v>3286.8348059912769</v>
      </c>
      <c r="M79" s="2">
        <f t="shared" ca="1" si="44"/>
        <v>3034.2855785101056</v>
      </c>
      <c r="N79" s="2">
        <f t="shared" ca="1" si="44"/>
        <v>3676.9434161595523</v>
      </c>
      <c r="O79" s="2">
        <f t="shared" ca="1" si="44"/>
        <v>3328.4346642484716</v>
      </c>
      <c r="P79" s="2">
        <f t="shared" ca="1" si="44"/>
        <v>3499.1552208380772</v>
      </c>
      <c r="Q79" s="2">
        <f t="shared" ca="1" si="44"/>
        <v>3380.8342019469001</v>
      </c>
      <c r="R79" s="2">
        <f t="shared" ca="1" si="44"/>
        <v>3777.9134306164997</v>
      </c>
      <c r="S79" s="2">
        <f t="shared" ca="1" si="43"/>
        <v>2773.075096837722</v>
      </c>
      <c r="T79" s="2">
        <f t="shared" ca="1" si="43"/>
        <v>3521.7926666310741</v>
      </c>
      <c r="U79" s="2">
        <f t="shared" ca="1" si="43"/>
        <v>3215.8370571769087</v>
      </c>
      <c r="V79" s="2">
        <f t="shared" ca="1" si="43"/>
        <v>3003.3170153789447</v>
      </c>
      <c r="W79" s="2">
        <f t="shared" ca="1" si="43"/>
        <v>3032.5971880173402</v>
      </c>
      <c r="X79" s="2">
        <f t="shared" ca="1" si="43"/>
        <v>3388.099089710372</v>
      </c>
      <c r="Y79" s="2">
        <f t="shared" ca="1" si="43"/>
        <v>3314.5246581052402</v>
      </c>
      <c r="Z79" s="2">
        <f t="shared" ca="1" si="43"/>
        <v>2839.179119366649</v>
      </c>
      <c r="AA79" s="2">
        <f t="shared" ca="1" si="43"/>
        <v>2660.8038778689333</v>
      </c>
      <c r="AB79" s="2">
        <f t="shared" ca="1" si="43"/>
        <v>3505.7849499134309</v>
      </c>
      <c r="AC79" s="2">
        <f t="shared" ca="1" si="43"/>
        <v>2857.5243318447233</v>
      </c>
      <c r="AD79" s="2">
        <f t="shared" ca="1" si="43"/>
        <v>3155.2748484346926</v>
      </c>
      <c r="AE79" s="2">
        <f t="shared" ca="1" si="43"/>
        <v>3243.5002620817327</v>
      </c>
      <c r="AF79" s="2">
        <f t="shared" ca="1" si="43"/>
        <v>3440.1364074813287</v>
      </c>
      <c r="AG79" s="2">
        <f t="shared" ca="1" si="43"/>
        <v>2991.66816425762</v>
      </c>
      <c r="AH79" s="2">
        <f t="shared" ca="1" si="40"/>
        <v>3006.2165030364245</v>
      </c>
    </row>
    <row r="80" spans="1:34">
      <c r="A80" t="str">
        <f t="shared" si="45"/>
        <v>Milk</v>
      </c>
      <c r="B80" t="str">
        <f t="shared" si="46"/>
        <v>AddisAbaba</v>
      </c>
      <c r="C80" s="2">
        <f t="shared" ca="1" si="44"/>
        <v>3866.5463674812518</v>
      </c>
      <c r="D80" s="2">
        <f t="shared" ca="1" si="44"/>
        <v>3397.5484655910391</v>
      </c>
      <c r="E80" s="2">
        <f t="shared" ca="1" si="44"/>
        <v>3671.9721220585129</v>
      </c>
      <c r="F80" s="2">
        <f t="shared" ca="1" si="44"/>
        <v>3471.5064495651327</v>
      </c>
      <c r="G80" s="2">
        <f t="shared" ca="1" si="44"/>
        <v>2952.6477060884336</v>
      </c>
      <c r="H80" s="2">
        <f t="shared" ca="1" si="44"/>
        <v>3390.3701625657723</v>
      </c>
      <c r="I80" s="2">
        <f t="shared" ca="1" si="44"/>
        <v>3255.1292493275341</v>
      </c>
      <c r="J80" s="2">
        <f t="shared" ca="1" si="44"/>
        <v>2846.4195352999427</v>
      </c>
      <c r="K80" s="2">
        <f t="shared" ca="1" si="44"/>
        <v>3671.3081009225489</v>
      </c>
      <c r="L80" s="2">
        <f t="shared" ca="1" si="44"/>
        <v>2971.3861039396261</v>
      </c>
      <c r="M80" s="2">
        <f t="shared" ca="1" si="44"/>
        <v>3651.9768128151768</v>
      </c>
      <c r="N80" s="2">
        <f t="shared" ca="1" si="44"/>
        <v>2980.3826165094424</v>
      </c>
      <c r="O80" s="2">
        <f t="shared" ca="1" si="44"/>
        <v>2770.1676319438388</v>
      </c>
      <c r="P80" s="2">
        <f t="shared" ca="1" si="44"/>
        <v>2982.1702424758473</v>
      </c>
      <c r="Q80" s="2">
        <f t="shared" ca="1" si="44"/>
        <v>3262.0247879215867</v>
      </c>
      <c r="R80" s="2">
        <f t="shared" ca="1" si="44"/>
        <v>2948.8905621976778</v>
      </c>
      <c r="S80" s="2">
        <f t="shared" ca="1" si="43"/>
        <v>3466.9971420546599</v>
      </c>
      <c r="T80" s="2">
        <f t="shared" ca="1" si="43"/>
        <v>3559.5429903138688</v>
      </c>
      <c r="U80" s="2">
        <f t="shared" ca="1" si="43"/>
        <v>3581.4115183002582</v>
      </c>
      <c r="V80" s="2">
        <f t="shared" ca="1" si="43"/>
        <v>3955.739904629912</v>
      </c>
      <c r="W80" s="2">
        <f t="shared" ca="1" si="43"/>
        <v>3421.3420673853075</v>
      </c>
      <c r="X80" s="2">
        <f t="shared" ca="1" si="43"/>
        <v>2671.1524794307288</v>
      </c>
      <c r="Y80" s="2">
        <f t="shared" ca="1" si="43"/>
        <v>3367.248034388173</v>
      </c>
      <c r="Z80" s="2">
        <f t="shared" ca="1" si="43"/>
        <v>2844.9224544160229</v>
      </c>
      <c r="AA80" s="2">
        <f t="shared" ca="1" si="43"/>
        <v>3087.5768746046838</v>
      </c>
      <c r="AB80" s="2">
        <f t="shared" ca="1" si="43"/>
        <v>3326.6260357088699</v>
      </c>
      <c r="AC80" s="2">
        <f t="shared" ca="1" si="43"/>
        <v>3036.8015502887997</v>
      </c>
      <c r="AD80" s="2">
        <f t="shared" ca="1" si="43"/>
        <v>3629.0523616339851</v>
      </c>
      <c r="AE80" s="2">
        <f t="shared" ca="1" si="43"/>
        <v>3392.3503161248004</v>
      </c>
      <c r="AF80" s="2">
        <f t="shared" ca="1" si="43"/>
        <v>3891.6134746711145</v>
      </c>
      <c r="AG80" s="2">
        <f t="shared" ca="1" si="43"/>
        <v>3729.48380079256</v>
      </c>
      <c r="AH80" s="2">
        <f t="shared" ca="1" si="40"/>
        <v>3353.819639963086</v>
      </c>
    </row>
    <row r="81" spans="1:34">
      <c r="A81" t="str">
        <f t="shared" si="45"/>
        <v>Milk</v>
      </c>
      <c r="B81" t="str">
        <f t="shared" si="46"/>
        <v>Afar</v>
      </c>
      <c r="C81" s="2">
        <f t="shared" ca="1" si="44"/>
        <v>3013.3905126092313</v>
      </c>
      <c r="D81" s="2">
        <f t="shared" ca="1" si="44"/>
        <v>2897.0667065013777</v>
      </c>
      <c r="E81" s="2">
        <f t="shared" ca="1" si="44"/>
        <v>3498.2750916574391</v>
      </c>
      <c r="F81" s="2">
        <f t="shared" ca="1" si="44"/>
        <v>3826.7534870929248</v>
      </c>
      <c r="G81" s="2">
        <f t="shared" ca="1" si="44"/>
        <v>3524.742631745577</v>
      </c>
      <c r="H81" s="2">
        <f t="shared" ca="1" si="44"/>
        <v>3781.0522675143129</v>
      </c>
      <c r="I81" s="2">
        <f t="shared" ca="1" si="44"/>
        <v>2982.0386563349143</v>
      </c>
      <c r="J81" s="2">
        <f t="shared" ca="1" si="44"/>
        <v>3638.50951039755</v>
      </c>
      <c r="K81" s="2">
        <f t="shared" ca="1" si="44"/>
        <v>3416.7549438557644</v>
      </c>
      <c r="L81" s="2">
        <f t="shared" ca="1" si="44"/>
        <v>3815.3247195922249</v>
      </c>
      <c r="M81" s="2">
        <f t="shared" ca="1" si="44"/>
        <v>2874.1714657665252</v>
      </c>
      <c r="N81" s="2">
        <f t="shared" ca="1" si="44"/>
        <v>3511.3673823673312</v>
      </c>
      <c r="O81" s="2">
        <f t="shared" ca="1" si="44"/>
        <v>2899.0457469794869</v>
      </c>
      <c r="P81" s="2">
        <f t="shared" ca="1" si="44"/>
        <v>3752.411031022315</v>
      </c>
      <c r="Q81" s="2">
        <f t="shared" ca="1" si="44"/>
        <v>3268.8263946895381</v>
      </c>
      <c r="R81" s="2">
        <f t="shared" ca="1" si="44"/>
        <v>2978.3708096086079</v>
      </c>
      <c r="S81" s="2">
        <f t="shared" ca="1" si="43"/>
        <v>3073.1291597891932</v>
      </c>
      <c r="T81" s="2">
        <f t="shared" ca="1" si="43"/>
        <v>2667.9440128657325</v>
      </c>
      <c r="U81" s="2">
        <f t="shared" ca="1" si="43"/>
        <v>3078.1750748717459</v>
      </c>
      <c r="V81" s="2">
        <f t="shared" ca="1" si="43"/>
        <v>3007.2819176894641</v>
      </c>
      <c r="W81" s="2">
        <f t="shared" ca="1" si="43"/>
        <v>2964.5355530621277</v>
      </c>
      <c r="X81" s="2">
        <f t="shared" ca="1" si="43"/>
        <v>2696.1032411139772</v>
      </c>
      <c r="Y81" s="2">
        <f t="shared" ca="1" si="43"/>
        <v>3376.1747893397505</v>
      </c>
      <c r="Z81" s="2">
        <f t="shared" ca="1" si="43"/>
        <v>3517.8236429574131</v>
      </c>
      <c r="AA81" s="2">
        <f t="shared" ca="1" si="43"/>
        <v>2911.6212900579512</v>
      </c>
      <c r="AB81" s="2">
        <f t="shared" ca="1" si="43"/>
        <v>3001.4320245541826</v>
      </c>
      <c r="AC81" s="2">
        <f t="shared" ca="1" si="43"/>
        <v>2735.3720259082788</v>
      </c>
      <c r="AD81" s="2">
        <f t="shared" ca="1" si="43"/>
        <v>3937.6091025174037</v>
      </c>
      <c r="AE81" s="2">
        <f t="shared" ca="1" si="43"/>
        <v>3622.0695523148493</v>
      </c>
      <c r="AF81" s="2">
        <f t="shared" ca="1" si="43"/>
        <v>3323.8590189373358</v>
      </c>
      <c r="AG81" s="2">
        <f t="shared" ca="1" si="43"/>
        <v>3732.5646587227425</v>
      </c>
      <c r="AH81" s="2">
        <f t="shared" ca="1" si="40"/>
        <v>3448.9131551239657</v>
      </c>
    </row>
    <row r="82" spans="1:34">
      <c r="A82" t="str">
        <f t="shared" si="45"/>
        <v>Milk</v>
      </c>
      <c r="B82" t="str">
        <f t="shared" si="46"/>
        <v>Amhara</v>
      </c>
      <c r="C82" s="2">
        <f t="shared" ca="1" si="44"/>
        <v>2643.1325447860395</v>
      </c>
      <c r="D82" s="2">
        <f t="shared" ca="1" si="44"/>
        <v>3754.5860259308633</v>
      </c>
      <c r="E82" s="2">
        <f t="shared" ca="1" si="44"/>
        <v>3652.6646571581964</v>
      </c>
      <c r="F82" s="2">
        <f t="shared" ca="1" si="44"/>
        <v>3718.9150945071547</v>
      </c>
      <c r="G82" s="2">
        <f t="shared" ca="1" si="44"/>
        <v>3788.2979879457371</v>
      </c>
      <c r="H82" s="2">
        <f t="shared" ca="1" si="44"/>
        <v>3707.3949329355619</v>
      </c>
      <c r="I82" s="2">
        <f t="shared" ca="1" si="44"/>
        <v>2875.5501998405825</v>
      </c>
      <c r="J82" s="2">
        <f t="shared" ca="1" si="44"/>
        <v>3641.6897468430975</v>
      </c>
      <c r="K82" s="2">
        <f t="shared" ca="1" si="44"/>
        <v>3216.2290084295696</v>
      </c>
      <c r="L82" s="2">
        <f t="shared" ca="1" si="44"/>
        <v>3443.1177048696668</v>
      </c>
      <c r="M82" s="2">
        <f t="shared" ca="1" si="44"/>
        <v>3536.3180513076031</v>
      </c>
      <c r="N82" s="2">
        <f t="shared" ca="1" si="44"/>
        <v>2805.2703246625711</v>
      </c>
      <c r="O82" s="2">
        <f t="shared" ca="1" si="44"/>
        <v>3921.2176516374971</v>
      </c>
      <c r="P82" s="2">
        <f t="shared" ca="1" si="44"/>
        <v>3547.2945029655425</v>
      </c>
      <c r="Q82" s="2">
        <f t="shared" ca="1" si="44"/>
        <v>3877.9014153906414</v>
      </c>
      <c r="R82" s="2">
        <f t="shared" ca="1" si="44"/>
        <v>3566.2919396982375</v>
      </c>
      <c r="S82" s="2">
        <f t="shared" ca="1" si="43"/>
        <v>2782.8842765626332</v>
      </c>
      <c r="T82" s="2">
        <f t="shared" ca="1" si="43"/>
        <v>3235.424547961235</v>
      </c>
      <c r="U82" s="2">
        <f t="shared" ca="1" si="43"/>
        <v>3300.2380421181706</v>
      </c>
      <c r="V82" s="2">
        <f t="shared" ca="1" si="43"/>
        <v>2946.7648492673306</v>
      </c>
      <c r="W82" s="2">
        <f t="shared" ca="1" si="43"/>
        <v>3119.8999324137953</v>
      </c>
      <c r="X82" s="2">
        <f t="shared" ca="1" si="43"/>
        <v>2917.8317780000739</v>
      </c>
      <c r="Y82" s="2">
        <f t="shared" ca="1" si="43"/>
        <v>3246.8951352082117</v>
      </c>
      <c r="Z82" s="2">
        <f t="shared" ca="1" si="43"/>
        <v>3410.7340880431516</v>
      </c>
      <c r="AA82" s="2">
        <f t="shared" ca="1" si="43"/>
        <v>2721.2482856682027</v>
      </c>
      <c r="AB82" s="2">
        <f t="shared" ca="1" si="43"/>
        <v>3475.6716808235892</v>
      </c>
      <c r="AC82" s="2">
        <f t="shared" ca="1" si="43"/>
        <v>3495.9794746965431</v>
      </c>
      <c r="AD82" s="2">
        <f t="shared" ca="1" si="43"/>
        <v>2760.781551749255</v>
      </c>
      <c r="AE82" s="2">
        <f t="shared" ca="1" si="43"/>
        <v>3707.4646438471173</v>
      </c>
      <c r="AF82" s="2">
        <f t="shared" ca="1" si="43"/>
        <v>2844.6770829457801</v>
      </c>
      <c r="AG82" s="2">
        <f t="shared" ca="1" si="43"/>
        <v>2887.6593004585079</v>
      </c>
      <c r="AH82" s="2">
        <f t="shared" ca="1" si="40"/>
        <v>3060.5217744216361</v>
      </c>
    </row>
    <row r="83" spans="1:34">
      <c r="A83" t="str">
        <f t="shared" si="45"/>
        <v>Milk</v>
      </c>
      <c r="B83" t="str">
        <f t="shared" si="46"/>
        <v>Gumuz</v>
      </c>
      <c r="C83" s="2">
        <f t="shared" ca="1" si="44"/>
        <v>3235.378768734518</v>
      </c>
      <c r="D83" s="2">
        <f t="shared" ca="1" si="44"/>
        <v>3876.3791215590304</v>
      </c>
      <c r="E83" s="2">
        <f t="shared" ca="1" si="44"/>
        <v>3428.3882459894025</v>
      </c>
      <c r="F83" s="2">
        <f t="shared" ca="1" si="44"/>
        <v>3911.7393789378384</v>
      </c>
      <c r="G83" s="2">
        <f t="shared" ca="1" si="44"/>
        <v>2697.9496265988305</v>
      </c>
      <c r="H83" s="2">
        <f t="shared" ca="1" si="44"/>
        <v>3089.0719719110571</v>
      </c>
      <c r="I83" s="2">
        <f t="shared" ca="1" si="44"/>
        <v>2887.0974653393855</v>
      </c>
      <c r="J83" s="2">
        <f t="shared" ca="1" si="44"/>
        <v>3766.9676946309719</v>
      </c>
      <c r="K83" s="2">
        <f t="shared" ca="1" si="44"/>
        <v>3527.8189940082798</v>
      </c>
      <c r="L83" s="2">
        <f t="shared" ca="1" si="44"/>
        <v>3546.3037656873917</v>
      </c>
      <c r="M83" s="2">
        <f t="shared" ca="1" si="44"/>
        <v>3866.3909447702517</v>
      </c>
      <c r="N83" s="2">
        <f t="shared" ca="1" si="44"/>
        <v>2772.251500502507</v>
      </c>
      <c r="O83" s="2">
        <f t="shared" ca="1" si="44"/>
        <v>3365.5140369368223</v>
      </c>
      <c r="P83" s="2">
        <f t="shared" ca="1" si="44"/>
        <v>3809.8641271650804</v>
      </c>
      <c r="Q83" s="2">
        <f t="shared" ca="1" si="44"/>
        <v>3900.6405602292152</v>
      </c>
      <c r="R83" s="2">
        <f t="shared" ca="1" si="44"/>
        <v>3126.2520981862103</v>
      </c>
      <c r="S83" s="2">
        <f t="shared" ca="1" si="43"/>
        <v>2805.4697837686072</v>
      </c>
      <c r="T83" s="2">
        <f t="shared" ca="1" si="43"/>
        <v>2771.6504869903988</v>
      </c>
      <c r="U83" s="2">
        <f t="shared" ca="1" si="43"/>
        <v>2704.4689532385105</v>
      </c>
      <c r="V83" s="2">
        <f t="shared" ca="1" si="43"/>
        <v>3275.144752871272</v>
      </c>
      <c r="W83" s="2">
        <f t="shared" ca="1" si="43"/>
        <v>2841.4754793456591</v>
      </c>
      <c r="X83" s="2">
        <f t="shared" ca="1" si="43"/>
        <v>2796.1586280490997</v>
      </c>
      <c r="Y83" s="2">
        <f t="shared" ca="1" si="43"/>
        <v>3155.6605615947606</v>
      </c>
      <c r="Z83" s="2">
        <f t="shared" ca="1" si="43"/>
        <v>3673.6155143953088</v>
      </c>
      <c r="AA83" s="2">
        <f t="shared" ca="1" si="43"/>
        <v>3792.0416996765407</v>
      </c>
      <c r="AB83" s="2">
        <f t="shared" ca="1" si="43"/>
        <v>3538.4688877507201</v>
      </c>
      <c r="AC83" s="2">
        <f t="shared" ca="1" si="43"/>
        <v>3632.7762597024507</v>
      </c>
      <c r="AD83" s="2">
        <f t="shared" ca="1" si="43"/>
        <v>3524.1171337673591</v>
      </c>
      <c r="AE83" s="2">
        <f t="shared" ca="1" si="43"/>
        <v>2651.0631216029092</v>
      </c>
      <c r="AF83" s="2">
        <f t="shared" ca="1" si="43"/>
        <v>3812.3917749873149</v>
      </c>
      <c r="AG83" s="2">
        <f t="shared" ca="1" si="43"/>
        <v>2749.8572425650277</v>
      </c>
      <c r="AH83" s="2">
        <f t="shared" ca="1" si="40"/>
        <v>3934.1302597486147</v>
      </c>
    </row>
    <row r="84" spans="1:34">
      <c r="A84" t="str">
        <f t="shared" si="45"/>
        <v>Milk</v>
      </c>
      <c r="B84" t="str">
        <f t="shared" si="46"/>
        <v>DireDawa</v>
      </c>
      <c r="C84" s="2">
        <f t="shared" ca="1" si="44"/>
        <v>3427.6654857473795</v>
      </c>
      <c r="D84" s="2">
        <f t="shared" ca="1" si="44"/>
        <v>3573.9607645561023</v>
      </c>
      <c r="E84" s="2">
        <f t="shared" ca="1" si="44"/>
        <v>3705.687814975221</v>
      </c>
      <c r="F84" s="2">
        <f t="shared" ca="1" si="44"/>
        <v>2904.0678789426352</v>
      </c>
      <c r="G84" s="2">
        <f t="shared" ca="1" si="44"/>
        <v>3260.9940284041459</v>
      </c>
      <c r="H84" s="2">
        <f t="shared" ca="1" si="44"/>
        <v>3112.4242482735331</v>
      </c>
      <c r="I84" s="2">
        <f t="shared" ca="1" si="44"/>
        <v>3347.0757391291831</v>
      </c>
      <c r="J84" s="2">
        <f t="shared" ca="1" si="44"/>
        <v>3296.5065833715989</v>
      </c>
      <c r="K84" s="2">
        <f t="shared" ca="1" si="44"/>
        <v>3475.5726470147661</v>
      </c>
      <c r="L84" s="2">
        <f t="shared" ca="1" si="44"/>
        <v>3575.9865463682404</v>
      </c>
      <c r="M84" s="2">
        <f t="shared" ca="1" si="44"/>
        <v>3160.5269983789149</v>
      </c>
      <c r="N84" s="2">
        <f t="shared" ca="1" si="44"/>
        <v>3023.2177209855331</v>
      </c>
      <c r="O84" s="2">
        <f t="shared" ca="1" si="44"/>
        <v>2680.0298778216816</v>
      </c>
      <c r="P84" s="2">
        <f t="shared" ca="1" si="44"/>
        <v>3721.4974076439325</v>
      </c>
      <c r="Q84" s="2">
        <f t="shared" ca="1" si="44"/>
        <v>3847.409923020447</v>
      </c>
      <c r="R84" s="2">
        <f t="shared" ref="R84:AG90" ca="1" si="47">((RAND()*1+2)*110)*10*1.2</f>
        <v>2691.4749953962332</v>
      </c>
      <c r="S84" s="2">
        <f t="shared" ca="1" si="47"/>
        <v>3142.8430651795252</v>
      </c>
      <c r="T84" s="2">
        <f t="shared" ca="1" si="47"/>
        <v>3303.9433796551684</v>
      </c>
      <c r="U84" s="2">
        <f t="shared" ca="1" si="47"/>
        <v>3827.6875858659387</v>
      </c>
      <c r="V84" s="2">
        <f t="shared" ca="1" si="47"/>
        <v>3357.7052720997758</v>
      </c>
      <c r="W84" s="2">
        <f t="shared" ca="1" si="47"/>
        <v>3438.6247349437731</v>
      </c>
      <c r="X84" s="2">
        <f t="shared" ca="1" si="47"/>
        <v>3260.8436861583236</v>
      </c>
      <c r="Y84" s="2">
        <f t="shared" ca="1" si="47"/>
        <v>3040.695264824582</v>
      </c>
      <c r="Z84" s="2">
        <f t="shared" ca="1" si="47"/>
        <v>2719.4472569958457</v>
      </c>
      <c r="AA84" s="2">
        <f t="shared" ca="1" si="47"/>
        <v>3219.0661173650701</v>
      </c>
      <c r="AB84" s="2">
        <f t="shared" ca="1" si="47"/>
        <v>3356.7299603862984</v>
      </c>
      <c r="AC84" s="2">
        <f t="shared" ca="1" si="47"/>
        <v>3415.436981616408</v>
      </c>
      <c r="AD84" s="2">
        <f t="shared" ca="1" si="47"/>
        <v>3667.1412509061497</v>
      </c>
      <c r="AE84" s="2">
        <f t="shared" ca="1" si="47"/>
        <v>2920.7659466286809</v>
      </c>
      <c r="AF84" s="2">
        <f t="shared" ca="1" si="47"/>
        <v>3520.4192579493101</v>
      </c>
      <c r="AG84" s="2">
        <f t="shared" ca="1" si="47"/>
        <v>3489.7929719376684</v>
      </c>
      <c r="AH84" s="2">
        <f t="shared" ca="1" si="40"/>
        <v>3611.2657671741467</v>
      </c>
    </row>
    <row r="85" spans="1:34">
      <c r="A85" t="str">
        <f t="shared" si="45"/>
        <v>Milk</v>
      </c>
      <c r="B85" t="str">
        <f t="shared" si="46"/>
        <v>Gambela</v>
      </c>
      <c r="C85" s="2">
        <f t="shared" ref="C85:R90" ca="1" si="48">((RAND()*1+2)*110)*10*1.2</f>
        <v>3341.4905587875505</v>
      </c>
      <c r="D85" s="2">
        <f t="shared" ca="1" si="48"/>
        <v>3109.0284333003251</v>
      </c>
      <c r="E85" s="2">
        <f t="shared" ca="1" si="48"/>
        <v>2847.4059975022128</v>
      </c>
      <c r="F85" s="2">
        <f t="shared" ca="1" si="48"/>
        <v>2877.1376036263046</v>
      </c>
      <c r="G85" s="2">
        <f t="shared" ca="1" si="48"/>
        <v>2730.0992744373193</v>
      </c>
      <c r="H85" s="2">
        <f t="shared" ca="1" si="48"/>
        <v>3250.550568283435</v>
      </c>
      <c r="I85" s="2">
        <f t="shared" ca="1" si="48"/>
        <v>3812.727305605772</v>
      </c>
      <c r="J85" s="2">
        <f t="shared" ca="1" si="48"/>
        <v>3615.1472962155699</v>
      </c>
      <c r="K85" s="2">
        <f t="shared" ca="1" si="48"/>
        <v>3316.3542825211184</v>
      </c>
      <c r="L85" s="2">
        <f t="shared" ca="1" si="48"/>
        <v>3169.7225563606712</v>
      </c>
      <c r="M85" s="2">
        <f t="shared" ca="1" si="48"/>
        <v>3543.0201954678664</v>
      </c>
      <c r="N85" s="2">
        <f t="shared" ca="1" si="48"/>
        <v>2892.9969247282456</v>
      </c>
      <c r="O85" s="2">
        <f t="shared" ca="1" si="48"/>
        <v>3130.1032618394474</v>
      </c>
      <c r="P85" s="2">
        <f t="shared" ca="1" si="48"/>
        <v>3293.1721289984671</v>
      </c>
      <c r="Q85" s="2">
        <f t="shared" ca="1" si="48"/>
        <v>2854.1897414284513</v>
      </c>
      <c r="R85" s="2">
        <f t="shared" ca="1" si="48"/>
        <v>2736.6204948514892</v>
      </c>
      <c r="S85" s="2">
        <f t="shared" ca="1" si="47"/>
        <v>3199.4913470128477</v>
      </c>
      <c r="T85" s="2">
        <f t="shared" ca="1" si="47"/>
        <v>3120.6869741903638</v>
      </c>
      <c r="U85" s="2">
        <f t="shared" ca="1" si="47"/>
        <v>3711.069776743725</v>
      </c>
      <c r="V85" s="2">
        <f t="shared" ca="1" si="47"/>
        <v>3234.242286258389</v>
      </c>
      <c r="W85" s="2">
        <f t="shared" ca="1" si="47"/>
        <v>3843.0727259428195</v>
      </c>
      <c r="X85" s="2">
        <f t="shared" ca="1" si="47"/>
        <v>3082.4768547573608</v>
      </c>
      <c r="Y85" s="2">
        <f t="shared" ca="1" si="47"/>
        <v>2968.3353297428625</v>
      </c>
      <c r="Z85" s="2">
        <f t="shared" ca="1" si="47"/>
        <v>3460.4356967326717</v>
      </c>
      <c r="AA85" s="2">
        <f t="shared" ca="1" si="47"/>
        <v>3187.7410308346889</v>
      </c>
      <c r="AB85" s="2">
        <f t="shared" ca="1" si="47"/>
        <v>3021.9559884946752</v>
      </c>
      <c r="AC85" s="2">
        <f t="shared" ca="1" si="47"/>
        <v>2882.363168695992</v>
      </c>
      <c r="AD85" s="2">
        <f t="shared" ca="1" si="47"/>
        <v>3652.576685386271</v>
      </c>
      <c r="AE85" s="2">
        <f t="shared" ca="1" si="47"/>
        <v>3428.9238301018654</v>
      </c>
      <c r="AF85" s="2">
        <f t="shared" ca="1" si="47"/>
        <v>3370.2793608166617</v>
      </c>
      <c r="AG85" s="2">
        <f t="shared" ca="1" si="47"/>
        <v>3870.6166462341271</v>
      </c>
      <c r="AH85" s="2">
        <f t="shared" ca="1" si="40"/>
        <v>2994.3604737805172</v>
      </c>
    </row>
    <row r="86" spans="1:34">
      <c r="A86" t="str">
        <f t="shared" si="45"/>
        <v>Milk</v>
      </c>
      <c r="B86" t="str">
        <f t="shared" si="46"/>
        <v>Harari</v>
      </c>
      <c r="C86" s="2">
        <f t="shared" ca="1" si="48"/>
        <v>2777.3783443620346</v>
      </c>
      <c r="D86" s="2">
        <f t="shared" ca="1" si="48"/>
        <v>3123.8145611733526</v>
      </c>
      <c r="E86" s="2">
        <f t="shared" ca="1" si="48"/>
        <v>3418.0253689819879</v>
      </c>
      <c r="F86" s="2">
        <f t="shared" ca="1" si="48"/>
        <v>3418.0776982830748</v>
      </c>
      <c r="G86" s="2">
        <f t="shared" ca="1" si="48"/>
        <v>3317.2858384792539</v>
      </c>
      <c r="H86" s="2">
        <f t="shared" ca="1" si="48"/>
        <v>3757.7501384494331</v>
      </c>
      <c r="I86" s="2">
        <f t="shared" ca="1" si="48"/>
        <v>3220.2101991082995</v>
      </c>
      <c r="J86" s="2">
        <f t="shared" ca="1" si="48"/>
        <v>3049.6958562261048</v>
      </c>
      <c r="K86" s="2">
        <f t="shared" ca="1" si="48"/>
        <v>3579.2163961019842</v>
      </c>
      <c r="L86" s="2">
        <f t="shared" ca="1" si="48"/>
        <v>3928.4650080844585</v>
      </c>
      <c r="M86" s="2">
        <f t="shared" ca="1" si="48"/>
        <v>3460.1334018382486</v>
      </c>
      <c r="N86" s="2">
        <f t="shared" ca="1" si="48"/>
        <v>3082.7699319210919</v>
      </c>
      <c r="O86" s="2">
        <f t="shared" ca="1" si="48"/>
        <v>3886.5836845509207</v>
      </c>
      <c r="P86" s="2">
        <f t="shared" ca="1" si="48"/>
        <v>3407.0056007317608</v>
      </c>
      <c r="Q86" s="2">
        <f t="shared" ca="1" si="48"/>
        <v>3169.5225837555595</v>
      </c>
      <c r="R86" s="2">
        <f t="shared" ca="1" si="48"/>
        <v>3653.6971365338864</v>
      </c>
      <c r="S86" s="2">
        <f t="shared" ca="1" si="47"/>
        <v>2890.4048151889529</v>
      </c>
      <c r="T86" s="2">
        <f t="shared" ca="1" si="47"/>
        <v>2707.8477723401652</v>
      </c>
      <c r="U86" s="2">
        <f t="shared" ca="1" si="47"/>
        <v>2662.0468378542728</v>
      </c>
      <c r="V86" s="2">
        <f t="shared" ca="1" si="47"/>
        <v>2750.9384662966713</v>
      </c>
      <c r="W86" s="2">
        <f t="shared" ca="1" si="47"/>
        <v>3772.9621479799575</v>
      </c>
      <c r="X86" s="2">
        <f t="shared" ca="1" si="47"/>
        <v>2735.8835680205925</v>
      </c>
      <c r="Y86" s="2">
        <f t="shared" ca="1" si="47"/>
        <v>3685.829264809382</v>
      </c>
      <c r="Z86" s="2">
        <f t="shared" ca="1" si="47"/>
        <v>3220.9982538279719</v>
      </c>
      <c r="AA86" s="2">
        <f t="shared" ca="1" si="47"/>
        <v>2815.1397099441301</v>
      </c>
      <c r="AB86" s="2">
        <f t="shared" ca="1" si="47"/>
        <v>3827.3028073798901</v>
      </c>
      <c r="AC86" s="2">
        <f t="shared" ca="1" si="47"/>
        <v>3710.8950290189437</v>
      </c>
      <c r="AD86" s="2">
        <f t="shared" ca="1" si="47"/>
        <v>3492.9379806319953</v>
      </c>
      <c r="AE86" s="2">
        <f t="shared" ca="1" si="47"/>
        <v>3115.5976940074802</v>
      </c>
      <c r="AF86" s="2">
        <f t="shared" ca="1" si="47"/>
        <v>3299.1093250966505</v>
      </c>
      <c r="AG86" s="2">
        <f t="shared" ca="1" si="47"/>
        <v>2795.9634530419089</v>
      </c>
      <c r="AH86" s="2">
        <f t="shared" ca="1" si="40"/>
        <v>3607.9090577929805</v>
      </c>
    </row>
    <row r="87" spans="1:34">
      <c r="A87" t="str">
        <f t="shared" si="45"/>
        <v>Milk</v>
      </c>
      <c r="B87" t="str">
        <f t="shared" si="46"/>
        <v>Oromia</v>
      </c>
      <c r="C87" s="2">
        <f t="shared" ca="1" si="48"/>
        <v>3327.5938296932572</v>
      </c>
      <c r="D87" s="2">
        <f t="shared" ca="1" si="48"/>
        <v>3201.9537704186855</v>
      </c>
      <c r="E87" s="2">
        <f t="shared" ca="1" si="48"/>
        <v>3409.1737975544233</v>
      </c>
      <c r="F87" s="2">
        <f t="shared" ca="1" si="48"/>
        <v>2883.6541066781824</v>
      </c>
      <c r="G87" s="2">
        <f t="shared" ca="1" si="48"/>
        <v>2930.4613108972676</v>
      </c>
      <c r="H87" s="2">
        <f t="shared" ca="1" si="48"/>
        <v>2687.8367130009128</v>
      </c>
      <c r="I87" s="2">
        <f t="shared" ca="1" si="48"/>
        <v>3260.4166281298535</v>
      </c>
      <c r="J87" s="2">
        <f t="shared" ca="1" si="48"/>
        <v>2894.0374283537594</v>
      </c>
      <c r="K87" s="2">
        <f t="shared" ca="1" si="48"/>
        <v>2939.5475524941653</v>
      </c>
      <c r="L87" s="2">
        <f t="shared" ca="1" si="48"/>
        <v>3584.0671692155915</v>
      </c>
      <c r="M87" s="2">
        <f t="shared" ca="1" si="48"/>
        <v>3594.776643357387</v>
      </c>
      <c r="N87" s="2">
        <f t="shared" ca="1" si="48"/>
        <v>3785.3613754417129</v>
      </c>
      <c r="O87" s="2">
        <f t="shared" ca="1" si="48"/>
        <v>3927.045031368164</v>
      </c>
      <c r="P87" s="2">
        <f t="shared" ca="1" si="48"/>
        <v>3368.9634862212456</v>
      </c>
      <c r="Q87" s="2">
        <f t="shared" ca="1" si="48"/>
        <v>3156.4424977504636</v>
      </c>
      <c r="R87" s="2">
        <f t="shared" ca="1" si="48"/>
        <v>3583.7789806896931</v>
      </c>
      <c r="S87" s="2">
        <f t="shared" ca="1" si="47"/>
        <v>3861.075868687964</v>
      </c>
      <c r="T87" s="2">
        <f t="shared" ca="1" si="47"/>
        <v>3651.6916923009171</v>
      </c>
      <c r="U87" s="2">
        <f t="shared" ca="1" si="47"/>
        <v>3059.968397009708</v>
      </c>
      <c r="V87" s="2">
        <f t="shared" ca="1" si="47"/>
        <v>2653.1503389025997</v>
      </c>
      <c r="W87" s="2">
        <f t="shared" ca="1" si="47"/>
        <v>3472.2931001452262</v>
      </c>
      <c r="X87" s="2">
        <f t="shared" ca="1" si="47"/>
        <v>3791.3642412568724</v>
      </c>
      <c r="Y87" s="2">
        <f t="shared" ca="1" si="47"/>
        <v>3431.0179932931837</v>
      </c>
      <c r="Z87" s="2">
        <f t="shared" ca="1" si="47"/>
        <v>3535.8425607263712</v>
      </c>
      <c r="AA87" s="2">
        <f t="shared" ca="1" si="47"/>
        <v>3850.4902777399266</v>
      </c>
      <c r="AB87" s="2">
        <f t="shared" ca="1" si="47"/>
        <v>3444.054617577925</v>
      </c>
      <c r="AC87" s="2">
        <f t="shared" ca="1" si="47"/>
        <v>3147.1869234184383</v>
      </c>
      <c r="AD87" s="2">
        <f t="shared" ca="1" si="47"/>
        <v>3830.6917546310206</v>
      </c>
      <c r="AE87" s="2">
        <f t="shared" ca="1" si="47"/>
        <v>2978.3395919742156</v>
      </c>
      <c r="AF87" s="2">
        <f t="shared" ca="1" si="47"/>
        <v>3760.7581069887524</v>
      </c>
      <c r="AG87" s="2">
        <f t="shared" ca="1" si="47"/>
        <v>3774.9453786762815</v>
      </c>
      <c r="AH87" s="2">
        <f t="shared" ca="1" si="40"/>
        <v>3053.0001377442845</v>
      </c>
    </row>
    <row r="88" spans="1:34">
      <c r="A88" t="str">
        <f t="shared" si="45"/>
        <v>Milk</v>
      </c>
      <c r="B88" t="str">
        <f t="shared" si="46"/>
        <v>Somali</v>
      </c>
      <c r="C88" s="2">
        <f t="shared" ca="1" si="48"/>
        <v>3765.9834191988721</v>
      </c>
      <c r="D88" s="2">
        <f t="shared" ca="1" si="48"/>
        <v>3909.8267229646435</v>
      </c>
      <c r="E88" s="2">
        <f t="shared" ca="1" si="48"/>
        <v>2845.0780506772853</v>
      </c>
      <c r="F88" s="2">
        <f t="shared" ca="1" si="48"/>
        <v>3061.7001772015906</v>
      </c>
      <c r="G88" s="2">
        <f t="shared" ca="1" si="48"/>
        <v>3125.3766182072536</v>
      </c>
      <c r="H88" s="2">
        <f t="shared" ca="1" si="48"/>
        <v>3502.058265714611</v>
      </c>
      <c r="I88" s="2">
        <f t="shared" ca="1" si="48"/>
        <v>3321.5945914752297</v>
      </c>
      <c r="J88" s="2">
        <f t="shared" ca="1" si="48"/>
        <v>2690.4709814441276</v>
      </c>
      <c r="K88" s="2">
        <f t="shared" ca="1" si="48"/>
        <v>3167.6752613080175</v>
      </c>
      <c r="L88" s="2">
        <f t="shared" ca="1" si="48"/>
        <v>2772.7122095723907</v>
      </c>
      <c r="M88" s="2">
        <f t="shared" ca="1" si="48"/>
        <v>3662.2343283781543</v>
      </c>
      <c r="N88" s="2">
        <f t="shared" ca="1" si="48"/>
        <v>3639.7592506226774</v>
      </c>
      <c r="O88" s="2">
        <f t="shared" ca="1" si="48"/>
        <v>3658.6569244156294</v>
      </c>
      <c r="P88" s="2">
        <f t="shared" ca="1" si="48"/>
        <v>2793.572138034483</v>
      </c>
      <c r="Q88" s="2">
        <f t="shared" ca="1" si="48"/>
        <v>3112.7963307483037</v>
      </c>
      <c r="R88" s="2">
        <f t="shared" ca="1" si="48"/>
        <v>2750.8464315249125</v>
      </c>
      <c r="S88" s="2">
        <f t="shared" ca="1" si="47"/>
        <v>2684.9248632348467</v>
      </c>
      <c r="T88" s="2">
        <f t="shared" ca="1" si="47"/>
        <v>3625.1660755633047</v>
      </c>
      <c r="U88" s="2">
        <f t="shared" ca="1" si="47"/>
        <v>3023.2669489569862</v>
      </c>
      <c r="V88" s="2">
        <f t="shared" ca="1" si="47"/>
        <v>3233.7144859217055</v>
      </c>
      <c r="W88" s="2">
        <f t="shared" ca="1" si="47"/>
        <v>3067.837018037862</v>
      </c>
      <c r="X88" s="2">
        <f t="shared" ca="1" si="47"/>
        <v>3743.3718031317767</v>
      </c>
      <c r="Y88" s="2">
        <f t="shared" ca="1" si="47"/>
        <v>3285.7471115108583</v>
      </c>
      <c r="Z88" s="2">
        <f t="shared" ca="1" si="47"/>
        <v>3007.5320959185788</v>
      </c>
      <c r="AA88" s="2">
        <f t="shared" ca="1" si="47"/>
        <v>3597.1408753068918</v>
      </c>
      <c r="AB88" s="2">
        <f t="shared" ca="1" si="47"/>
        <v>2681.9321762742443</v>
      </c>
      <c r="AC88" s="2">
        <f t="shared" ca="1" si="47"/>
        <v>3435.3516576080515</v>
      </c>
      <c r="AD88" s="2">
        <f t="shared" ca="1" si="47"/>
        <v>3751.2970792727506</v>
      </c>
      <c r="AE88" s="2">
        <f t="shared" ca="1" si="47"/>
        <v>2732.7515926757665</v>
      </c>
      <c r="AF88" s="2">
        <f t="shared" ca="1" si="47"/>
        <v>3832.5057147304451</v>
      </c>
      <c r="AG88" s="2">
        <f t="shared" ca="1" si="47"/>
        <v>3320.6017421136976</v>
      </c>
      <c r="AH88" s="2">
        <f t="shared" ca="1" si="40"/>
        <v>3333.2877801776963</v>
      </c>
    </row>
    <row r="89" spans="1:34">
      <c r="A89" t="str">
        <f t="shared" si="45"/>
        <v>Milk</v>
      </c>
      <c r="B89" t="str">
        <f t="shared" si="46"/>
        <v>SNNPR</v>
      </c>
      <c r="C89" s="2">
        <f t="shared" ca="1" si="48"/>
        <v>3504.9145576913743</v>
      </c>
      <c r="D89" s="2">
        <f t="shared" ca="1" si="48"/>
        <v>2985.4710369050831</v>
      </c>
      <c r="E89" s="2">
        <f t="shared" ca="1" si="48"/>
        <v>3686.931088623136</v>
      </c>
      <c r="F89" s="2">
        <f t="shared" ca="1" si="48"/>
        <v>3238.359623288959</v>
      </c>
      <c r="G89" s="2">
        <f t="shared" ca="1" si="48"/>
        <v>3360.4243999883797</v>
      </c>
      <c r="H89" s="2">
        <f t="shared" ca="1" si="48"/>
        <v>3255.3119916234164</v>
      </c>
      <c r="I89" s="2">
        <f t="shared" ca="1" si="48"/>
        <v>2839.6375072417495</v>
      </c>
      <c r="J89" s="2">
        <f t="shared" ca="1" si="48"/>
        <v>3826.7546058880525</v>
      </c>
      <c r="K89" s="2">
        <f t="shared" ca="1" si="48"/>
        <v>3063.9078062422745</v>
      </c>
      <c r="L89" s="2">
        <f t="shared" ca="1" si="48"/>
        <v>3660.9321060992343</v>
      </c>
      <c r="M89" s="2">
        <f t="shared" ca="1" si="48"/>
        <v>3843.7302195984266</v>
      </c>
      <c r="N89" s="2">
        <f t="shared" ca="1" si="48"/>
        <v>3717.9384191142144</v>
      </c>
      <c r="O89" s="2">
        <f t="shared" ca="1" si="48"/>
        <v>2910.4024671615348</v>
      </c>
      <c r="P89" s="2">
        <f t="shared" ca="1" si="48"/>
        <v>2680.225423348214</v>
      </c>
      <c r="Q89" s="2">
        <f t="shared" ca="1" si="48"/>
        <v>2650.0858688597564</v>
      </c>
      <c r="R89" s="2">
        <f t="shared" ca="1" si="48"/>
        <v>3604.9183276284161</v>
      </c>
      <c r="S89" s="2">
        <f t="shared" ca="1" si="47"/>
        <v>2803.9623977705405</v>
      </c>
      <c r="T89" s="2">
        <f t="shared" ca="1" si="47"/>
        <v>2641.932403936933</v>
      </c>
      <c r="U89" s="2">
        <f t="shared" ca="1" si="47"/>
        <v>3800.4919149808043</v>
      </c>
      <c r="V89" s="2">
        <f t="shared" ca="1" si="47"/>
        <v>3650.0782466332671</v>
      </c>
      <c r="W89" s="2">
        <f t="shared" ca="1" si="47"/>
        <v>3584.2849953868717</v>
      </c>
      <c r="X89" s="2">
        <f t="shared" ca="1" si="47"/>
        <v>2969.2476332993901</v>
      </c>
      <c r="Y89" s="2">
        <f t="shared" ca="1" si="47"/>
        <v>3643.5908058690784</v>
      </c>
      <c r="Z89" s="2">
        <f t="shared" ca="1" si="47"/>
        <v>3601.8281709491389</v>
      </c>
      <c r="AA89" s="2">
        <f t="shared" ca="1" si="47"/>
        <v>2983.5548219275561</v>
      </c>
      <c r="AB89" s="2">
        <f t="shared" ca="1" si="47"/>
        <v>3944.696101923043</v>
      </c>
      <c r="AC89" s="2">
        <f t="shared" ca="1" si="47"/>
        <v>3553.8771845186261</v>
      </c>
      <c r="AD89" s="2">
        <f t="shared" ca="1" si="47"/>
        <v>2875.162550336594</v>
      </c>
      <c r="AE89" s="2">
        <f t="shared" ca="1" si="47"/>
        <v>3064.6988689591703</v>
      </c>
      <c r="AF89" s="2">
        <f t="shared" ca="1" si="47"/>
        <v>3905.2846781620374</v>
      </c>
      <c r="AG89" s="2">
        <f t="shared" ca="1" si="47"/>
        <v>3905.5291810645276</v>
      </c>
      <c r="AH89" s="2">
        <f t="shared" ca="1" si="40"/>
        <v>2918.2590099682952</v>
      </c>
    </row>
    <row r="90" spans="1:34">
      <c r="A90" t="str">
        <f t="shared" si="45"/>
        <v>Milk</v>
      </c>
      <c r="B90" t="str">
        <f t="shared" si="46"/>
        <v>Tigray</v>
      </c>
      <c r="C90" s="2">
        <f t="shared" ca="1" si="48"/>
        <v>2845.4594175280649</v>
      </c>
      <c r="D90" s="2">
        <f t="shared" ca="1" si="48"/>
        <v>2705.5708687986644</v>
      </c>
      <c r="E90" s="2">
        <f t="shared" ca="1" si="48"/>
        <v>3196.3667555034285</v>
      </c>
      <c r="F90" s="2">
        <f t="shared" ca="1" si="48"/>
        <v>3238.1652006578815</v>
      </c>
      <c r="G90" s="2">
        <f t="shared" ca="1" si="48"/>
        <v>2969.8069471756985</v>
      </c>
      <c r="H90" s="2">
        <f t="shared" ca="1" si="48"/>
        <v>3291.3363328105897</v>
      </c>
      <c r="I90" s="2">
        <f t="shared" ca="1" si="48"/>
        <v>3693.940301283445</v>
      </c>
      <c r="J90" s="2">
        <f t="shared" ca="1" si="48"/>
        <v>3059.4119684611805</v>
      </c>
      <c r="K90" s="2">
        <f t="shared" ca="1" si="48"/>
        <v>2733.9622158615266</v>
      </c>
      <c r="L90" s="2">
        <f t="shared" ca="1" si="48"/>
        <v>2943.5067695767284</v>
      </c>
      <c r="M90" s="2">
        <f t="shared" ca="1" si="48"/>
        <v>3542.4448026027962</v>
      </c>
      <c r="N90" s="2">
        <f t="shared" ca="1" si="48"/>
        <v>2732.4359332833324</v>
      </c>
      <c r="O90" s="2">
        <f t="shared" ca="1" si="48"/>
        <v>3302.3475780882895</v>
      </c>
      <c r="P90" s="2">
        <f t="shared" ca="1" si="48"/>
        <v>3885.2931894017429</v>
      </c>
      <c r="Q90" s="2">
        <f t="shared" ca="1" si="48"/>
        <v>3027.9296359271489</v>
      </c>
      <c r="R90" s="2">
        <f t="shared" ca="1" si="48"/>
        <v>2819.886716881641</v>
      </c>
      <c r="S90" s="2">
        <f t="shared" ca="1" si="47"/>
        <v>3947.4521590108698</v>
      </c>
      <c r="T90" s="2">
        <f t="shared" ca="1" si="47"/>
        <v>2736.0819305170276</v>
      </c>
      <c r="U90" s="2">
        <f t="shared" ca="1" si="47"/>
        <v>3712.6868682461277</v>
      </c>
      <c r="V90" s="2">
        <f t="shared" ca="1" si="47"/>
        <v>3008.8386580684655</v>
      </c>
      <c r="W90" s="2">
        <f t="shared" ca="1" si="47"/>
        <v>3579.8646007151751</v>
      </c>
      <c r="X90" s="2">
        <f t="shared" ca="1" si="47"/>
        <v>3432.8776908071945</v>
      </c>
      <c r="Y90" s="2">
        <f t="shared" ca="1" si="47"/>
        <v>3606.8764803680519</v>
      </c>
      <c r="Z90" s="2">
        <f t="shared" ca="1" si="47"/>
        <v>2920.0831868781574</v>
      </c>
      <c r="AA90" s="2">
        <f t="shared" ca="1" si="47"/>
        <v>3564.2906489647235</v>
      </c>
      <c r="AB90" s="2">
        <f t="shared" ca="1" si="47"/>
        <v>3570.2800253035743</v>
      </c>
      <c r="AC90" s="2">
        <f t="shared" ca="1" si="47"/>
        <v>3684.7669012496672</v>
      </c>
      <c r="AD90" s="2">
        <f t="shared" ca="1" si="47"/>
        <v>3055.348357478304</v>
      </c>
      <c r="AE90" s="2">
        <f t="shared" ca="1" si="47"/>
        <v>3036.2873750920903</v>
      </c>
      <c r="AF90" s="2">
        <f t="shared" ca="1" si="47"/>
        <v>3047.4649962676367</v>
      </c>
      <c r="AG90" s="2">
        <f t="shared" ca="1" si="47"/>
        <v>2960.6931028294462</v>
      </c>
      <c r="AH90" s="2">
        <f t="shared" ca="1" si="40"/>
        <v>3619.8451270936921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90"/>
  <sheetViews>
    <sheetView zoomScale="85" zoomScaleNormal="85" workbookViewId="0">
      <selection activeCell="C3" sqref="C3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(RAND()*1+2.5)*10</f>
        <v>27.491074747153537</v>
      </c>
      <c r="D3" s="2">
        <f t="shared" ref="D3:D11" ca="1" si="2">(RAND()*1+2.5)*10</f>
        <v>34.985892526824578</v>
      </c>
      <c r="E3" s="2">
        <f ca="1">C3</f>
        <v>27.491074747153537</v>
      </c>
      <c r="F3" s="2">
        <f t="shared" ref="F3:AH11" ca="1" si="3">D3</f>
        <v>34.985892526824578</v>
      </c>
      <c r="G3" s="2">
        <f t="shared" ca="1" si="3"/>
        <v>27.491074747153537</v>
      </c>
      <c r="H3" s="2">
        <f t="shared" ca="1" si="3"/>
        <v>34.985892526824578</v>
      </c>
      <c r="I3" s="2">
        <f t="shared" ca="1" si="3"/>
        <v>27.491074747153537</v>
      </c>
      <c r="J3" s="2">
        <f t="shared" ca="1" si="3"/>
        <v>34.985892526824578</v>
      </c>
      <c r="K3" s="2">
        <f t="shared" ca="1" si="3"/>
        <v>27.491074747153537</v>
      </c>
      <c r="L3" s="2">
        <f t="shared" ca="1" si="3"/>
        <v>34.985892526824578</v>
      </c>
      <c r="M3" s="2">
        <f t="shared" ca="1" si="3"/>
        <v>27.491074747153537</v>
      </c>
      <c r="N3" s="2">
        <f t="shared" ca="1" si="3"/>
        <v>34.985892526824578</v>
      </c>
      <c r="O3" s="2">
        <f t="shared" ca="1" si="3"/>
        <v>27.491074747153537</v>
      </c>
      <c r="P3" s="2">
        <f t="shared" ca="1" si="3"/>
        <v>34.985892526824578</v>
      </c>
      <c r="Q3" s="2">
        <f t="shared" ca="1" si="3"/>
        <v>27.491074747153537</v>
      </c>
      <c r="R3" s="2">
        <f t="shared" ca="1" si="3"/>
        <v>34.985892526824578</v>
      </c>
      <c r="S3" s="2">
        <f t="shared" ca="1" si="3"/>
        <v>27.491074747153537</v>
      </c>
      <c r="T3" s="2">
        <f t="shared" ca="1" si="3"/>
        <v>34.985892526824578</v>
      </c>
      <c r="U3" s="2">
        <f t="shared" ca="1" si="3"/>
        <v>27.491074747153537</v>
      </c>
      <c r="V3" s="2">
        <f t="shared" ca="1" si="3"/>
        <v>34.985892526824578</v>
      </c>
      <c r="W3" s="2">
        <f t="shared" ca="1" si="3"/>
        <v>27.491074747153537</v>
      </c>
      <c r="X3" s="2">
        <f t="shared" ca="1" si="3"/>
        <v>34.985892526824578</v>
      </c>
      <c r="Y3" s="2">
        <f t="shared" ca="1" si="3"/>
        <v>27.491074747153537</v>
      </c>
      <c r="Z3" s="2">
        <f t="shared" ca="1" si="3"/>
        <v>34.985892526824578</v>
      </c>
      <c r="AA3" s="2">
        <f t="shared" ca="1" si="3"/>
        <v>27.491074747153537</v>
      </c>
      <c r="AB3" s="2">
        <f t="shared" ca="1" si="3"/>
        <v>34.985892526824578</v>
      </c>
      <c r="AC3" s="2">
        <f t="shared" ca="1" si="3"/>
        <v>27.491074747153537</v>
      </c>
      <c r="AD3" s="2">
        <f t="shared" ca="1" si="3"/>
        <v>34.985892526824578</v>
      </c>
      <c r="AE3" s="2">
        <f t="shared" ca="1" si="3"/>
        <v>27.491074747153537</v>
      </c>
      <c r="AF3" s="2">
        <f t="shared" ca="1" si="3"/>
        <v>34.985892526824578</v>
      </c>
      <c r="AG3" s="2">
        <f t="shared" ca="1" si="3"/>
        <v>27.491074747153537</v>
      </c>
      <c r="AH3" s="2">
        <f t="shared" ca="1" si="3"/>
        <v>34.985892526824578</v>
      </c>
    </row>
    <row r="4" spans="1:34">
      <c r="A4" t="str">
        <f>sets!$H$3</f>
        <v>Teff</v>
      </c>
      <c r="B4" t="str">
        <v>Afar</v>
      </c>
      <c r="C4" s="2">
        <f t="shared" ref="C4:D27" ca="1" si="4">(RAND()*1+2.5)*10</f>
        <v>26.387338473515122</v>
      </c>
      <c r="D4" s="2">
        <f t="shared" ca="1" si="2"/>
        <v>30.751594697639888</v>
      </c>
      <c r="E4" s="2">
        <f t="shared" ref="E4:E67" ca="1" si="5">C4</f>
        <v>26.387338473515122</v>
      </c>
      <c r="F4" s="2">
        <f t="shared" ca="1" si="3"/>
        <v>30.751594697639888</v>
      </c>
      <c r="G4" s="2">
        <f t="shared" ca="1" si="3"/>
        <v>26.387338473515122</v>
      </c>
      <c r="H4" s="2">
        <f t="shared" ca="1" si="3"/>
        <v>30.751594697639888</v>
      </c>
      <c r="I4" s="2">
        <f t="shared" ca="1" si="3"/>
        <v>26.387338473515122</v>
      </c>
      <c r="J4" s="2">
        <f t="shared" ca="1" si="3"/>
        <v>30.751594697639888</v>
      </c>
      <c r="K4" s="2">
        <f t="shared" ca="1" si="3"/>
        <v>26.387338473515122</v>
      </c>
      <c r="L4" s="2">
        <f t="shared" ca="1" si="3"/>
        <v>30.751594697639888</v>
      </c>
      <c r="M4" s="2">
        <f t="shared" ca="1" si="3"/>
        <v>26.387338473515122</v>
      </c>
      <c r="N4" s="2">
        <f t="shared" ca="1" si="3"/>
        <v>30.751594697639888</v>
      </c>
      <c r="O4" s="2">
        <f t="shared" ca="1" si="3"/>
        <v>26.387338473515122</v>
      </c>
      <c r="P4" s="2">
        <f t="shared" ca="1" si="3"/>
        <v>30.751594697639888</v>
      </c>
      <c r="Q4" s="2">
        <f t="shared" ca="1" si="3"/>
        <v>26.387338473515122</v>
      </c>
      <c r="R4" s="2">
        <f t="shared" ca="1" si="3"/>
        <v>30.751594697639888</v>
      </c>
      <c r="S4" s="2">
        <f t="shared" ca="1" si="3"/>
        <v>26.387338473515122</v>
      </c>
      <c r="T4" s="2">
        <f t="shared" ca="1" si="3"/>
        <v>30.751594697639888</v>
      </c>
      <c r="U4" s="2">
        <f t="shared" ca="1" si="3"/>
        <v>26.387338473515122</v>
      </c>
      <c r="V4" s="2">
        <f t="shared" ca="1" si="3"/>
        <v>30.751594697639888</v>
      </c>
      <c r="W4" s="2">
        <f t="shared" ca="1" si="3"/>
        <v>26.387338473515122</v>
      </c>
      <c r="X4" s="2">
        <f t="shared" ca="1" si="3"/>
        <v>30.751594697639888</v>
      </c>
      <c r="Y4" s="2">
        <f t="shared" ca="1" si="3"/>
        <v>26.387338473515122</v>
      </c>
      <c r="Z4" s="2">
        <f t="shared" ca="1" si="3"/>
        <v>30.751594697639888</v>
      </c>
      <c r="AA4" s="2">
        <f t="shared" ca="1" si="3"/>
        <v>26.387338473515122</v>
      </c>
      <c r="AB4" s="2">
        <f t="shared" ca="1" si="3"/>
        <v>30.751594697639888</v>
      </c>
      <c r="AC4" s="2">
        <f t="shared" ca="1" si="3"/>
        <v>26.387338473515122</v>
      </c>
      <c r="AD4" s="2">
        <f t="shared" ca="1" si="3"/>
        <v>30.751594697639888</v>
      </c>
      <c r="AE4" s="2">
        <f t="shared" ca="1" si="3"/>
        <v>26.387338473515122</v>
      </c>
      <c r="AF4" s="2">
        <f t="shared" ca="1" si="3"/>
        <v>30.751594697639888</v>
      </c>
      <c r="AG4" s="2">
        <f t="shared" ca="1" si="3"/>
        <v>26.387338473515122</v>
      </c>
      <c r="AH4" s="2">
        <f t="shared" ca="1" si="3"/>
        <v>30.751594697639888</v>
      </c>
    </row>
    <row r="5" spans="1:34">
      <c r="A5" t="str">
        <f>sets!$H$3</f>
        <v>Teff</v>
      </c>
      <c r="B5" t="str">
        <v>Amhara</v>
      </c>
      <c r="C5" s="2">
        <f t="shared" ca="1" si="4"/>
        <v>29.23485073470588</v>
      </c>
      <c r="D5" s="2">
        <f t="shared" ca="1" si="2"/>
        <v>29.67882017541724</v>
      </c>
      <c r="E5" s="2">
        <f t="shared" ca="1" si="5"/>
        <v>29.23485073470588</v>
      </c>
      <c r="F5" s="2">
        <f t="shared" ca="1" si="3"/>
        <v>29.67882017541724</v>
      </c>
      <c r="G5" s="2">
        <f t="shared" ca="1" si="3"/>
        <v>29.23485073470588</v>
      </c>
      <c r="H5" s="2">
        <f t="shared" ca="1" si="3"/>
        <v>29.67882017541724</v>
      </c>
      <c r="I5" s="2">
        <f t="shared" ca="1" si="3"/>
        <v>29.23485073470588</v>
      </c>
      <c r="J5" s="2">
        <f t="shared" ca="1" si="3"/>
        <v>29.67882017541724</v>
      </c>
      <c r="K5" s="2">
        <f t="shared" ca="1" si="3"/>
        <v>29.23485073470588</v>
      </c>
      <c r="L5" s="2">
        <f t="shared" ca="1" si="3"/>
        <v>29.67882017541724</v>
      </c>
      <c r="M5" s="2">
        <f t="shared" ca="1" si="3"/>
        <v>29.23485073470588</v>
      </c>
      <c r="N5" s="2">
        <f t="shared" ca="1" si="3"/>
        <v>29.67882017541724</v>
      </c>
      <c r="O5" s="2">
        <f t="shared" ca="1" si="3"/>
        <v>29.23485073470588</v>
      </c>
      <c r="P5" s="2">
        <f t="shared" ca="1" si="3"/>
        <v>29.67882017541724</v>
      </c>
      <c r="Q5" s="2">
        <f t="shared" ca="1" si="3"/>
        <v>29.23485073470588</v>
      </c>
      <c r="R5" s="2">
        <f t="shared" ca="1" si="3"/>
        <v>29.67882017541724</v>
      </c>
      <c r="S5" s="2">
        <f t="shared" ca="1" si="3"/>
        <v>29.23485073470588</v>
      </c>
      <c r="T5" s="2">
        <f t="shared" ca="1" si="3"/>
        <v>29.67882017541724</v>
      </c>
      <c r="U5" s="2">
        <f t="shared" ca="1" si="3"/>
        <v>29.23485073470588</v>
      </c>
      <c r="V5" s="2">
        <f t="shared" ca="1" si="3"/>
        <v>29.67882017541724</v>
      </c>
      <c r="W5" s="2">
        <f t="shared" ca="1" si="3"/>
        <v>29.23485073470588</v>
      </c>
      <c r="X5" s="2">
        <f t="shared" ca="1" si="3"/>
        <v>29.67882017541724</v>
      </c>
      <c r="Y5" s="2">
        <f t="shared" ca="1" si="3"/>
        <v>29.23485073470588</v>
      </c>
      <c r="Z5" s="2">
        <f t="shared" ca="1" si="3"/>
        <v>29.67882017541724</v>
      </c>
      <c r="AA5" s="2">
        <f t="shared" ca="1" si="3"/>
        <v>29.23485073470588</v>
      </c>
      <c r="AB5" s="2">
        <f t="shared" ca="1" si="3"/>
        <v>29.67882017541724</v>
      </c>
      <c r="AC5" s="2">
        <f t="shared" ca="1" si="3"/>
        <v>29.23485073470588</v>
      </c>
      <c r="AD5" s="2">
        <f t="shared" ca="1" si="3"/>
        <v>29.67882017541724</v>
      </c>
      <c r="AE5" s="2">
        <f t="shared" ca="1" si="3"/>
        <v>29.23485073470588</v>
      </c>
      <c r="AF5" s="2">
        <f t="shared" ca="1" si="3"/>
        <v>29.67882017541724</v>
      </c>
      <c r="AG5" s="2">
        <f t="shared" ca="1" si="3"/>
        <v>29.23485073470588</v>
      </c>
      <c r="AH5" s="2">
        <f t="shared" ca="1" si="3"/>
        <v>29.67882017541724</v>
      </c>
    </row>
    <row r="6" spans="1:34">
      <c r="A6" t="str">
        <f>sets!$H$3</f>
        <v>Teff</v>
      </c>
      <c r="B6" t="str">
        <v>Gumuz</v>
      </c>
      <c r="C6" s="2">
        <f t="shared" ca="1" si="4"/>
        <v>29.078435467639395</v>
      </c>
      <c r="D6" s="2">
        <f t="shared" ca="1" si="2"/>
        <v>29.42028498425406</v>
      </c>
      <c r="E6" s="2">
        <f t="shared" ca="1" si="5"/>
        <v>29.078435467639395</v>
      </c>
      <c r="F6" s="2">
        <f t="shared" ca="1" si="3"/>
        <v>29.42028498425406</v>
      </c>
      <c r="G6" s="2">
        <f t="shared" ca="1" si="3"/>
        <v>29.078435467639395</v>
      </c>
      <c r="H6" s="2">
        <f t="shared" ca="1" si="3"/>
        <v>29.42028498425406</v>
      </c>
      <c r="I6" s="2">
        <f t="shared" ca="1" si="3"/>
        <v>29.078435467639395</v>
      </c>
      <c r="J6" s="2">
        <f t="shared" ca="1" si="3"/>
        <v>29.42028498425406</v>
      </c>
      <c r="K6" s="2">
        <f t="shared" ca="1" si="3"/>
        <v>29.078435467639395</v>
      </c>
      <c r="L6" s="2">
        <f t="shared" ca="1" si="3"/>
        <v>29.42028498425406</v>
      </c>
      <c r="M6" s="2">
        <f t="shared" ca="1" si="3"/>
        <v>29.078435467639395</v>
      </c>
      <c r="N6" s="2">
        <f t="shared" ca="1" si="3"/>
        <v>29.42028498425406</v>
      </c>
      <c r="O6" s="2">
        <f t="shared" ca="1" si="3"/>
        <v>29.078435467639395</v>
      </c>
      <c r="P6" s="2">
        <f t="shared" ca="1" si="3"/>
        <v>29.42028498425406</v>
      </c>
      <c r="Q6" s="2">
        <f t="shared" ca="1" si="3"/>
        <v>29.078435467639395</v>
      </c>
      <c r="R6" s="2">
        <f t="shared" ca="1" si="3"/>
        <v>29.42028498425406</v>
      </c>
      <c r="S6" s="2">
        <f t="shared" ca="1" si="3"/>
        <v>29.078435467639395</v>
      </c>
      <c r="T6" s="2">
        <f t="shared" ca="1" si="3"/>
        <v>29.42028498425406</v>
      </c>
      <c r="U6" s="2">
        <f t="shared" ca="1" si="3"/>
        <v>29.078435467639395</v>
      </c>
      <c r="V6" s="2">
        <f t="shared" ca="1" si="3"/>
        <v>29.42028498425406</v>
      </c>
      <c r="W6" s="2">
        <f t="shared" ca="1" si="3"/>
        <v>29.078435467639395</v>
      </c>
      <c r="X6" s="2">
        <f t="shared" ca="1" si="3"/>
        <v>29.42028498425406</v>
      </c>
      <c r="Y6" s="2">
        <f t="shared" ca="1" si="3"/>
        <v>29.078435467639395</v>
      </c>
      <c r="Z6" s="2">
        <f t="shared" ca="1" si="3"/>
        <v>29.42028498425406</v>
      </c>
      <c r="AA6" s="2">
        <f t="shared" ca="1" si="3"/>
        <v>29.078435467639395</v>
      </c>
      <c r="AB6" s="2">
        <f t="shared" ca="1" si="3"/>
        <v>29.42028498425406</v>
      </c>
      <c r="AC6" s="2">
        <f t="shared" ca="1" si="3"/>
        <v>29.078435467639395</v>
      </c>
      <c r="AD6" s="2">
        <f t="shared" ca="1" si="3"/>
        <v>29.42028498425406</v>
      </c>
      <c r="AE6" s="2">
        <f t="shared" ca="1" si="3"/>
        <v>29.078435467639395</v>
      </c>
      <c r="AF6" s="2">
        <f t="shared" ca="1" si="3"/>
        <v>29.42028498425406</v>
      </c>
      <c r="AG6" s="2">
        <f t="shared" ca="1" si="3"/>
        <v>29.078435467639395</v>
      </c>
      <c r="AH6" s="2">
        <f t="shared" ca="1" si="3"/>
        <v>29.42028498425406</v>
      </c>
    </row>
    <row r="7" spans="1:34">
      <c r="A7" t="str">
        <f>sets!$H$3</f>
        <v>Teff</v>
      </c>
      <c r="B7" t="str">
        <v>DireDawa</v>
      </c>
      <c r="C7" s="2">
        <f t="shared" ca="1" si="4"/>
        <v>32.681943480735072</v>
      </c>
      <c r="D7" s="2">
        <f t="shared" ca="1" si="2"/>
        <v>25.951520992758024</v>
      </c>
      <c r="E7" s="2">
        <f t="shared" ca="1" si="5"/>
        <v>32.681943480735072</v>
      </c>
      <c r="F7" s="2">
        <f t="shared" ca="1" si="3"/>
        <v>25.951520992758024</v>
      </c>
      <c r="G7" s="2">
        <f t="shared" ca="1" si="3"/>
        <v>32.681943480735072</v>
      </c>
      <c r="H7" s="2">
        <f t="shared" ca="1" si="3"/>
        <v>25.951520992758024</v>
      </c>
      <c r="I7" s="2">
        <f t="shared" ca="1" si="3"/>
        <v>32.681943480735072</v>
      </c>
      <c r="J7" s="2">
        <f t="shared" ca="1" si="3"/>
        <v>25.951520992758024</v>
      </c>
      <c r="K7" s="2">
        <f t="shared" ca="1" si="3"/>
        <v>32.681943480735072</v>
      </c>
      <c r="L7" s="2">
        <f t="shared" ca="1" si="3"/>
        <v>25.951520992758024</v>
      </c>
      <c r="M7" s="2">
        <f t="shared" ca="1" si="3"/>
        <v>32.681943480735072</v>
      </c>
      <c r="N7" s="2">
        <f t="shared" ca="1" si="3"/>
        <v>25.951520992758024</v>
      </c>
      <c r="O7" s="2">
        <f t="shared" ca="1" si="3"/>
        <v>32.681943480735072</v>
      </c>
      <c r="P7" s="2">
        <f t="shared" ca="1" si="3"/>
        <v>25.951520992758024</v>
      </c>
      <c r="Q7" s="2">
        <f t="shared" ca="1" si="3"/>
        <v>32.681943480735072</v>
      </c>
      <c r="R7" s="2">
        <f t="shared" ca="1" si="3"/>
        <v>25.951520992758024</v>
      </c>
      <c r="S7" s="2">
        <f t="shared" ca="1" si="3"/>
        <v>32.681943480735072</v>
      </c>
      <c r="T7" s="2">
        <f t="shared" ca="1" si="3"/>
        <v>25.951520992758024</v>
      </c>
      <c r="U7" s="2">
        <f t="shared" ca="1" si="3"/>
        <v>32.681943480735072</v>
      </c>
      <c r="V7" s="2">
        <f t="shared" ca="1" si="3"/>
        <v>25.951520992758024</v>
      </c>
      <c r="W7" s="2">
        <f t="shared" ca="1" si="3"/>
        <v>32.681943480735072</v>
      </c>
      <c r="X7" s="2">
        <f t="shared" ca="1" si="3"/>
        <v>25.951520992758024</v>
      </c>
      <c r="Y7" s="2">
        <f t="shared" ca="1" si="3"/>
        <v>32.681943480735072</v>
      </c>
      <c r="Z7" s="2">
        <f t="shared" ca="1" si="3"/>
        <v>25.951520992758024</v>
      </c>
      <c r="AA7" s="2">
        <f t="shared" ca="1" si="3"/>
        <v>32.681943480735072</v>
      </c>
      <c r="AB7" s="2">
        <f t="shared" ca="1" si="3"/>
        <v>25.951520992758024</v>
      </c>
      <c r="AC7" s="2">
        <f t="shared" ca="1" si="3"/>
        <v>32.681943480735072</v>
      </c>
      <c r="AD7" s="2">
        <f t="shared" ca="1" si="3"/>
        <v>25.951520992758024</v>
      </c>
      <c r="AE7" s="2">
        <f t="shared" ca="1" si="3"/>
        <v>32.681943480735072</v>
      </c>
      <c r="AF7" s="2">
        <f t="shared" ca="1" si="3"/>
        <v>25.951520992758024</v>
      </c>
      <c r="AG7" s="2">
        <f t="shared" ca="1" si="3"/>
        <v>32.681943480735072</v>
      </c>
      <c r="AH7" s="2">
        <f t="shared" ca="1" si="3"/>
        <v>25.951520992758024</v>
      </c>
    </row>
    <row r="8" spans="1:34">
      <c r="A8" t="str">
        <f>sets!$H$3</f>
        <v>Teff</v>
      </c>
      <c r="B8" t="str">
        <v>Gambela</v>
      </c>
      <c r="C8" s="2">
        <f t="shared" ca="1" si="4"/>
        <v>28.51426416319476</v>
      </c>
      <c r="D8" s="2">
        <f t="shared" ca="1" si="2"/>
        <v>29.107580156788444</v>
      </c>
      <c r="E8" s="2">
        <f t="shared" ca="1" si="5"/>
        <v>28.51426416319476</v>
      </c>
      <c r="F8" s="2">
        <f t="shared" ca="1" si="3"/>
        <v>29.107580156788444</v>
      </c>
      <c r="G8" s="2">
        <f t="shared" ca="1" si="3"/>
        <v>28.51426416319476</v>
      </c>
      <c r="H8" s="2">
        <f t="shared" ca="1" si="3"/>
        <v>29.107580156788444</v>
      </c>
      <c r="I8" s="2">
        <f t="shared" ca="1" si="3"/>
        <v>28.51426416319476</v>
      </c>
      <c r="J8" s="2">
        <f t="shared" ca="1" si="3"/>
        <v>29.107580156788444</v>
      </c>
      <c r="K8" s="2">
        <f t="shared" ca="1" si="3"/>
        <v>28.51426416319476</v>
      </c>
      <c r="L8" s="2">
        <f t="shared" ca="1" si="3"/>
        <v>29.107580156788444</v>
      </c>
      <c r="M8" s="2">
        <f t="shared" ca="1" si="3"/>
        <v>28.51426416319476</v>
      </c>
      <c r="N8" s="2">
        <f t="shared" ca="1" si="3"/>
        <v>29.107580156788444</v>
      </c>
      <c r="O8" s="2">
        <f t="shared" ca="1" si="3"/>
        <v>28.51426416319476</v>
      </c>
      <c r="P8" s="2">
        <f t="shared" ca="1" si="3"/>
        <v>29.107580156788444</v>
      </c>
      <c r="Q8" s="2">
        <f t="shared" ca="1" si="3"/>
        <v>28.51426416319476</v>
      </c>
      <c r="R8" s="2">
        <f t="shared" ca="1" si="3"/>
        <v>29.107580156788444</v>
      </c>
      <c r="S8" s="2">
        <f t="shared" ca="1" si="3"/>
        <v>28.51426416319476</v>
      </c>
      <c r="T8" s="2">
        <f t="shared" ca="1" si="3"/>
        <v>29.107580156788444</v>
      </c>
      <c r="U8" s="2">
        <f t="shared" ca="1" si="3"/>
        <v>28.51426416319476</v>
      </c>
      <c r="V8" s="2">
        <f t="shared" ca="1" si="3"/>
        <v>29.107580156788444</v>
      </c>
      <c r="W8" s="2">
        <f t="shared" ca="1" si="3"/>
        <v>28.51426416319476</v>
      </c>
      <c r="X8" s="2">
        <f t="shared" ca="1" si="3"/>
        <v>29.107580156788444</v>
      </c>
      <c r="Y8" s="2">
        <f t="shared" ca="1" si="3"/>
        <v>28.51426416319476</v>
      </c>
      <c r="Z8" s="2">
        <f t="shared" ca="1" si="3"/>
        <v>29.107580156788444</v>
      </c>
      <c r="AA8" s="2">
        <f t="shared" ca="1" si="3"/>
        <v>28.51426416319476</v>
      </c>
      <c r="AB8" s="2">
        <f t="shared" ca="1" si="3"/>
        <v>29.107580156788444</v>
      </c>
      <c r="AC8" s="2">
        <f t="shared" ca="1" si="3"/>
        <v>28.51426416319476</v>
      </c>
      <c r="AD8" s="2">
        <f t="shared" ca="1" si="3"/>
        <v>29.107580156788444</v>
      </c>
      <c r="AE8" s="2">
        <f t="shared" ca="1" si="3"/>
        <v>28.51426416319476</v>
      </c>
      <c r="AF8" s="2">
        <f t="shared" ca="1" si="3"/>
        <v>29.107580156788444</v>
      </c>
      <c r="AG8" s="2">
        <f t="shared" ca="1" si="3"/>
        <v>28.51426416319476</v>
      </c>
      <c r="AH8" s="2">
        <f t="shared" ca="1" si="3"/>
        <v>29.107580156788444</v>
      </c>
    </row>
    <row r="9" spans="1:34">
      <c r="A9" t="str">
        <f>sets!$H$3</f>
        <v>Teff</v>
      </c>
      <c r="B9" t="str">
        <v>Harari</v>
      </c>
      <c r="C9" s="2">
        <f t="shared" ca="1" si="4"/>
        <v>28.316037456835982</v>
      </c>
      <c r="D9" s="2">
        <f t="shared" ca="1" si="2"/>
        <v>25.1934523971467</v>
      </c>
      <c r="E9" s="2">
        <f t="shared" ca="1" si="5"/>
        <v>28.316037456835982</v>
      </c>
      <c r="F9" s="2">
        <f t="shared" ca="1" si="3"/>
        <v>25.1934523971467</v>
      </c>
      <c r="G9" s="2">
        <f t="shared" ca="1" si="3"/>
        <v>28.316037456835982</v>
      </c>
      <c r="H9" s="2">
        <f t="shared" ca="1" si="3"/>
        <v>25.1934523971467</v>
      </c>
      <c r="I9" s="2">
        <f t="shared" ca="1" si="3"/>
        <v>28.316037456835982</v>
      </c>
      <c r="J9" s="2">
        <f t="shared" ca="1" si="3"/>
        <v>25.1934523971467</v>
      </c>
      <c r="K9" s="2">
        <f t="shared" ca="1" si="3"/>
        <v>28.316037456835982</v>
      </c>
      <c r="L9" s="2">
        <f t="shared" ca="1" si="3"/>
        <v>25.1934523971467</v>
      </c>
      <c r="M9" s="2">
        <f t="shared" ca="1" si="3"/>
        <v>28.316037456835982</v>
      </c>
      <c r="N9" s="2">
        <f t="shared" ca="1" si="3"/>
        <v>25.1934523971467</v>
      </c>
      <c r="O9" s="2">
        <f t="shared" ca="1" si="3"/>
        <v>28.316037456835982</v>
      </c>
      <c r="P9" s="2">
        <f t="shared" ca="1" si="3"/>
        <v>25.1934523971467</v>
      </c>
      <c r="Q9" s="2">
        <f t="shared" ca="1" si="3"/>
        <v>28.316037456835982</v>
      </c>
      <c r="R9" s="2">
        <f t="shared" ca="1" si="3"/>
        <v>25.1934523971467</v>
      </c>
      <c r="S9" s="2">
        <f t="shared" ca="1" si="3"/>
        <v>28.316037456835982</v>
      </c>
      <c r="T9" s="2">
        <f t="shared" ca="1" si="3"/>
        <v>25.1934523971467</v>
      </c>
      <c r="U9" s="2">
        <f t="shared" ca="1" si="3"/>
        <v>28.316037456835982</v>
      </c>
      <c r="V9" s="2">
        <f t="shared" ca="1" si="3"/>
        <v>25.1934523971467</v>
      </c>
      <c r="W9" s="2">
        <f t="shared" ca="1" si="3"/>
        <v>28.316037456835982</v>
      </c>
      <c r="X9" s="2">
        <f t="shared" ca="1" si="3"/>
        <v>25.1934523971467</v>
      </c>
      <c r="Y9" s="2">
        <f t="shared" ca="1" si="3"/>
        <v>28.316037456835982</v>
      </c>
      <c r="Z9" s="2">
        <f t="shared" ca="1" si="3"/>
        <v>25.1934523971467</v>
      </c>
      <c r="AA9" s="2">
        <f t="shared" ca="1" si="3"/>
        <v>28.316037456835982</v>
      </c>
      <c r="AB9" s="2">
        <f t="shared" ca="1" si="3"/>
        <v>25.1934523971467</v>
      </c>
      <c r="AC9" s="2">
        <f t="shared" ca="1" si="3"/>
        <v>28.316037456835982</v>
      </c>
      <c r="AD9" s="2">
        <f t="shared" ca="1" si="3"/>
        <v>25.1934523971467</v>
      </c>
      <c r="AE9" s="2">
        <f t="shared" ca="1" si="3"/>
        <v>28.316037456835982</v>
      </c>
      <c r="AF9" s="2">
        <f t="shared" ca="1" si="3"/>
        <v>25.1934523971467</v>
      </c>
      <c r="AG9" s="2">
        <f t="shared" ca="1" si="3"/>
        <v>28.316037456835982</v>
      </c>
      <c r="AH9" s="2">
        <f t="shared" ca="1" si="3"/>
        <v>25.1934523971467</v>
      </c>
    </row>
    <row r="10" spans="1:34">
      <c r="A10" t="str">
        <f>sets!$H$3</f>
        <v>Teff</v>
      </c>
      <c r="B10" t="str">
        <v>Oromia</v>
      </c>
      <c r="C10" s="2">
        <f t="shared" ca="1" si="4"/>
        <v>28.296048898595867</v>
      </c>
      <c r="D10" s="2">
        <f t="shared" ca="1" si="2"/>
        <v>25.450706962978895</v>
      </c>
      <c r="E10" s="2">
        <f t="shared" ca="1" si="5"/>
        <v>28.296048898595867</v>
      </c>
      <c r="F10" s="2">
        <f t="shared" ca="1" si="3"/>
        <v>25.450706962978895</v>
      </c>
      <c r="G10" s="2">
        <f t="shared" ca="1" si="3"/>
        <v>28.296048898595867</v>
      </c>
      <c r="H10" s="2">
        <f t="shared" ca="1" si="3"/>
        <v>25.450706962978895</v>
      </c>
      <c r="I10" s="2">
        <f t="shared" ca="1" si="3"/>
        <v>28.296048898595867</v>
      </c>
      <c r="J10" s="2">
        <f t="shared" ca="1" si="3"/>
        <v>25.450706962978895</v>
      </c>
      <c r="K10" s="2">
        <f t="shared" ca="1" si="3"/>
        <v>28.296048898595867</v>
      </c>
      <c r="L10" s="2">
        <f t="shared" ca="1" si="3"/>
        <v>25.450706962978895</v>
      </c>
      <c r="M10" s="2">
        <f t="shared" ca="1" si="3"/>
        <v>28.296048898595867</v>
      </c>
      <c r="N10" s="2">
        <f t="shared" ca="1" si="3"/>
        <v>25.450706962978895</v>
      </c>
      <c r="O10" s="2">
        <f t="shared" ca="1" si="3"/>
        <v>28.296048898595867</v>
      </c>
      <c r="P10" s="2">
        <f t="shared" ca="1" si="3"/>
        <v>25.450706962978895</v>
      </c>
      <c r="Q10" s="2">
        <f t="shared" ca="1" si="3"/>
        <v>28.296048898595867</v>
      </c>
      <c r="R10" s="2">
        <f t="shared" ca="1" si="3"/>
        <v>25.450706962978895</v>
      </c>
      <c r="S10" s="2">
        <f t="shared" ca="1" si="3"/>
        <v>28.296048898595867</v>
      </c>
      <c r="T10" s="2">
        <f t="shared" ca="1" si="3"/>
        <v>25.450706962978895</v>
      </c>
      <c r="U10" s="2">
        <f t="shared" ca="1" si="3"/>
        <v>28.296048898595867</v>
      </c>
      <c r="V10" s="2">
        <f t="shared" ca="1" si="3"/>
        <v>25.450706962978895</v>
      </c>
      <c r="W10" s="2">
        <f t="shared" ca="1" si="3"/>
        <v>28.296048898595867</v>
      </c>
      <c r="X10" s="2">
        <f t="shared" ca="1" si="3"/>
        <v>25.450706962978895</v>
      </c>
      <c r="Y10" s="2">
        <f t="shared" ca="1" si="3"/>
        <v>28.296048898595867</v>
      </c>
      <c r="Z10" s="2">
        <f t="shared" ca="1" si="3"/>
        <v>25.450706962978895</v>
      </c>
      <c r="AA10" s="2">
        <f t="shared" ca="1" si="3"/>
        <v>28.296048898595867</v>
      </c>
      <c r="AB10" s="2">
        <f t="shared" ca="1" si="3"/>
        <v>25.450706962978895</v>
      </c>
      <c r="AC10" s="2">
        <f t="shared" ca="1" si="3"/>
        <v>28.296048898595867</v>
      </c>
      <c r="AD10" s="2">
        <f t="shared" ca="1" si="3"/>
        <v>25.450706962978895</v>
      </c>
      <c r="AE10" s="2">
        <f t="shared" ca="1" si="3"/>
        <v>28.296048898595867</v>
      </c>
      <c r="AF10" s="2">
        <f t="shared" ca="1" si="3"/>
        <v>25.450706962978895</v>
      </c>
      <c r="AG10" s="2">
        <f t="shared" ca="1" si="3"/>
        <v>28.296048898595867</v>
      </c>
      <c r="AH10" s="2">
        <f t="shared" ca="1" si="3"/>
        <v>25.450706962978895</v>
      </c>
    </row>
    <row r="11" spans="1:34">
      <c r="A11" t="str">
        <f>sets!$H$3</f>
        <v>Teff</v>
      </c>
      <c r="B11" t="str">
        <v>Somali</v>
      </c>
      <c r="C11" s="2">
        <f t="shared" ca="1" si="4"/>
        <v>33.437208546163482</v>
      </c>
      <c r="D11" s="2">
        <f t="shared" ca="1" si="2"/>
        <v>33.045080994171911</v>
      </c>
      <c r="E11" s="2">
        <f t="shared" ca="1" si="5"/>
        <v>33.437208546163482</v>
      </c>
      <c r="F11" s="2">
        <f t="shared" ca="1" si="3"/>
        <v>33.045080994171911</v>
      </c>
      <c r="G11" s="2">
        <f t="shared" ca="1" si="3"/>
        <v>33.437208546163482</v>
      </c>
      <c r="H11" s="2">
        <f t="shared" ca="1" si="3"/>
        <v>33.045080994171911</v>
      </c>
      <c r="I11" s="2">
        <f t="shared" ca="1" si="3"/>
        <v>33.437208546163482</v>
      </c>
      <c r="J11" s="2">
        <f t="shared" ca="1" si="3"/>
        <v>33.045080994171911</v>
      </c>
      <c r="K11" s="2">
        <f t="shared" ca="1" si="3"/>
        <v>33.437208546163482</v>
      </c>
      <c r="L11" s="2">
        <f t="shared" ca="1" si="3"/>
        <v>33.045080994171911</v>
      </c>
      <c r="M11" s="2">
        <f t="shared" ca="1" si="3"/>
        <v>33.437208546163482</v>
      </c>
      <c r="N11" s="2">
        <f t="shared" ca="1" si="3"/>
        <v>33.045080994171911</v>
      </c>
      <c r="O11" s="2">
        <f t="shared" ca="1" si="3"/>
        <v>33.437208546163482</v>
      </c>
      <c r="P11" s="2">
        <f t="shared" ca="1" si="3"/>
        <v>33.045080994171911</v>
      </c>
      <c r="Q11" s="2">
        <f t="shared" ca="1" si="3"/>
        <v>33.437208546163482</v>
      </c>
      <c r="R11" s="2">
        <f t="shared" ca="1" si="3"/>
        <v>33.045080994171911</v>
      </c>
      <c r="S11" s="2">
        <f t="shared" ca="1" si="3"/>
        <v>33.437208546163482</v>
      </c>
      <c r="T11" s="2">
        <f t="shared" ca="1" si="3"/>
        <v>33.045080994171911</v>
      </c>
      <c r="U11" s="2">
        <f t="shared" ca="1" si="3"/>
        <v>33.437208546163482</v>
      </c>
      <c r="V11" s="2">
        <f t="shared" ca="1" si="3"/>
        <v>33.045080994171911</v>
      </c>
      <c r="W11" s="2">
        <f t="shared" ca="1" si="3"/>
        <v>33.437208546163482</v>
      </c>
      <c r="X11" s="2">
        <f t="shared" ca="1" si="3"/>
        <v>33.045080994171911</v>
      </c>
      <c r="Y11" s="2">
        <f t="shared" ca="1" si="3"/>
        <v>33.437208546163482</v>
      </c>
      <c r="Z11" s="2">
        <f t="shared" ca="1" si="3"/>
        <v>33.045080994171911</v>
      </c>
      <c r="AA11" s="2">
        <f t="shared" ca="1" si="3"/>
        <v>33.437208546163482</v>
      </c>
      <c r="AB11" s="2">
        <f t="shared" ca="1" si="3"/>
        <v>33.045080994171911</v>
      </c>
      <c r="AC11" s="2">
        <f t="shared" ref="AC11:AC74" ca="1" si="6">AA11</f>
        <v>33.437208546163482</v>
      </c>
      <c r="AD11" s="2">
        <f t="shared" ref="AD11:AD74" ca="1" si="7">AB11</f>
        <v>33.045080994171911</v>
      </c>
      <c r="AE11" s="2">
        <f t="shared" ref="AE11:AE74" ca="1" si="8">AC11</f>
        <v>33.437208546163482</v>
      </c>
      <c r="AF11" s="2">
        <f t="shared" ref="AF11:AF74" ca="1" si="9">AD11</f>
        <v>33.045080994171911</v>
      </c>
      <c r="AG11" s="2">
        <f t="shared" ref="AG11:AG74" ca="1" si="10">AE11</f>
        <v>33.437208546163482</v>
      </c>
      <c r="AH11" s="2">
        <f t="shared" ref="AH11:AH74" ca="1" si="11">AF11</f>
        <v>33.045080994171911</v>
      </c>
    </row>
    <row r="12" spans="1:34">
      <c r="A12" t="str">
        <f>sets!$H$3</f>
        <v>Teff</v>
      </c>
      <c r="B12" t="str">
        <v>SNNPR</v>
      </c>
      <c r="C12" s="2">
        <f t="shared" ca="1" si="4"/>
        <v>32.723516861857227</v>
      </c>
      <c r="D12" s="2">
        <f t="shared" ca="1" si="4"/>
        <v>32.314855401561744</v>
      </c>
      <c r="E12" s="2">
        <f t="shared" ca="1" si="5"/>
        <v>32.723516861857227</v>
      </c>
      <c r="F12" s="2">
        <f t="shared" ref="F12:F75" ca="1" si="12">D12</f>
        <v>32.314855401561744</v>
      </c>
      <c r="G12" s="2">
        <f t="shared" ref="G12:G75" ca="1" si="13">E12</f>
        <v>32.723516861857227</v>
      </c>
      <c r="H12" s="2">
        <f t="shared" ref="H12:H75" ca="1" si="14">F12</f>
        <v>32.314855401561744</v>
      </c>
      <c r="I12" s="2">
        <f t="shared" ref="I12:I75" ca="1" si="15">G12</f>
        <v>32.723516861857227</v>
      </c>
      <c r="J12" s="2">
        <f t="shared" ref="J12:J75" ca="1" si="16">H12</f>
        <v>32.314855401561744</v>
      </c>
      <c r="K12" s="2">
        <f t="shared" ref="K12:K75" ca="1" si="17">I12</f>
        <v>32.723516861857227</v>
      </c>
      <c r="L12" s="2">
        <f t="shared" ref="L12:L75" ca="1" si="18">J12</f>
        <v>32.314855401561744</v>
      </c>
      <c r="M12" s="2">
        <f t="shared" ref="M12:M75" ca="1" si="19">K12</f>
        <v>32.723516861857227</v>
      </c>
      <c r="N12" s="2">
        <f t="shared" ref="N12:N75" ca="1" si="20">L12</f>
        <v>32.314855401561744</v>
      </c>
      <c r="O12" s="2">
        <f t="shared" ref="O12:O75" ca="1" si="21">M12</f>
        <v>32.723516861857227</v>
      </c>
      <c r="P12" s="2">
        <f t="shared" ref="P12:P75" ca="1" si="22">N12</f>
        <v>32.314855401561744</v>
      </c>
      <c r="Q12" s="2">
        <f t="shared" ref="Q12:Q75" ca="1" si="23">O12</f>
        <v>32.723516861857227</v>
      </c>
      <c r="R12" s="2">
        <f t="shared" ref="R12:R75" ca="1" si="24">P12</f>
        <v>32.314855401561744</v>
      </c>
      <c r="S12" s="2">
        <f t="shared" ref="S12:S75" ca="1" si="25">Q12</f>
        <v>32.723516861857227</v>
      </c>
      <c r="T12" s="2">
        <f t="shared" ref="T12:T75" ca="1" si="26">R12</f>
        <v>32.314855401561744</v>
      </c>
      <c r="U12" s="2">
        <f t="shared" ref="U12:U75" ca="1" si="27">S12</f>
        <v>32.723516861857227</v>
      </c>
      <c r="V12" s="2">
        <f t="shared" ref="V12:V75" ca="1" si="28">T12</f>
        <v>32.314855401561744</v>
      </c>
      <c r="W12" s="2">
        <f t="shared" ref="W12:W75" ca="1" si="29">U12</f>
        <v>32.723516861857227</v>
      </c>
      <c r="X12" s="2">
        <f t="shared" ref="X12:X75" ca="1" si="30">V12</f>
        <v>32.314855401561744</v>
      </c>
      <c r="Y12" s="2">
        <f t="shared" ref="Y12:Y75" ca="1" si="31">W12</f>
        <v>32.723516861857227</v>
      </c>
      <c r="Z12" s="2">
        <f t="shared" ref="Z12:Z75" ca="1" si="32">X12</f>
        <v>32.314855401561744</v>
      </c>
      <c r="AA12" s="2">
        <f t="shared" ref="AA12:AA75" ca="1" si="33">Y12</f>
        <v>32.723516861857227</v>
      </c>
      <c r="AB12" s="2">
        <f t="shared" ref="AB12:AB75" ca="1" si="34">Z12</f>
        <v>32.314855401561744</v>
      </c>
      <c r="AC12" s="2">
        <f t="shared" ca="1" si="6"/>
        <v>32.723516861857227</v>
      </c>
      <c r="AD12" s="2">
        <f t="shared" ca="1" si="7"/>
        <v>32.314855401561744</v>
      </c>
      <c r="AE12" s="2">
        <f t="shared" ca="1" si="8"/>
        <v>32.723516861857227</v>
      </c>
      <c r="AF12" s="2">
        <f t="shared" ca="1" si="9"/>
        <v>32.314855401561744</v>
      </c>
      <c r="AG12" s="2">
        <f t="shared" ca="1" si="10"/>
        <v>32.723516861857227</v>
      </c>
      <c r="AH12" s="2">
        <f t="shared" ca="1" si="11"/>
        <v>32.314855401561744</v>
      </c>
    </row>
    <row r="13" spans="1:34">
      <c r="A13" t="str">
        <f>sets!$H$3</f>
        <v>Teff</v>
      </c>
      <c r="B13" t="str">
        <v>Tigray</v>
      </c>
      <c r="C13" s="2">
        <f t="shared" ca="1" si="4"/>
        <v>32.518085165159043</v>
      </c>
      <c r="D13" s="2">
        <f t="shared" ca="1" si="4"/>
        <v>31.990152554691399</v>
      </c>
      <c r="E13" s="2">
        <f t="shared" ca="1" si="5"/>
        <v>32.518085165159043</v>
      </c>
      <c r="F13" s="2">
        <f t="shared" ca="1" si="12"/>
        <v>31.990152554691399</v>
      </c>
      <c r="G13" s="2">
        <f t="shared" ca="1" si="13"/>
        <v>32.518085165159043</v>
      </c>
      <c r="H13" s="2">
        <f t="shared" ca="1" si="14"/>
        <v>31.990152554691399</v>
      </c>
      <c r="I13" s="2">
        <f t="shared" ca="1" si="15"/>
        <v>32.518085165159043</v>
      </c>
      <c r="J13" s="2">
        <f t="shared" ca="1" si="16"/>
        <v>31.990152554691399</v>
      </c>
      <c r="K13" s="2">
        <f t="shared" ca="1" si="17"/>
        <v>32.518085165159043</v>
      </c>
      <c r="L13" s="2">
        <f t="shared" ca="1" si="18"/>
        <v>31.990152554691399</v>
      </c>
      <c r="M13" s="2">
        <f t="shared" ca="1" si="19"/>
        <v>32.518085165159043</v>
      </c>
      <c r="N13" s="2">
        <f t="shared" ca="1" si="20"/>
        <v>31.990152554691399</v>
      </c>
      <c r="O13" s="2">
        <f t="shared" ca="1" si="21"/>
        <v>32.518085165159043</v>
      </c>
      <c r="P13" s="2">
        <f t="shared" ca="1" si="22"/>
        <v>31.990152554691399</v>
      </c>
      <c r="Q13" s="2">
        <f t="shared" ca="1" si="23"/>
        <v>32.518085165159043</v>
      </c>
      <c r="R13" s="2">
        <f t="shared" ca="1" si="24"/>
        <v>31.990152554691399</v>
      </c>
      <c r="S13" s="2">
        <f t="shared" ca="1" si="25"/>
        <v>32.518085165159043</v>
      </c>
      <c r="T13" s="2">
        <f t="shared" ca="1" si="26"/>
        <v>31.990152554691399</v>
      </c>
      <c r="U13" s="2">
        <f t="shared" ca="1" si="27"/>
        <v>32.518085165159043</v>
      </c>
      <c r="V13" s="2">
        <f t="shared" ca="1" si="28"/>
        <v>31.990152554691399</v>
      </c>
      <c r="W13" s="2">
        <f t="shared" ca="1" si="29"/>
        <v>32.518085165159043</v>
      </c>
      <c r="X13" s="2">
        <f t="shared" ca="1" si="30"/>
        <v>31.990152554691399</v>
      </c>
      <c r="Y13" s="2">
        <f t="shared" ca="1" si="31"/>
        <v>32.518085165159043</v>
      </c>
      <c r="Z13" s="2">
        <f t="shared" ca="1" si="32"/>
        <v>31.990152554691399</v>
      </c>
      <c r="AA13" s="2">
        <f t="shared" ca="1" si="33"/>
        <v>32.518085165159043</v>
      </c>
      <c r="AB13" s="2">
        <f t="shared" ca="1" si="34"/>
        <v>31.990152554691399</v>
      </c>
      <c r="AC13" s="2">
        <f t="shared" ca="1" si="6"/>
        <v>32.518085165159043</v>
      </c>
      <c r="AD13" s="2">
        <f t="shared" ca="1" si="7"/>
        <v>31.990152554691399</v>
      </c>
      <c r="AE13" s="2">
        <f t="shared" ca="1" si="8"/>
        <v>32.518085165159043</v>
      </c>
      <c r="AF13" s="2">
        <f t="shared" ca="1" si="9"/>
        <v>31.990152554691399</v>
      </c>
      <c r="AG13" s="2">
        <f t="shared" ca="1" si="10"/>
        <v>32.518085165159043</v>
      </c>
      <c r="AH13" s="2">
        <f t="shared" ca="1" si="11"/>
        <v>31.990152554691399</v>
      </c>
    </row>
    <row r="14" spans="1:34">
      <c r="A14" t="str">
        <f t="shared" ref="A14:A77" si="35">INDEX(Food,MATCH(A3,Food,0)+1)</f>
        <v>Sorghum</v>
      </c>
      <c r="B14" t="str">
        <f>B3</f>
        <v>AddisAbaba</v>
      </c>
      <c r="C14" s="2">
        <f t="shared" ca="1" si="4"/>
        <v>26.679101362135683</v>
      </c>
      <c r="D14" s="2">
        <f t="shared" ca="1" si="4"/>
        <v>34.207128888665551</v>
      </c>
      <c r="E14" s="2">
        <f t="shared" ca="1" si="5"/>
        <v>26.679101362135683</v>
      </c>
      <c r="F14" s="2">
        <f t="shared" ca="1" si="12"/>
        <v>34.207128888665551</v>
      </c>
      <c r="G14" s="2">
        <f t="shared" ca="1" si="13"/>
        <v>26.679101362135683</v>
      </c>
      <c r="H14" s="2">
        <f t="shared" ca="1" si="14"/>
        <v>34.207128888665551</v>
      </c>
      <c r="I14" s="2">
        <f t="shared" ca="1" si="15"/>
        <v>26.679101362135683</v>
      </c>
      <c r="J14" s="2">
        <f t="shared" ca="1" si="16"/>
        <v>34.207128888665551</v>
      </c>
      <c r="K14" s="2">
        <f t="shared" ca="1" si="17"/>
        <v>26.679101362135683</v>
      </c>
      <c r="L14" s="2">
        <f t="shared" ca="1" si="18"/>
        <v>34.207128888665551</v>
      </c>
      <c r="M14" s="2">
        <f t="shared" ca="1" si="19"/>
        <v>26.679101362135683</v>
      </c>
      <c r="N14" s="2">
        <f t="shared" ca="1" si="20"/>
        <v>34.207128888665551</v>
      </c>
      <c r="O14" s="2">
        <f t="shared" ca="1" si="21"/>
        <v>26.679101362135683</v>
      </c>
      <c r="P14" s="2">
        <f t="shared" ca="1" si="22"/>
        <v>34.207128888665551</v>
      </c>
      <c r="Q14" s="2">
        <f t="shared" ca="1" si="23"/>
        <v>26.679101362135683</v>
      </c>
      <c r="R14" s="2">
        <f t="shared" ca="1" si="24"/>
        <v>34.207128888665551</v>
      </c>
      <c r="S14" s="2">
        <f t="shared" ca="1" si="25"/>
        <v>26.679101362135683</v>
      </c>
      <c r="T14" s="2">
        <f t="shared" ca="1" si="26"/>
        <v>34.207128888665551</v>
      </c>
      <c r="U14" s="2">
        <f t="shared" ca="1" si="27"/>
        <v>26.679101362135683</v>
      </c>
      <c r="V14" s="2">
        <f t="shared" ca="1" si="28"/>
        <v>34.207128888665551</v>
      </c>
      <c r="W14" s="2">
        <f t="shared" ca="1" si="29"/>
        <v>26.679101362135683</v>
      </c>
      <c r="X14" s="2">
        <f t="shared" ca="1" si="30"/>
        <v>34.207128888665551</v>
      </c>
      <c r="Y14" s="2">
        <f t="shared" ca="1" si="31"/>
        <v>26.679101362135683</v>
      </c>
      <c r="Z14" s="2">
        <f t="shared" ca="1" si="32"/>
        <v>34.207128888665551</v>
      </c>
      <c r="AA14" s="2">
        <f t="shared" ca="1" si="33"/>
        <v>26.679101362135683</v>
      </c>
      <c r="AB14" s="2">
        <f t="shared" ca="1" si="34"/>
        <v>34.207128888665551</v>
      </c>
      <c r="AC14" s="2">
        <f t="shared" ca="1" si="6"/>
        <v>26.679101362135683</v>
      </c>
      <c r="AD14" s="2">
        <f t="shared" ca="1" si="7"/>
        <v>34.207128888665551</v>
      </c>
      <c r="AE14" s="2">
        <f t="shared" ca="1" si="8"/>
        <v>26.679101362135683</v>
      </c>
      <c r="AF14" s="2">
        <f t="shared" ca="1" si="9"/>
        <v>34.207128888665551</v>
      </c>
      <c r="AG14" s="2">
        <f t="shared" ca="1" si="10"/>
        <v>26.679101362135683</v>
      </c>
      <c r="AH14" s="2">
        <f t="shared" ca="1" si="11"/>
        <v>34.207128888665551</v>
      </c>
    </row>
    <row r="15" spans="1:34">
      <c r="A15" t="str">
        <f t="shared" si="35"/>
        <v>Sorghum</v>
      </c>
      <c r="B15" t="str">
        <f t="shared" ref="B15:B78" si="36">B4</f>
        <v>Afar</v>
      </c>
      <c r="C15" s="2">
        <f t="shared" ca="1" si="4"/>
        <v>31.595444621570401</v>
      </c>
      <c r="D15" s="2">
        <f t="shared" ca="1" si="4"/>
        <v>26.636122252714969</v>
      </c>
      <c r="E15" s="2">
        <f t="shared" ca="1" si="5"/>
        <v>31.595444621570401</v>
      </c>
      <c r="F15" s="2">
        <f t="shared" ca="1" si="12"/>
        <v>26.636122252714969</v>
      </c>
      <c r="G15" s="2">
        <f t="shared" ca="1" si="13"/>
        <v>31.595444621570401</v>
      </c>
      <c r="H15" s="2">
        <f t="shared" ca="1" si="14"/>
        <v>26.636122252714969</v>
      </c>
      <c r="I15" s="2">
        <f t="shared" ca="1" si="15"/>
        <v>31.595444621570401</v>
      </c>
      <c r="J15" s="2">
        <f t="shared" ca="1" si="16"/>
        <v>26.636122252714969</v>
      </c>
      <c r="K15" s="2">
        <f t="shared" ca="1" si="17"/>
        <v>31.595444621570401</v>
      </c>
      <c r="L15" s="2">
        <f t="shared" ca="1" si="18"/>
        <v>26.636122252714969</v>
      </c>
      <c r="M15" s="2">
        <f t="shared" ca="1" si="19"/>
        <v>31.595444621570401</v>
      </c>
      <c r="N15" s="2">
        <f t="shared" ca="1" si="20"/>
        <v>26.636122252714969</v>
      </c>
      <c r="O15" s="2">
        <f t="shared" ca="1" si="21"/>
        <v>31.595444621570401</v>
      </c>
      <c r="P15" s="2">
        <f t="shared" ca="1" si="22"/>
        <v>26.636122252714969</v>
      </c>
      <c r="Q15" s="2">
        <f t="shared" ca="1" si="23"/>
        <v>31.595444621570401</v>
      </c>
      <c r="R15" s="2">
        <f t="shared" ca="1" si="24"/>
        <v>26.636122252714969</v>
      </c>
      <c r="S15" s="2">
        <f t="shared" ca="1" si="25"/>
        <v>31.595444621570401</v>
      </c>
      <c r="T15" s="2">
        <f t="shared" ca="1" si="26"/>
        <v>26.636122252714969</v>
      </c>
      <c r="U15" s="2">
        <f t="shared" ca="1" si="27"/>
        <v>31.595444621570401</v>
      </c>
      <c r="V15" s="2">
        <f t="shared" ca="1" si="28"/>
        <v>26.636122252714969</v>
      </c>
      <c r="W15" s="2">
        <f t="shared" ca="1" si="29"/>
        <v>31.595444621570401</v>
      </c>
      <c r="X15" s="2">
        <f t="shared" ca="1" si="30"/>
        <v>26.636122252714969</v>
      </c>
      <c r="Y15" s="2">
        <f t="shared" ca="1" si="31"/>
        <v>31.595444621570401</v>
      </c>
      <c r="Z15" s="2">
        <f t="shared" ca="1" si="32"/>
        <v>26.636122252714969</v>
      </c>
      <c r="AA15" s="2">
        <f t="shared" ca="1" si="33"/>
        <v>31.595444621570401</v>
      </c>
      <c r="AB15" s="2">
        <f t="shared" ca="1" si="34"/>
        <v>26.636122252714969</v>
      </c>
      <c r="AC15" s="2">
        <f t="shared" ca="1" si="6"/>
        <v>31.595444621570401</v>
      </c>
      <c r="AD15" s="2">
        <f t="shared" ca="1" si="7"/>
        <v>26.636122252714969</v>
      </c>
      <c r="AE15" s="2">
        <f t="shared" ca="1" si="8"/>
        <v>31.595444621570401</v>
      </c>
      <c r="AF15" s="2">
        <f t="shared" ca="1" si="9"/>
        <v>26.636122252714969</v>
      </c>
      <c r="AG15" s="2">
        <f t="shared" ca="1" si="10"/>
        <v>31.595444621570401</v>
      </c>
      <c r="AH15" s="2">
        <f t="shared" ca="1" si="11"/>
        <v>26.636122252714969</v>
      </c>
    </row>
    <row r="16" spans="1:34">
      <c r="A16" t="str">
        <f t="shared" si="35"/>
        <v>Sorghum</v>
      </c>
      <c r="B16" t="str">
        <f t="shared" si="36"/>
        <v>Amhara</v>
      </c>
      <c r="C16" s="2">
        <f t="shared" ca="1" si="4"/>
        <v>27.181106560359133</v>
      </c>
      <c r="D16" s="2">
        <f t="shared" ca="1" si="4"/>
        <v>34.732284494288493</v>
      </c>
      <c r="E16" s="2">
        <f t="shared" ca="1" si="5"/>
        <v>27.181106560359133</v>
      </c>
      <c r="F16" s="2">
        <f t="shared" ca="1" si="12"/>
        <v>34.732284494288493</v>
      </c>
      <c r="G16" s="2">
        <f t="shared" ca="1" si="13"/>
        <v>27.181106560359133</v>
      </c>
      <c r="H16" s="2">
        <f t="shared" ca="1" si="14"/>
        <v>34.732284494288493</v>
      </c>
      <c r="I16" s="2">
        <f t="shared" ca="1" si="15"/>
        <v>27.181106560359133</v>
      </c>
      <c r="J16" s="2">
        <f t="shared" ca="1" si="16"/>
        <v>34.732284494288493</v>
      </c>
      <c r="K16" s="2">
        <f t="shared" ca="1" si="17"/>
        <v>27.181106560359133</v>
      </c>
      <c r="L16" s="2">
        <f t="shared" ca="1" si="18"/>
        <v>34.732284494288493</v>
      </c>
      <c r="M16" s="2">
        <f t="shared" ca="1" si="19"/>
        <v>27.181106560359133</v>
      </c>
      <c r="N16" s="2">
        <f t="shared" ca="1" si="20"/>
        <v>34.732284494288493</v>
      </c>
      <c r="O16" s="2">
        <f t="shared" ca="1" si="21"/>
        <v>27.181106560359133</v>
      </c>
      <c r="P16" s="2">
        <f t="shared" ca="1" si="22"/>
        <v>34.732284494288493</v>
      </c>
      <c r="Q16" s="2">
        <f t="shared" ca="1" si="23"/>
        <v>27.181106560359133</v>
      </c>
      <c r="R16" s="2">
        <f t="shared" ca="1" si="24"/>
        <v>34.732284494288493</v>
      </c>
      <c r="S16" s="2">
        <f t="shared" ca="1" si="25"/>
        <v>27.181106560359133</v>
      </c>
      <c r="T16" s="2">
        <f t="shared" ca="1" si="26"/>
        <v>34.732284494288493</v>
      </c>
      <c r="U16" s="2">
        <f t="shared" ca="1" si="27"/>
        <v>27.181106560359133</v>
      </c>
      <c r="V16" s="2">
        <f t="shared" ca="1" si="28"/>
        <v>34.732284494288493</v>
      </c>
      <c r="W16" s="2">
        <f t="shared" ca="1" si="29"/>
        <v>27.181106560359133</v>
      </c>
      <c r="X16" s="2">
        <f t="shared" ca="1" si="30"/>
        <v>34.732284494288493</v>
      </c>
      <c r="Y16" s="2">
        <f t="shared" ca="1" si="31"/>
        <v>27.181106560359133</v>
      </c>
      <c r="Z16" s="2">
        <f t="shared" ca="1" si="32"/>
        <v>34.732284494288493</v>
      </c>
      <c r="AA16" s="2">
        <f t="shared" ca="1" si="33"/>
        <v>27.181106560359133</v>
      </c>
      <c r="AB16" s="2">
        <f t="shared" ca="1" si="34"/>
        <v>34.732284494288493</v>
      </c>
      <c r="AC16" s="2">
        <f t="shared" ca="1" si="6"/>
        <v>27.181106560359133</v>
      </c>
      <c r="AD16" s="2">
        <f t="shared" ca="1" si="7"/>
        <v>34.732284494288493</v>
      </c>
      <c r="AE16" s="2">
        <f t="shared" ca="1" si="8"/>
        <v>27.181106560359133</v>
      </c>
      <c r="AF16" s="2">
        <f t="shared" ca="1" si="9"/>
        <v>34.732284494288493</v>
      </c>
      <c r="AG16" s="2">
        <f t="shared" ca="1" si="10"/>
        <v>27.181106560359133</v>
      </c>
      <c r="AH16" s="2">
        <f t="shared" ca="1" si="11"/>
        <v>34.732284494288493</v>
      </c>
    </row>
    <row r="17" spans="1:34">
      <c r="A17" t="str">
        <f t="shared" si="35"/>
        <v>Sorghum</v>
      </c>
      <c r="B17" t="str">
        <f t="shared" si="36"/>
        <v>Gumuz</v>
      </c>
      <c r="C17" s="2">
        <f t="shared" ca="1" si="4"/>
        <v>26.902238040129006</v>
      </c>
      <c r="D17" s="2">
        <f t="shared" ca="1" si="4"/>
        <v>32.165628062793985</v>
      </c>
      <c r="E17" s="2">
        <f t="shared" ca="1" si="5"/>
        <v>26.902238040129006</v>
      </c>
      <c r="F17" s="2">
        <f t="shared" ca="1" si="12"/>
        <v>32.165628062793985</v>
      </c>
      <c r="G17" s="2">
        <f t="shared" ca="1" si="13"/>
        <v>26.902238040129006</v>
      </c>
      <c r="H17" s="2">
        <f t="shared" ca="1" si="14"/>
        <v>32.165628062793985</v>
      </c>
      <c r="I17" s="2">
        <f t="shared" ca="1" si="15"/>
        <v>26.902238040129006</v>
      </c>
      <c r="J17" s="2">
        <f t="shared" ca="1" si="16"/>
        <v>32.165628062793985</v>
      </c>
      <c r="K17" s="2">
        <f t="shared" ca="1" si="17"/>
        <v>26.902238040129006</v>
      </c>
      <c r="L17" s="2">
        <f t="shared" ca="1" si="18"/>
        <v>32.165628062793985</v>
      </c>
      <c r="M17" s="2">
        <f t="shared" ca="1" si="19"/>
        <v>26.902238040129006</v>
      </c>
      <c r="N17" s="2">
        <f t="shared" ca="1" si="20"/>
        <v>32.165628062793985</v>
      </c>
      <c r="O17" s="2">
        <f t="shared" ca="1" si="21"/>
        <v>26.902238040129006</v>
      </c>
      <c r="P17" s="2">
        <f t="shared" ca="1" si="22"/>
        <v>32.165628062793985</v>
      </c>
      <c r="Q17" s="2">
        <f t="shared" ca="1" si="23"/>
        <v>26.902238040129006</v>
      </c>
      <c r="R17" s="2">
        <f t="shared" ca="1" si="24"/>
        <v>32.165628062793985</v>
      </c>
      <c r="S17" s="2">
        <f t="shared" ca="1" si="25"/>
        <v>26.902238040129006</v>
      </c>
      <c r="T17" s="2">
        <f t="shared" ca="1" si="26"/>
        <v>32.165628062793985</v>
      </c>
      <c r="U17" s="2">
        <f t="shared" ca="1" si="27"/>
        <v>26.902238040129006</v>
      </c>
      <c r="V17" s="2">
        <f t="shared" ca="1" si="28"/>
        <v>32.165628062793985</v>
      </c>
      <c r="W17" s="2">
        <f t="shared" ca="1" si="29"/>
        <v>26.902238040129006</v>
      </c>
      <c r="X17" s="2">
        <f t="shared" ca="1" si="30"/>
        <v>32.165628062793985</v>
      </c>
      <c r="Y17" s="2">
        <f t="shared" ca="1" si="31"/>
        <v>26.902238040129006</v>
      </c>
      <c r="Z17" s="2">
        <f t="shared" ca="1" si="32"/>
        <v>32.165628062793985</v>
      </c>
      <c r="AA17" s="2">
        <f t="shared" ca="1" si="33"/>
        <v>26.902238040129006</v>
      </c>
      <c r="AB17" s="2">
        <f t="shared" ca="1" si="34"/>
        <v>32.165628062793985</v>
      </c>
      <c r="AC17" s="2">
        <f t="shared" ca="1" si="6"/>
        <v>26.902238040129006</v>
      </c>
      <c r="AD17" s="2">
        <f t="shared" ca="1" si="7"/>
        <v>32.165628062793985</v>
      </c>
      <c r="AE17" s="2">
        <f t="shared" ca="1" si="8"/>
        <v>26.902238040129006</v>
      </c>
      <c r="AF17" s="2">
        <f t="shared" ca="1" si="9"/>
        <v>32.165628062793985</v>
      </c>
      <c r="AG17" s="2">
        <f t="shared" ca="1" si="10"/>
        <v>26.902238040129006</v>
      </c>
      <c r="AH17" s="2">
        <f t="shared" ca="1" si="11"/>
        <v>32.165628062793985</v>
      </c>
    </row>
    <row r="18" spans="1:34">
      <c r="A18" t="str">
        <f t="shared" si="35"/>
        <v>Sorghum</v>
      </c>
      <c r="B18" t="str">
        <f t="shared" si="36"/>
        <v>DireDawa</v>
      </c>
      <c r="C18" s="2">
        <f t="shared" ca="1" si="4"/>
        <v>34.832559923204968</v>
      </c>
      <c r="D18" s="2">
        <f t="shared" ca="1" si="4"/>
        <v>31.790832236076291</v>
      </c>
      <c r="E18" s="2">
        <f t="shared" ca="1" si="5"/>
        <v>34.832559923204968</v>
      </c>
      <c r="F18" s="2">
        <f t="shared" ca="1" si="12"/>
        <v>31.790832236076291</v>
      </c>
      <c r="G18" s="2">
        <f t="shared" ca="1" si="13"/>
        <v>34.832559923204968</v>
      </c>
      <c r="H18" s="2">
        <f t="shared" ca="1" si="14"/>
        <v>31.790832236076291</v>
      </c>
      <c r="I18" s="2">
        <f t="shared" ca="1" si="15"/>
        <v>34.832559923204968</v>
      </c>
      <c r="J18" s="2">
        <f t="shared" ca="1" si="16"/>
        <v>31.790832236076291</v>
      </c>
      <c r="K18" s="2">
        <f t="shared" ca="1" si="17"/>
        <v>34.832559923204968</v>
      </c>
      <c r="L18" s="2">
        <f t="shared" ca="1" si="18"/>
        <v>31.790832236076291</v>
      </c>
      <c r="M18" s="2">
        <f t="shared" ca="1" si="19"/>
        <v>34.832559923204968</v>
      </c>
      <c r="N18" s="2">
        <f t="shared" ca="1" si="20"/>
        <v>31.790832236076291</v>
      </c>
      <c r="O18" s="2">
        <f t="shared" ca="1" si="21"/>
        <v>34.832559923204968</v>
      </c>
      <c r="P18" s="2">
        <f t="shared" ca="1" si="22"/>
        <v>31.790832236076291</v>
      </c>
      <c r="Q18" s="2">
        <f t="shared" ca="1" si="23"/>
        <v>34.832559923204968</v>
      </c>
      <c r="R18" s="2">
        <f t="shared" ca="1" si="24"/>
        <v>31.790832236076291</v>
      </c>
      <c r="S18" s="2">
        <f t="shared" ca="1" si="25"/>
        <v>34.832559923204968</v>
      </c>
      <c r="T18" s="2">
        <f t="shared" ca="1" si="26"/>
        <v>31.790832236076291</v>
      </c>
      <c r="U18" s="2">
        <f t="shared" ca="1" si="27"/>
        <v>34.832559923204968</v>
      </c>
      <c r="V18" s="2">
        <f t="shared" ca="1" si="28"/>
        <v>31.790832236076291</v>
      </c>
      <c r="W18" s="2">
        <f t="shared" ca="1" si="29"/>
        <v>34.832559923204968</v>
      </c>
      <c r="X18" s="2">
        <f t="shared" ca="1" si="30"/>
        <v>31.790832236076291</v>
      </c>
      <c r="Y18" s="2">
        <f t="shared" ca="1" si="31"/>
        <v>34.832559923204968</v>
      </c>
      <c r="Z18" s="2">
        <f t="shared" ca="1" si="32"/>
        <v>31.790832236076291</v>
      </c>
      <c r="AA18" s="2">
        <f t="shared" ca="1" si="33"/>
        <v>34.832559923204968</v>
      </c>
      <c r="AB18" s="2">
        <f t="shared" ca="1" si="34"/>
        <v>31.790832236076291</v>
      </c>
      <c r="AC18" s="2">
        <f t="shared" ca="1" si="6"/>
        <v>34.832559923204968</v>
      </c>
      <c r="AD18" s="2">
        <f t="shared" ca="1" si="7"/>
        <v>31.790832236076291</v>
      </c>
      <c r="AE18" s="2">
        <f t="shared" ca="1" si="8"/>
        <v>34.832559923204968</v>
      </c>
      <c r="AF18" s="2">
        <f t="shared" ca="1" si="9"/>
        <v>31.790832236076291</v>
      </c>
      <c r="AG18" s="2">
        <f t="shared" ca="1" si="10"/>
        <v>34.832559923204968</v>
      </c>
      <c r="AH18" s="2">
        <f t="shared" ca="1" si="11"/>
        <v>31.790832236076291</v>
      </c>
    </row>
    <row r="19" spans="1:34">
      <c r="A19" t="str">
        <f t="shared" si="35"/>
        <v>Sorghum</v>
      </c>
      <c r="B19" t="str">
        <f t="shared" si="36"/>
        <v>Gambela</v>
      </c>
      <c r="C19" s="2">
        <f t="shared" ca="1" si="4"/>
        <v>31.005490791594656</v>
      </c>
      <c r="D19" s="2">
        <f t="shared" ca="1" si="4"/>
        <v>30.603477301730592</v>
      </c>
      <c r="E19" s="2">
        <f t="shared" ca="1" si="5"/>
        <v>31.005490791594656</v>
      </c>
      <c r="F19" s="2">
        <f t="shared" ca="1" si="12"/>
        <v>30.603477301730592</v>
      </c>
      <c r="G19" s="2">
        <f t="shared" ca="1" si="13"/>
        <v>31.005490791594656</v>
      </c>
      <c r="H19" s="2">
        <f t="shared" ca="1" si="14"/>
        <v>30.603477301730592</v>
      </c>
      <c r="I19" s="2">
        <f t="shared" ca="1" si="15"/>
        <v>31.005490791594656</v>
      </c>
      <c r="J19" s="2">
        <f t="shared" ca="1" si="16"/>
        <v>30.603477301730592</v>
      </c>
      <c r="K19" s="2">
        <f t="shared" ca="1" si="17"/>
        <v>31.005490791594656</v>
      </c>
      <c r="L19" s="2">
        <f t="shared" ca="1" si="18"/>
        <v>30.603477301730592</v>
      </c>
      <c r="M19" s="2">
        <f t="shared" ca="1" si="19"/>
        <v>31.005490791594656</v>
      </c>
      <c r="N19" s="2">
        <f t="shared" ca="1" si="20"/>
        <v>30.603477301730592</v>
      </c>
      <c r="O19" s="2">
        <f t="shared" ca="1" si="21"/>
        <v>31.005490791594656</v>
      </c>
      <c r="P19" s="2">
        <f t="shared" ca="1" si="22"/>
        <v>30.603477301730592</v>
      </c>
      <c r="Q19" s="2">
        <f t="shared" ca="1" si="23"/>
        <v>31.005490791594656</v>
      </c>
      <c r="R19" s="2">
        <f t="shared" ca="1" si="24"/>
        <v>30.603477301730592</v>
      </c>
      <c r="S19" s="2">
        <f t="shared" ca="1" si="25"/>
        <v>31.005490791594656</v>
      </c>
      <c r="T19" s="2">
        <f t="shared" ca="1" si="26"/>
        <v>30.603477301730592</v>
      </c>
      <c r="U19" s="2">
        <f t="shared" ca="1" si="27"/>
        <v>31.005490791594656</v>
      </c>
      <c r="V19" s="2">
        <f t="shared" ca="1" si="28"/>
        <v>30.603477301730592</v>
      </c>
      <c r="W19" s="2">
        <f t="shared" ca="1" si="29"/>
        <v>31.005490791594656</v>
      </c>
      <c r="X19" s="2">
        <f t="shared" ca="1" si="30"/>
        <v>30.603477301730592</v>
      </c>
      <c r="Y19" s="2">
        <f t="shared" ca="1" si="31"/>
        <v>31.005490791594656</v>
      </c>
      <c r="Z19" s="2">
        <f t="shared" ca="1" si="32"/>
        <v>30.603477301730592</v>
      </c>
      <c r="AA19" s="2">
        <f t="shared" ca="1" si="33"/>
        <v>31.005490791594656</v>
      </c>
      <c r="AB19" s="2">
        <f t="shared" ca="1" si="34"/>
        <v>30.603477301730592</v>
      </c>
      <c r="AC19" s="2">
        <f t="shared" ca="1" si="6"/>
        <v>31.005490791594656</v>
      </c>
      <c r="AD19" s="2">
        <f t="shared" ca="1" si="7"/>
        <v>30.603477301730592</v>
      </c>
      <c r="AE19" s="2">
        <f t="shared" ca="1" si="8"/>
        <v>31.005490791594656</v>
      </c>
      <c r="AF19" s="2">
        <f t="shared" ca="1" si="9"/>
        <v>30.603477301730592</v>
      </c>
      <c r="AG19" s="2">
        <f t="shared" ca="1" si="10"/>
        <v>31.005490791594656</v>
      </c>
      <c r="AH19" s="2">
        <f t="shared" ca="1" si="11"/>
        <v>30.603477301730592</v>
      </c>
    </row>
    <row r="20" spans="1:34">
      <c r="A20" t="str">
        <f t="shared" si="35"/>
        <v>Sorghum</v>
      </c>
      <c r="B20" t="str">
        <f t="shared" si="36"/>
        <v>Harari</v>
      </c>
      <c r="C20" s="2">
        <f t="shared" ca="1" si="4"/>
        <v>29.699498180610444</v>
      </c>
      <c r="D20" s="2">
        <f t="shared" ca="1" si="4"/>
        <v>34.811734037143438</v>
      </c>
      <c r="E20" s="2">
        <f t="shared" ca="1" si="5"/>
        <v>29.699498180610444</v>
      </c>
      <c r="F20" s="2">
        <f t="shared" ca="1" si="12"/>
        <v>34.811734037143438</v>
      </c>
      <c r="G20" s="2">
        <f t="shared" ca="1" si="13"/>
        <v>29.699498180610444</v>
      </c>
      <c r="H20" s="2">
        <f t="shared" ca="1" si="14"/>
        <v>34.811734037143438</v>
      </c>
      <c r="I20" s="2">
        <f t="shared" ca="1" si="15"/>
        <v>29.699498180610444</v>
      </c>
      <c r="J20" s="2">
        <f t="shared" ca="1" si="16"/>
        <v>34.811734037143438</v>
      </c>
      <c r="K20" s="2">
        <f t="shared" ca="1" si="17"/>
        <v>29.699498180610444</v>
      </c>
      <c r="L20" s="2">
        <f t="shared" ca="1" si="18"/>
        <v>34.811734037143438</v>
      </c>
      <c r="M20" s="2">
        <f t="shared" ca="1" si="19"/>
        <v>29.699498180610444</v>
      </c>
      <c r="N20" s="2">
        <f t="shared" ca="1" si="20"/>
        <v>34.811734037143438</v>
      </c>
      <c r="O20" s="2">
        <f t="shared" ca="1" si="21"/>
        <v>29.699498180610444</v>
      </c>
      <c r="P20" s="2">
        <f t="shared" ca="1" si="22"/>
        <v>34.811734037143438</v>
      </c>
      <c r="Q20" s="2">
        <f t="shared" ca="1" si="23"/>
        <v>29.699498180610444</v>
      </c>
      <c r="R20" s="2">
        <f t="shared" ca="1" si="24"/>
        <v>34.811734037143438</v>
      </c>
      <c r="S20" s="2">
        <f t="shared" ca="1" si="25"/>
        <v>29.699498180610444</v>
      </c>
      <c r="T20" s="2">
        <f t="shared" ca="1" si="26"/>
        <v>34.811734037143438</v>
      </c>
      <c r="U20" s="2">
        <f t="shared" ca="1" si="27"/>
        <v>29.699498180610444</v>
      </c>
      <c r="V20" s="2">
        <f t="shared" ca="1" si="28"/>
        <v>34.811734037143438</v>
      </c>
      <c r="W20" s="2">
        <f t="shared" ca="1" si="29"/>
        <v>29.699498180610444</v>
      </c>
      <c r="X20" s="2">
        <f t="shared" ca="1" si="30"/>
        <v>34.811734037143438</v>
      </c>
      <c r="Y20" s="2">
        <f t="shared" ca="1" si="31"/>
        <v>29.699498180610444</v>
      </c>
      <c r="Z20" s="2">
        <f t="shared" ca="1" si="32"/>
        <v>34.811734037143438</v>
      </c>
      <c r="AA20" s="2">
        <f t="shared" ca="1" si="33"/>
        <v>29.699498180610444</v>
      </c>
      <c r="AB20" s="2">
        <f t="shared" ca="1" si="34"/>
        <v>34.811734037143438</v>
      </c>
      <c r="AC20" s="2">
        <f t="shared" ca="1" si="6"/>
        <v>29.699498180610444</v>
      </c>
      <c r="AD20" s="2">
        <f t="shared" ca="1" si="7"/>
        <v>34.811734037143438</v>
      </c>
      <c r="AE20" s="2">
        <f t="shared" ca="1" si="8"/>
        <v>29.699498180610444</v>
      </c>
      <c r="AF20" s="2">
        <f t="shared" ca="1" si="9"/>
        <v>34.811734037143438</v>
      </c>
      <c r="AG20" s="2">
        <f t="shared" ca="1" si="10"/>
        <v>29.699498180610444</v>
      </c>
      <c r="AH20" s="2">
        <f t="shared" ca="1" si="11"/>
        <v>34.811734037143438</v>
      </c>
    </row>
    <row r="21" spans="1:34">
      <c r="A21" t="str">
        <f t="shared" si="35"/>
        <v>Sorghum</v>
      </c>
      <c r="B21" t="str">
        <f t="shared" si="36"/>
        <v>Oromia</v>
      </c>
      <c r="C21" s="2">
        <f t="shared" ca="1" si="4"/>
        <v>31.085740230754965</v>
      </c>
      <c r="D21" s="2">
        <f t="shared" ca="1" si="4"/>
        <v>33.07884682890024</v>
      </c>
      <c r="E21" s="2">
        <f t="shared" ca="1" si="5"/>
        <v>31.085740230754965</v>
      </c>
      <c r="F21" s="2">
        <f t="shared" ca="1" si="12"/>
        <v>33.07884682890024</v>
      </c>
      <c r="G21" s="2">
        <f t="shared" ca="1" si="13"/>
        <v>31.085740230754965</v>
      </c>
      <c r="H21" s="2">
        <f t="shared" ca="1" si="14"/>
        <v>33.07884682890024</v>
      </c>
      <c r="I21" s="2">
        <f t="shared" ca="1" si="15"/>
        <v>31.085740230754965</v>
      </c>
      <c r="J21" s="2">
        <f t="shared" ca="1" si="16"/>
        <v>33.07884682890024</v>
      </c>
      <c r="K21" s="2">
        <f t="shared" ca="1" si="17"/>
        <v>31.085740230754965</v>
      </c>
      <c r="L21" s="2">
        <f t="shared" ca="1" si="18"/>
        <v>33.07884682890024</v>
      </c>
      <c r="M21" s="2">
        <f t="shared" ca="1" si="19"/>
        <v>31.085740230754965</v>
      </c>
      <c r="N21" s="2">
        <f t="shared" ca="1" si="20"/>
        <v>33.07884682890024</v>
      </c>
      <c r="O21" s="2">
        <f t="shared" ca="1" si="21"/>
        <v>31.085740230754965</v>
      </c>
      <c r="P21" s="2">
        <f t="shared" ca="1" si="22"/>
        <v>33.07884682890024</v>
      </c>
      <c r="Q21" s="2">
        <f t="shared" ca="1" si="23"/>
        <v>31.085740230754965</v>
      </c>
      <c r="R21" s="2">
        <f t="shared" ca="1" si="24"/>
        <v>33.07884682890024</v>
      </c>
      <c r="S21" s="2">
        <f t="shared" ca="1" si="25"/>
        <v>31.085740230754965</v>
      </c>
      <c r="T21" s="2">
        <f t="shared" ca="1" si="26"/>
        <v>33.07884682890024</v>
      </c>
      <c r="U21" s="2">
        <f t="shared" ca="1" si="27"/>
        <v>31.085740230754965</v>
      </c>
      <c r="V21" s="2">
        <f t="shared" ca="1" si="28"/>
        <v>33.07884682890024</v>
      </c>
      <c r="W21" s="2">
        <f t="shared" ca="1" si="29"/>
        <v>31.085740230754965</v>
      </c>
      <c r="X21" s="2">
        <f t="shared" ca="1" si="30"/>
        <v>33.07884682890024</v>
      </c>
      <c r="Y21" s="2">
        <f t="shared" ca="1" si="31"/>
        <v>31.085740230754965</v>
      </c>
      <c r="Z21" s="2">
        <f t="shared" ca="1" si="32"/>
        <v>33.07884682890024</v>
      </c>
      <c r="AA21" s="2">
        <f t="shared" ca="1" si="33"/>
        <v>31.085740230754965</v>
      </c>
      <c r="AB21" s="2">
        <f t="shared" ca="1" si="34"/>
        <v>33.07884682890024</v>
      </c>
      <c r="AC21" s="2">
        <f t="shared" ca="1" si="6"/>
        <v>31.085740230754965</v>
      </c>
      <c r="AD21" s="2">
        <f t="shared" ca="1" si="7"/>
        <v>33.07884682890024</v>
      </c>
      <c r="AE21" s="2">
        <f t="shared" ca="1" si="8"/>
        <v>31.085740230754965</v>
      </c>
      <c r="AF21" s="2">
        <f t="shared" ca="1" si="9"/>
        <v>33.07884682890024</v>
      </c>
      <c r="AG21" s="2">
        <f t="shared" ca="1" si="10"/>
        <v>31.085740230754965</v>
      </c>
      <c r="AH21" s="2">
        <f t="shared" ca="1" si="11"/>
        <v>33.07884682890024</v>
      </c>
    </row>
    <row r="22" spans="1:34">
      <c r="A22" t="str">
        <f t="shared" si="35"/>
        <v>Sorghum</v>
      </c>
      <c r="B22" t="str">
        <f t="shared" si="36"/>
        <v>Somali</v>
      </c>
      <c r="C22" s="2">
        <f t="shared" ca="1" si="4"/>
        <v>27.575377709745624</v>
      </c>
      <c r="D22" s="2">
        <f t="shared" ca="1" si="4"/>
        <v>32.472926877513743</v>
      </c>
      <c r="E22" s="2">
        <f t="shared" ca="1" si="5"/>
        <v>27.575377709745624</v>
      </c>
      <c r="F22" s="2">
        <f t="shared" ca="1" si="12"/>
        <v>32.472926877513743</v>
      </c>
      <c r="G22" s="2">
        <f t="shared" ca="1" si="13"/>
        <v>27.575377709745624</v>
      </c>
      <c r="H22" s="2">
        <f t="shared" ca="1" si="14"/>
        <v>32.472926877513743</v>
      </c>
      <c r="I22" s="2">
        <f t="shared" ca="1" si="15"/>
        <v>27.575377709745624</v>
      </c>
      <c r="J22" s="2">
        <f t="shared" ca="1" si="16"/>
        <v>32.472926877513743</v>
      </c>
      <c r="K22" s="2">
        <f t="shared" ca="1" si="17"/>
        <v>27.575377709745624</v>
      </c>
      <c r="L22" s="2">
        <f t="shared" ca="1" si="18"/>
        <v>32.472926877513743</v>
      </c>
      <c r="M22" s="2">
        <f t="shared" ca="1" si="19"/>
        <v>27.575377709745624</v>
      </c>
      <c r="N22" s="2">
        <f t="shared" ca="1" si="20"/>
        <v>32.472926877513743</v>
      </c>
      <c r="O22" s="2">
        <f t="shared" ca="1" si="21"/>
        <v>27.575377709745624</v>
      </c>
      <c r="P22" s="2">
        <f t="shared" ca="1" si="22"/>
        <v>32.472926877513743</v>
      </c>
      <c r="Q22" s="2">
        <f t="shared" ca="1" si="23"/>
        <v>27.575377709745624</v>
      </c>
      <c r="R22" s="2">
        <f t="shared" ca="1" si="24"/>
        <v>32.472926877513743</v>
      </c>
      <c r="S22" s="2">
        <f t="shared" ca="1" si="25"/>
        <v>27.575377709745624</v>
      </c>
      <c r="T22" s="2">
        <f t="shared" ca="1" si="26"/>
        <v>32.472926877513743</v>
      </c>
      <c r="U22" s="2">
        <f t="shared" ca="1" si="27"/>
        <v>27.575377709745624</v>
      </c>
      <c r="V22" s="2">
        <f t="shared" ca="1" si="28"/>
        <v>32.472926877513743</v>
      </c>
      <c r="W22" s="2">
        <f t="shared" ca="1" si="29"/>
        <v>27.575377709745624</v>
      </c>
      <c r="X22" s="2">
        <f t="shared" ca="1" si="30"/>
        <v>32.472926877513743</v>
      </c>
      <c r="Y22" s="2">
        <f t="shared" ca="1" si="31"/>
        <v>27.575377709745624</v>
      </c>
      <c r="Z22" s="2">
        <f t="shared" ca="1" si="32"/>
        <v>32.472926877513743</v>
      </c>
      <c r="AA22" s="2">
        <f t="shared" ca="1" si="33"/>
        <v>27.575377709745624</v>
      </c>
      <c r="AB22" s="2">
        <f t="shared" ca="1" si="34"/>
        <v>32.472926877513743</v>
      </c>
      <c r="AC22" s="2">
        <f t="shared" ca="1" si="6"/>
        <v>27.575377709745624</v>
      </c>
      <c r="AD22" s="2">
        <f t="shared" ca="1" si="7"/>
        <v>32.472926877513743</v>
      </c>
      <c r="AE22" s="2">
        <f t="shared" ca="1" si="8"/>
        <v>27.575377709745624</v>
      </c>
      <c r="AF22" s="2">
        <f t="shared" ca="1" si="9"/>
        <v>32.472926877513743</v>
      </c>
      <c r="AG22" s="2">
        <f t="shared" ca="1" si="10"/>
        <v>27.575377709745624</v>
      </c>
      <c r="AH22" s="2">
        <f t="shared" ca="1" si="11"/>
        <v>32.472926877513743</v>
      </c>
    </row>
    <row r="23" spans="1:34">
      <c r="A23" t="str">
        <f t="shared" si="35"/>
        <v>Sorghum</v>
      </c>
      <c r="B23" t="str">
        <f t="shared" si="36"/>
        <v>SNNPR</v>
      </c>
      <c r="C23" s="2">
        <f t="shared" ca="1" si="4"/>
        <v>32.476647120628918</v>
      </c>
      <c r="D23" s="2">
        <f t="shared" ca="1" si="4"/>
        <v>26.263467689519043</v>
      </c>
      <c r="E23" s="2">
        <f t="shared" ca="1" si="5"/>
        <v>32.476647120628918</v>
      </c>
      <c r="F23" s="2">
        <f t="shared" ca="1" si="12"/>
        <v>26.263467689519043</v>
      </c>
      <c r="G23" s="2">
        <f t="shared" ca="1" si="13"/>
        <v>32.476647120628918</v>
      </c>
      <c r="H23" s="2">
        <f t="shared" ca="1" si="14"/>
        <v>26.263467689519043</v>
      </c>
      <c r="I23" s="2">
        <f t="shared" ca="1" si="15"/>
        <v>32.476647120628918</v>
      </c>
      <c r="J23" s="2">
        <f t="shared" ca="1" si="16"/>
        <v>26.263467689519043</v>
      </c>
      <c r="K23" s="2">
        <f t="shared" ca="1" si="17"/>
        <v>32.476647120628918</v>
      </c>
      <c r="L23" s="2">
        <f t="shared" ca="1" si="18"/>
        <v>26.263467689519043</v>
      </c>
      <c r="M23" s="2">
        <f t="shared" ca="1" si="19"/>
        <v>32.476647120628918</v>
      </c>
      <c r="N23" s="2">
        <f t="shared" ca="1" si="20"/>
        <v>26.263467689519043</v>
      </c>
      <c r="O23" s="2">
        <f t="shared" ca="1" si="21"/>
        <v>32.476647120628918</v>
      </c>
      <c r="P23" s="2">
        <f t="shared" ca="1" si="22"/>
        <v>26.263467689519043</v>
      </c>
      <c r="Q23" s="2">
        <f t="shared" ca="1" si="23"/>
        <v>32.476647120628918</v>
      </c>
      <c r="R23" s="2">
        <f t="shared" ca="1" si="24"/>
        <v>26.263467689519043</v>
      </c>
      <c r="S23" s="2">
        <f t="shared" ca="1" si="25"/>
        <v>32.476647120628918</v>
      </c>
      <c r="T23" s="2">
        <f t="shared" ca="1" si="26"/>
        <v>26.263467689519043</v>
      </c>
      <c r="U23" s="2">
        <f t="shared" ca="1" si="27"/>
        <v>32.476647120628918</v>
      </c>
      <c r="V23" s="2">
        <f t="shared" ca="1" si="28"/>
        <v>26.263467689519043</v>
      </c>
      <c r="W23" s="2">
        <f t="shared" ca="1" si="29"/>
        <v>32.476647120628918</v>
      </c>
      <c r="X23" s="2">
        <f t="shared" ca="1" si="30"/>
        <v>26.263467689519043</v>
      </c>
      <c r="Y23" s="2">
        <f t="shared" ca="1" si="31"/>
        <v>32.476647120628918</v>
      </c>
      <c r="Z23" s="2">
        <f t="shared" ca="1" si="32"/>
        <v>26.263467689519043</v>
      </c>
      <c r="AA23" s="2">
        <f t="shared" ca="1" si="33"/>
        <v>32.476647120628918</v>
      </c>
      <c r="AB23" s="2">
        <f t="shared" ca="1" si="34"/>
        <v>26.263467689519043</v>
      </c>
      <c r="AC23" s="2">
        <f t="shared" ca="1" si="6"/>
        <v>32.476647120628918</v>
      </c>
      <c r="AD23" s="2">
        <f t="shared" ca="1" si="7"/>
        <v>26.263467689519043</v>
      </c>
      <c r="AE23" s="2">
        <f t="shared" ca="1" si="8"/>
        <v>32.476647120628918</v>
      </c>
      <c r="AF23" s="2">
        <f t="shared" ca="1" si="9"/>
        <v>26.263467689519043</v>
      </c>
      <c r="AG23" s="2">
        <f t="shared" ca="1" si="10"/>
        <v>32.476647120628918</v>
      </c>
      <c r="AH23" s="2">
        <f t="shared" ca="1" si="11"/>
        <v>26.263467689519043</v>
      </c>
    </row>
    <row r="24" spans="1:34">
      <c r="A24" t="str">
        <f t="shared" si="35"/>
        <v>Sorghum</v>
      </c>
      <c r="B24" t="str">
        <f t="shared" si="36"/>
        <v>Tigray</v>
      </c>
      <c r="C24" s="2">
        <f t="shared" ca="1" si="4"/>
        <v>30.575107179864816</v>
      </c>
      <c r="D24" s="2">
        <f t="shared" ca="1" si="4"/>
        <v>28.070610326883568</v>
      </c>
      <c r="E24" s="2">
        <f t="shared" ca="1" si="5"/>
        <v>30.575107179864816</v>
      </c>
      <c r="F24" s="2">
        <f t="shared" ca="1" si="12"/>
        <v>28.070610326883568</v>
      </c>
      <c r="G24" s="2">
        <f t="shared" ca="1" si="13"/>
        <v>30.575107179864816</v>
      </c>
      <c r="H24" s="2">
        <f t="shared" ca="1" si="14"/>
        <v>28.070610326883568</v>
      </c>
      <c r="I24" s="2">
        <f t="shared" ca="1" si="15"/>
        <v>30.575107179864816</v>
      </c>
      <c r="J24" s="2">
        <f t="shared" ca="1" si="16"/>
        <v>28.070610326883568</v>
      </c>
      <c r="K24" s="2">
        <f t="shared" ca="1" si="17"/>
        <v>30.575107179864816</v>
      </c>
      <c r="L24" s="2">
        <f t="shared" ca="1" si="18"/>
        <v>28.070610326883568</v>
      </c>
      <c r="M24" s="2">
        <f t="shared" ca="1" si="19"/>
        <v>30.575107179864816</v>
      </c>
      <c r="N24" s="2">
        <f t="shared" ca="1" si="20"/>
        <v>28.070610326883568</v>
      </c>
      <c r="O24" s="2">
        <f t="shared" ca="1" si="21"/>
        <v>30.575107179864816</v>
      </c>
      <c r="P24" s="2">
        <f t="shared" ca="1" si="22"/>
        <v>28.070610326883568</v>
      </c>
      <c r="Q24" s="2">
        <f t="shared" ca="1" si="23"/>
        <v>30.575107179864816</v>
      </c>
      <c r="R24" s="2">
        <f t="shared" ca="1" si="24"/>
        <v>28.070610326883568</v>
      </c>
      <c r="S24" s="2">
        <f t="shared" ca="1" si="25"/>
        <v>30.575107179864816</v>
      </c>
      <c r="T24" s="2">
        <f t="shared" ca="1" si="26"/>
        <v>28.070610326883568</v>
      </c>
      <c r="U24" s="2">
        <f t="shared" ca="1" si="27"/>
        <v>30.575107179864816</v>
      </c>
      <c r="V24" s="2">
        <f t="shared" ca="1" si="28"/>
        <v>28.070610326883568</v>
      </c>
      <c r="W24" s="2">
        <f t="shared" ca="1" si="29"/>
        <v>30.575107179864816</v>
      </c>
      <c r="X24" s="2">
        <f t="shared" ca="1" si="30"/>
        <v>28.070610326883568</v>
      </c>
      <c r="Y24" s="2">
        <f t="shared" ca="1" si="31"/>
        <v>30.575107179864816</v>
      </c>
      <c r="Z24" s="2">
        <f t="shared" ca="1" si="32"/>
        <v>28.070610326883568</v>
      </c>
      <c r="AA24" s="2">
        <f t="shared" ca="1" si="33"/>
        <v>30.575107179864816</v>
      </c>
      <c r="AB24" s="2">
        <f t="shared" ca="1" si="34"/>
        <v>28.070610326883568</v>
      </c>
      <c r="AC24" s="2">
        <f t="shared" ca="1" si="6"/>
        <v>30.575107179864816</v>
      </c>
      <c r="AD24" s="2">
        <f t="shared" ca="1" si="7"/>
        <v>28.070610326883568</v>
      </c>
      <c r="AE24" s="2">
        <f t="shared" ca="1" si="8"/>
        <v>30.575107179864816</v>
      </c>
      <c r="AF24" s="2">
        <f t="shared" ca="1" si="9"/>
        <v>28.070610326883568</v>
      </c>
      <c r="AG24" s="2">
        <f t="shared" ca="1" si="10"/>
        <v>30.575107179864816</v>
      </c>
      <c r="AH24" s="2">
        <f t="shared" ca="1" si="11"/>
        <v>28.070610326883568</v>
      </c>
    </row>
    <row r="25" spans="1:34">
      <c r="A25" t="str">
        <f t="shared" si="35"/>
        <v>Maize</v>
      </c>
      <c r="B25" t="str">
        <f t="shared" si="36"/>
        <v>AddisAbaba</v>
      </c>
      <c r="C25" s="2">
        <f t="shared" ca="1" si="4"/>
        <v>30.260940827355157</v>
      </c>
      <c r="D25" s="2">
        <f t="shared" ca="1" si="4"/>
        <v>32.299110878512899</v>
      </c>
      <c r="E25" s="2">
        <f t="shared" ca="1" si="5"/>
        <v>30.260940827355157</v>
      </c>
      <c r="F25" s="2">
        <f t="shared" ca="1" si="12"/>
        <v>32.299110878512899</v>
      </c>
      <c r="G25" s="2">
        <f t="shared" ca="1" si="13"/>
        <v>30.260940827355157</v>
      </c>
      <c r="H25" s="2">
        <f t="shared" ca="1" si="14"/>
        <v>32.299110878512899</v>
      </c>
      <c r="I25" s="2">
        <f t="shared" ca="1" si="15"/>
        <v>30.260940827355157</v>
      </c>
      <c r="J25" s="2">
        <f t="shared" ca="1" si="16"/>
        <v>32.299110878512899</v>
      </c>
      <c r="K25" s="2">
        <f t="shared" ca="1" si="17"/>
        <v>30.260940827355157</v>
      </c>
      <c r="L25" s="2">
        <f t="shared" ca="1" si="18"/>
        <v>32.299110878512899</v>
      </c>
      <c r="M25" s="2">
        <f t="shared" ca="1" si="19"/>
        <v>30.260940827355157</v>
      </c>
      <c r="N25" s="2">
        <f t="shared" ca="1" si="20"/>
        <v>32.299110878512899</v>
      </c>
      <c r="O25" s="2">
        <f t="shared" ca="1" si="21"/>
        <v>30.260940827355157</v>
      </c>
      <c r="P25" s="2">
        <f t="shared" ca="1" si="22"/>
        <v>32.299110878512899</v>
      </c>
      <c r="Q25" s="2">
        <f t="shared" ca="1" si="23"/>
        <v>30.260940827355157</v>
      </c>
      <c r="R25" s="2">
        <f t="shared" ca="1" si="24"/>
        <v>32.299110878512899</v>
      </c>
      <c r="S25" s="2">
        <f t="shared" ca="1" si="25"/>
        <v>30.260940827355157</v>
      </c>
      <c r="T25" s="2">
        <f t="shared" ca="1" si="26"/>
        <v>32.299110878512899</v>
      </c>
      <c r="U25" s="2">
        <f t="shared" ca="1" si="27"/>
        <v>30.260940827355157</v>
      </c>
      <c r="V25" s="2">
        <f t="shared" ca="1" si="28"/>
        <v>32.299110878512899</v>
      </c>
      <c r="W25" s="2">
        <f t="shared" ca="1" si="29"/>
        <v>30.260940827355157</v>
      </c>
      <c r="X25" s="2">
        <f t="shared" ca="1" si="30"/>
        <v>32.299110878512899</v>
      </c>
      <c r="Y25" s="2">
        <f t="shared" ca="1" si="31"/>
        <v>30.260940827355157</v>
      </c>
      <c r="Z25" s="2">
        <f t="shared" ca="1" si="32"/>
        <v>32.299110878512899</v>
      </c>
      <c r="AA25" s="2">
        <f t="shared" ca="1" si="33"/>
        <v>30.260940827355157</v>
      </c>
      <c r="AB25" s="2">
        <f t="shared" ca="1" si="34"/>
        <v>32.299110878512899</v>
      </c>
      <c r="AC25" s="2">
        <f t="shared" ca="1" si="6"/>
        <v>30.260940827355157</v>
      </c>
      <c r="AD25" s="2">
        <f t="shared" ca="1" si="7"/>
        <v>32.299110878512899</v>
      </c>
      <c r="AE25" s="2">
        <f t="shared" ca="1" si="8"/>
        <v>30.260940827355157</v>
      </c>
      <c r="AF25" s="2">
        <f t="shared" ca="1" si="9"/>
        <v>32.299110878512899</v>
      </c>
      <c r="AG25" s="2">
        <f t="shared" ca="1" si="10"/>
        <v>30.260940827355157</v>
      </c>
      <c r="AH25" s="2">
        <f t="shared" ca="1" si="11"/>
        <v>32.299110878512899</v>
      </c>
    </row>
    <row r="26" spans="1:34">
      <c r="A26" t="str">
        <f t="shared" si="35"/>
        <v>Maize</v>
      </c>
      <c r="B26" t="str">
        <f t="shared" si="36"/>
        <v>Afar</v>
      </c>
      <c r="C26" s="2">
        <f t="shared" ca="1" si="4"/>
        <v>28.818319164354634</v>
      </c>
      <c r="D26" s="2">
        <f t="shared" ca="1" si="4"/>
        <v>29.865405166739851</v>
      </c>
      <c r="E26" s="2">
        <f t="shared" ca="1" si="5"/>
        <v>28.818319164354634</v>
      </c>
      <c r="F26" s="2">
        <f t="shared" ca="1" si="12"/>
        <v>29.865405166739851</v>
      </c>
      <c r="G26" s="2">
        <f t="shared" ca="1" si="13"/>
        <v>28.818319164354634</v>
      </c>
      <c r="H26" s="2">
        <f t="shared" ca="1" si="14"/>
        <v>29.865405166739851</v>
      </c>
      <c r="I26" s="2">
        <f t="shared" ca="1" si="15"/>
        <v>28.818319164354634</v>
      </c>
      <c r="J26" s="2">
        <f t="shared" ca="1" si="16"/>
        <v>29.865405166739851</v>
      </c>
      <c r="K26" s="2">
        <f t="shared" ca="1" si="17"/>
        <v>28.818319164354634</v>
      </c>
      <c r="L26" s="2">
        <f t="shared" ca="1" si="18"/>
        <v>29.865405166739851</v>
      </c>
      <c r="M26" s="2">
        <f t="shared" ca="1" si="19"/>
        <v>28.818319164354634</v>
      </c>
      <c r="N26" s="2">
        <f t="shared" ca="1" si="20"/>
        <v>29.865405166739851</v>
      </c>
      <c r="O26" s="2">
        <f t="shared" ca="1" si="21"/>
        <v>28.818319164354634</v>
      </c>
      <c r="P26" s="2">
        <f t="shared" ca="1" si="22"/>
        <v>29.865405166739851</v>
      </c>
      <c r="Q26" s="2">
        <f t="shared" ca="1" si="23"/>
        <v>28.818319164354634</v>
      </c>
      <c r="R26" s="2">
        <f t="shared" ca="1" si="24"/>
        <v>29.865405166739851</v>
      </c>
      <c r="S26" s="2">
        <f t="shared" ca="1" si="25"/>
        <v>28.818319164354634</v>
      </c>
      <c r="T26" s="2">
        <f t="shared" ca="1" si="26"/>
        <v>29.865405166739851</v>
      </c>
      <c r="U26" s="2">
        <f t="shared" ca="1" si="27"/>
        <v>28.818319164354634</v>
      </c>
      <c r="V26" s="2">
        <f t="shared" ca="1" si="28"/>
        <v>29.865405166739851</v>
      </c>
      <c r="W26" s="2">
        <f t="shared" ca="1" si="29"/>
        <v>28.818319164354634</v>
      </c>
      <c r="X26" s="2">
        <f t="shared" ca="1" si="30"/>
        <v>29.865405166739851</v>
      </c>
      <c r="Y26" s="2">
        <f t="shared" ca="1" si="31"/>
        <v>28.818319164354634</v>
      </c>
      <c r="Z26" s="2">
        <f t="shared" ca="1" si="32"/>
        <v>29.865405166739851</v>
      </c>
      <c r="AA26" s="2">
        <f t="shared" ca="1" si="33"/>
        <v>28.818319164354634</v>
      </c>
      <c r="AB26" s="2">
        <f t="shared" ca="1" si="34"/>
        <v>29.865405166739851</v>
      </c>
      <c r="AC26" s="2">
        <f t="shared" ca="1" si="6"/>
        <v>28.818319164354634</v>
      </c>
      <c r="AD26" s="2">
        <f t="shared" ca="1" si="7"/>
        <v>29.865405166739851</v>
      </c>
      <c r="AE26" s="2">
        <f t="shared" ca="1" si="8"/>
        <v>28.818319164354634</v>
      </c>
      <c r="AF26" s="2">
        <f t="shared" ca="1" si="9"/>
        <v>29.865405166739851</v>
      </c>
      <c r="AG26" s="2">
        <f t="shared" ca="1" si="10"/>
        <v>28.818319164354634</v>
      </c>
      <c r="AH26" s="2">
        <f t="shared" ca="1" si="11"/>
        <v>29.865405166739851</v>
      </c>
    </row>
    <row r="27" spans="1:34">
      <c r="A27" t="str">
        <f t="shared" si="35"/>
        <v>Maize</v>
      </c>
      <c r="B27" t="str">
        <f t="shared" si="36"/>
        <v>Amhara</v>
      </c>
      <c r="C27" s="2">
        <f t="shared" ca="1" si="4"/>
        <v>31.072032387048985</v>
      </c>
      <c r="D27" s="2">
        <f t="shared" ca="1" si="4"/>
        <v>25.164007029783988</v>
      </c>
      <c r="E27" s="2">
        <f t="shared" ca="1" si="5"/>
        <v>31.072032387048985</v>
      </c>
      <c r="F27" s="2">
        <f t="shared" ca="1" si="12"/>
        <v>25.164007029783988</v>
      </c>
      <c r="G27" s="2">
        <f t="shared" ca="1" si="13"/>
        <v>31.072032387048985</v>
      </c>
      <c r="H27" s="2">
        <f t="shared" ca="1" si="14"/>
        <v>25.164007029783988</v>
      </c>
      <c r="I27" s="2">
        <f t="shared" ca="1" si="15"/>
        <v>31.072032387048985</v>
      </c>
      <c r="J27" s="2">
        <f t="shared" ca="1" si="16"/>
        <v>25.164007029783988</v>
      </c>
      <c r="K27" s="2">
        <f t="shared" ca="1" si="17"/>
        <v>31.072032387048985</v>
      </c>
      <c r="L27" s="2">
        <f t="shared" ca="1" si="18"/>
        <v>25.164007029783988</v>
      </c>
      <c r="M27" s="2">
        <f t="shared" ca="1" si="19"/>
        <v>31.072032387048985</v>
      </c>
      <c r="N27" s="2">
        <f t="shared" ca="1" si="20"/>
        <v>25.164007029783988</v>
      </c>
      <c r="O27" s="2">
        <f t="shared" ca="1" si="21"/>
        <v>31.072032387048985</v>
      </c>
      <c r="P27" s="2">
        <f t="shared" ca="1" si="22"/>
        <v>25.164007029783988</v>
      </c>
      <c r="Q27" s="2">
        <f t="shared" ca="1" si="23"/>
        <v>31.072032387048985</v>
      </c>
      <c r="R27" s="2">
        <f t="shared" ca="1" si="24"/>
        <v>25.164007029783988</v>
      </c>
      <c r="S27" s="2">
        <f t="shared" ca="1" si="25"/>
        <v>31.072032387048985</v>
      </c>
      <c r="T27" s="2">
        <f t="shared" ca="1" si="26"/>
        <v>25.164007029783988</v>
      </c>
      <c r="U27" s="2">
        <f t="shared" ca="1" si="27"/>
        <v>31.072032387048985</v>
      </c>
      <c r="V27" s="2">
        <f t="shared" ca="1" si="28"/>
        <v>25.164007029783988</v>
      </c>
      <c r="W27" s="2">
        <f t="shared" ca="1" si="29"/>
        <v>31.072032387048985</v>
      </c>
      <c r="X27" s="2">
        <f t="shared" ca="1" si="30"/>
        <v>25.164007029783988</v>
      </c>
      <c r="Y27" s="2">
        <f t="shared" ca="1" si="31"/>
        <v>31.072032387048985</v>
      </c>
      <c r="Z27" s="2">
        <f t="shared" ca="1" si="32"/>
        <v>25.164007029783988</v>
      </c>
      <c r="AA27" s="2">
        <f t="shared" ca="1" si="33"/>
        <v>31.072032387048985</v>
      </c>
      <c r="AB27" s="2">
        <f t="shared" ca="1" si="34"/>
        <v>25.164007029783988</v>
      </c>
      <c r="AC27" s="2">
        <f t="shared" ca="1" si="6"/>
        <v>31.072032387048985</v>
      </c>
      <c r="AD27" s="2">
        <f t="shared" ca="1" si="7"/>
        <v>25.164007029783988</v>
      </c>
      <c r="AE27" s="2">
        <f t="shared" ca="1" si="8"/>
        <v>31.072032387048985</v>
      </c>
      <c r="AF27" s="2">
        <f t="shared" ca="1" si="9"/>
        <v>25.164007029783988</v>
      </c>
      <c r="AG27" s="2">
        <f t="shared" ca="1" si="10"/>
        <v>31.072032387048985</v>
      </c>
      <c r="AH27" s="2">
        <f t="shared" ca="1" si="11"/>
        <v>25.164007029783988</v>
      </c>
    </row>
    <row r="28" spans="1:34">
      <c r="A28" t="str">
        <f t="shared" si="35"/>
        <v>Maize</v>
      </c>
      <c r="B28" t="str">
        <f t="shared" si="36"/>
        <v>Gumuz</v>
      </c>
      <c r="C28" s="2">
        <f t="shared" ref="C28:D52" ca="1" si="37">(RAND()*1+2.5)*10</f>
        <v>33.083179139244535</v>
      </c>
      <c r="D28" s="2">
        <f t="shared" ca="1" si="37"/>
        <v>29.773282407168821</v>
      </c>
      <c r="E28" s="2">
        <f t="shared" ca="1" si="5"/>
        <v>33.083179139244535</v>
      </c>
      <c r="F28" s="2">
        <f t="shared" ca="1" si="12"/>
        <v>29.773282407168821</v>
      </c>
      <c r="G28" s="2">
        <f t="shared" ca="1" si="13"/>
        <v>33.083179139244535</v>
      </c>
      <c r="H28" s="2">
        <f t="shared" ca="1" si="14"/>
        <v>29.773282407168821</v>
      </c>
      <c r="I28" s="2">
        <f t="shared" ca="1" si="15"/>
        <v>33.083179139244535</v>
      </c>
      <c r="J28" s="2">
        <f t="shared" ca="1" si="16"/>
        <v>29.773282407168821</v>
      </c>
      <c r="K28" s="2">
        <f t="shared" ca="1" si="17"/>
        <v>33.083179139244535</v>
      </c>
      <c r="L28" s="2">
        <f t="shared" ca="1" si="18"/>
        <v>29.773282407168821</v>
      </c>
      <c r="M28" s="2">
        <f t="shared" ca="1" si="19"/>
        <v>33.083179139244535</v>
      </c>
      <c r="N28" s="2">
        <f t="shared" ca="1" si="20"/>
        <v>29.773282407168821</v>
      </c>
      <c r="O28" s="2">
        <f t="shared" ca="1" si="21"/>
        <v>33.083179139244535</v>
      </c>
      <c r="P28" s="2">
        <f t="shared" ca="1" si="22"/>
        <v>29.773282407168821</v>
      </c>
      <c r="Q28" s="2">
        <f t="shared" ca="1" si="23"/>
        <v>33.083179139244535</v>
      </c>
      <c r="R28" s="2">
        <f t="shared" ca="1" si="24"/>
        <v>29.773282407168821</v>
      </c>
      <c r="S28" s="2">
        <f t="shared" ca="1" si="25"/>
        <v>33.083179139244535</v>
      </c>
      <c r="T28" s="2">
        <f t="shared" ca="1" si="26"/>
        <v>29.773282407168821</v>
      </c>
      <c r="U28" s="2">
        <f t="shared" ca="1" si="27"/>
        <v>33.083179139244535</v>
      </c>
      <c r="V28" s="2">
        <f t="shared" ca="1" si="28"/>
        <v>29.773282407168821</v>
      </c>
      <c r="W28" s="2">
        <f t="shared" ca="1" si="29"/>
        <v>33.083179139244535</v>
      </c>
      <c r="X28" s="2">
        <f t="shared" ca="1" si="30"/>
        <v>29.773282407168821</v>
      </c>
      <c r="Y28" s="2">
        <f t="shared" ca="1" si="31"/>
        <v>33.083179139244535</v>
      </c>
      <c r="Z28" s="2">
        <f t="shared" ca="1" si="32"/>
        <v>29.773282407168821</v>
      </c>
      <c r="AA28" s="2">
        <f t="shared" ca="1" si="33"/>
        <v>33.083179139244535</v>
      </c>
      <c r="AB28" s="2">
        <f t="shared" ca="1" si="34"/>
        <v>29.773282407168821</v>
      </c>
      <c r="AC28" s="2">
        <f t="shared" ca="1" si="6"/>
        <v>33.083179139244535</v>
      </c>
      <c r="AD28" s="2">
        <f t="shared" ca="1" si="7"/>
        <v>29.773282407168821</v>
      </c>
      <c r="AE28" s="2">
        <f t="shared" ca="1" si="8"/>
        <v>33.083179139244535</v>
      </c>
      <c r="AF28" s="2">
        <f t="shared" ca="1" si="9"/>
        <v>29.773282407168821</v>
      </c>
      <c r="AG28" s="2">
        <f t="shared" ca="1" si="10"/>
        <v>33.083179139244535</v>
      </c>
      <c r="AH28" s="2">
        <f t="shared" ca="1" si="11"/>
        <v>29.773282407168821</v>
      </c>
    </row>
    <row r="29" spans="1:34">
      <c r="A29" t="str">
        <f t="shared" si="35"/>
        <v>Maize</v>
      </c>
      <c r="B29" t="str">
        <f t="shared" si="36"/>
        <v>DireDawa</v>
      </c>
      <c r="C29" s="2">
        <f t="shared" ca="1" si="37"/>
        <v>32.678565068386469</v>
      </c>
      <c r="D29" s="2">
        <f t="shared" ca="1" si="37"/>
        <v>28.412972862744464</v>
      </c>
      <c r="E29" s="2">
        <f t="shared" ca="1" si="5"/>
        <v>32.678565068386469</v>
      </c>
      <c r="F29" s="2">
        <f t="shared" ca="1" si="12"/>
        <v>28.412972862744464</v>
      </c>
      <c r="G29" s="2">
        <f t="shared" ca="1" si="13"/>
        <v>32.678565068386469</v>
      </c>
      <c r="H29" s="2">
        <f t="shared" ca="1" si="14"/>
        <v>28.412972862744464</v>
      </c>
      <c r="I29" s="2">
        <f t="shared" ca="1" si="15"/>
        <v>32.678565068386469</v>
      </c>
      <c r="J29" s="2">
        <f t="shared" ca="1" si="16"/>
        <v>28.412972862744464</v>
      </c>
      <c r="K29" s="2">
        <f t="shared" ca="1" si="17"/>
        <v>32.678565068386469</v>
      </c>
      <c r="L29" s="2">
        <f t="shared" ca="1" si="18"/>
        <v>28.412972862744464</v>
      </c>
      <c r="M29" s="2">
        <f t="shared" ca="1" si="19"/>
        <v>32.678565068386469</v>
      </c>
      <c r="N29" s="2">
        <f t="shared" ca="1" si="20"/>
        <v>28.412972862744464</v>
      </c>
      <c r="O29" s="2">
        <f t="shared" ca="1" si="21"/>
        <v>32.678565068386469</v>
      </c>
      <c r="P29" s="2">
        <f t="shared" ca="1" si="22"/>
        <v>28.412972862744464</v>
      </c>
      <c r="Q29" s="2">
        <f t="shared" ca="1" si="23"/>
        <v>32.678565068386469</v>
      </c>
      <c r="R29" s="2">
        <f t="shared" ca="1" si="24"/>
        <v>28.412972862744464</v>
      </c>
      <c r="S29" s="2">
        <f t="shared" ca="1" si="25"/>
        <v>32.678565068386469</v>
      </c>
      <c r="T29" s="2">
        <f t="shared" ca="1" si="26"/>
        <v>28.412972862744464</v>
      </c>
      <c r="U29" s="2">
        <f t="shared" ca="1" si="27"/>
        <v>32.678565068386469</v>
      </c>
      <c r="V29" s="2">
        <f t="shared" ca="1" si="28"/>
        <v>28.412972862744464</v>
      </c>
      <c r="W29" s="2">
        <f t="shared" ca="1" si="29"/>
        <v>32.678565068386469</v>
      </c>
      <c r="X29" s="2">
        <f t="shared" ca="1" si="30"/>
        <v>28.412972862744464</v>
      </c>
      <c r="Y29" s="2">
        <f t="shared" ca="1" si="31"/>
        <v>32.678565068386469</v>
      </c>
      <c r="Z29" s="2">
        <f t="shared" ca="1" si="32"/>
        <v>28.412972862744464</v>
      </c>
      <c r="AA29" s="2">
        <f t="shared" ca="1" si="33"/>
        <v>32.678565068386469</v>
      </c>
      <c r="AB29" s="2">
        <f t="shared" ca="1" si="34"/>
        <v>28.412972862744464</v>
      </c>
      <c r="AC29" s="2">
        <f t="shared" ca="1" si="6"/>
        <v>32.678565068386469</v>
      </c>
      <c r="AD29" s="2">
        <f t="shared" ca="1" si="7"/>
        <v>28.412972862744464</v>
      </c>
      <c r="AE29" s="2">
        <f t="shared" ca="1" si="8"/>
        <v>32.678565068386469</v>
      </c>
      <c r="AF29" s="2">
        <f t="shared" ca="1" si="9"/>
        <v>28.412972862744464</v>
      </c>
      <c r="AG29" s="2">
        <f t="shared" ca="1" si="10"/>
        <v>32.678565068386469</v>
      </c>
      <c r="AH29" s="2">
        <f t="shared" ca="1" si="11"/>
        <v>28.412972862744464</v>
      </c>
    </row>
    <row r="30" spans="1:34">
      <c r="A30" t="str">
        <f t="shared" si="35"/>
        <v>Maize</v>
      </c>
      <c r="B30" t="str">
        <f t="shared" si="36"/>
        <v>Gambela</v>
      </c>
      <c r="C30" s="2">
        <f t="shared" ca="1" si="37"/>
        <v>32.40279351916201</v>
      </c>
      <c r="D30" s="2">
        <f t="shared" ca="1" si="37"/>
        <v>25.787767169187646</v>
      </c>
      <c r="E30" s="2">
        <f t="shared" ca="1" si="5"/>
        <v>32.40279351916201</v>
      </c>
      <c r="F30" s="2">
        <f t="shared" ca="1" si="12"/>
        <v>25.787767169187646</v>
      </c>
      <c r="G30" s="2">
        <f t="shared" ca="1" si="13"/>
        <v>32.40279351916201</v>
      </c>
      <c r="H30" s="2">
        <f t="shared" ca="1" si="14"/>
        <v>25.787767169187646</v>
      </c>
      <c r="I30" s="2">
        <f t="shared" ca="1" si="15"/>
        <v>32.40279351916201</v>
      </c>
      <c r="J30" s="2">
        <f t="shared" ca="1" si="16"/>
        <v>25.787767169187646</v>
      </c>
      <c r="K30" s="2">
        <f t="shared" ca="1" si="17"/>
        <v>32.40279351916201</v>
      </c>
      <c r="L30" s="2">
        <f t="shared" ca="1" si="18"/>
        <v>25.787767169187646</v>
      </c>
      <c r="M30" s="2">
        <f t="shared" ca="1" si="19"/>
        <v>32.40279351916201</v>
      </c>
      <c r="N30" s="2">
        <f t="shared" ca="1" si="20"/>
        <v>25.787767169187646</v>
      </c>
      <c r="O30" s="2">
        <f t="shared" ca="1" si="21"/>
        <v>32.40279351916201</v>
      </c>
      <c r="P30" s="2">
        <f t="shared" ca="1" si="22"/>
        <v>25.787767169187646</v>
      </c>
      <c r="Q30" s="2">
        <f t="shared" ca="1" si="23"/>
        <v>32.40279351916201</v>
      </c>
      <c r="R30" s="2">
        <f t="shared" ca="1" si="24"/>
        <v>25.787767169187646</v>
      </c>
      <c r="S30" s="2">
        <f t="shared" ca="1" si="25"/>
        <v>32.40279351916201</v>
      </c>
      <c r="T30" s="2">
        <f t="shared" ca="1" si="26"/>
        <v>25.787767169187646</v>
      </c>
      <c r="U30" s="2">
        <f t="shared" ca="1" si="27"/>
        <v>32.40279351916201</v>
      </c>
      <c r="V30" s="2">
        <f t="shared" ca="1" si="28"/>
        <v>25.787767169187646</v>
      </c>
      <c r="W30" s="2">
        <f t="shared" ca="1" si="29"/>
        <v>32.40279351916201</v>
      </c>
      <c r="X30" s="2">
        <f t="shared" ca="1" si="30"/>
        <v>25.787767169187646</v>
      </c>
      <c r="Y30" s="2">
        <f t="shared" ca="1" si="31"/>
        <v>32.40279351916201</v>
      </c>
      <c r="Z30" s="2">
        <f t="shared" ca="1" si="32"/>
        <v>25.787767169187646</v>
      </c>
      <c r="AA30" s="2">
        <f t="shared" ca="1" si="33"/>
        <v>32.40279351916201</v>
      </c>
      <c r="AB30" s="2">
        <f t="shared" ca="1" si="34"/>
        <v>25.787767169187646</v>
      </c>
      <c r="AC30" s="2">
        <f t="shared" ca="1" si="6"/>
        <v>32.40279351916201</v>
      </c>
      <c r="AD30" s="2">
        <f t="shared" ca="1" si="7"/>
        <v>25.787767169187646</v>
      </c>
      <c r="AE30" s="2">
        <f t="shared" ca="1" si="8"/>
        <v>32.40279351916201</v>
      </c>
      <c r="AF30" s="2">
        <f t="shared" ca="1" si="9"/>
        <v>25.787767169187646</v>
      </c>
      <c r="AG30" s="2">
        <f t="shared" ca="1" si="10"/>
        <v>32.40279351916201</v>
      </c>
      <c r="AH30" s="2">
        <f t="shared" ca="1" si="11"/>
        <v>25.787767169187646</v>
      </c>
    </row>
    <row r="31" spans="1:34">
      <c r="A31" t="str">
        <f t="shared" si="35"/>
        <v>Maize</v>
      </c>
      <c r="B31" t="str">
        <f t="shared" si="36"/>
        <v>Harari</v>
      </c>
      <c r="C31" s="2">
        <f t="shared" ca="1" si="37"/>
        <v>29.248815784737168</v>
      </c>
      <c r="D31" s="2">
        <f t="shared" ca="1" si="37"/>
        <v>30.075788176016609</v>
      </c>
      <c r="E31" s="2">
        <f t="shared" ca="1" si="5"/>
        <v>29.248815784737168</v>
      </c>
      <c r="F31" s="2">
        <f t="shared" ca="1" si="12"/>
        <v>30.075788176016609</v>
      </c>
      <c r="G31" s="2">
        <f t="shared" ca="1" si="13"/>
        <v>29.248815784737168</v>
      </c>
      <c r="H31" s="2">
        <f t="shared" ca="1" si="14"/>
        <v>30.075788176016609</v>
      </c>
      <c r="I31" s="2">
        <f t="shared" ca="1" si="15"/>
        <v>29.248815784737168</v>
      </c>
      <c r="J31" s="2">
        <f t="shared" ca="1" si="16"/>
        <v>30.075788176016609</v>
      </c>
      <c r="K31" s="2">
        <f t="shared" ca="1" si="17"/>
        <v>29.248815784737168</v>
      </c>
      <c r="L31" s="2">
        <f t="shared" ca="1" si="18"/>
        <v>30.075788176016609</v>
      </c>
      <c r="M31" s="2">
        <f t="shared" ca="1" si="19"/>
        <v>29.248815784737168</v>
      </c>
      <c r="N31" s="2">
        <f t="shared" ca="1" si="20"/>
        <v>30.075788176016609</v>
      </c>
      <c r="O31" s="2">
        <f t="shared" ca="1" si="21"/>
        <v>29.248815784737168</v>
      </c>
      <c r="P31" s="2">
        <f t="shared" ca="1" si="22"/>
        <v>30.075788176016609</v>
      </c>
      <c r="Q31" s="2">
        <f t="shared" ca="1" si="23"/>
        <v>29.248815784737168</v>
      </c>
      <c r="R31" s="2">
        <f t="shared" ca="1" si="24"/>
        <v>30.075788176016609</v>
      </c>
      <c r="S31" s="2">
        <f t="shared" ca="1" si="25"/>
        <v>29.248815784737168</v>
      </c>
      <c r="T31" s="2">
        <f t="shared" ca="1" si="26"/>
        <v>30.075788176016609</v>
      </c>
      <c r="U31" s="2">
        <f t="shared" ca="1" si="27"/>
        <v>29.248815784737168</v>
      </c>
      <c r="V31" s="2">
        <f t="shared" ca="1" si="28"/>
        <v>30.075788176016609</v>
      </c>
      <c r="W31" s="2">
        <f t="shared" ca="1" si="29"/>
        <v>29.248815784737168</v>
      </c>
      <c r="X31" s="2">
        <f t="shared" ca="1" si="30"/>
        <v>30.075788176016609</v>
      </c>
      <c r="Y31" s="2">
        <f t="shared" ca="1" si="31"/>
        <v>29.248815784737168</v>
      </c>
      <c r="Z31" s="2">
        <f t="shared" ca="1" si="32"/>
        <v>30.075788176016609</v>
      </c>
      <c r="AA31" s="2">
        <f t="shared" ca="1" si="33"/>
        <v>29.248815784737168</v>
      </c>
      <c r="AB31" s="2">
        <f t="shared" ca="1" si="34"/>
        <v>30.075788176016609</v>
      </c>
      <c r="AC31" s="2">
        <f t="shared" ca="1" si="6"/>
        <v>29.248815784737168</v>
      </c>
      <c r="AD31" s="2">
        <f t="shared" ca="1" si="7"/>
        <v>30.075788176016609</v>
      </c>
      <c r="AE31" s="2">
        <f t="shared" ca="1" si="8"/>
        <v>29.248815784737168</v>
      </c>
      <c r="AF31" s="2">
        <f t="shared" ca="1" si="9"/>
        <v>30.075788176016609</v>
      </c>
      <c r="AG31" s="2">
        <f t="shared" ca="1" si="10"/>
        <v>29.248815784737168</v>
      </c>
      <c r="AH31" s="2">
        <f t="shared" ca="1" si="11"/>
        <v>30.075788176016609</v>
      </c>
    </row>
    <row r="32" spans="1:34">
      <c r="A32" t="str">
        <f t="shared" si="35"/>
        <v>Maize</v>
      </c>
      <c r="B32" t="str">
        <f t="shared" si="36"/>
        <v>Oromia</v>
      </c>
      <c r="C32" s="2">
        <f t="shared" ca="1" si="37"/>
        <v>29.075553837638829</v>
      </c>
      <c r="D32" s="2">
        <f t="shared" ca="1" si="37"/>
        <v>33.989036293406045</v>
      </c>
      <c r="E32" s="2">
        <f t="shared" ca="1" si="5"/>
        <v>29.075553837638829</v>
      </c>
      <c r="F32" s="2">
        <f t="shared" ca="1" si="12"/>
        <v>33.989036293406045</v>
      </c>
      <c r="G32" s="2">
        <f t="shared" ca="1" si="13"/>
        <v>29.075553837638829</v>
      </c>
      <c r="H32" s="2">
        <f t="shared" ca="1" si="14"/>
        <v>33.989036293406045</v>
      </c>
      <c r="I32" s="2">
        <f t="shared" ca="1" si="15"/>
        <v>29.075553837638829</v>
      </c>
      <c r="J32" s="2">
        <f t="shared" ca="1" si="16"/>
        <v>33.989036293406045</v>
      </c>
      <c r="K32" s="2">
        <f t="shared" ca="1" si="17"/>
        <v>29.075553837638829</v>
      </c>
      <c r="L32" s="2">
        <f t="shared" ca="1" si="18"/>
        <v>33.989036293406045</v>
      </c>
      <c r="M32" s="2">
        <f t="shared" ca="1" si="19"/>
        <v>29.075553837638829</v>
      </c>
      <c r="N32" s="2">
        <f t="shared" ca="1" si="20"/>
        <v>33.989036293406045</v>
      </c>
      <c r="O32" s="2">
        <f t="shared" ca="1" si="21"/>
        <v>29.075553837638829</v>
      </c>
      <c r="P32" s="2">
        <f t="shared" ca="1" si="22"/>
        <v>33.989036293406045</v>
      </c>
      <c r="Q32" s="2">
        <f t="shared" ca="1" si="23"/>
        <v>29.075553837638829</v>
      </c>
      <c r="R32" s="2">
        <f t="shared" ca="1" si="24"/>
        <v>33.989036293406045</v>
      </c>
      <c r="S32" s="2">
        <f t="shared" ca="1" si="25"/>
        <v>29.075553837638829</v>
      </c>
      <c r="T32" s="2">
        <f t="shared" ca="1" si="26"/>
        <v>33.989036293406045</v>
      </c>
      <c r="U32" s="2">
        <f t="shared" ca="1" si="27"/>
        <v>29.075553837638829</v>
      </c>
      <c r="V32" s="2">
        <f t="shared" ca="1" si="28"/>
        <v>33.989036293406045</v>
      </c>
      <c r="W32" s="2">
        <f t="shared" ca="1" si="29"/>
        <v>29.075553837638829</v>
      </c>
      <c r="X32" s="2">
        <f t="shared" ca="1" si="30"/>
        <v>33.989036293406045</v>
      </c>
      <c r="Y32" s="2">
        <f t="shared" ca="1" si="31"/>
        <v>29.075553837638829</v>
      </c>
      <c r="Z32" s="2">
        <f t="shared" ca="1" si="32"/>
        <v>33.989036293406045</v>
      </c>
      <c r="AA32" s="2">
        <f t="shared" ca="1" si="33"/>
        <v>29.075553837638829</v>
      </c>
      <c r="AB32" s="2">
        <f t="shared" ca="1" si="34"/>
        <v>33.989036293406045</v>
      </c>
      <c r="AC32" s="2">
        <f t="shared" ca="1" si="6"/>
        <v>29.075553837638829</v>
      </c>
      <c r="AD32" s="2">
        <f t="shared" ca="1" si="7"/>
        <v>33.989036293406045</v>
      </c>
      <c r="AE32" s="2">
        <f t="shared" ca="1" si="8"/>
        <v>29.075553837638829</v>
      </c>
      <c r="AF32" s="2">
        <f t="shared" ca="1" si="9"/>
        <v>33.989036293406045</v>
      </c>
      <c r="AG32" s="2">
        <f t="shared" ca="1" si="10"/>
        <v>29.075553837638829</v>
      </c>
      <c r="AH32" s="2">
        <f t="shared" ca="1" si="11"/>
        <v>33.989036293406045</v>
      </c>
    </row>
    <row r="33" spans="1:34">
      <c r="A33" t="str">
        <f t="shared" si="35"/>
        <v>Maize</v>
      </c>
      <c r="B33" t="str">
        <f t="shared" si="36"/>
        <v>Somali</v>
      </c>
      <c r="C33" s="2">
        <f t="shared" ca="1" si="37"/>
        <v>25.439821625114941</v>
      </c>
      <c r="D33" s="2">
        <f t="shared" ca="1" si="37"/>
        <v>32.395933165117142</v>
      </c>
      <c r="E33" s="2">
        <f t="shared" ca="1" si="5"/>
        <v>25.439821625114941</v>
      </c>
      <c r="F33" s="2">
        <f t="shared" ca="1" si="12"/>
        <v>32.395933165117142</v>
      </c>
      <c r="G33" s="2">
        <f t="shared" ca="1" si="13"/>
        <v>25.439821625114941</v>
      </c>
      <c r="H33" s="2">
        <f t="shared" ca="1" si="14"/>
        <v>32.395933165117142</v>
      </c>
      <c r="I33" s="2">
        <f t="shared" ca="1" si="15"/>
        <v>25.439821625114941</v>
      </c>
      <c r="J33" s="2">
        <f t="shared" ca="1" si="16"/>
        <v>32.395933165117142</v>
      </c>
      <c r="K33" s="2">
        <f t="shared" ca="1" si="17"/>
        <v>25.439821625114941</v>
      </c>
      <c r="L33" s="2">
        <f t="shared" ca="1" si="18"/>
        <v>32.395933165117142</v>
      </c>
      <c r="M33" s="2">
        <f t="shared" ca="1" si="19"/>
        <v>25.439821625114941</v>
      </c>
      <c r="N33" s="2">
        <f t="shared" ca="1" si="20"/>
        <v>32.395933165117142</v>
      </c>
      <c r="O33" s="2">
        <f t="shared" ca="1" si="21"/>
        <v>25.439821625114941</v>
      </c>
      <c r="P33" s="2">
        <f t="shared" ca="1" si="22"/>
        <v>32.395933165117142</v>
      </c>
      <c r="Q33" s="2">
        <f t="shared" ca="1" si="23"/>
        <v>25.439821625114941</v>
      </c>
      <c r="R33" s="2">
        <f t="shared" ca="1" si="24"/>
        <v>32.395933165117142</v>
      </c>
      <c r="S33" s="2">
        <f t="shared" ca="1" si="25"/>
        <v>25.439821625114941</v>
      </c>
      <c r="T33" s="2">
        <f t="shared" ca="1" si="26"/>
        <v>32.395933165117142</v>
      </c>
      <c r="U33" s="2">
        <f t="shared" ca="1" si="27"/>
        <v>25.439821625114941</v>
      </c>
      <c r="V33" s="2">
        <f t="shared" ca="1" si="28"/>
        <v>32.395933165117142</v>
      </c>
      <c r="W33" s="2">
        <f t="shared" ca="1" si="29"/>
        <v>25.439821625114941</v>
      </c>
      <c r="X33" s="2">
        <f t="shared" ca="1" si="30"/>
        <v>32.395933165117142</v>
      </c>
      <c r="Y33" s="2">
        <f t="shared" ca="1" si="31"/>
        <v>25.439821625114941</v>
      </c>
      <c r="Z33" s="2">
        <f t="shared" ca="1" si="32"/>
        <v>32.395933165117142</v>
      </c>
      <c r="AA33" s="2">
        <f t="shared" ca="1" si="33"/>
        <v>25.439821625114941</v>
      </c>
      <c r="AB33" s="2">
        <f t="shared" ca="1" si="34"/>
        <v>32.395933165117142</v>
      </c>
      <c r="AC33" s="2">
        <f t="shared" ca="1" si="6"/>
        <v>25.439821625114941</v>
      </c>
      <c r="AD33" s="2">
        <f t="shared" ca="1" si="7"/>
        <v>32.395933165117142</v>
      </c>
      <c r="AE33" s="2">
        <f t="shared" ca="1" si="8"/>
        <v>25.439821625114941</v>
      </c>
      <c r="AF33" s="2">
        <f t="shared" ca="1" si="9"/>
        <v>32.395933165117142</v>
      </c>
      <c r="AG33" s="2">
        <f t="shared" ca="1" si="10"/>
        <v>25.439821625114941</v>
      </c>
      <c r="AH33" s="2">
        <f t="shared" ca="1" si="11"/>
        <v>32.395933165117142</v>
      </c>
    </row>
    <row r="34" spans="1:34">
      <c r="A34" t="str">
        <f t="shared" si="35"/>
        <v>Maize</v>
      </c>
      <c r="B34" t="str">
        <f t="shared" si="36"/>
        <v>SNNPR</v>
      </c>
      <c r="C34" s="2">
        <f t="shared" ca="1" si="37"/>
        <v>30.546175467847512</v>
      </c>
      <c r="D34" s="2">
        <f t="shared" ca="1" si="37"/>
        <v>30.753022391586811</v>
      </c>
      <c r="E34" s="2">
        <f t="shared" ca="1" si="5"/>
        <v>30.546175467847512</v>
      </c>
      <c r="F34" s="2">
        <f t="shared" ca="1" si="12"/>
        <v>30.753022391586811</v>
      </c>
      <c r="G34" s="2">
        <f t="shared" ca="1" si="13"/>
        <v>30.546175467847512</v>
      </c>
      <c r="H34" s="2">
        <f t="shared" ca="1" si="14"/>
        <v>30.753022391586811</v>
      </c>
      <c r="I34" s="2">
        <f t="shared" ca="1" si="15"/>
        <v>30.546175467847512</v>
      </c>
      <c r="J34" s="2">
        <f t="shared" ca="1" si="16"/>
        <v>30.753022391586811</v>
      </c>
      <c r="K34" s="2">
        <f t="shared" ca="1" si="17"/>
        <v>30.546175467847512</v>
      </c>
      <c r="L34" s="2">
        <f t="shared" ca="1" si="18"/>
        <v>30.753022391586811</v>
      </c>
      <c r="M34" s="2">
        <f t="shared" ca="1" si="19"/>
        <v>30.546175467847512</v>
      </c>
      <c r="N34" s="2">
        <f t="shared" ca="1" si="20"/>
        <v>30.753022391586811</v>
      </c>
      <c r="O34" s="2">
        <f t="shared" ca="1" si="21"/>
        <v>30.546175467847512</v>
      </c>
      <c r="P34" s="2">
        <f t="shared" ca="1" si="22"/>
        <v>30.753022391586811</v>
      </c>
      <c r="Q34" s="2">
        <f t="shared" ca="1" si="23"/>
        <v>30.546175467847512</v>
      </c>
      <c r="R34" s="2">
        <f t="shared" ca="1" si="24"/>
        <v>30.753022391586811</v>
      </c>
      <c r="S34" s="2">
        <f t="shared" ca="1" si="25"/>
        <v>30.546175467847512</v>
      </c>
      <c r="T34" s="2">
        <f t="shared" ca="1" si="26"/>
        <v>30.753022391586811</v>
      </c>
      <c r="U34" s="2">
        <f t="shared" ca="1" si="27"/>
        <v>30.546175467847512</v>
      </c>
      <c r="V34" s="2">
        <f t="shared" ca="1" si="28"/>
        <v>30.753022391586811</v>
      </c>
      <c r="W34" s="2">
        <f t="shared" ca="1" si="29"/>
        <v>30.546175467847512</v>
      </c>
      <c r="X34" s="2">
        <f t="shared" ca="1" si="30"/>
        <v>30.753022391586811</v>
      </c>
      <c r="Y34" s="2">
        <f t="shared" ca="1" si="31"/>
        <v>30.546175467847512</v>
      </c>
      <c r="Z34" s="2">
        <f t="shared" ca="1" si="32"/>
        <v>30.753022391586811</v>
      </c>
      <c r="AA34" s="2">
        <f t="shared" ca="1" si="33"/>
        <v>30.546175467847512</v>
      </c>
      <c r="AB34" s="2">
        <f t="shared" ca="1" si="34"/>
        <v>30.753022391586811</v>
      </c>
      <c r="AC34" s="2">
        <f t="shared" ca="1" si="6"/>
        <v>30.546175467847512</v>
      </c>
      <c r="AD34" s="2">
        <f t="shared" ca="1" si="7"/>
        <v>30.753022391586811</v>
      </c>
      <c r="AE34" s="2">
        <f t="shared" ca="1" si="8"/>
        <v>30.546175467847512</v>
      </c>
      <c r="AF34" s="2">
        <f t="shared" ca="1" si="9"/>
        <v>30.753022391586811</v>
      </c>
      <c r="AG34" s="2">
        <f t="shared" ca="1" si="10"/>
        <v>30.546175467847512</v>
      </c>
      <c r="AH34" s="2">
        <f t="shared" ca="1" si="11"/>
        <v>30.753022391586811</v>
      </c>
    </row>
    <row r="35" spans="1:34">
      <c r="A35" t="str">
        <f t="shared" si="35"/>
        <v>Maize</v>
      </c>
      <c r="B35" t="str">
        <f t="shared" si="36"/>
        <v>Tigray</v>
      </c>
      <c r="C35" s="2">
        <f t="shared" ca="1" si="37"/>
        <v>28.928226120277731</v>
      </c>
      <c r="D35" s="2">
        <f t="shared" ca="1" si="37"/>
        <v>30.069803058395536</v>
      </c>
      <c r="E35" s="2">
        <f t="shared" ca="1" si="5"/>
        <v>28.928226120277731</v>
      </c>
      <c r="F35" s="2">
        <f t="shared" ca="1" si="12"/>
        <v>30.069803058395536</v>
      </c>
      <c r="G35" s="2">
        <f t="shared" ca="1" si="13"/>
        <v>28.928226120277731</v>
      </c>
      <c r="H35" s="2">
        <f t="shared" ca="1" si="14"/>
        <v>30.069803058395536</v>
      </c>
      <c r="I35" s="2">
        <f t="shared" ca="1" si="15"/>
        <v>28.928226120277731</v>
      </c>
      <c r="J35" s="2">
        <f t="shared" ca="1" si="16"/>
        <v>30.069803058395536</v>
      </c>
      <c r="K35" s="2">
        <f t="shared" ca="1" si="17"/>
        <v>28.928226120277731</v>
      </c>
      <c r="L35" s="2">
        <f t="shared" ca="1" si="18"/>
        <v>30.069803058395536</v>
      </c>
      <c r="M35" s="2">
        <f t="shared" ca="1" si="19"/>
        <v>28.928226120277731</v>
      </c>
      <c r="N35" s="2">
        <f t="shared" ca="1" si="20"/>
        <v>30.069803058395536</v>
      </c>
      <c r="O35" s="2">
        <f t="shared" ca="1" si="21"/>
        <v>28.928226120277731</v>
      </c>
      <c r="P35" s="2">
        <f t="shared" ca="1" si="22"/>
        <v>30.069803058395536</v>
      </c>
      <c r="Q35" s="2">
        <f t="shared" ca="1" si="23"/>
        <v>28.928226120277731</v>
      </c>
      <c r="R35" s="2">
        <f t="shared" ca="1" si="24"/>
        <v>30.069803058395536</v>
      </c>
      <c r="S35" s="2">
        <f t="shared" ca="1" si="25"/>
        <v>28.928226120277731</v>
      </c>
      <c r="T35" s="2">
        <f t="shared" ca="1" si="26"/>
        <v>30.069803058395536</v>
      </c>
      <c r="U35" s="2">
        <f t="shared" ca="1" si="27"/>
        <v>28.928226120277731</v>
      </c>
      <c r="V35" s="2">
        <f t="shared" ca="1" si="28"/>
        <v>30.069803058395536</v>
      </c>
      <c r="W35" s="2">
        <f t="shared" ca="1" si="29"/>
        <v>28.928226120277731</v>
      </c>
      <c r="X35" s="2">
        <f t="shared" ca="1" si="30"/>
        <v>30.069803058395536</v>
      </c>
      <c r="Y35" s="2">
        <f t="shared" ca="1" si="31"/>
        <v>28.928226120277731</v>
      </c>
      <c r="Z35" s="2">
        <f t="shared" ca="1" si="32"/>
        <v>30.069803058395536</v>
      </c>
      <c r="AA35" s="2">
        <f t="shared" ca="1" si="33"/>
        <v>28.928226120277731</v>
      </c>
      <c r="AB35" s="2">
        <f t="shared" ca="1" si="34"/>
        <v>30.069803058395536</v>
      </c>
      <c r="AC35" s="2">
        <f t="shared" ca="1" si="6"/>
        <v>28.928226120277731</v>
      </c>
      <c r="AD35" s="2">
        <f t="shared" ca="1" si="7"/>
        <v>30.069803058395536</v>
      </c>
      <c r="AE35" s="2">
        <f t="shared" ca="1" si="8"/>
        <v>28.928226120277731</v>
      </c>
      <c r="AF35" s="2">
        <f t="shared" ca="1" si="9"/>
        <v>30.069803058395536</v>
      </c>
      <c r="AG35" s="2">
        <f t="shared" ca="1" si="10"/>
        <v>28.928226120277731</v>
      </c>
      <c r="AH35" s="2">
        <f t="shared" ca="1" si="11"/>
        <v>30.069803058395536</v>
      </c>
    </row>
    <row r="36" spans="1:34">
      <c r="A36" t="str">
        <f t="shared" si="35"/>
        <v>Lentils</v>
      </c>
      <c r="B36" t="str">
        <f t="shared" si="36"/>
        <v>AddisAbaba</v>
      </c>
      <c r="C36" s="2">
        <f t="shared" ca="1" si="37"/>
        <v>33.686939870408303</v>
      </c>
      <c r="D36" s="2">
        <f t="shared" ca="1" si="37"/>
        <v>32.993582999105932</v>
      </c>
      <c r="E36" s="2">
        <f t="shared" ca="1" si="5"/>
        <v>33.686939870408303</v>
      </c>
      <c r="F36" s="2">
        <f t="shared" ca="1" si="12"/>
        <v>32.993582999105932</v>
      </c>
      <c r="G36" s="2">
        <f t="shared" ca="1" si="13"/>
        <v>33.686939870408303</v>
      </c>
      <c r="H36" s="2">
        <f t="shared" ca="1" si="14"/>
        <v>32.993582999105932</v>
      </c>
      <c r="I36" s="2">
        <f t="shared" ca="1" si="15"/>
        <v>33.686939870408303</v>
      </c>
      <c r="J36" s="2">
        <f t="shared" ca="1" si="16"/>
        <v>32.993582999105932</v>
      </c>
      <c r="K36" s="2">
        <f t="shared" ca="1" si="17"/>
        <v>33.686939870408303</v>
      </c>
      <c r="L36" s="2">
        <f t="shared" ca="1" si="18"/>
        <v>32.993582999105932</v>
      </c>
      <c r="M36" s="2">
        <f t="shared" ca="1" si="19"/>
        <v>33.686939870408303</v>
      </c>
      <c r="N36" s="2">
        <f t="shared" ca="1" si="20"/>
        <v>32.993582999105932</v>
      </c>
      <c r="O36" s="2">
        <f t="shared" ca="1" si="21"/>
        <v>33.686939870408303</v>
      </c>
      <c r="P36" s="2">
        <f t="shared" ca="1" si="22"/>
        <v>32.993582999105932</v>
      </c>
      <c r="Q36" s="2">
        <f t="shared" ca="1" si="23"/>
        <v>33.686939870408303</v>
      </c>
      <c r="R36" s="2">
        <f t="shared" ca="1" si="24"/>
        <v>32.993582999105932</v>
      </c>
      <c r="S36" s="2">
        <f t="shared" ca="1" si="25"/>
        <v>33.686939870408303</v>
      </c>
      <c r="T36" s="2">
        <f t="shared" ca="1" si="26"/>
        <v>32.993582999105932</v>
      </c>
      <c r="U36" s="2">
        <f t="shared" ca="1" si="27"/>
        <v>33.686939870408303</v>
      </c>
      <c r="V36" s="2">
        <f t="shared" ca="1" si="28"/>
        <v>32.993582999105932</v>
      </c>
      <c r="W36" s="2">
        <f t="shared" ca="1" si="29"/>
        <v>33.686939870408303</v>
      </c>
      <c r="X36" s="2">
        <f t="shared" ca="1" si="30"/>
        <v>32.993582999105932</v>
      </c>
      <c r="Y36" s="2">
        <f t="shared" ca="1" si="31"/>
        <v>33.686939870408303</v>
      </c>
      <c r="Z36" s="2">
        <f t="shared" ca="1" si="32"/>
        <v>32.993582999105932</v>
      </c>
      <c r="AA36" s="2">
        <f t="shared" ca="1" si="33"/>
        <v>33.686939870408303</v>
      </c>
      <c r="AB36" s="2">
        <f t="shared" ca="1" si="34"/>
        <v>32.993582999105932</v>
      </c>
      <c r="AC36" s="2">
        <f t="shared" ca="1" si="6"/>
        <v>33.686939870408303</v>
      </c>
      <c r="AD36" s="2">
        <f t="shared" ca="1" si="7"/>
        <v>32.993582999105932</v>
      </c>
      <c r="AE36" s="2">
        <f t="shared" ca="1" si="8"/>
        <v>33.686939870408303</v>
      </c>
      <c r="AF36" s="2">
        <f t="shared" ca="1" si="9"/>
        <v>32.993582999105932</v>
      </c>
      <c r="AG36" s="2">
        <f t="shared" ca="1" si="10"/>
        <v>33.686939870408303</v>
      </c>
      <c r="AH36" s="2">
        <f t="shared" ca="1" si="11"/>
        <v>32.993582999105932</v>
      </c>
    </row>
    <row r="37" spans="1:34">
      <c r="A37" t="str">
        <f t="shared" si="35"/>
        <v>Lentils</v>
      </c>
      <c r="B37" t="str">
        <f t="shared" si="36"/>
        <v>Afar</v>
      </c>
      <c r="C37" s="2">
        <f t="shared" ca="1" si="37"/>
        <v>33.666100142819168</v>
      </c>
      <c r="D37" s="2">
        <f t="shared" ca="1" si="37"/>
        <v>27.02891972658399</v>
      </c>
      <c r="E37" s="2">
        <f t="shared" ca="1" si="5"/>
        <v>33.666100142819168</v>
      </c>
      <c r="F37" s="2">
        <f t="shared" ca="1" si="12"/>
        <v>27.02891972658399</v>
      </c>
      <c r="G37" s="2">
        <f t="shared" ca="1" si="13"/>
        <v>33.666100142819168</v>
      </c>
      <c r="H37" s="2">
        <f t="shared" ca="1" si="14"/>
        <v>27.02891972658399</v>
      </c>
      <c r="I37" s="2">
        <f t="shared" ca="1" si="15"/>
        <v>33.666100142819168</v>
      </c>
      <c r="J37" s="2">
        <f t="shared" ca="1" si="16"/>
        <v>27.02891972658399</v>
      </c>
      <c r="K37" s="2">
        <f t="shared" ca="1" si="17"/>
        <v>33.666100142819168</v>
      </c>
      <c r="L37" s="2">
        <f t="shared" ca="1" si="18"/>
        <v>27.02891972658399</v>
      </c>
      <c r="M37" s="2">
        <f t="shared" ca="1" si="19"/>
        <v>33.666100142819168</v>
      </c>
      <c r="N37" s="2">
        <f t="shared" ca="1" si="20"/>
        <v>27.02891972658399</v>
      </c>
      <c r="O37" s="2">
        <f t="shared" ca="1" si="21"/>
        <v>33.666100142819168</v>
      </c>
      <c r="P37" s="2">
        <f t="shared" ca="1" si="22"/>
        <v>27.02891972658399</v>
      </c>
      <c r="Q37" s="2">
        <f t="shared" ca="1" si="23"/>
        <v>33.666100142819168</v>
      </c>
      <c r="R37" s="2">
        <f t="shared" ca="1" si="24"/>
        <v>27.02891972658399</v>
      </c>
      <c r="S37" s="2">
        <f t="shared" ca="1" si="25"/>
        <v>33.666100142819168</v>
      </c>
      <c r="T37" s="2">
        <f t="shared" ca="1" si="26"/>
        <v>27.02891972658399</v>
      </c>
      <c r="U37" s="2">
        <f t="shared" ca="1" si="27"/>
        <v>33.666100142819168</v>
      </c>
      <c r="V37" s="2">
        <f t="shared" ca="1" si="28"/>
        <v>27.02891972658399</v>
      </c>
      <c r="W37" s="2">
        <f t="shared" ca="1" si="29"/>
        <v>33.666100142819168</v>
      </c>
      <c r="X37" s="2">
        <f t="shared" ca="1" si="30"/>
        <v>27.02891972658399</v>
      </c>
      <c r="Y37" s="2">
        <f t="shared" ca="1" si="31"/>
        <v>33.666100142819168</v>
      </c>
      <c r="Z37" s="2">
        <f t="shared" ca="1" si="32"/>
        <v>27.02891972658399</v>
      </c>
      <c r="AA37" s="2">
        <f t="shared" ca="1" si="33"/>
        <v>33.666100142819168</v>
      </c>
      <c r="AB37" s="2">
        <f t="shared" ca="1" si="34"/>
        <v>27.02891972658399</v>
      </c>
      <c r="AC37" s="2">
        <f t="shared" ca="1" si="6"/>
        <v>33.666100142819168</v>
      </c>
      <c r="AD37" s="2">
        <f t="shared" ca="1" si="7"/>
        <v>27.02891972658399</v>
      </c>
      <c r="AE37" s="2">
        <f t="shared" ca="1" si="8"/>
        <v>33.666100142819168</v>
      </c>
      <c r="AF37" s="2">
        <f t="shared" ca="1" si="9"/>
        <v>27.02891972658399</v>
      </c>
      <c r="AG37" s="2">
        <f t="shared" ca="1" si="10"/>
        <v>33.666100142819168</v>
      </c>
      <c r="AH37" s="2">
        <f t="shared" ca="1" si="11"/>
        <v>27.02891972658399</v>
      </c>
    </row>
    <row r="38" spans="1:34">
      <c r="A38" t="str">
        <f t="shared" si="35"/>
        <v>Lentils</v>
      </c>
      <c r="B38" t="str">
        <f t="shared" si="36"/>
        <v>Amhara</v>
      </c>
      <c r="C38" s="2">
        <f t="shared" ca="1" si="37"/>
        <v>29.875884117615151</v>
      </c>
      <c r="D38" s="2">
        <f t="shared" ca="1" si="37"/>
        <v>26.489179971555327</v>
      </c>
      <c r="E38" s="2">
        <f t="shared" ca="1" si="5"/>
        <v>29.875884117615151</v>
      </c>
      <c r="F38" s="2">
        <f t="shared" ca="1" si="12"/>
        <v>26.489179971555327</v>
      </c>
      <c r="G38" s="2">
        <f t="shared" ca="1" si="13"/>
        <v>29.875884117615151</v>
      </c>
      <c r="H38" s="2">
        <f t="shared" ca="1" si="14"/>
        <v>26.489179971555327</v>
      </c>
      <c r="I38" s="2">
        <f t="shared" ca="1" si="15"/>
        <v>29.875884117615151</v>
      </c>
      <c r="J38" s="2">
        <f t="shared" ca="1" si="16"/>
        <v>26.489179971555327</v>
      </c>
      <c r="K38" s="2">
        <f t="shared" ca="1" si="17"/>
        <v>29.875884117615151</v>
      </c>
      <c r="L38" s="2">
        <f t="shared" ca="1" si="18"/>
        <v>26.489179971555327</v>
      </c>
      <c r="M38" s="2">
        <f t="shared" ca="1" si="19"/>
        <v>29.875884117615151</v>
      </c>
      <c r="N38" s="2">
        <f t="shared" ca="1" si="20"/>
        <v>26.489179971555327</v>
      </c>
      <c r="O38" s="2">
        <f t="shared" ca="1" si="21"/>
        <v>29.875884117615151</v>
      </c>
      <c r="P38" s="2">
        <f t="shared" ca="1" si="22"/>
        <v>26.489179971555327</v>
      </c>
      <c r="Q38" s="2">
        <f t="shared" ca="1" si="23"/>
        <v>29.875884117615151</v>
      </c>
      <c r="R38" s="2">
        <f t="shared" ca="1" si="24"/>
        <v>26.489179971555327</v>
      </c>
      <c r="S38" s="2">
        <f t="shared" ca="1" si="25"/>
        <v>29.875884117615151</v>
      </c>
      <c r="T38" s="2">
        <f t="shared" ca="1" si="26"/>
        <v>26.489179971555327</v>
      </c>
      <c r="U38" s="2">
        <f t="shared" ca="1" si="27"/>
        <v>29.875884117615151</v>
      </c>
      <c r="V38" s="2">
        <f t="shared" ca="1" si="28"/>
        <v>26.489179971555327</v>
      </c>
      <c r="W38" s="2">
        <f t="shared" ca="1" si="29"/>
        <v>29.875884117615151</v>
      </c>
      <c r="X38" s="2">
        <f t="shared" ca="1" si="30"/>
        <v>26.489179971555327</v>
      </c>
      <c r="Y38" s="2">
        <f t="shared" ca="1" si="31"/>
        <v>29.875884117615151</v>
      </c>
      <c r="Z38" s="2">
        <f t="shared" ca="1" si="32"/>
        <v>26.489179971555327</v>
      </c>
      <c r="AA38" s="2">
        <f t="shared" ca="1" si="33"/>
        <v>29.875884117615151</v>
      </c>
      <c r="AB38" s="2">
        <f t="shared" ca="1" si="34"/>
        <v>26.489179971555327</v>
      </c>
      <c r="AC38" s="2">
        <f t="shared" ca="1" si="6"/>
        <v>29.875884117615151</v>
      </c>
      <c r="AD38" s="2">
        <f t="shared" ca="1" si="7"/>
        <v>26.489179971555327</v>
      </c>
      <c r="AE38" s="2">
        <f t="shared" ca="1" si="8"/>
        <v>29.875884117615151</v>
      </c>
      <c r="AF38" s="2">
        <f t="shared" ca="1" si="9"/>
        <v>26.489179971555327</v>
      </c>
      <c r="AG38" s="2">
        <f t="shared" ca="1" si="10"/>
        <v>29.875884117615151</v>
      </c>
      <c r="AH38" s="2">
        <f t="shared" ca="1" si="11"/>
        <v>26.489179971555327</v>
      </c>
    </row>
    <row r="39" spans="1:34">
      <c r="A39" t="str">
        <f t="shared" si="35"/>
        <v>Lentils</v>
      </c>
      <c r="B39" t="str">
        <f t="shared" si="36"/>
        <v>Gumuz</v>
      </c>
      <c r="C39" s="2">
        <f t="shared" ca="1" si="37"/>
        <v>33.132912418706496</v>
      </c>
      <c r="D39" s="2">
        <f t="shared" ca="1" si="37"/>
        <v>27.185662441514879</v>
      </c>
      <c r="E39" s="2">
        <f t="shared" ca="1" si="5"/>
        <v>33.132912418706496</v>
      </c>
      <c r="F39" s="2">
        <f t="shared" ca="1" si="12"/>
        <v>27.185662441514879</v>
      </c>
      <c r="G39" s="2">
        <f t="shared" ca="1" si="13"/>
        <v>33.132912418706496</v>
      </c>
      <c r="H39" s="2">
        <f t="shared" ca="1" si="14"/>
        <v>27.185662441514879</v>
      </c>
      <c r="I39" s="2">
        <f t="shared" ca="1" si="15"/>
        <v>33.132912418706496</v>
      </c>
      <c r="J39" s="2">
        <f t="shared" ca="1" si="16"/>
        <v>27.185662441514879</v>
      </c>
      <c r="K39" s="2">
        <f t="shared" ca="1" si="17"/>
        <v>33.132912418706496</v>
      </c>
      <c r="L39" s="2">
        <f t="shared" ca="1" si="18"/>
        <v>27.185662441514879</v>
      </c>
      <c r="M39" s="2">
        <f t="shared" ca="1" si="19"/>
        <v>33.132912418706496</v>
      </c>
      <c r="N39" s="2">
        <f t="shared" ca="1" si="20"/>
        <v>27.185662441514879</v>
      </c>
      <c r="O39" s="2">
        <f t="shared" ca="1" si="21"/>
        <v>33.132912418706496</v>
      </c>
      <c r="P39" s="2">
        <f t="shared" ca="1" si="22"/>
        <v>27.185662441514879</v>
      </c>
      <c r="Q39" s="2">
        <f t="shared" ca="1" si="23"/>
        <v>33.132912418706496</v>
      </c>
      <c r="R39" s="2">
        <f t="shared" ca="1" si="24"/>
        <v>27.185662441514879</v>
      </c>
      <c r="S39" s="2">
        <f t="shared" ca="1" si="25"/>
        <v>33.132912418706496</v>
      </c>
      <c r="T39" s="2">
        <f t="shared" ca="1" si="26"/>
        <v>27.185662441514879</v>
      </c>
      <c r="U39" s="2">
        <f t="shared" ca="1" si="27"/>
        <v>33.132912418706496</v>
      </c>
      <c r="V39" s="2">
        <f t="shared" ca="1" si="28"/>
        <v>27.185662441514879</v>
      </c>
      <c r="W39" s="2">
        <f t="shared" ca="1" si="29"/>
        <v>33.132912418706496</v>
      </c>
      <c r="X39" s="2">
        <f t="shared" ca="1" si="30"/>
        <v>27.185662441514879</v>
      </c>
      <c r="Y39" s="2">
        <f t="shared" ca="1" si="31"/>
        <v>33.132912418706496</v>
      </c>
      <c r="Z39" s="2">
        <f t="shared" ca="1" si="32"/>
        <v>27.185662441514879</v>
      </c>
      <c r="AA39" s="2">
        <f t="shared" ca="1" si="33"/>
        <v>33.132912418706496</v>
      </c>
      <c r="AB39" s="2">
        <f t="shared" ca="1" si="34"/>
        <v>27.185662441514879</v>
      </c>
      <c r="AC39" s="2">
        <f t="shared" ca="1" si="6"/>
        <v>33.132912418706496</v>
      </c>
      <c r="AD39" s="2">
        <f t="shared" ca="1" si="7"/>
        <v>27.185662441514879</v>
      </c>
      <c r="AE39" s="2">
        <f t="shared" ca="1" si="8"/>
        <v>33.132912418706496</v>
      </c>
      <c r="AF39" s="2">
        <f t="shared" ca="1" si="9"/>
        <v>27.185662441514879</v>
      </c>
      <c r="AG39" s="2">
        <f t="shared" ca="1" si="10"/>
        <v>33.132912418706496</v>
      </c>
      <c r="AH39" s="2">
        <f t="shared" ca="1" si="11"/>
        <v>27.185662441514879</v>
      </c>
    </row>
    <row r="40" spans="1:34">
      <c r="A40" t="str">
        <f t="shared" si="35"/>
        <v>Lentils</v>
      </c>
      <c r="B40" t="str">
        <f t="shared" si="36"/>
        <v>DireDawa</v>
      </c>
      <c r="C40" s="2">
        <f t="shared" ca="1" si="37"/>
        <v>26.015938683010205</v>
      </c>
      <c r="D40" s="2">
        <f t="shared" ca="1" si="37"/>
        <v>31.926585911608107</v>
      </c>
      <c r="E40" s="2">
        <f t="shared" ca="1" si="5"/>
        <v>26.015938683010205</v>
      </c>
      <c r="F40" s="2">
        <f t="shared" ca="1" si="12"/>
        <v>31.926585911608107</v>
      </c>
      <c r="G40" s="2">
        <f t="shared" ca="1" si="13"/>
        <v>26.015938683010205</v>
      </c>
      <c r="H40" s="2">
        <f t="shared" ca="1" si="14"/>
        <v>31.926585911608107</v>
      </c>
      <c r="I40" s="2">
        <f t="shared" ca="1" si="15"/>
        <v>26.015938683010205</v>
      </c>
      <c r="J40" s="2">
        <f t="shared" ca="1" si="16"/>
        <v>31.926585911608107</v>
      </c>
      <c r="K40" s="2">
        <f t="shared" ca="1" si="17"/>
        <v>26.015938683010205</v>
      </c>
      <c r="L40" s="2">
        <f t="shared" ca="1" si="18"/>
        <v>31.926585911608107</v>
      </c>
      <c r="M40" s="2">
        <f t="shared" ca="1" si="19"/>
        <v>26.015938683010205</v>
      </c>
      <c r="N40" s="2">
        <f t="shared" ca="1" si="20"/>
        <v>31.926585911608107</v>
      </c>
      <c r="O40" s="2">
        <f t="shared" ca="1" si="21"/>
        <v>26.015938683010205</v>
      </c>
      <c r="P40" s="2">
        <f t="shared" ca="1" si="22"/>
        <v>31.926585911608107</v>
      </c>
      <c r="Q40" s="2">
        <f t="shared" ca="1" si="23"/>
        <v>26.015938683010205</v>
      </c>
      <c r="R40" s="2">
        <f t="shared" ca="1" si="24"/>
        <v>31.926585911608107</v>
      </c>
      <c r="S40" s="2">
        <f t="shared" ca="1" si="25"/>
        <v>26.015938683010205</v>
      </c>
      <c r="T40" s="2">
        <f t="shared" ca="1" si="26"/>
        <v>31.926585911608107</v>
      </c>
      <c r="U40" s="2">
        <f t="shared" ca="1" si="27"/>
        <v>26.015938683010205</v>
      </c>
      <c r="V40" s="2">
        <f t="shared" ca="1" si="28"/>
        <v>31.926585911608107</v>
      </c>
      <c r="W40" s="2">
        <f t="shared" ca="1" si="29"/>
        <v>26.015938683010205</v>
      </c>
      <c r="X40" s="2">
        <f t="shared" ca="1" si="30"/>
        <v>31.926585911608107</v>
      </c>
      <c r="Y40" s="2">
        <f t="shared" ca="1" si="31"/>
        <v>26.015938683010205</v>
      </c>
      <c r="Z40" s="2">
        <f t="shared" ca="1" si="32"/>
        <v>31.926585911608107</v>
      </c>
      <c r="AA40" s="2">
        <f t="shared" ca="1" si="33"/>
        <v>26.015938683010205</v>
      </c>
      <c r="AB40" s="2">
        <f t="shared" ca="1" si="34"/>
        <v>31.926585911608107</v>
      </c>
      <c r="AC40" s="2">
        <f t="shared" ca="1" si="6"/>
        <v>26.015938683010205</v>
      </c>
      <c r="AD40" s="2">
        <f t="shared" ca="1" si="7"/>
        <v>31.926585911608107</v>
      </c>
      <c r="AE40" s="2">
        <f t="shared" ca="1" si="8"/>
        <v>26.015938683010205</v>
      </c>
      <c r="AF40" s="2">
        <f t="shared" ca="1" si="9"/>
        <v>31.926585911608107</v>
      </c>
      <c r="AG40" s="2">
        <f t="shared" ca="1" si="10"/>
        <v>26.015938683010205</v>
      </c>
      <c r="AH40" s="2">
        <f t="shared" ca="1" si="11"/>
        <v>31.926585911608107</v>
      </c>
    </row>
    <row r="41" spans="1:34">
      <c r="A41" t="str">
        <f t="shared" si="35"/>
        <v>Lentils</v>
      </c>
      <c r="B41" t="str">
        <f t="shared" si="36"/>
        <v>Gambela</v>
      </c>
      <c r="C41" s="2">
        <f t="shared" ca="1" si="37"/>
        <v>27.026054540264393</v>
      </c>
      <c r="D41" s="2">
        <f t="shared" ca="1" si="37"/>
        <v>25.092039618515514</v>
      </c>
      <c r="E41" s="2">
        <f t="shared" ca="1" si="5"/>
        <v>27.026054540264393</v>
      </c>
      <c r="F41" s="2">
        <f t="shared" ca="1" si="12"/>
        <v>25.092039618515514</v>
      </c>
      <c r="G41" s="2">
        <f t="shared" ca="1" si="13"/>
        <v>27.026054540264393</v>
      </c>
      <c r="H41" s="2">
        <f t="shared" ca="1" si="14"/>
        <v>25.092039618515514</v>
      </c>
      <c r="I41" s="2">
        <f t="shared" ca="1" si="15"/>
        <v>27.026054540264393</v>
      </c>
      <c r="J41" s="2">
        <f t="shared" ca="1" si="16"/>
        <v>25.092039618515514</v>
      </c>
      <c r="K41" s="2">
        <f t="shared" ca="1" si="17"/>
        <v>27.026054540264393</v>
      </c>
      <c r="L41" s="2">
        <f t="shared" ca="1" si="18"/>
        <v>25.092039618515514</v>
      </c>
      <c r="M41" s="2">
        <f t="shared" ca="1" si="19"/>
        <v>27.026054540264393</v>
      </c>
      <c r="N41" s="2">
        <f t="shared" ca="1" si="20"/>
        <v>25.092039618515514</v>
      </c>
      <c r="O41" s="2">
        <f t="shared" ca="1" si="21"/>
        <v>27.026054540264393</v>
      </c>
      <c r="P41" s="2">
        <f t="shared" ca="1" si="22"/>
        <v>25.092039618515514</v>
      </c>
      <c r="Q41" s="2">
        <f t="shared" ca="1" si="23"/>
        <v>27.026054540264393</v>
      </c>
      <c r="R41" s="2">
        <f t="shared" ca="1" si="24"/>
        <v>25.092039618515514</v>
      </c>
      <c r="S41" s="2">
        <f t="shared" ca="1" si="25"/>
        <v>27.026054540264393</v>
      </c>
      <c r="T41" s="2">
        <f t="shared" ca="1" si="26"/>
        <v>25.092039618515514</v>
      </c>
      <c r="U41" s="2">
        <f t="shared" ca="1" si="27"/>
        <v>27.026054540264393</v>
      </c>
      <c r="V41" s="2">
        <f t="shared" ca="1" si="28"/>
        <v>25.092039618515514</v>
      </c>
      <c r="W41" s="2">
        <f t="shared" ca="1" si="29"/>
        <v>27.026054540264393</v>
      </c>
      <c r="X41" s="2">
        <f t="shared" ca="1" si="30"/>
        <v>25.092039618515514</v>
      </c>
      <c r="Y41" s="2">
        <f t="shared" ca="1" si="31"/>
        <v>27.026054540264393</v>
      </c>
      <c r="Z41" s="2">
        <f t="shared" ca="1" si="32"/>
        <v>25.092039618515514</v>
      </c>
      <c r="AA41" s="2">
        <f t="shared" ca="1" si="33"/>
        <v>27.026054540264393</v>
      </c>
      <c r="AB41" s="2">
        <f t="shared" ca="1" si="34"/>
        <v>25.092039618515514</v>
      </c>
      <c r="AC41" s="2">
        <f t="shared" ca="1" si="6"/>
        <v>27.026054540264393</v>
      </c>
      <c r="AD41" s="2">
        <f t="shared" ca="1" si="7"/>
        <v>25.092039618515514</v>
      </c>
      <c r="AE41" s="2">
        <f t="shared" ca="1" si="8"/>
        <v>27.026054540264393</v>
      </c>
      <c r="AF41" s="2">
        <f t="shared" ca="1" si="9"/>
        <v>25.092039618515514</v>
      </c>
      <c r="AG41" s="2">
        <f t="shared" ca="1" si="10"/>
        <v>27.026054540264393</v>
      </c>
      <c r="AH41" s="2">
        <f t="shared" ca="1" si="11"/>
        <v>25.092039618515514</v>
      </c>
    </row>
    <row r="42" spans="1:34">
      <c r="A42" t="str">
        <f t="shared" si="35"/>
        <v>Lentils</v>
      </c>
      <c r="B42" t="str">
        <f t="shared" si="36"/>
        <v>Harari</v>
      </c>
      <c r="C42" s="2">
        <f t="shared" ca="1" si="37"/>
        <v>28.135103543118511</v>
      </c>
      <c r="D42" s="2">
        <f t="shared" ca="1" si="37"/>
        <v>26.959206985965345</v>
      </c>
      <c r="E42" s="2">
        <f t="shared" ca="1" si="5"/>
        <v>28.135103543118511</v>
      </c>
      <c r="F42" s="2">
        <f t="shared" ca="1" si="12"/>
        <v>26.959206985965345</v>
      </c>
      <c r="G42" s="2">
        <f t="shared" ca="1" si="13"/>
        <v>28.135103543118511</v>
      </c>
      <c r="H42" s="2">
        <f t="shared" ca="1" si="14"/>
        <v>26.959206985965345</v>
      </c>
      <c r="I42" s="2">
        <f t="shared" ca="1" si="15"/>
        <v>28.135103543118511</v>
      </c>
      <c r="J42" s="2">
        <f t="shared" ca="1" si="16"/>
        <v>26.959206985965345</v>
      </c>
      <c r="K42" s="2">
        <f t="shared" ca="1" si="17"/>
        <v>28.135103543118511</v>
      </c>
      <c r="L42" s="2">
        <f t="shared" ca="1" si="18"/>
        <v>26.959206985965345</v>
      </c>
      <c r="M42" s="2">
        <f t="shared" ca="1" si="19"/>
        <v>28.135103543118511</v>
      </c>
      <c r="N42" s="2">
        <f t="shared" ca="1" si="20"/>
        <v>26.959206985965345</v>
      </c>
      <c r="O42" s="2">
        <f t="shared" ca="1" si="21"/>
        <v>28.135103543118511</v>
      </c>
      <c r="P42" s="2">
        <f t="shared" ca="1" si="22"/>
        <v>26.959206985965345</v>
      </c>
      <c r="Q42" s="2">
        <f t="shared" ca="1" si="23"/>
        <v>28.135103543118511</v>
      </c>
      <c r="R42" s="2">
        <f t="shared" ca="1" si="24"/>
        <v>26.959206985965345</v>
      </c>
      <c r="S42" s="2">
        <f t="shared" ca="1" si="25"/>
        <v>28.135103543118511</v>
      </c>
      <c r="T42" s="2">
        <f t="shared" ca="1" si="26"/>
        <v>26.959206985965345</v>
      </c>
      <c r="U42" s="2">
        <f t="shared" ca="1" si="27"/>
        <v>28.135103543118511</v>
      </c>
      <c r="V42" s="2">
        <f t="shared" ca="1" si="28"/>
        <v>26.959206985965345</v>
      </c>
      <c r="W42" s="2">
        <f t="shared" ca="1" si="29"/>
        <v>28.135103543118511</v>
      </c>
      <c r="X42" s="2">
        <f t="shared" ca="1" si="30"/>
        <v>26.959206985965345</v>
      </c>
      <c r="Y42" s="2">
        <f t="shared" ca="1" si="31"/>
        <v>28.135103543118511</v>
      </c>
      <c r="Z42" s="2">
        <f t="shared" ca="1" si="32"/>
        <v>26.959206985965345</v>
      </c>
      <c r="AA42" s="2">
        <f t="shared" ca="1" si="33"/>
        <v>28.135103543118511</v>
      </c>
      <c r="AB42" s="2">
        <f t="shared" ca="1" si="34"/>
        <v>26.959206985965345</v>
      </c>
      <c r="AC42" s="2">
        <f t="shared" ca="1" si="6"/>
        <v>28.135103543118511</v>
      </c>
      <c r="AD42" s="2">
        <f t="shared" ca="1" si="7"/>
        <v>26.959206985965345</v>
      </c>
      <c r="AE42" s="2">
        <f t="shared" ca="1" si="8"/>
        <v>28.135103543118511</v>
      </c>
      <c r="AF42" s="2">
        <f t="shared" ca="1" si="9"/>
        <v>26.959206985965345</v>
      </c>
      <c r="AG42" s="2">
        <f t="shared" ca="1" si="10"/>
        <v>28.135103543118511</v>
      </c>
      <c r="AH42" s="2">
        <f t="shared" ca="1" si="11"/>
        <v>26.959206985965345</v>
      </c>
    </row>
    <row r="43" spans="1:34">
      <c r="A43" t="str">
        <f t="shared" si="35"/>
        <v>Lentils</v>
      </c>
      <c r="B43" t="str">
        <f t="shared" si="36"/>
        <v>Oromia</v>
      </c>
      <c r="C43" s="2">
        <f t="shared" ca="1" si="37"/>
        <v>30.459641679384323</v>
      </c>
      <c r="D43" s="2">
        <f t="shared" ref="D43:D51" ca="1" si="38">(RAND()*1+2.5)*10</f>
        <v>34.92695538143942</v>
      </c>
      <c r="E43" s="2">
        <f t="shared" ca="1" si="5"/>
        <v>30.459641679384323</v>
      </c>
      <c r="F43" s="2">
        <f t="shared" ca="1" si="12"/>
        <v>34.92695538143942</v>
      </c>
      <c r="G43" s="2">
        <f t="shared" ca="1" si="13"/>
        <v>30.459641679384323</v>
      </c>
      <c r="H43" s="2">
        <f t="shared" ca="1" si="14"/>
        <v>34.92695538143942</v>
      </c>
      <c r="I43" s="2">
        <f t="shared" ca="1" si="15"/>
        <v>30.459641679384323</v>
      </c>
      <c r="J43" s="2">
        <f t="shared" ca="1" si="16"/>
        <v>34.92695538143942</v>
      </c>
      <c r="K43" s="2">
        <f t="shared" ca="1" si="17"/>
        <v>30.459641679384323</v>
      </c>
      <c r="L43" s="2">
        <f t="shared" ca="1" si="18"/>
        <v>34.92695538143942</v>
      </c>
      <c r="M43" s="2">
        <f t="shared" ca="1" si="19"/>
        <v>30.459641679384323</v>
      </c>
      <c r="N43" s="2">
        <f t="shared" ca="1" si="20"/>
        <v>34.92695538143942</v>
      </c>
      <c r="O43" s="2">
        <f t="shared" ca="1" si="21"/>
        <v>30.459641679384323</v>
      </c>
      <c r="P43" s="2">
        <f t="shared" ca="1" si="22"/>
        <v>34.92695538143942</v>
      </c>
      <c r="Q43" s="2">
        <f t="shared" ca="1" si="23"/>
        <v>30.459641679384323</v>
      </c>
      <c r="R43" s="2">
        <f t="shared" ca="1" si="24"/>
        <v>34.92695538143942</v>
      </c>
      <c r="S43" s="2">
        <f t="shared" ca="1" si="25"/>
        <v>30.459641679384323</v>
      </c>
      <c r="T43" s="2">
        <f t="shared" ca="1" si="26"/>
        <v>34.92695538143942</v>
      </c>
      <c r="U43" s="2">
        <f t="shared" ca="1" si="27"/>
        <v>30.459641679384323</v>
      </c>
      <c r="V43" s="2">
        <f t="shared" ca="1" si="28"/>
        <v>34.92695538143942</v>
      </c>
      <c r="W43" s="2">
        <f t="shared" ca="1" si="29"/>
        <v>30.459641679384323</v>
      </c>
      <c r="X43" s="2">
        <f t="shared" ca="1" si="30"/>
        <v>34.92695538143942</v>
      </c>
      <c r="Y43" s="2">
        <f t="shared" ca="1" si="31"/>
        <v>30.459641679384323</v>
      </c>
      <c r="Z43" s="2">
        <f t="shared" ca="1" si="32"/>
        <v>34.92695538143942</v>
      </c>
      <c r="AA43" s="2">
        <f t="shared" ca="1" si="33"/>
        <v>30.459641679384323</v>
      </c>
      <c r="AB43" s="2">
        <f t="shared" ca="1" si="34"/>
        <v>34.92695538143942</v>
      </c>
      <c r="AC43" s="2">
        <f t="shared" ca="1" si="6"/>
        <v>30.459641679384323</v>
      </c>
      <c r="AD43" s="2">
        <f t="shared" ca="1" si="7"/>
        <v>34.92695538143942</v>
      </c>
      <c r="AE43" s="2">
        <f t="shared" ca="1" si="8"/>
        <v>30.459641679384323</v>
      </c>
      <c r="AF43" s="2">
        <f t="shared" ca="1" si="9"/>
        <v>34.92695538143942</v>
      </c>
      <c r="AG43" s="2">
        <f t="shared" ca="1" si="10"/>
        <v>30.459641679384323</v>
      </c>
      <c r="AH43" s="2">
        <f t="shared" ca="1" si="11"/>
        <v>34.92695538143942</v>
      </c>
    </row>
    <row r="44" spans="1:34">
      <c r="A44" t="str">
        <f t="shared" si="35"/>
        <v>Lentils</v>
      </c>
      <c r="B44" t="str">
        <f t="shared" si="36"/>
        <v>Somali</v>
      </c>
      <c r="C44" s="2">
        <f t="shared" ca="1" si="37"/>
        <v>31.253849951201889</v>
      </c>
      <c r="D44" s="2">
        <f t="shared" ca="1" si="38"/>
        <v>28.765398876594418</v>
      </c>
      <c r="E44" s="2">
        <f t="shared" ca="1" si="5"/>
        <v>31.253849951201889</v>
      </c>
      <c r="F44" s="2">
        <f t="shared" ca="1" si="12"/>
        <v>28.765398876594418</v>
      </c>
      <c r="G44" s="2">
        <f t="shared" ca="1" si="13"/>
        <v>31.253849951201889</v>
      </c>
      <c r="H44" s="2">
        <f t="shared" ca="1" si="14"/>
        <v>28.765398876594418</v>
      </c>
      <c r="I44" s="2">
        <f t="shared" ca="1" si="15"/>
        <v>31.253849951201889</v>
      </c>
      <c r="J44" s="2">
        <f t="shared" ca="1" si="16"/>
        <v>28.765398876594418</v>
      </c>
      <c r="K44" s="2">
        <f t="shared" ca="1" si="17"/>
        <v>31.253849951201889</v>
      </c>
      <c r="L44" s="2">
        <f t="shared" ca="1" si="18"/>
        <v>28.765398876594418</v>
      </c>
      <c r="M44" s="2">
        <f t="shared" ca="1" si="19"/>
        <v>31.253849951201889</v>
      </c>
      <c r="N44" s="2">
        <f t="shared" ca="1" si="20"/>
        <v>28.765398876594418</v>
      </c>
      <c r="O44" s="2">
        <f t="shared" ca="1" si="21"/>
        <v>31.253849951201889</v>
      </c>
      <c r="P44" s="2">
        <f t="shared" ca="1" si="22"/>
        <v>28.765398876594418</v>
      </c>
      <c r="Q44" s="2">
        <f t="shared" ca="1" si="23"/>
        <v>31.253849951201889</v>
      </c>
      <c r="R44" s="2">
        <f t="shared" ca="1" si="24"/>
        <v>28.765398876594418</v>
      </c>
      <c r="S44" s="2">
        <f t="shared" ca="1" si="25"/>
        <v>31.253849951201889</v>
      </c>
      <c r="T44" s="2">
        <f t="shared" ca="1" si="26"/>
        <v>28.765398876594418</v>
      </c>
      <c r="U44" s="2">
        <f t="shared" ca="1" si="27"/>
        <v>31.253849951201889</v>
      </c>
      <c r="V44" s="2">
        <f t="shared" ca="1" si="28"/>
        <v>28.765398876594418</v>
      </c>
      <c r="W44" s="2">
        <f t="shared" ca="1" si="29"/>
        <v>31.253849951201889</v>
      </c>
      <c r="X44" s="2">
        <f t="shared" ca="1" si="30"/>
        <v>28.765398876594418</v>
      </c>
      <c r="Y44" s="2">
        <f t="shared" ca="1" si="31"/>
        <v>31.253849951201889</v>
      </c>
      <c r="Z44" s="2">
        <f t="shared" ca="1" si="32"/>
        <v>28.765398876594418</v>
      </c>
      <c r="AA44" s="2">
        <f t="shared" ca="1" si="33"/>
        <v>31.253849951201889</v>
      </c>
      <c r="AB44" s="2">
        <f t="shared" ca="1" si="34"/>
        <v>28.765398876594418</v>
      </c>
      <c r="AC44" s="2">
        <f t="shared" ca="1" si="6"/>
        <v>31.253849951201889</v>
      </c>
      <c r="AD44" s="2">
        <f t="shared" ca="1" si="7"/>
        <v>28.765398876594418</v>
      </c>
      <c r="AE44" s="2">
        <f t="shared" ca="1" si="8"/>
        <v>31.253849951201889</v>
      </c>
      <c r="AF44" s="2">
        <f t="shared" ca="1" si="9"/>
        <v>28.765398876594418</v>
      </c>
      <c r="AG44" s="2">
        <f t="shared" ca="1" si="10"/>
        <v>31.253849951201889</v>
      </c>
      <c r="AH44" s="2">
        <f t="shared" ca="1" si="11"/>
        <v>28.765398876594418</v>
      </c>
    </row>
    <row r="45" spans="1:34">
      <c r="A45" t="str">
        <f t="shared" si="35"/>
        <v>Lentils</v>
      </c>
      <c r="B45" t="str">
        <f t="shared" si="36"/>
        <v>SNNPR</v>
      </c>
      <c r="C45" s="2">
        <f t="shared" ca="1" si="37"/>
        <v>25.280166373045333</v>
      </c>
      <c r="D45" s="2">
        <f t="shared" ca="1" si="38"/>
        <v>28.929032173886124</v>
      </c>
      <c r="E45" s="2">
        <f t="shared" ca="1" si="5"/>
        <v>25.280166373045333</v>
      </c>
      <c r="F45" s="2">
        <f t="shared" ca="1" si="12"/>
        <v>28.929032173886124</v>
      </c>
      <c r="G45" s="2">
        <f t="shared" ca="1" si="13"/>
        <v>25.280166373045333</v>
      </c>
      <c r="H45" s="2">
        <f t="shared" ca="1" si="14"/>
        <v>28.929032173886124</v>
      </c>
      <c r="I45" s="2">
        <f t="shared" ca="1" si="15"/>
        <v>25.280166373045333</v>
      </c>
      <c r="J45" s="2">
        <f t="shared" ca="1" si="16"/>
        <v>28.929032173886124</v>
      </c>
      <c r="K45" s="2">
        <f t="shared" ca="1" si="17"/>
        <v>25.280166373045333</v>
      </c>
      <c r="L45" s="2">
        <f t="shared" ca="1" si="18"/>
        <v>28.929032173886124</v>
      </c>
      <c r="M45" s="2">
        <f t="shared" ca="1" si="19"/>
        <v>25.280166373045333</v>
      </c>
      <c r="N45" s="2">
        <f t="shared" ca="1" si="20"/>
        <v>28.929032173886124</v>
      </c>
      <c r="O45" s="2">
        <f t="shared" ca="1" si="21"/>
        <v>25.280166373045333</v>
      </c>
      <c r="P45" s="2">
        <f t="shared" ca="1" si="22"/>
        <v>28.929032173886124</v>
      </c>
      <c r="Q45" s="2">
        <f t="shared" ca="1" si="23"/>
        <v>25.280166373045333</v>
      </c>
      <c r="R45" s="2">
        <f t="shared" ca="1" si="24"/>
        <v>28.929032173886124</v>
      </c>
      <c r="S45" s="2">
        <f t="shared" ca="1" si="25"/>
        <v>25.280166373045333</v>
      </c>
      <c r="T45" s="2">
        <f t="shared" ca="1" si="26"/>
        <v>28.929032173886124</v>
      </c>
      <c r="U45" s="2">
        <f t="shared" ca="1" si="27"/>
        <v>25.280166373045333</v>
      </c>
      <c r="V45" s="2">
        <f t="shared" ca="1" si="28"/>
        <v>28.929032173886124</v>
      </c>
      <c r="W45" s="2">
        <f t="shared" ca="1" si="29"/>
        <v>25.280166373045333</v>
      </c>
      <c r="X45" s="2">
        <f t="shared" ca="1" si="30"/>
        <v>28.929032173886124</v>
      </c>
      <c r="Y45" s="2">
        <f t="shared" ca="1" si="31"/>
        <v>25.280166373045333</v>
      </c>
      <c r="Z45" s="2">
        <f t="shared" ca="1" si="32"/>
        <v>28.929032173886124</v>
      </c>
      <c r="AA45" s="2">
        <f t="shared" ca="1" si="33"/>
        <v>25.280166373045333</v>
      </c>
      <c r="AB45" s="2">
        <f t="shared" ca="1" si="34"/>
        <v>28.929032173886124</v>
      </c>
      <c r="AC45" s="2">
        <f t="shared" ca="1" si="6"/>
        <v>25.280166373045333</v>
      </c>
      <c r="AD45" s="2">
        <f t="shared" ca="1" si="7"/>
        <v>28.929032173886124</v>
      </c>
      <c r="AE45" s="2">
        <f t="shared" ca="1" si="8"/>
        <v>25.280166373045333</v>
      </c>
      <c r="AF45" s="2">
        <f t="shared" ca="1" si="9"/>
        <v>28.929032173886124</v>
      </c>
      <c r="AG45" s="2">
        <f t="shared" ca="1" si="10"/>
        <v>25.280166373045333</v>
      </c>
      <c r="AH45" s="2">
        <f t="shared" ca="1" si="11"/>
        <v>28.929032173886124</v>
      </c>
    </row>
    <row r="46" spans="1:34">
      <c r="A46" t="str">
        <f t="shared" si="35"/>
        <v>Lentils</v>
      </c>
      <c r="B46" t="str">
        <f t="shared" si="36"/>
        <v>Tigray</v>
      </c>
      <c r="C46" s="2">
        <f t="shared" ca="1" si="37"/>
        <v>28.732705340387582</v>
      </c>
      <c r="D46" s="2">
        <f t="shared" ca="1" si="38"/>
        <v>33.513018849788793</v>
      </c>
      <c r="E46" s="2">
        <f t="shared" ca="1" si="5"/>
        <v>28.732705340387582</v>
      </c>
      <c r="F46" s="2">
        <f t="shared" ca="1" si="12"/>
        <v>33.513018849788793</v>
      </c>
      <c r="G46" s="2">
        <f t="shared" ca="1" si="13"/>
        <v>28.732705340387582</v>
      </c>
      <c r="H46" s="2">
        <f t="shared" ca="1" si="14"/>
        <v>33.513018849788793</v>
      </c>
      <c r="I46" s="2">
        <f t="shared" ca="1" si="15"/>
        <v>28.732705340387582</v>
      </c>
      <c r="J46" s="2">
        <f t="shared" ca="1" si="16"/>
        <v>33.513018849788793</v>
      </c>
      <c r="K46" s="2">
        <f t="shared" ca="1" si="17"/>
        <v>28.732705340387582</v>
      </c>
      <c r="L46" s="2">
        <f t="shared" ca="1" si="18"/>
        <v>33.513018849788793</v>
      </c>
      <c r="M46" s="2">
        <f t="shared" ca="1" si="19"/>
        <v>28.732705340387582</v>
      </c>
      <c r="N46" s="2">
        <f t="shared" ca="1" si="20"/>
        <v>33.513018849788793</v>
      </c>
      <c r="O46" s="2">
        <f t="shared" ca="1" si="21"/>
        <v>28.732705340387582</v>
      </c>
      <c r="P46" s="2">
        <f t="shared" ca="1" si="22"/>
        <v>33.513018849788793</v>
      </c>
      <c r="Q46" s="2">
        <f t="shared" ca="1" si="23"/>
        <v>28.732705340387582</v>
      </c>
      <c r="R46" s="2">
        <f t="shared" ca="1" si="24"/>
        <v>33.513018849788793</v>
      </c>
      <c r="S46" s="2">
        <f t="shared" ca="1" si="25"/>
        <v>28.732705340387582</v>
      </c>
      <c r="T46" s="2">
        <f t="shared" ca="1" si="26"/>
        <v>33.513018849788793</v>
      </c>
      <c r="U46" s="2">
        <f t="shared" ca="1" si="27"/>
        <v>28.732705340387582</v>
      </c>
      <c r="V46" s="2">
        <f t="shared" ca="1" si="28"/>
        <v>33.513018849788793</v>
      </c>
      <c r="W46" s="2">
        <f t="shared" ca="1" si="29"/>
        <v>28.732705340387582</v>
      </c>
      <c r="X46" s="2">
        <f t="shared" ca="1" si="30"/>
        <v>33.513018849788793</v>
      </c>
      <c r="Y46" s="2">
        <f t="shared" ca="1" si="31"/>
        <v>28.732705340387582</v>
      </c>
      <c r="Z46" s="2">
        <f t="shared" ca="1" si="32"/>
        <v>33.513018849788793</v>
      </c>
      <c r="AA46" s="2">
        <f t="shared" ca="1" si="33"/>
        <v>28.732705340387582</v>
      </c>
      <c r="AB46" s="2">
        <f t="shared" ca="1" si="34"/>
        <v>33.513018849788793</v>
      </c>
      <c r="AC46" s="2">
        <f t="shared" ca="1" si="6"/>
        <v>28.732705340387582</v>
      </c>
      <c r="AD46" s="2">
        <f t="shared" ca="1" si="7"/>
        <v>33.513018849788793</v>
      </c>
      <c r="AE46" s="2">
        <f t="shared" ca="1" si="8"/>
        <v>28.732705340387582</v>
      </c>
      <c r="AF46" s="2">
        <f t="shared" ca="1" si="9"/>
        <v>33.513018849788793</v>
      </c>
      <c r="AG46" s="2">
        <f t="shared" ca="1" si="10"/>
        <v>28.732705340387582</v>
      </c>
      <c r="AH46" s="2">
        <f t="shared" ca="1" si="11"/>
        <v>33.513018849788793</v>
      </c>
    </row>
    <row r="47" spans="1:34">
      <c r="A47" t="str">
        <f t="shared" si="35"/>
        <v>Vegetables</v>
      </c>
      <c r="B47" t="str">
        <f t="shared" si="36"/>
        <v>AddisAbaba</v>
      </c>
      <c r="C47" s="2">
        <f t="shared" ca="1" si="37"/>
        <v>28.427334235451646</v>
      </c>
      <c r="D47" s="2">
        <f t="shared" ca="1" si="38"/>
        <v>28.45881681650873</v>
      </c>
      <c r="E47" s="2">
        <f t="shared" ca="1" si="5"/>
        <v>28.427334235451646</v>
      </c>
      <c r="F47" s="2">
        <f t="shared" ca="1" si="12"/>
        <v>28.45881681650873</v>
      </c>
      <c r="G47" s="2">
        <f t="shared" ca="1" si="13"/>
        <v>28.427334235451646</v>
      </c>
      <c r="H47" s="2">
        <f t="shared" ca="1" si="14"/>
        <v>28.45881681650873</v>
      </c>
      <c r="I47" s="2">
        <f t="shared" ca="1" si="15"/>
        <v>28.427334235451646</v>
      </c>
      <c r="J47" s="2">
        <f t="shared" ca="1" si="16"/>
        <v>28.45881681650873</v>
      </c>
      <c r="K47" s="2">
        <f t="shared" ca="1" si="17"/>
        <v>28.427334235451646</v>
      </c>
      <c r="L47" s="2">
        <f t="shared" ca="1" si="18"/>
        <v>28.45881681650873</v>
      </c>
      <c r="M47" s="2">
        <f t="shared" ca="1" si="19"/>
        <v>28.427334235451646</v>
      </c>
      <c r="N47" s="2">
        <f t="shared" ca="1" si="20"/>
        <v>28.45881681650873</v>
      </c>
      <c r="O47" s="2">
        <f t="shared" ca="1" si="21"/>
        <v>28.427334235451646</v>
      </c>
      <c r="P47" s="2">
        <f t="shared" ca="1" si="22"/>
        <v>28.45881681650873</v>
      </c>
      <c r="Q47" s="2">
        <f t="shared" ca="1" si="23"/>
        <v>28.427334235451646</v>
      </c>
      <c r="R47" s="2">
        <f t="shared" ca="1" si="24"/>
        <v>28.45881681650873</v>
      </c>
      <c r="S47" s="2">
        <f t="shared" ca="1" si="25"/>
        <v>28.427334235451646</v>
      </c>
      <c r="T47" s="2">
        <f t="shared" ca="1" si="26"/>
        <v>28.45881681650873</v>
      </c>
      <c r="U47" s="2">
        <f t="shared" ca="1" si="27"/>
        <v>28.427334235451646</v>
      </c>
      <c r="V47" s="2">
        <f t="shared" ca="1" si="28"/>
        <v>28.45881681650873</v>
      </c>
      <c r="W47" s="2">
        <f t="shared" ca="1" si="29"/>
        <v>28.427334235451646</v>
      </c>
      <c r="X47" s="2">
        <f t="shared" ca="1" si="30"/>
        <v>28.45881681650873</v>
      </c>
      <c r="Y47" s="2">
        <f t="shared" ca="1" si="31"/>
        <v>28.427334235451646</v>
      </c>
      <c r="Z47" s="2">
        <f t="shared" ca="1" si="32"/>
        <v>28.45881681650873</v>
      </c>
      <c r="AA47" s="2">
        <f t="shared" ca="1" si="33"/>
        <v>28.427334235451646</v>
      </c>
      <c r="AB47" s="2">
        <f t="shared" ca="1" si="34"/>
        <v>28.45881681650873</v>
      </c>
      <c r="AC47" s="2">
        <f t="shared" ca="1" si="6"/>
        <v>28.427334235451646</v>
      </c>
      <c r="AD47" s="2">
        <f t="shared" ca="1" si="7"/>
        <v>28.45881681650873</v>
      </c>
      <c r="AE47" s="2">
        <f t="shared" ca="1" si="8"/>
        <v>28.427334235451646</v>
      </c>
      <c r="AF47" s="2">
        <f t="shared" ca="1" si="9"/>
        <v>28.45881681650873</v>
      </c>
      <c r="AG47" s="2">
        <f t="shared" ca="1" si="10"/>
        <v>28.427334235451646</v>
      </c>
      <c r="AH47" s="2">
        <f t="shared" ca="1" si="11"/>
        <v>28.45881681650873</v>
      </c>
    </row>
    <row r="48" spans="1:34">
      <c r="A48" t="str">
        <f t="shared" si="35"/>
        <v>Vegetables</v>
      </c>
      <c r="B48" t="str">
        <f t="shared" si="36"/>
        <v>Afar</v>
      </c>
      <c r="C48" s="2">
        <f t="shared" ca="1" si="37"/>
        <v>31.13316546746498</v>
      </c>
      <c r="D48" s="2">
        <f t="shared" ca="1" si="38"/>
        <v>30.128789781999302</v>
      </c>
      <c r="E48" s="2">
        <f t="shared" ca="1" si="5"/>
        <v>31.13316546746498</v>
      </c>
      <c r="F48" s="2">
        <f t="shared" ca="1" si="12"/>
        <v>30.128789781999302</v>
      </c>
      <c r="G48" s="2">
        <f t="shared" ca="1" si="13"/>
        <v>31.13316546746498</v>
      </c>
      <c r="H48" s="2">
        <f t="shared" ca="1" si="14"/>
        <v>30.128789781999302</v>
      </c>
      <c r="I48" s="2">
        <f t="shared" ca="1" si="15"/>
        <v>31.13316546746498</v>
      </c>
      <c r="J48" s="2">
        <f t="shared" ca="1" si="16"/>
        <v>30.128789781999302</v>
      </c>
      <c r="K48" s="2">
        <f t="shared" ca="1" si="17"/>
        <v>31.13316546746498</v>
      </c>
      <c r="L48" s="2">
        <f t="shared" ca="1" si="18"/>
        <v>30.128789781999302</v>
      </c>
      <c r="M48" s="2">
        <f t="shared" ca="1" si="19"/>
        <v>31.13316546746498</v>
      </c>
      <c r="N48" s="2">
        <f t="shared" ca="1" si="20"/>
        <v>30.128789781999302</v>
      </c>
      <c r="O48" s="2">
        <f t="shared" ca="1" si="21"/>
        <v>31.13316546746498</v>
      </c>
      <c r="P48" s="2">
        <f t="shared" ca="1" si="22"/>
        <v>30.128789781999302</v>
      </c>
      <c r="Q48" s="2">
        <f t="shared" ca="1" si="23"/>
        <v>31.13316546746498</v>
      </c>
      <c r="R48" s="2">
        <f t="shared" ca="1" si="24"/>
        <v>30.128789781999302</v>
      </c>
      <c r="S48" s="2">
        <f t="shared" ca="1" si="25"/>
        <v>31.13316546746498</v>
      </c>
      <c r="T48" s="2">
        <f t="shared" ca="1" si="26"/>
        <v>30.128789781999302</v>
      </c>
      <c r="U48" s="2">
        <f t="shared" ca="1" si="27"/>
        <v>31.13316546746498</v>
      </c>
      <c r="V48" s="2">
        <f t="shared" ca="1" si="28"/>
        <v>30.128789781999302</v>
      </c>
      <c r="W48" s="2">
        <f t="shared" ca="1" si="29"/>
        <v>31.13316546746498</v>
      </c>
      <c r="X48" s="2">
        <f t="shared" ca="1" si="30"/>
        <v>30.128789781999302</v>
      </c>
      <c r="Y48" s="2">
        <f t="shared" ca="1" si="31"/>
        <v>31.13316546746498</v>
      </c>
      <c r="Z48" s="2">
        <f t="shared" ca="1" si="32"/>
        <v>30.128789781999302</v>
      </c>
      <c r="AA48" s="2">
        <f t="shared" ca="1" si="33"/>
        <v>31.13316546746498</v>
      </c>
      <c r="AB48" s="2">
        <f t="shared" ca="1" si="34"/>
        <v>30.128789781999302</v>
      </c>
      <c r="AC48" s="2">
        <f t="shared" ca="1" si="6"/>
        <v>31.13316546746498</v>
      </c>
      <c r="AD48" s="2">
        <f t="shared" ca="1" si="7"/>
        <v>30.128789781999302</v>
      </c>
      <c r="AE48" s="2">
        <f t="shared" ca="1" si="8"/>
        <v>31.13316546746498</v>
      </c>
      <c r="AF48" s="2">
        <f t="shared" ca="1" si="9"/>
        <v>30.128789781999302</v>
      </c>
      <c r="AG48" s="2">
        <f t="shared" ca="1" si="10"/>
        <v>31.13316546746498</v>
      </c>
      <c r="AH48" s="2">
        <f t="shared" ca="1" si="11"/>
        <v>30.128789781999302</v>
      </c>
    </row>
    <row r="49" spans="1:34">
      <c r="A49" t="str">
        <f t="shared" si="35"/>
        <v>Vegetables</v>
      </c>
      <c r="B49" t="str">
        <f t="shared" si="36"/>
        <v>Amhara</v>
      </c>
      <c r="C49" s="2">
        <f t="shared" ca="1" si="37"/>
        <v>31.570311394422134</v>
      </c>
      <c r="D49" s="2">
        <f t="shared" ca="1" si="38"/>
        <v>34.182177416743386</v>
      </c>
      <c r="E49" s="2">
        <f t="shared" ca="1" si="5"/>
        <v>31.570311394422134</v>
      </c>
      <c r="F49" s="2">
        <f t="shared" ca="1" si="12"/>
        <v>34.182177416743386</v>
      </c>
      <c r="G49" s="2">
        <f t="shared" ca="1" si="13"/>
        <v>31.570311394422134</v>
      </c>
      <c r="H49" s="2">
        <f t="shared" ca="1" si="14"/>
        <v>34.182177416743386</v>
      </c>
      <c r="I49" s="2">
        <f t="shared" ca="1" si="15"/>
        <v>31.570311394422134</v>
      </c>
      <c r="J49" s="2">
        <f t="shared" ca="1" si="16"/>
        <v>34.182177416743386</v>
      </c>
      <c r="K49" s="2">
        <f t="shared" ca="1" si="17"/>
        <v>31.570311394422134</v>
      </c>
      <c r="L49" s="2">
        <f t="shared" ca="1" si="18"/>
        <v>34.182177416743386</v>
      </c>
      <c r="M49" s="2">
        <f t="shared" ca="1" si="19"/>
        <v>31.570311394422134</v>
      </c>
      <c r="N49" s="2">
        <f t="shared" ca="1" si="20"/>
        <v>34.182177416743386</v>
      </c>
      <c r="O49" s="2">
        <f t="shared" ca="1" si="21"/>
        <v>31.570311394422134</v>
      </c>
      <c r="P49" s="2">
        <f t="shared" ca="1" si="22"/>
        <v>34.182177416743386</v>
      </c>
      <c r="Q49" s="2">
        <f t="shared" ca="1" si="23"/>
        <v>31.570311394422134</v>
      </c>
      <c r="R49" s="2">
        <f t="shared" ca="1" si="24"/>
        <v>34.182177416743386</v>
      </c>
      <c r="S49" s="2">
        <f t="shared" ca="1" si="25"/>
        <v>31.570311394422134</v>
      </c>
      <c r="T49" s="2">
        <f t="shared" ca="1" si="26"/>
        <v>34.182177416743386</v>
      </c>
      <c r="U49" s="2">
        <f t="shared" ca="1" si="27"/>
        <v>31.570311394422134</v>
      </c>
      <c r="V49" s="2">
        <f t="shared" ca="1" si="28"/>
        <v>34.182177416743386</v>
      </c>
      <c r="W49" s="2">
        <f t="shared" ca="1" si="29"/>
        <v>31.570311394422134</v>
      </c>
      <c r="X49" s="2">
        <f t="shared" ca="1" si="30"/>
        <v>34.182177416743386</v>
      </c>
      <c r="Y49" s="2">
        <f t="shared" ca="1" si="31"/>
        <v>31.570311394422134</v>
      </c>
      <c r="Z49" s="2">
        <f t="shared" ca="1" si="32"/>
        <v>34.182177416743386</v>
      </c>
      <c r="AA49" s="2">
        <f t="shared" ca="1" si="33"/>
        <v>31.570311394422134</v>
      </c>
      <c r="AB49" s="2">
        <f t="shared" ca="1" si="34"/>
        <v>34.182177416743386</v>
      </c>
      <c r="AC49" s="2">
        <f t="shared" ca="1" si="6"/>
        <v>31.570311394422134</v>
      </c>
      <c r="AD49" s="2">
        <f t="shared" ca="1" si="7"/>
        <v>34.182177416743386</v>
      </c>
      <c r="AE49" s="2">
        <f t="shared" ca="1" si="8"/>
        <v>31.570311394422134</v>
      </c>
      <c r="AF49" s="2">
        <f t="shared" ca="1" si="9"/>
        <v>34.182177416743386</v>
      </c>
      <c r="AG49" s="2">
        <f t="shared" ca="1" si="10"/>
        <v>31.570311394422134</v>
      </c>
      <c r="AH49" s="2">
        <f t="shared" ca="1" si="11"/>
        <v>34.182177416743386</v>
      </c>
    </row>
    <row r="50" spans="1:34">
      <c r="A50" t="str">
        <f t="shared" si="35"/>
        <v>Vegetables</v>
      </c>
      <c r="B50" t="str">
        <f t="shared" si="36"/>
        <v>Gumuz</v>
      </c>
      <c r="C50" s="2">
        <f t="shared" ca="1" si="37"/>
        <v>32.836424310962173</v>
      </c>
      <c r="D50" s="2">
        <f t="shared" ca="1" si="38"/>
        <v>34.611113255548645</v>
      </c>
      <c r="E50" s="2">
        <f t="shared" ca="1" si="5"/>
        <v>32.836424310962173</v>
      </c>
      <c r="F50" s="2">
        <f t="shared" ca="1" si="12"/>
        <v>34.611113255548645</v>
      </c>
      <c r="G50" s="2">
        <f t="shared" ca="1" si="13"/>
        <v>32.836424310962173</v>
      </c>
      <c r="H50" s="2">
        <f t="shared" ca="1" si="14"/>
        <v>34.611113255548645</v>
      </c>
      <c r="I50" s="2">
        <f t="shared" ca="1" si="15"/>
        <v>32.836424310962173</v>
      </c>
      <c r="J50" s="2">
        <f t="shared" ca="1" si="16"/>
        <v>34.611113255548645</v>
      </c>
      <c r="K50" s="2">
        <f t="shared" ca="1" si="17"/>
        <v>32.836424310962173</v>
      </c>
      <c r="L50" s="2">
        <f t="shared" ca="1" si="18"/>
        <v>34.611113255548645</v>
      </c>
      <c r="M50" s="2">
        <f t="shared" ca="1" si="19"/>
        <v>32.836424310962173</v>
      </c>
      <c r="N50" s="2">
        <f t="shared" ca="1" si="20"/>
        <v>34.611113255548645</v>
      </c>
      <c r="O50" s="2">
        <f t="shared" ca="1" si="21"/>
        <v>32.836424310962173</v>
      </c>
      <c r="P50" s="2">
        <f t="shared" ca="1" si="22"/>
        <v>34.611113255548645</v>
      </c>
      <c r="Q50" s="2">
        <f t="shared" ca="1" si="23"/>
        <v>32.836424310962173</v>
      </c>
      <c r="R50" s="2">
        <f t="shared" ca="1" si="24"/>
        <v>34.611113255548645</v>
      </c>
      <c r="S50" s="2">
        <f t="shared" ca="1" si="25"/>
        <v>32.836424310962173</v>
      </c>
      <c r="T50" s="2">
        <f t="shared" ca="1" si="26"/>
        <v>34.611113255548645</v>
      </c>
      <c r="U50" s="2">
        <f t="shared" ca="1" si="27"/>
        <v>32.836424310962173</v>
      </c>
      <c r="V50" s="2">
        <f t="shared" ca="1" si="28"/>
        <v>34.611113255548645</v>
      </c>
      <c r="W50" s="2">
        <f t="shared" ca="1" si="29"/>
        <v>32.836424310962173</v>
      </c>
      <c r="X50" s="2">
        <f t="shared" ca="1" si="30"/>
        <v>34.611113255548645</v>
      </c>
      <c r="Y50" s="2">
        <f t="shared" ca="1" si="31"/>
        <v>32.836424310962173</v>
      </c>
      <c r="Z50" s="2">
        <f t="shared" ca="1" si="32"/>
        <v>34.611113255548645</v>
      </c>
      <c r="AA50" s="2">
        <f t="shared" ca="1" si="33"/>
        <v>32.836424310962173</v>
      </c>
      <c r="AB50" s="2">
        <f t="shared" ca="1" si="34"/>
        <v>34.611113255548645</v>
      </c>
      <c r="AC50" s="2">
        <f t="shared" ca="1" si="6"/>
        <v>32.836424310962173</v>
      </c>
      <c r="AD50" s="2">
        <f t="shared" ca="1" si="7"/>
        <v>34.611113255548645</v>
      </c>
      <c r="AE50" s="2">
        <f t="shared" ca="1" si="8"/>
        <v>32.836424310962173</v>
      </c>
      <c r="AF50" s="2">
        <f t="shared" ca="1" si="9"/>
        <v>34.611113255548645</v>
      </c>
      <c r="AG50" s="2">
        <f t="shared" ca="1" si="10"/>
        <v>32.836424310962173</v>
      </c>
      <c r="AH50" s="2">
        <f t="shared" ca="1" si="11"/>
        <v>34.611113255548645</v>
      </c>
    </row>
    <row r="51" spans="1:34">
      <c r="A51" t="str">
        <f t="shared" si="35"/>
        <v>Vegetables</v>
      </c>
      <c r="B51" t="str">
        <f t="shared" si="36"/>
        <v>DireDawa</v>
      </c>
      <c r="C51" s="2">
        <f t="shared" ca="1" si="37"/>
        <v>26.626749712002852</v>
      </c>
      <c r="D51" s="2">
        <f t="shared" ca="1" si="38"/>
        <v>33.945190549130217</v>
      </c>
      <c r="E51" s="2">
        <f t="shared" ca="1" si="5"/>
        <v>26.626749712002852</v>
      </c>
      <c r="F51" s="2">
        <f t="shared" ca="1" si="12"/>
        <v>33.945190549130217</v>
      </c>
      <c r="G51" s="2">
        <f t="shared" ca="1" si="13"/>
        <v>26.626749712002852</v>
      </c>
      <c r="H51" s="2">
        <f t="shared" ca="1" si="14"/>
        <v>33.945190549130217</v>
      </c>
      <c r="I51" s="2">
        <f t="shared" ca="1" si="15"/>
        <v>26.626749712002852</v>
      </c>
      <c r="J51" s="2">
        <f t="shared" ca="1" si="16"/>
        <v>33.945190549130217</v>
      </c>
      <c r="K51" s="2">
        <f t="shared" ca="1" si="17"/>
        <v>26.626749712002852</v>
      </c>
      <c r="L51" s="2">
        <f t="shared" ca="1" si="18"/>
        <v>33.945190549130217</v>
      </c>
      <c r="M51" s="2">
        <f t="shared" ca="1" si="19"/>
        <v>26.626749712002852</v>
      </c>
      <c r="N51" s="2">
        <f t="shared" ca="1" si="20"/>
        <v>33.945190549130217</v>
      </c>
      <c r="O51" s="2">
        <f t="shared" ca="1" si="21"/>
        <v>26.626749712002852</v>
      </c>
      <c r="P51" s="2">
        <f t="shared" ca="1" si="22"/>
        <v>33.945190549130217</v>
      </c>
      <c r="Q51" s="2">
        <f t="shared" ca="1" si="23"/>
        <v>26.626749712002852</v>
      </c>
      <c r="R51" s="2">
        <f t="shared" ca="1" si="24"/>
        <v>33.945190549130217</v>
      </c>
      <c r="S51" s="2">
        <f t="shared" ca="1" si="25"/>
        <v>26.626749712002852</v>
      </c>
      <c r="T51" s="2">
        <f t="shared" ca="1" si="26"/>
        <v>33.945190549130217</v>
      </c>
      <c r="U51" s="2">
        <f t="shared" ca="1" si="27"/>
        <v>26.626749712002852</v>
      </c>
      <c r="V51" s="2">
        <f t="shared" ca="1" si="28"/>
        <v>33.945190549130217</v>
      </c>
      <c r="W51" s="2">
        <f t="shared" ca="1" si="29"/>
        <v>26.626749712002852</v>
      </c>
      <c r="X51" s="2">
        <f t="shared" ca="1" si="30"/>
        <v>33.945190549130217</v>
      </c>
      <c r="Y51" s="2">
        <f t="shared" ca="1" si="31"/>
        <v>26.626749712002852</v>
      </c>
      <c r="Z51" s="2">
        <f t="shared" ca="1" si="32"/>
        <v>33.945190549130217</v>
      </c>
      <c r="AA51" s="2">
        <f t="shared" ca="1" si="33"/>
        <v>26.626749712002852</v>
      </c>
      <c r="AB51" s="2">
        <f t="shared" ca="1" si="34"/>
        <v>33.945190549130217</v>
      </c>
      <c r="AC51" s="2">
        <f t="shared" ca="1" si="6"/>
        <v>26.626749712002852</v>
      </c>
      <c r="AD51" s="2">
        <f t="shared" ca="1" si="7"/>
        <v>33.945190549130217</v>
      </c>
      <c r="AE51" s="2">
        <f t="shared" ca="1" si="8"/>
        <v>26.626749712002852</v>
      </c>
      <c r="AF51" s="2">
        <f t="shared" ca="1" si="9"/>
        <v>33.945190549130217</v>
      </c>
      <c r="AG51" s="2">
        <f t="shared" ca="1" si="10"/>
        <v>26.626749712002852</v>
      </c>
      <c r="AH51" s="2">
        <f t="shared" ca="1" si="11"/>
        <v>33.945190549130217</v>
      </c>
    </row>
    <row r="52" spans="1:34">
      <c r="A52" t="str">
        <f t="shared" si="35"/>
        <v>Vegetables</v>
      </c>
      <c r="B52" t="str">
        <f t="shared" si="36"/>
        <v>Gambela</v>
      </c>
      <c r="C52" s="2">
        <f t="shared" ca="1" si="37"/>
        <v>25.197324755534577</v>
      </c>
      <c r="D52" s="2">
        <f t="shared" ca="1" si="37"/>
        <v>29.872575329662965</v>
      </c>
      <c r="E52" s="2">
        <f t="shared" ca="1" si="5"/>
        <v>25.197324755534577</v>
      </c>
      <c r="F52" s="2">
        <f t="shared" ca="1" si="12"/>
        <v>29.872575329662965</v>
      </c>
      <c r="G52" s="2">
        <f t="shared" ca="1" si="13"/>
        <v>25.197324755534577</v>
      </c>
      <c r="H52" s="2">
        <f t="shared" ca="1" si="14"/>
        <v>29.872575329662965</v>
      </c>
      <c r="I52" s="2">
        <f t="shared" ca="1" si="15"/>
        <v>25.197324755534577</v>
      </c>
      <c r="J52" s="2">
        <f t="shared" ca="1" si="16"/>
        <v>29.872575329662965</v>
      </c>
      <c r="K52" s="2">
        <f t="shared" ca="1" si="17"/>
        <v>25.197324755534577</v>
      </c>
      <c r="L52" s="2">
        <f t="shared" ca="1" si="18"/>
        <v>29.872575329662965</v>
      </c>
      <c r="M52" s="2">
        <f t="shared" ca="1" si="19"/>
        <v>25.197324755534577</v>
      </c>
      <c r="N52" s="2">
        <f t="shared" ca="1" si="20"/>
        <v>29.872575329662965</v>
      </c>
      <c r="O52" s="2">
        <f t="shared" ca="1" si="21"/>
        <v>25.197324755534577</v>
      </c>
      <c r="P52" s="2">
        <f t="shared" ca="1" si="22"/>
        <v>29.872575329662965</v>
      </c>
      <c r="Q52" s="2">
        <f t="shared" ca="1" si="23"/>
        <v>25.197324755534577</v>
      </c>
      <c r="R52" s="2">
        <f t="shared" ca="1" si="24"/>
        <v>29.872575329662965</v>
      </c>
      <c r="S52" s="2">
        <f t="shared" ca="1" si="25"/>
        <v>25.197324755534577</v>
      </c>
      <c r="T52" s="2">
        <f t="shared" ca="1" si="26"/>
        <v>29.872575329662965</v>
      </c>
      <c r="U52" s="2">
        <f t="shared" ca="1" si="27"/>
        <v>25.197324755534577</v>
      </c>
      <c r="V52" s="2">
        <f t="shared" ca="1" si="28"/>
        <v>29.872575329662965</v>
      </c>
      <c r="W52" s="2">
        <f t="shared" ca="1" si="29"/>
        <v>25.197324755534577</v>
      </c>
      <c r="X52" s="2">
        <f t="shared" ca="1" si="30"/>
        <v>29.872575329662965</v>
      </c>
      <c r="Y52" s="2">
        <f t="shared" ca="1" si="31"/>
        <v>25.197324755534577</v>
      </c>
      <c r="Z52" s="2">
        <f t="shared" ca="1" si="32"/>
        <v>29.872575329662965</v>
      </c>
      <c r="AA52" s="2">
        <f t="shared" ca="1" si="33"/>
        <v>25.197324755534577</v>
      </c>
      <c r="AB52" s="2">
        <f t="shared" ca="1" si="34"/>
        <v>29.872575329662965</v>
      </c>
      <c r="AC52" s="2">
        <f t="shared" ca="1" si="6"/>
        <v>25.197324755534577</v>
      </c>
      <c r="AD52" s="2">
        <f t="shared" ca="1" si="7"/>
        <v>29.872575329662965</v>
      </c>
      <c r="AE52" s="2">
        <f t="shared" ca="1" si="8"/>
        <v>25.197324755534577</v>
      </c>
      <c r="AF52" s="2">
        <f t="shared" ca="1" si="9"/>
        <v>29.872575329662965</v>
      </c>
      <c r="AG52" s="2">
        <f t="shared" ca="1" si="10"/>
        <v>25.197324755534577</v>
      </c>
      <c r="AH52" s="2">
        <f t="shared" ca="1" si="11"/>
        <v>29.872575329662965</v>
      </c>
    </row>
    <row r="53" spans="1:34">
      <c r="A53" t="str">
        <f t="shared" si="35"/>
        <v>Vegetables</v>
      </c>
      <c r="B53" t="str">
        <f t="shared" si="36"/>
        <v>Harari</v>
      </c>
      <c r="C53" s="2">
        <f t="shared" ref="C53:D68" ca="1" si="39">(RAND()*1+2.5)*10</f>
        <v>27.695323850255704</v>
      </c>
      <c r="D53" s="2">
        <f t="shared" ca="1" si="39"/>
        <v>28.854382148110265</v>
      </c>
      <c r="E53" s="2">
        <f t="shared" ca="1" si="5"/>
        <v>27.695323850255704</v>
      </c>
      <c r="F53" s="2">
        <f t="shared" ca="1" si="12"/>
        <v>28.854382148110265</v>
      </c>
      <c r="G53" s="2">
        <f t="shared" ca="1" si="13"/>
        <v>27.695323850255704</v>
      </c>
      <c r="H53" s="2">
        <f t="shared" ca="1" si="14"/>
        <v>28.854382148110265</v>
      </c>
      <c r="I53" s="2">
        <f t="shared" ca="1" si="15"/>
        <v>27.695323850255704</v>
      </c>
      <c r="J53" s="2">
        <f t="shared" ca="1" si="16"/>
        <v>28.854382148110265</v>
      </c>
      <c r="K53" s="2">
        <f t="shared" ca="1" si="17"/>
        <v>27.695323850255704</v>
      </c>
      <c r="L53" s="2">
        <f t="shared" ca="1" si="18"/>
        <v>28.854382148110265</v>
      </c>
      <c r="M53" s="2">
        <f t="shared" ca="1" si="19"/>
        <v>27.695323850255704</v>
      </c>
      <c r="N53" s="2">
        <f t="shared" ca="1" si="20"/>
        <v>28.854382148110265</v>
      </c>
      <c r="O53" s="2">
        <f t="shared" ca="1" si="21"/>
        <v>27.695323850255704</v>
      </c>
      <c r="P53" s="2">
        <f t="shared" ca="1" si="22"/>
        <v>28.854382148110265</v>
      </c>
      <c r="Q53" s="2">
        <f t="shared" ca="1" si="23"/>
        <v>27.695323850255704</v>
      </c>
      <c r="R53" s="2">
        <f t="shared" ca="1" si="24"/>
        <v>28.854382148110265</v>
      </c>
      <c r="S53" s="2">
        <f t="shared" ca="1" si="25"/>
        <v>27.695323850255704</v>
      </c>
      <c r="T53" s="2">
        <f t="shared" ca="1" si="26"/>
        <v>28.854382148110265</v>
      </c>
      <c r="U53" s="2">
        <f t="shared" ca="1" si="27"/>
        <v>27.695323850255704</v>
      </c>
      <c r="V53" s="2">
        <f t="shared" ca="1" si="28"/>
        <v>28.854382148110265</v>
      </c>
      <c r="W53" s="2">
        <f t="shared" ca="1" si="29"/>
        <v>27.695323850255704</v>
      </c>
      <c r="X53" s="2">
        <f t="shared" ca="1" si="30"/>
        <v>28.854382148110265</v>
      </c>
      <c r="Y53" s="2">
        <f t="shared" ca="1" si="31"/>
        <v>27.695323850255704</v>
      </c>
      <c r="Z53" s="2">
        <f t="shared" ca="1" si="32"/>
        <v>28.854382148110265</v>
      </c>
      <c r="AA53" s="2">
        <f t="shared" ca="1" si="33"/>
        <v>27.695323850255704</v>
      </c>
      <c r="AB53" s="2">
        <f t="shared" ca="1" si="34"/>
        <v>28.854382148110265</v>
      </c>
      <c r="AC53" s="2">
        <f t="shared" ca="1" si="6"/>
        <v>27.695323850255704</v>
      </c>
      <c r="AD53" s="2">
        <f t="shared" ca="1" si="7"/>
        <v>28.854382148110265</v>
      </c>
      <c r="AE53" s="2">
        <f t="shared" ca="1" si="8"/>
        <v>27.695323850255704</v>
      </c>
      <c r="AF53" s="2">
        <f t="shared" ca="1" si="9"/>
        <v>28.854382148110265</v>
      </c>
      <c r="AG53" s="2">
        <f t="shared" ca="1" si="10"/>
        <v>27.695323850255704</v>
      </c>
      <c r="AH53" s="2">
        <f t="shared" ca="1" si="11"/>
        <v>28.854382148110265</v>
      </c>
    </row>
    <row r="54" spans="1:34">
      <c r="A54" t="str">
        <f t="shared" si="35"/>
        <v>Vegetables</v>
      </c>
      <c r="B54" t="str">
        <f t="shared" si="36"/>
        <v>Oromia</v>
      </c>
      <c r="C54" s="2">
        <f t="shared" ca="1" si="39"/>
        <v>29.027753058976163</v>
      </c>
      <c r="D54" s="2">
        <f t="shared" ca="1" si="39"/>
        <v>32.309744789386905</v>
      </c>
      <c r="E54" s="2">
        <f t="shared" ca="1" si="5"/>
        <v>29.027753058976163</v>
      </c>
      <c r="F54" s="2">
        <f t="shared" ca="1" si="12"/>
        <v>32.309744789386905</v>
      </c>
      <c r="G54" s="2">
        <f t="shared" ca="1" si="13"/>
        <v>29.027753058976163</v>
      </c>
      <c r="H54" s="2">
        <f t="shared" ca="1" si="14"/>
        <v>32.309744789386905</v>
      </c>
      <c r="I54" s="2">
        <f t="shared" ca="1" si="15"/>
        <v>29.027753058976163</v>
      </c>
      <c r="J54" s="2">
        <f t="shared" ca="1" si="16"/>
        <v>32.309744789386905</v>
      </c>
      <c r="K54" s="2">
        <f t="shared" ca="1" si="17"/>
        <v>29.027753058976163</v>
      </c>
      <c r="L54" s="2">
        <f t="shared" ca="1" si="18"/>
        <v>32.309744789386905</v>
      </c>
      <c r="M54" s="2">
        <f t="shared" ca="1" si="19"/>
        <v>29.027753058976163</v>
      </c>
      <c r="N54" s="2">
        <f t="shared" ca="1" si="20"/>
        <v>32.309744789386905</v>
      </c>
      <c r="O54" s="2">
        <f t="shared" ca="1" si="21"/>
        <v>29.027753058976163</v>
      </c>
      <c r="P54" s="2">
        <f t="shared" ca="1" si="22"/>
        <v>32.309744789386905</v>
      </c>
      <c r="Q54" s="2">
        <f t="shared" ca="1" si="23"/>
        <v>29.027753058976163</v>
      </c>
      <c r="R54" s="2">
        <f t="shared" ca="1" si="24"/>
        <v>32.309744789386905</v>
      </c>
      <c r="S54" s="2">
        <f t="shared" ca="1" si="25"/>
        <v>29.027753058976163</v>
      </c>
      <c r="T54" s="2">
        <f t="shared" ca="1" si="26"/>
        <v>32.309744789386905</v>
      </c>
      <c r="U54" s="2">
        <f t="shared" ca="1" si="27"/>
        <v>29.027753058976163</v>
      </c>
      <c r="V54" s="2">
        <f t="shared" ca="1" si="28"/>
        <v>32.309744789386905</v>
      </c>
      <c r="W54" s="2">
        <f t="shared" ca="1" si="29"/>
        <v>29.027753058976163</v>
      </c>
      <c r="X54" s="2">
        <f t="shared" ca="1" si="30"/>
        <v>32.309744789386905</v>
      </c>
      <c r="Y54" s="2">
        <f t="shared" ca="1" si="31"/>
        <v>29.027753058976163</v>
      </c>
      <c r="Z54" s="2">
        <f t="shared" ca="1" si="32"/>
        <v>32.309744789386905</v>
      </c>
      <c r="AA54" s="2">
        <f t="shared" ca="1" si="33"/>
        <v>29.027753058976163</v>
      </c>
      <c r="AB54" s="2">
        <f t="shared" ca="1" si="34"/>
        <v>32.309744789386905</v>
      </c>
      <c r="AC54" s="2">
        <f t="shared" ca="1" si="6"/>
        <v>29.027753058976163</v>
      </c>
      <c r="AD54" s="2">
        <f t="shared" ca="1" si="7"/>
        <v>32.309744789386905</v>
      </c>
      <c r="AE54" s="2">
        <f t="shared" ca="1" si="8"/>
        <v>29.027753058976163</v>
      </c>
      <c r="AF54" s="2">
        <f t="shared" ca="1" si="9"/>
        <v>32.309744789386905</v>
      </c>
      <c r="AG54" s="2">
        <f t="shared" ca="1" si="10"/>
        <v>29.027753058976163</v>
      </c>
      <c r="AH54" s="2">
        <f t="shared" ca="1" si="11"/>
        <v>32.309744789386905</v>
      </c>
    </row>
    <row r="55" spans="1:34">
      <c r="A55" t="str">
        <f t="shared" si="35"/>
        <v>Vegetables</v>
      </c>
      <c r="B55" t="str">
        <f t="shared" si="36"/>
        <v>Somali</v>
      </c>
      <c r="C55" s="2">
        <f t="shared" ca="1" si="39"/>
        <v>33.749461282256448</v>
      </c>
      <c r="D55" s="2">
        <f t="shared" ca="1" si="39"/>
        <v>32.39552436250878</v>
      </c>
      <c r="E55" s="2">
        <f t="shared" ca="1" si="5"/>
        <v>33.749461282256448</v>
      </c>
      <c r="F55" s="2">
        <f t="shared" ca="1" si="12"/>
        <v>32.39552436250878</v>
      </c>
      <c r="G55" s="2">
        <f t="shared" ca="1" si="13"/>
        <v>33.749461282256448</v>
      </c>
      <c r="H55" s="2">
        <f t="shared" ca="1" si="14"/>
        <v>32.39552436250878</v>
      </c>
      <c r="I55" s="2">
        <f t="shared" ca="1" si="15"/>
        <v>33.749461282256448</v>
      </c>
      <c r="J55" s="2">
        <f t="shared" ca="1" si="16"/>
        <v>32.39552436250878</v>
      </c>
      <c r="K55" s="2">
        <f t="shared" ca="1" si="17"/>
        <v>33.749461282256448</v>
      </c>
      <c r="L55" s="2">
        <f t="shared" ca="1" si="18"/>
        <v>32.39552436250878</v>
      </c>
      <c r="M55" s="2">
        <f t="shared" ca="1" si="19"/>
        <v>33.749461282256448</v>
      </c>
      <c r="N55" s="2">
        <f t="shared" ca="1" si="20"/>
        <v>32.39552436250878</v>
      </c>
      <c r="O55" s="2">
        <f t="shared" ca="1" si="21"/>
        <v>33.749461282256448</v>
      </c>
      <c r="P55" s="2">
        <f t="shared" ca="1" si="22"/>
        <v>32.39552436250878</v>
      </c>
      <c r="Q55" s="2">
        <f t="shared" ca="1" si="23"/>
        <v>33.749461282256448</v>
      </c>
      <c r="R55" s="2">
        <f t="shared" ca="1" si="24"/>
        <v>32.39552436250878</v>
      </c>
      <c r="S55" s="2">
        <f t="shared" ca="1" si="25"/>
        <v>33.749461282256448</v>
      </c>
      <c r="T55" s="2">
        <f t="shared" ca="1" si="26"/>
        <v>32.39552436250878</v>
      </c>
      <c r="U55" s="2">
        <f t="shared" ca="1" si="27"/>
        <v>33.749461282256448</v>
      </c>
      <c r="V55" s="2">
        <f t="shared" ca="1" si="28"/>
        <v>32.39552436250878</v>
      </c>
      <c r="W55" s="2">
        <f t="shared" ca="1" si="29"/>
        <v>33.749461282256448</v>
      </c>
      <c r="X55" s="2">
        <f t="shared" ca="1" si="30"/>
        <v>32.39552436250878</v>
      </c>
      <c r="Y55" s="2">
        <f t="shared" ca="1" si="31"/>
        <v>33.749461282256448</v>
      </c>
      <c r="Z55" s="2">
        <f t="shared" ca="1" si="32"/>
        <v>32.39552436250878</v>
      </c>
      <c r="AA55" s="2">
        <f t="shared" ca="1" si="33"/>
        <v>33.749461282256448</v>
      </c>
      <c r="AB55" s="2">
        <f t="shared" ca="1" si="34"/>
        <v>32.39552436250878</v>
      </c>
      <c r="AC55" s="2">
        <f t="shared" ca="1" si="6"/>
        <v>33.749461282256448</v>
      </c>
      <c r="AD55" s="2">
        <f t="shared" ca="1" si="7"/>
        <v>32.39552436250878</v>
      </c>
      <c r="AE55" s="2">
        <f t="shared" ca="1" si="8"/>
        <v>33.749461282256448</v>
      </c>
      <c r="AF55" s="2">
        <f t="shared" ca="1" si="9"/>
        <v>32.39552436250878</v>
      </c>
      <c r="AG55" s="2">
        <f t="shared" ca="1" si="10"/>
        <v>33.749461282256448</v>
      </c>
      <c r="AH55" s="2">
        <f t="shared" ca="1" si="11"/>
        <v>32.39552436250878</v>
      </c>
    </row>
    <row r="56" spans="1:34">
      <c r="A56" t="str">
        <f t="shared" si="35"/>
        <v>Vegetables</v>
      </c>
      <c r="B56" t="str">
        <f t="shared" si="36"/>
        <v>SNNPR</v>
      </c>
      <c r="C56" s="2">
        <f t="shared" ca="1" si="39"/>
        <v>33.436637231546818</v>
      </c>
      <c r="D56" s="2">
        <f t="shared" ca="1" si="39"/>
        <v>26.991924294425264</v>
      </c>
      <c r="E56" s="2">
        <f t="shared" ca="1" si="5"/>
        <v>33.436637231546818</v>
      </c>
      <c r="F56" s="2">
        <f t="shared" ca="1" si="12"/>
        <v>26.991924294425264</v>
      </c>
      <c r="G56" s="2">
        <f t="shared" ca="1" si="13"/>
        <v>33.436637231546818</v>
      </c>
      <c r="H56" s="2">
        <f t="shared" ca="1" si="14"/>
        <v>26.991924294425264</v>
      </c>
      <c r="I56" s="2">
        <f t="shared" ca="1" si="15"/>
        <v>33.436637231546818</v>
      </c>
      <c r="J56" s="2">
        <f t="shared" ca="1" si="16"/>
        <v>26.991924294425264</v>
      </c>
      <c r="K56" s="2">
        <f t="shared" ca="1" si="17"/>
        <v>33.436637231546818</v>
      </c>
      <c r="L56" s="2">
        <f t="shared" ca="1" si="18"/>
        <v>26.991924294425264</v>
      </c>
      <c r="M56" s="2">
        <f t="shared" ca="1" si="19"/>
        <v>33.436637231546818</v>
      </c>
      <c r="N56" s="2">
        <f t="shared" ca="1" si="20"/>
        <v>26.991924294425264</v>
      </c>
      <c r="O56" s="2">
        <f t="shared" ca="1" si="21"/>
        <v>33.436637231546818</v>
      </c>
      <c r="P56" s="2">
        <f t="shared" ca="1" si="22"/>
        <v>26.991924294425264</v>
      </c>
      <c r="Q56" s="2">
        <f t="shared" ca="1" si="23"/>
        <v>33.436637231546818</v>
      </c>
      <c r="R56" s="2">
        <f t="shared" ca="1" si="24"/>
        <v>26.991924294425264</v>
      </c>
      <c r="S56" s="2">
        <f t="shared" ca="1" si="25"/>
        <v>33.436637231546818</v>
      </c>
      <c r="T56" s="2">
        <f t="shared" ca="1" si="26"/>
        <v>26.991924294425264</v>
      </c>
      <c r="U56" s="2">
        <f t="shared" ca="1" si="27"/>
        <v>33.436637231546818</v>
      </c>
      <c r="V56" s="2">
        <f t="shared" ca="1" si="28"/>
        <v>26.991924294425264</v>
      </c>
      <c r="W56" s="2">
        <f t="shared" ca="1" si="29"/>
        <v>33.436637231546818</v>
      </c>
      <c r="X56" s="2">
        <f t="shared" ca="1" si="30"/>
        <v>26.991924294425264</v>
      </c>
      <c r="Y56" s="2">
        <f t="shared" ca="1" si="31"/>
        <v>33.436637231546818</v>
      </c>
      <c r="Z56" s="2">
        <f t="shared" ca="1" si="32"/>
        <v>26.991924294425264</v>
      </c>
      <c r="AA56" s="2">
        <f t="shared" ca="1" si="33"/>
        <v>33.436637231546818</v>
      </c>
      <c r="AB56" s="2">
        <f t="shared" ca="1" si="34"/>
        <v>26.991924294425264</v>
      </c>
      <c r="AC56" s="2">
        <f t="shared" ca="1" si="6"/>
        <v>33.436637231546818</v>
      </c>
      <c r="AD56" s="2">
        <f t="shared" ca="1" si="7"/>
        <v>26.991924294425264</v>
      </c>
      <c r="AE56" s="2">
        <f t="shared" ca="1" si="8"/>
        <v>33.436637231546818</v>
      </c>
      <c r="AF56" s="2">
        <f t="shared" ca="1" si="9"/>
        <v>26.991924294425264</v>
      </c>
      <c r="AG56" s="2">
        <f t="shared" ca="1" si="10"/>
        <v>33.436637231546818</v>
      </c>
      <c r="AH56" s="2">
        <f t="shared" ca="1" si="11"/>
        <v>26.991924294425264</v>
      </c>
    </row>
    <row r="57" spans="1:34">
      <c r="A57" t="str">
        <f t="shared" si="35"/>
        <v>Vegetables</v>
      </c>
      <c r="B57" t="str">
        <f t="shared" si="36"/>
        <v>Tigray</v>
      </c>
      <c r="C57" s="2">
        <f t="shared" ca="1" si="39"/>
        <v>30.301256149468937</v>
      </c>
      <c r="D57" s="2">
        <f t="shared" ca="1" si="39"/>
        <v>27.512874432605191</v>
      </c>
      <c r="E57" s="2">
        <f t="shared" ca="1" si="5"/>
        <v>30.301256149468937</v>
      </c>
      <c r="F57" s="2">
        <f t="shared" ca="1" si="12"/>
        <v>27.512874432605191</v>
      </c>
      <c r="G57" s="2">
        <f t="shared" ca="1" si="13"/>
        <v>30.301256149468937</v>
      </c>
      <c r="H57" s="2">
        <f t="shared" ca="1" si="14"/>
        <v>27.512874432605191</v>
      </c>
      <c r="I57" s="2">
        <f t="shared" ca="1" si="15"/>
        <v>30.301256149468937</v>
      </c>
      <c r="J57" s="2">
        <f t="shared" ca="1" si="16"/>
        <v>27.512874432605191</v>
      </c>
      <c r="K57" s="2">
        <f t="shared" ca="1" si="17"/>
        <v>30.301256149468937</v>
      </c>
      <c r="L57" s="2">
        <f t="shared" ca="1" si="18"/>
        <v>27.512874432605191</v>
      </c>
      <c r="M57" s="2">
        <f t="shared" ca="1" si="19"/>
        <v>30.301256149468937</v>
      </c>
      <c r="N57" s="2">
        <f t="shared" ca="1" si="20"/>
        <v>27.512874432605191</v>
      </c>
      <c r="O57" s="2">
        <f t="shared" ca="1" si="21"/>
        <v>30.301256149468937</v>
      </c>
      <c r="P57" s="2">
        <f t="shared" ca="1" si="22"/>
        <v>27.512874432605191</v>
      </c>
      <c r="Q57" s="2">
        <f t="shared" ca="1" si="23"/>
        <v>30.301256149468937</v>
      </c>
      <c r="R57" s="2">
        <f t="shared" ca="1" si="24"/>
        <v>27.512874432605191</v>
      </c>
      <c r="S57" s="2">
        <f t="shared" ca="1" si="25"/>
        <v>30.301256149468937</v>
      </c>
      <c r="T57" s="2">
        <f t="shared" ca="1" si="26"/>
        <v>27.512874432605191</v>
      </c>
      <c r="U57" s="2">
        <f t="shared" ca="1" si="27"/>
        <v>30.301256149468937</v>
      </c>
      <c r="V57" s="2">
        <f t="shared" ca="1" si="28"/>
        <v>27.512874432605191</v>
      </c>
      <c r="W57" s="2">
        <f t="shared" ca="1" si="29"/>
        <v>30.301256149468937</v>
      </c>
      <c r="X57" s="2">
        <f t="shared" ca="1" si="30"/>
        <v>27.512874432605191</v>
      </c>
      <c r="Y57" s="2">
        <f t="shared" ca="1" si="31"/>
        <v>30.301256149468937</v>
      </c>
      <c r="Z57" s="2">
        <f t="shared" ca="1" si="32"/>
        <v>27.512874432605191</v>
      </c>
      <c r="AA57" s="2">
        <f t="shared" ca="1" si="33"/>
        <v>30.301256149468937</v>
      </c>
      <c r="AB57" s="2">
        <f t="shared" ca="1" si="34"/>
        <v>27.512874432605191</v>
      </c>
      <c r="AC57" s="2">
        <f t="shared" ca="1" si="6"/>
        <v>30.301256149468937</v>
      </c>
      <c r="AD57" s="2">
        <f t="shared" ca="1" si="7"/>
        <v>27.512874432605191</v>
      </c>
      <c r="AE57" s="2">
        <f t="shared" ca="1" si="8"/>
        <v>30.301256149468937</v>
      </c>
      <c r="AF57" s="2">
        <f t="shared" ca="1" si="9"/>
        <v>27.512874432605191</v>
      </c>
      <c r="AG57" s="2">
        <f t="shared" ca="1" si="10"/>
        <v>30.301256149468937</v>
      </c>
      <c r="AH57" s="2">
        <f t="shared" ca="1" si="11"/>
        <v>27.512874432605191</v>
      </c>
    </row>
    <row r="58" spans="1:34">
      <c r="A58" t="str">
        <f t="shared" si="35"/>
        <v>Coffee</v>
      </c>
      <c r="B58" t="str">
        <f t="shared" si="36"/>
        <v>AddisAbaba</v>
      </c>
      <c r="C58" s="2">
        <f t="shared" ca="1" si="39"/>
        <v>34.65397015131245</v>
      </c>
      <c r="D58" s="2">
        <f t="shared" ca="1" si="39"/>
        <v>33.079365330735435</v>
      </c>
      <c r="E58" s="2">
        <f t="shared" ca="1" si="5"/>
        <v>34.65397015131245</v>
      </c>
      <c r="F58" s="2">
        <f t="shared" ca="1" si="12"/>
        <v>33.079365330735435</v>
      </c>
      <c r="G58" s="2">
        <f t="shared" ca="1" si="13"/>
        <v>34.65397015131245</v>
      </c>
      <c r="H58" s="2">
        <f t="shared" ca="1" si="14"/>
        <v>33.079365330735435</v>
      </c>
      <c r="I58" s="2">
        <f t="shared" ca="1" si="15"/>
        <v>34.65397015131245</v>
      </c>
      <c r="J58" s="2">
        <f t="shared" ca="1" si="16"/>
        <v>33.079365330735435</v>
      </c>
      <c r="K58" s="2">
        <f t="shared" ca="1" si="17"/>
        <v>34.65397015131245</v>
      </c>
      <c r="L58" s="2">
        <f t="shared" ca="1" si="18"/>
        <v>33.079365330735435</v>
      </c>
      <c r="M58" s="2">
        <f t="shared" ca="1" si="19"/>
        <v>34.65397015131245</v>
      </c>
      <c r="N58" s="2">
        <f t="shared" ca="1" si="20"/>
        <v>33.079365330735435</v>
      </c>
      <c r="O58" s="2">
        <f t="shared" ca="1" si="21"/>
        <v>34.65397015131245</v>
      </c>
      <c r="P58" s="2">
        <f t="shared" ca="1" si="22"/>
        <v>33.079365330735435</v>
      </c>
      <c r="Q58" s="2">
        <f t="shared" ca="1" si="23"/>
        <v>34.65397015131245</v>
      </c>
      <c r="R58" s="2">
        <f t="shared" ca="1" si="24"/>
        <v>33.079365330735435</v>
      </c>
      <c r="S58" s="2">
        <f t="shared" ca="1" si="25"/>
        <v>34.65397015131245</v>
      </c>
      <c r="T58" s="2">
        <f t="shared" ca="1" si="26"/>
        <v>33.079365330735435</v>
      </c>
      <c r="U58" s="2">
        <f t="shared" ca="1" si="27"/>
        <v>34.65397015131245</v>
      </c>
      <c r="V58" s="2">
        <f t="shared" ca="1" si="28"/>
        <v>33.079365330735435</v>
      </c>
      <c r="W58" s="2">
        <f t="shared" ca="1" si="29"/>
        <v>34.65397015131245</v>
      </c>
      <c r="X58" s="2">
        <f t="shared" ca="1" si="30"/>
        <v>33.079365330735435</v>
      </c>
      <c r="Y58" s="2">
        <f t="shared" ca="1" si="31"/>
        <v>34.65397015131245</v>
      </c>
      <c r="Z58" s="2">
        <f t="shared" ca="1" si="32"/>
        <v>33.079365330735435</v>
      </c>
      <c r="AA58" s="2">
        <f t="shared" ca="1" si="33"/>
        <v>34.65397015131245</v>
      </c>
      <c r="AB58" s="2">
        <f t="shared" ca="1" si="34"/>
        <v>33.079365330735435</v>
      </c>
      <c r="AC58" s="2">
        <f t="shared" ca="1" si="6"/>
        <v>34.65397015131245</v>
      </c>
      <c r="AD58" s="2">
        <f t="shared" ca="1" si="7"/>
        <v>33.079365330735435</v>
      </c>
      <c r="AE58" s="2">
        <f t="shared" ca="1" si="8"/>
        <v>34.65397015131245</v>
      </c>
      <c r="AF58" s="2">
        <f t="shared" ca="1" si="9"/>
        <v>33.079365330735435</v>
      </c>
      <c r="AG58" s="2">
        <f t="shared" ca="1" si="10"/>
        <v>34.65397015131245</v>
      </c>
      <c r="AH58" s="2">
        <f t="shared" ca="1" si="11"/>
        <v>33.079365330735435</v>
      </c>
    </row>
    <row r="59" spans="1:34">
      <c r="A59" t="str">
        <f t="shared" si="35"/>
        <v>Coffee</v>
      </c>
      <c r="B59" t="str">
        <f t="shared" si="36"/>
        <v>Afar</v>
      </c>
      <c r="C59" s="2">
        <f t="shared" ca="1" si="39"/>
        <v>31.789919385036246</v>
      </c>
      <c r="D59" s="2">
        <f t="shared" ca="1" si="39"/>
        <v>26.583725392261982</v>
      </c>
      <c r="E59" s="2">
        <f t="shared" ca="1" si="5"/>
        <v>31.789919385036246</v>
      </c>
      <c r="F59" s="2">
        <f t="shared" ca="1" si="12"/>
        <v>26.583725392261982</v>
      </c>
      <c r="G59" s="2">
        <f t="shared" ca="1" si="13"/>
        <v>31.789919385036246</v>
      </c>
      <c r="H59" s="2">
        <f t="shared" ca="1" si="14"/>
        <v>26.583725392261982</v>
      </c>
      <c r="I59" s="2">
        <f t="shared" ca="1" si="15"/>
        <v>31.789919385036246</v>
      </c>
      <c r="J59" s="2">
        <f t="shared" ca="1" si="16"/>
        <v>26.583725392261982</v>
      </c>
      <c r="K59" s="2">
        <f t="shared" ca="1" si="17"/>
        <v>31.789919385036246</v>
      </c>
      <c r="L59" s="2">
        <f t="shared" ca="1" si="18"/>
        <v>26.583725392261982</v>
      </c>
      <c r="M59" s="2">
        <f t="shared" ca="1" si="19"/>
        <v>31.789919385036246</v>
      </c>
      <c r="N59" s="2">
        <f t="shared" ca="1" si="20"/>
        <v>26.583725392261982</v>
      </c>
      <c r="O59" s="2">
        <f t="shared" ca="1" si="21"/>
        <v>31.789919385036246</v>
      </c>
      <c r="P59" s="2">
        <f t="shared" ca="1" si="22"/>
        <v>26.583725392261982</v>
      </c>
      <c r="Q59" s="2">
        <f t="shared" ca="1" si="23"/>
        <v>31.789919385036246</v>
      </c>
      <c r="R59" s="2">
        <f t="shared" ca="1" si="24"/>
        <v>26.583725392261982</v>
      </c>
      <c r="S59" s="2">
        <f t="shared" ca="1" si="25"/>
        <v>31.789919385036246</v>
      </c>
      <c r="T59" s="2">
        <f t="shared" ca="1" si="26"/>
        <v>26.583725392261982</v>
      </c>
      <c r="U59" s="2">
        <f t="shared" ca="1" si="27"/>
        <v>31.789919385036246</v>
      </c>
      <c r="V59" s="2">
        <f t="shared" ca="1" si="28"/>
        <v>26.583725392261982</v>
      </c>
      <c r="W59" s="2">
        <f t="shared" ca="1" si="29"/>
        <v>31.789919385036246</v>
      </c>
      <c r="X59" s="2">
        <f t="shared" ca="1" si="30"/>
        <v>26.583725392261982</v>
      </c>
      <c r="Y59" s="2">
        <f t="shared" ca="1" si="31"/>
        <v>31.789919385036246</v>
      </c>
      <c r="Z59" s="2">
        <f t="shared" ca="1" si="32"/>
        <v>26.583725392261982</v>
      </c>
      <c r="AA59" s="2">
        <f t="shared" ca="1" si="33"/>
        <v>31.789919385036246</v>
      </c>
      <c r="AB59" s="2">
        <f t="shared" ca="1" si="34"/>
        <v>26.583725392261982</v>
      </c>
      <c r="AC59" s="2">
        <f t="shared" ca="1" si="6"/>
        <v>31.789919385036246</v>
      </c>
      <c r="AD59" s="2">
        <f t="shared" ca="1" si="7"/>
        <v>26.583725392261982</v>
      </c>
      <c r="AE59" s="2">
        <f t="shared" ca="1" si="8"/>
        <v>31.789919385036246</v>
      </c>
      <c r="AF59" s="2">
        <f t="shared" ca="1" si="9"/>
        <v>26.583725392261982</v>
      </c>
      <c r="AG59" s="2">
        <f t="shared" ca="1" si="10"/>
        <v>31.789919385036246</v>
      </c>
      <c r="AH59" s="2">
        <f t="shared" ca="1" si="11"/>
        <v>26.583725392261982</v>
      </c>
    </row>
    <row r="60" spans="1:34">
      <c r="A60" t="str">
        <f t="shared" si="35"/>
        <v>Coffee</v>
      </c>
      <c r="B60" t="str">
        <f t="shared" si="36"/>
        <v>Amhara</v>
      </c>
      <c r="C60" s="2">
        <f t="shared" ca="1" si="39"/>
        <v>25.804340692117936</v>
      </c>
      <c r="D60" s="2">
        <f t="shared" ca="1" si="39"/>
        <v>31.872136531574327</v>
      </c>
      <c r="E60" s="2">
        <f t="shared" ca="1" si="5"/>
        <v>25.804340692117936</v>
      </c>
      <c r="F60" s="2">
        <f t="shared" ca="1" si="12"/>
        <v>31.872136531574327</v>
      </c>
      <c r="G60" s="2">
        <f t="shared" ca="1" si="13"/>
        <v>25.804340692117936</v>
      </c>
      <c r="H60" s="2">
        <f t="shared" ca="1" si="14"/>
        <v>31.872136531574327</v>
      </c>
      <c r="I60" s="2">
        <f t="shared" ca="1" si="15"/>
        <v>25.804340692117936</v>
      </c>
      <c r="J60" s="2">
        <f t="shared" ca="1" si="16"/>
        <v>31.872136531574327</v>
      </c>
      <c r="K60" s="2">
        <f t="shared" ca="1" si="17"/>
        <v>25.804340692117936</v>
      </c>
      <c r="L60" s="2">
        <f t="shared" ca="1" si="18"/>
        <v>31.872136531574327</v>
      </c>
      <c r="M60" s="2">
        <f t="shared" ca="1" si="19"/>
        <v>25.804340692117936</v>
      </c>
      <c r="N60" s="2">
        <f t="shared" ca="1" si="20"/>
        <v>31.872136531574327</v>
      </c>
      <c r="O60" s="2">
        <f t="shared" ca="1" si="21"/>
        <v>25.804340692117936</v>
      </c>
      <c r="P60" s="2">
        <f t="shared" ca="1" si="22"/>
        <v>31.872136531574327</v>
      </c>
      <c r="Q60" s="2">
        <f t="shared" ca="1" si="23"/>
        <v>25.804340692117936</v>
      </c>
      <c r="R60" s="2">
        <f t="shared" ca="1" si="24"/>
        <v>31.872136531574327</v>
      </c>
      <c r="S60" s="2">
        <f t="shared" ca="1" si="25"/>
        <v>25.804340692117936</v>
      </c>
      <c r="T60" s="2">
        <f t="shared" ca="1" si="26"/>
        <v>31.872136531574327</v>
      </c>
      <c r="U60" s="2">
        <f t="shared" ca="1" si="27"/>
        <v>25.804340692117936</v>
      </c>
      <c r="V60" s="2">
        <f t="shared" ca="1" si="28"/>
        <v>31.872136531574327</v>
      </c>
      <c r="W60" s="2">
        <f t="shared" ca="1" si="29"/>
        <v>25.804340692117936</v>
      </c>
      <c r="X60" s="2">
        <f t="shared" ca="1" si="30"/>
        <v>31.872136531574327</v>
      </c>
      <c r="Y60" s="2">
        <f t="shared" ca="1" si="31"/>
        <v>25.804340692117936</v>
      </c>
      <c r="Z60" s="2">
        <f t="shared" ca="1" si="32"/>
        <v>31.872136531574327</v>
      </c>
      <c r="AA60" s="2">
        <f t="shared" ca="1" si="33"/>
        <v>25.804340692117936</v>
      </c>
      <c r="AB60" s="2">
        <f t="shared" ca="1" si="34"/>
        <v>31.872136531574327</v>
      </c>
      <c r="AC60" s="2">
        <f t="shared" ca="1" si="6"/>
        <v>25.804340692117936</v>
      </c>
      <c r="AD60" s="2">
        <f t="shared" ca="1" si="7"/>
        <v>31.872136531574327</v>
      </c>
      <c r="AE60" s="2">
        <f t="shared" ca="1" si="8"/>
        <v>25.804340692117936</v>
      </c>
      <c r="AF60" s="2">
        <f t="shared" ca="1" si="9"/>
        <v>31.872136531574327</v>
      </c>
      <c r="AG60" s="2">
        <f t="shared" ca="1" si="10"/>
        <v>25.804340692117936</v>
      </c>
      <c r="AH60" s="2">
        <f t="shared" ca="1" si="11"/>
        <v>31.872136531574327</v>
      </c>
    </row>
    <row r="61" spans="1:34">
      <c r="A61" t="str">
        <f t="shared" si="35"/>
        <v>Coffee</v>
      </c>
      <c r="B61" t="str">
        <f t="shared" si="36"/>
        <v>Gumuz</v>
      </c>
      <c r="C61" s="2">
        <f t="shared" ca="1" si="39"/>
        <v>33.919000749663198</v>
      </c>
      <c r="D61" s="2">
        <f t="shared" ca="1" si="39"/>
        <v>33.284910076172935</v>
      </c>
      <c r="E61" s="2">
        <f t="shared" ca="1" si="5"/>
        <v>33.919000749663198</v>
      </c>
      <c r="F61" s="2">
        <f t="shared" ca="1" si="12"/>
        <v>33.284910076172935</v>
      </c>
      <c r="G61" s="2">
        <f t="shared" ca="1" si="13"/>
        <v>33.919000749663198</v>
      </c>
      <c r="H61" s="2">
        <f t="shared" ca="1" si="14"/>
        <v>33.284910076172935</v>
      </c>
      <c r="I61" s="2">
        <f t="shared" ca="1" si="15"/>
        <v>33.919000749663198</v>
      </c>
      <c r="J61" s="2">
        <f t="shared" ca="1" si="16"/>
        <v>33.284910076172935</v>
      </c>
      <c r="K61" s="2">
        <f t="shared" ca="1" si="17"/>
        <v>33.919000749663198</v>
      </c>
      <c r="L61" s="2">
        <f t="shared" ca="1" si="18"/>
        <v>33.284910076172935</v>
      </c>
      <c r="M61" s="2">
        <f t="shared" ca="1" si="19"/>
        <v>33.919000749663198</v>
      </c>
      <c r="N61" s="2">
        <f t="shared" ca="1" si="20"/>
        <v>33.284910076172935</v>
      </c>
      <c r="O61" s="2">
        <f t="shared" ca="1" si="21"/>
        <v>33.919000749663198</v>
      </c>
      <c r="P61" s="2">
        <f t="shared" ca="1" si="22"/>
        <v>33.284910076172935</v>
      </c>
      <c r="Q61" s="2">
        <f t="shared" ca="1" si="23"/>
        <v>33.919000749663198</v>
      </c>
      <c r="R61" s="2">
        <f t="shared" ca="1" si="24"/>
        <v>33.284910076172935</v>
      </c>
      <c r="S61" s="2">
        <f t="shared" ca="1" si="25"/>
        <v>33.919000749663198</v>
      </c>
      <c r="T61" s="2">
        <f t="shared" ca="1" si="26"/>
        <v>33.284910076172935</v>
      </c>
      <c r="U61" s="2">
        <f t="shared" ca="1" si="27"/>
        <v>33.919000749663198</v>
      </c>
      <c r="V61" s="2">
        <f t="shared" ca="1" si="28"/>
        <v>33.284910076172935</v>
      </c>
      <c r="W61" s="2">
        <f t="shared" ca="1" si="29"/>
        <v>33.919000749663198</v>
      </c>
      <c r="X61" s="2">
        <f t="shared" ca="1" si="30"/>
        <v>33.284910076172935</v>
      </c>
      <c r="Y61" s="2">
        <f t="shared" ca="1" si="31"/>
        <v>33.919000749663198</v>
      </c>
      <c r="Z61" s="2">
        <f t="shared" ca="1" si="32"/>
        <v>33.284910076172935</v>
      </c>
      <c r="AA61" s="2">
        <f t="shared" ca="1" si="33"/>
        <v>33.919000749663198</v>
      </c>
      <c r="AB61" s="2">
        <f t="shared" ca="1" si="34"/>
        <v>33.284910076172935</v>
      </c>
      <c r="AC61" s="2">
        <f t="shared" ca="1" si="6"/>
        <v>33.919000749663198</v>
      </c>
      <c r="AD61" s="2">
        <f t="shared" ca="1" si="7"/>
        <v>33.284910076172935</v>
      </c>
      <c r="AE61" s="2">
        <f t="shared" ca="1" si="8"/>
        <v>33.919000749663198</v>
      </c>
      <c r="AF61" s="2">
        <f t="shared" ca="1" si="9"/>
        <v>33.284910076172935</v>
      </c>
      <c r="AG61" s="2">
        <f t="shared" ca="1" si="10"/>
        <v>33.919000749663198</v>
      </c>
      <c r="AH61" s="2">
        <f t="shared" ca="1" si="11"/>
        <v>33.284910076172935</v>
      </c>
    </row>
    <row r="62" spans="1:34">
      <c r="A62" t="str">
        <f t="shared" si="35"/>
        <v>Coffee</v>
      </c>
      <c r="B62" t="str">
        <f t="shared" si="36"/>
        <v>DireDawa</v>
      </c>
      <c r="C62" s="2">
        <f t="shared" ca="1" si="39"/>
        <v>26.95587882628255</v>
      </c>
      <c r="D62" s="2">
        <f t="shared" ca="1" si="39"/>
        <v>30.127202964171115</v>
      </c>
      <c r="E62" s="2">
        <f t="shared" ca="1" si="5"/>
        <v>26.95587882628255</v>
      </c>
      <c r="F62" s="2">
        <f t="shared" ca="1" si="12"/>
        <v>30.127202964171115</v>
      </c>
      <c r="G62" s="2">
        <f t="shared" ca="1" si="13"/>
        <v>26.95587882628255</v>
      </c>
      <c r="H62" s="2">
        <f t="shared" ca="1" si="14"/>
        <v>30.127202964171115</v>
      </c>
      <c r="I62" s="2">
        <f t="shared" ca="1" si="15"/>
        <v>26.95587882628255</v>
      </c>
      <c r="J62" s="2">
        <f t="shared" ca="1" si="16"/>
        <v>30.127202964171115</v>
      </c>
      <c r="K62" s="2">
        <f t="shared" ca="1" si="17"/>
        <v>26.95587882628255</v>
      </c>
      <c r="L62" s="2">
        <f t="shared" ca="1" si="18"/>
        <v>30.127202964171115</v>
      </c>
      <c r="M62" s="2">
        <f t="shared" ca="1" si="19"/>
        <v>26.95587882628255</v>
      </c>
      <c r="N62" s="2">
        <f t="shared" ca="1" si="20"/>
        <v>30.127202964171115</v>
      </c>
      <c r="O62" s="2">
        <f t="shared" ca="1" si="21"/>
        <v>26.95587882628255</v>
      </c>
      <c r="P62" s="2">
        <f t="shared" ca="1" si="22"/>
        <v>30.127202964171115</v>
      </c>
      <c r="Q62" s="2">
        <f t="shared" ca="1" si="23"/>
        <v>26.95587882628255</v>
      </c>
      <c r="R62" s="2">
        <f t="shared" ca="1" si="24"/>
        <v>30.127202964171115</v>
      </c>
      <c r="S62" s="2">
        <f t="shared" ca="1" si="25"/>
        <v>26.95587882628255</v>
      </c>
      <c r="T62" s="2">
        <f t="shared" ca="1" si="26"/>
        <v>30.127202964171115</v>
      </c>
      <c r="U62" s="2">
        <f t="shared" ca="1" si="27"/>
        <v>26.95587882628255</v>
      </c>
      <c r="V62" s="2">
        <f t="shared" ca="1" si="28"/>
        <v>30.127202964171115</v>
      </c>
      <c r="W62" s="2">
        <f t="shared" ca="1" si="29"/>
        <v>26.95587882628255</v>
      </c>
      <c r="X62" s="2">
        <f t="shared" ca="1" si="30"/>
        <v>30.127202964171115</v>
      </c>
      <c r="Y62" s="2">
        <f t="shared" ca="1" si="31"/>
        <v>26.95587882628255</v>
      </c>
      <c r="Z62" s="2">
        <f t="shared" ca="1" si="32"/>
        <v>30.127202964171115</v>
      </c>
      <c r="AA62" s="2">
        <f t="shared" ca="1" si="33"/>
        <v>26.95587882628255</v>
      </c>
      <c r="AB62" s="2">
        <f t="shared" ca="1" si="34"/>
        <v>30.127202964171115</v>
      </c>
      <c r="AC62" s="2">
        <f t="shared" ca="1" si="6"/>
        <v>26.95587882628255</v>
      </c>
      <c r="AD62" s="2">
        <f t="shared" ca="1" si="7"/>
        <v>30.127202964171115</v>
      </c>
      <c r="AE62" s="2">
        <f t="shared" ca="1" si="8"/>
        <v>26.95587882628255</v>
      </c>
      <c r="AF62" s="2">
        <f t="shared" ca="1" si="9"/>
        <v>30.127202964171115</v>
      </c>
      <c r="AG62" s="2">
        <f t="shared" ca="1" si="10"/>
        <v>26.95587882628255</v>
      </c>
      <c r="AH62" s="2">
        <f t="shared" ca="1" si="11"/>
        <v>30.127202964171115</v>
      </c>
    </row>
    <row r="63" spans="1:34">
      <c r="A63" t="str">
        <f t="shared" si="35"/>
        <v>Coffee</v>
      </c>
      <c r="B63" t="str">
        <f t="shared" si="36"/>
        <v>Gambela</v>
      </c>
      <c r="C63" s="2">
        <f t="shared" ca="1" si="39"/>
        <v>34.93831172253924</v>
      </c>
      <c r="D63" s="2">
        <f t="shared" ca="1" si="39"/>
        <v>25.425483936874102</v>
      </c>
      <c r="E63" s="2">
        <f t="shared" ca="1" si="5"/>
        <v>34.93831172253924</v>
      </c>
      <c r="F63" s="2">
        <f t="shared" ca="1" si="12"/>
        <v>25.425483936874102</v>
      </c>
      <c r="G63" s="2">
        <f t="shared" ca="1" si="13"/>
        <v>34.93831172253924</v>
      </c>
      <c r="H63" s="2">
        <f t="shared" ca="1" si="14"/>
        <v>25.425483936874102</v>
      </c>
      <c r="I63" s="2">
        <f t="shared" ca="1" si="15"/>
        <v>34.93831172253924</v>
      </c>
      <c r="J63" s="2">
        <f t="shared" ca="1" si="16"/>
        <v>25.425483936874102</v>
      </c>
      <c r="K63" s="2">
        <f t="shared" ca="1" si="17"/>
        <v>34.93831172253924</v>
      </c>
      <c r="L63" s="2">
        <f t="shared" ca="1" si="18"/>
        <v>25.425483936874102</v>
      </c>
      <c r="M63" s="2">
        <f t="shared" ca="1" si="19"/>
        <v>34.93831172253924</v>
      </c>
      <c r="N63" s="2">
        <f t="shared" ca="1" si="20"/>
        <v>25.425483936874102</v>
      </c>
      <c r="O63" s="2">
        <f t="shared" ca="1" si="21"/>
        <v>34.93831172253924</v>
      </c>
      <c r="P63" s="2">
        <f t="shared" ca="1" si="22"/>
        <v>25.425483936874102</v>
      </c>
      <c r="Q63" s="2">
        <f t="shared" ca="1" si="23"/>
        <v>34.93831172253924</v>
      </c>
      <c r="R63" s="2">
        <f t="shared" ca="1" si="24"/>
        <v>25.425483936874102</v>
      </c>
      <c r="S63" s="2">
        <f t="shared" ca="1" si="25"/>
        <v>34.93831172253924</v>
      </c>
      <c r="T63" s="2">
        <f t="shared" ca="1" si="26"/>
        <v>25.425483936874102</v>
      </c>
      <c r="U63" s="2">
        <f t="shared" ca="1" si="27"/>
        <v>34.93831172253924</v>
      </c>
      <c r="V63" s="2">
        <f t="shared" ca="1" si="28"/>
        <v>25.425483936874102</v>
      </c>
      <c r="W63" s="2">
        <f t="shared" ca="1" si="29"/>
        <v>34.93831172253924</v>
      </c>
      <c r="X63" s="2">
        <f t="shared" ca="1" si="30"/>
        <v>25.425483936874102</v>
      </c>
      <c r="Y63" s="2">
        <f t="shared" ca="1" si="31"/>
        <v>34.93831172253924</v>
      </c>
      <c r="Z63" s="2">
        <f t="shared" ca="1" si="32"/>
        <v>25.425483936874102</v>
      </c>
      <c r="AA63" s="2">
        <f t="shared" ca="1" si="33"/>
        <v>34.93831172253924</v>
      </c>
      <c r="AB63" s="2">
        <f t="shared" ca="1" si="34"/>
        <v>25.425483936874102</v>
      </c>
      <c r="AC63" s="2">
        <f t="shared" ca="1" si="6"/>
        <v>34.93831172253924</v>
      </c>
      <c r="AD63" s="2">
        <f t="shared" ca="1" si="7"/>
        <v>25.425483936874102</v>
      </c>
      <c r="AE63" s="2">
        <f t="shared" ca="1" si="8"/>
        <v>34.93831172253924</v>
      </c>
      <c r="AF63" s="2">
        <f t="shared" ca="1" si="9"/>
        <v>25.425483936874102</v>
      </c>
      <c r="AG63" s="2">
        <f t="shared" ca="1" si="10"/>
        <v>34.93831172253924</v>
      </c>
      <c r="AH63" s="2">
        <f t="shared" ca="1" si="11"/>
        <v>25.425483936874102</v>
      </c>
    </row>
    <row r="64" spans="1:34">
      <c r="A64" t="str">
        <f t="shared" si="35"/>
        <v>Coffee</v>
      </c>
      <c r="B64" t="str">
        <f t="shared" si="36"/>
        <v>Harari</v>
      </c>
      <c r="C64" s="2">
        <f t="shared" ca="1" si="39"/>
        <v>26.797116778659891</v>
      </c>
      <c r="D64" s="2">
        <f t="shared" ca="1" si="39"/>
        <v>30.288596521738214</v>
      </c>
      <c r="E64" s="2">
        <f t="shared" ca="1" si="5"/>
        <v>26.797116778659891</v>
      </c>
      <c r="F64" s="2">
        <f t="shared" ca="1" si="12"/>
        <v>30.288596521738214</v>
      </c>
      <c r="G64" s="2">
        <f t="shared" ca="1" si="13"/>
        <v>26.797116778659891</v>
      </c>
      <c r="H64" s="2">
        <f t="shared" ca="1" si="14"/>
        <v>30.288596521738214</v>
      </c>
      <c r="I64" s="2">
        <f t="shared" ca="1" si="15"/>
        <v>26.797116778659891</v>
      </c>
      <c r="J64" s="2">
        <f t="shared" ca="1" si="16"/>
        <v>30.288596521738214</v>
      </c>
      <c r="K64" s="2">
        <f t="shared" ca="1" si="17"/>
        <v>26.797116778659891</v>
      </c>
      <c r="L64" s="2">
        <f t="shared" ca="1" si="18"/>
        <v>30.288596521738214</v>
      </c>
      <c r="M64" s="2">
        <f t="shared" ca="1" si="19"/>
        <v>26.797116778659891</v>
      </c>
      <c r="N64" s="2">
        <f t="shared" ca="1" si="20"/>
        <v>30.288596521738214</v>
      </c>
      <c r="O64" s="2">
        <f t="shared" ca="1" si="21"/>
        <v>26.797116778659891</v>
      </c>
      <c r="P64" s="2">
        <f t="shared" ca="1" si="22"/>
        <v>30.288596521738214</v>
      </c>
      <c r="Q64" s="2">
        <f t="shared" ca="1" si="23"/>
        <v>26.797116778659891</v>
      </c>
      <c r="R64" s="2">
        <f t="shared" ca="1" si="24"/>
        <v>30.288596521738214</v>
      </c>
      <c r="S64" s="2">
        <f t="shared" ca="1" si="25"/>
        <v>26.797116778659891</v>
      </c>
      <c r="T64" s="2">
        <f t="shared" ca="1" si="26"/>
        <v>30.288596521738214</v>
      </c>
      <c r="U64" s="2">
        <f t="shared" ca="1" si="27"/>
        <v>26.797116778659891</v>
      </c>
      <c r="V64" s="2">
        <f t="shared" ca="1" si="28"/>
        <v>30.288596521738214</v>
      </c>
      <c r="W64" s="2">
        <f t="shared" ca="1" si="29"/>
        <v>26.797116778659891</v>
      </c>
      <c r="X64" s="2">
        <f t="shared" ca="1" si="30"/>
        <v>30.288596521738214</v>
      </c>
      <c r="Y64" s="2">
        <f t="shared" ca="1" si="31"/>
        <v>26.797116778659891</v>
      </c>
      <c r="Z64" s="2">
        <f t="shared" ca="1" si="32"/>
        <v>30.288596521738214</v>
      </c>
      <c r="AA64" s="2">
        <f t="shared" ca="1" si="33"/>
        <v>26.797116778659891</v>
      </c>
      <c r="AB64" s="2">
        <f t="shared" ca="1" si="34"/>
        <v>30.288596521738214</v>
      </c>
      <c r="AC64" s="2">
        <f t="shared" ca="1" si="6"/>
        <v>26.797116778659891</v>
      </c>
      <c r="AD64" s="2">
        <f t="shared" ca="1" si="7"/>
        <v>30.288596521738214</v>
      </c>
      <c r="AE64" s="2">
        <f t="shared" ca="1" si="8"/>
        <v>26.797116778659891</v>
      </c>
      <c r="AF64" s="2">
        <f t="shared" ca="1" si="9"/>
        <v>30.288596521738214</v>
      </c>
      <c r="AG64" s="2">
        <f t="shared" ca="1" si="10"/>
        <v>26.797116778659891</v>
      </c>
      <c r="AH64" s="2">
        <f t="shared" ca="1" si="11"/>
        <v>30.288596521738214</v>
      </c>
    </row>
    <row r="65" spans="1:34">
      <c r="A65" t="str">
        <f t="shared" si="35"/>
        <v>Coffee</v>
      </c>
      <c r="B65" t="str">
        <f t="shared" si="36"/>
        <v>Oromia</v>
      </c>
      <c r="C65" s="2">
        <f t="shared" ca="1" si="39"/>
        <v>33.573776033095712</v>
      </c>
      <c r="D65" s="2">
        <f t="shared" ca="1" si="39"/>
        <v>28.112079472376781</v>
      </c>
      <c r="E65" s="2">
        <f t="shared" ca="1" si="5"/>
        <v>33.573776033095712</v>
      </c>
      <c r="F65" s="2">
        <f t="shared" ca="1" si="12"/>
        <v>28.112079472376781</v>
      </c>
      <c r="G65" s="2">
        <f t="shared" ca="1" si="13"/>
        <v>33.573776033095712</v>
      </c>
      <c r="H65" s="2">
        <f t="shared" ca="1" si="14"/>
        <v>28.112079472376781</v>
      </c>
      <c r="I65" s="2">
        <f t="shared" ca="1" si="15"/>
        <v>33.573776033095712</v>
      </c>
      <c r="J65" s="2">
        <f t="shared" ca="1" si="16"/>
        <v>28.112079472376781</v>
      </c>
      <c r="K65" s="2">
        <f t="shared" ca="1" si="17"/>
        <v>33.573776033095712</v>
      </c>
      <c r="L65" s="2">
        <f t="shared" ca="1" si="18"/>
        <v>28.112079472376781</v>
      </c>
      <c r="M65" s="2">
        <f t="shared" ca="1" si="19"/>
        <v>33.573776033095712</v>
      </c>
      <c r="N65" s="2">
        <f t="shared" ca="1" si="20"/>
        <v>28.112079472376781</v>
      </c>
      <c r="O65" s="2">
        <f t="shared" ca="1" si="21"/>
        <v>33.573776033095712</v>
      </c>
      <c r="P65" s="2">
        <f t="shared" ca="1" si="22"/>
        <v>28.112079472376781</v>
      </c>
      <c r="Q65" s="2">
        <f t="shared" ca="1" si="23"/>
        <v>33.573776033095712</v>
      </c>
      <c r="R65" s="2">
        <f t="shared" ca="1" si="24"/>
        <v>28.112079472376781</v>
      </c>
      <c r="S65" s="2">
        <f t="shared" ca="1" si="25"/>
        <v>33.573776033095712</v>
      </c>
      <c r="T65" s="2">
        <f t="shared" ca="1" si="26"/>
        <v>28.112079472376781</v>
      </c>
      <c r="U65" s="2">
        <f t="shared" ca="1" si="27"/>
        <v>33.573776033095712</v>
      </c>
      <c r="V65" s="2">
        <f t="shared" ca="1" si="28"/>
        <v>28.112079472376781</v>
      </c>
      <c r="W65" s="2">
        <f t="shared" ca="1" si="29"/>
        <v>33.573776033095712</v>
      </c>
      <c r="X65" s="2">
        <f t="shared" ca="1" si="30"/>
        <v>28.112079472376781</v>
      </c>
      <c r="Y65" s="2">
        <f t="shared" ca="1" si="31"/>
        <v>33.573776033095712</v>
      </c>
      <c r="Z65" s="2">
        <f t="shared" ca="1" si="32"/>
        <v>28.112079472376781</v>
      </c>
      <c r="AA65" s="2">
        <f t="shared" ca="1" si="33"/>
        <v>33.573776033095712</v>
      </c>
      <c r="AB65" s="2">
        <f t="shared" ca="1" si="34"/>
        <v>28.112079472376781</v>
      </c>
      <c r="AC65" s="2">
        <f t="shared" ca="1" si="6"/>
        <v>33.573776033095712</v>
      </c>
      <c r="AD65" s="2">
        <f t="shared" ca="1" si="7"/>
        <v>28.112079472376781</v>
      </c>
      <c r="AE65" s="2">
        <f t="shared" ca="1" si="8"/>
        <v>33.573776033095712</v>
      </c>
      <c r="AF65" s="2">
        <f t="shared" ca="1" si="9"/>
        <v>28.112079472376781</v>
      </c>
      <c r="AG65" s="2">
        <f t="shared" ca="1" si="10"/>
        <v>33.573776033095712</v>
      </c>
      <c r="AH65" s="2">
        <f t="shared" ca="1" si="11"/>
        <v>28.112079472376781</v>
      </c>
    </row>
    <row r="66" spans="1:34">
      <c r="A66" t="str">
        <f t="shared" si="35"/>
        <v>Coffee</v>
      </c>
      <c r="B66" t="str">
        <f t="shared" si="36"/>
        <v>Somali</v>
      </c>
      <c r="C66" s="2">
        <f t="shared" ca="1" si="39"/>
        <v>33.966246755261082</v>
      </c>
      <c r="D66" s="2">
        <f t="shared" ca="1" si="39"/>
        <v>31.412983069931943</v>
      </c>
      <c r="E66" s="2">
        <f t="shared" ca="1" si="5"/>
        <v>33.966246755261082</v>
      </c>
      <c r="F66" s="2">
        <f t="shared" ca="1" si="12"/>
        <v>31.412983069931943</v>
      </c>
      <c r="G66" s="2">
        <f t="shared" ca="1" si="13"/>
        <v>33.966246755261082</v>
      </c>
      <c r="H66" s="2">
        <f t="shared" ca="1" si="14"/>
        <v>31.412983069931943</v>
      </c>
      <c r="I66" s="2">
        <f t="shared" ca="1" si="15"/>
        <v>33.966246755261082</v>
      </c>
      <c r="J66" s="2">
        <f t="shared" ca="1" si="16"/>
        <v>31.412983069931943</v>
      </c>
      <c r="K66" s="2">
        <f t="shared" ca="1" si="17"/>
        <v>33.966246755261082</v>
      </c>
      <c r="L66" s="2">
        <f t="shared" ca="1" si="18"/>
        <v>31.412983069931943</v>
      </c>
      <c r="M66" s="2">
        <f t="shared" ca="1" si="19"/>
        <v>33.966246755261082</v>
      </c>
      <c r="N66" s="2">
        <f t="shared" ca="1" si="20"/>
        <v>31.412983069931943</v>
      </c>
      <c r="O66" s="2">
        <f t="shared" ca="1" si="21"/>
        <v>33.966246755261082</v>
      </c>
      <c r="P66" s="2">
        <f t="shared" ca="1" si="22"/>
        <v>31.412983069931943</v>
      </c>
      <c r="Q66" s="2">
        <f t="shared" ca="1" si="23"/>
        <v>33.966246755261082</v>
      </c>
      <c r="R66" s="2">
        <f t="shared" ca="1" si="24"/>
        <v>31.412983069931943</v>
      </c>
      <c r="S66" s="2">
        <f t="shared" ca="1" si="25"/>
        <v>33.966246755261082</v>
      </c>
      <c r="T66" s="2">
        <f t="shared" ca="1" si="26"/>
        <v>31.412983069931943</v>
      </c>
      <c r="U66" s="2">
        <f t="shared" ca="1" si="27"/>
        <v>33.966246755261082</v>
      </c>
      <c r="V66" s="2">
        <f t="shared" ca="1" si="28"/>
        <v>31.412983069931943</v>
      </c>
      <c r="W66" s="2">
        <f t="shared" ca="1" si="29"/>
        <v>33.966246755261082</v>
      </c>
      <c r="X66" s="2">
        <f t="shared" ca="1" si="30"/>
        <v>31.412983069931943</v>
      </c>
      <c r="Y66" s="2">
        <f t="shared" ca="1" si="31"/>
        <v>33.966246755261082</v>
      </c>
      <c r="Z66" s="2">
        <f t="shared" ca="1" si="32"/>
        <v>31.412983069931943</v>
      </c>
      <c r="AA66" s="2">
        <f t="shared" ca="1" si="33"/>
        <v>33.966246755261082</v>
      </c>
      <c r="AB66" s="2">
        <f t="shared" ca="1" si="34"/>
        <v>31.412983069931943</v>
      </c>
      <c r="AC66" s="2">
        <f t="shared" ca="1" si="6"/>
        <v>33.966246755261082</v>
      </c>
      <c r="AD66" s="2">
        <f t="shared" ca="1" si="7"/>
        <v>31.412983069931943</v>
      </c>
      <c r="AE66" s="2">
        <f t="shared" ca="1" si="8"/>
        <v>33.966246755261082</v>
      </c>
      <c r="AF66" s="2">
        <f t="shared" ca="1" si="9"/>
        <v>31.412983069931943</v>
      </c>
      <c r="AG66" s="2">
        <f t="shared" ca="1" si="10"/>
        <v>33.966246755261082</v>
      </c>
      <c r="AH66" s="2">
        <f t="shared" ca="1" si="11"/>
        <v>31.412983069931943</v>
      </c>
    </row>
    <row r="67" spans="1:34">
      <c r="A67" t="str">
        <f t="shared" si="35"/>
        <v>Coffee</v>
      </c>
      <c r="B67" t="str">
        <f t="shared" si="36"/>
        <v>SNNPR</v>
      </c>
      <c r="C67" s="2">
        <f t="shared" ca="1" si="39"/>
        <v>29.474283270293313</v>
      </c>
      <c r="D67" s="2">
        <f t="shared" ca="1" si="39"/>
        <v>28.926490639559084</v>
      </c>
      <c r="E67" s="2">
        <f t="shared" ca="1" si="5"/>
        <v>29.474283270293313</v>
      </c>
      <c r="F67" s="2">
        <f t="shared" ca="1" si="12"/>
        <v>28.926490639559084</v>
      </c>
      <c r="G67" s="2">
        <f t="shared" ca="1" si="13"/>
        <v>29.474283270293313</v>
      </c>
      <c r="H67" s="2">
        <f t="shared" ca="1" si="14"/>
        <v>28.926490639559084</v>
      </c>
      <c r="I67" s="2">
        <f t="shared" ca="1" si="15"/>
        <v>29.474283270293313</v>
      </c>
      <c r="J67" s="2">
        <f t="shared" ca="1" si="16"/>
        <v>28.926490639559084</v>
      </c>
      <c r="K67" s="2">
        <f t="shared" ca="1" si="17"/>
        <v>29.474283270293313</v>
      </c>
      <c r="L67" s="2">
        <f t="shared" ca="1" si="18"/>
        <v>28.926490639559084</v>
      </c>
      <c r="M67" s="2">
        <f t="shared" ca="1" si="19"/>
        <v>29.474283270293313</v>
      </c>
      <c r="N67" s="2">
        <f t="shared" ca="1" si="20"/>
        <v>28.926490639559084</v>
      </c>
      <c r="O67" s="2">
        <f t="shared" ca="1" si="21"/>
        <v>29.474283270293313</v>
      </c>
      <c r="P67" s="2">
        <f t="shared" ca="1" si="22"/>
        <v>28.926490639559084</v>
      </c>
      <c r="Q67" s="2">
        <f t="shared" ca="1" si="23"/>
        <v>29.474283270293313</v>
      </c>
      <c r="R67" s="2">
        <f t="shared" ca="1" si="24"/>
        <v>28.926490639559084</v>
      </c>
      <c r="S67" s="2">
        <f t="shared" ca="1" si="25"/>
        <v>29.474283270293313</v>
      </c>
      <c r="T67" s="2">
        <f t="shared" ca="1" si="26"/>
        <v>28.926490639559084</v>
      </c>
      <c r="U67" s="2">
        <f t="shared" ca="1" si="27"/>
        <v>29.474283270293313</v>
      </c>
      <c r="V67" s="2">
        <f t="shared" ca="1" si="28"/>
        <v>28.926490639559084</v>
      </c>
      <c r="W67" s="2">
        <f t="shared" ca="1" si="29"/>
        <v>29.474283270293313</v>
      </c>
      <c r="X67" s="2">
        <f t="shared" ca="1" si="30"/>
        <v>28.926490639559084</v>
      </c>
      <c r="Y67" s="2">
        <f t="shared" ca="1" si="31"/>
        <v>29.474283270293313</v>
      </c>
      <c r="Z67" s="2">
        <f t="shared" ca="1" si="32"/>
        <v>28.926490639559084</v>
      </c>
      <c r="AA67" s="2">
        <f t="shared" ca="1" si="33"/>
        <v>29.474283270293313</v>
      </c>
      <c r="AB67" s="2">
        <f t="shared" ca="1" si="34"/>
        <v>28.926490639559084</v>
      </c>
      <c r="AC67" s="2">
        <f t="shared" ca="1" si="6"/>
        <v>29.474283270293313</v>
      </c>
      <c r="AD67" s="2">
        <f t="shared" ca="1" si="7"/>
        <v>28.926490639559084</v>
      </c>
      <c r="AE67" s="2">
        <f t="shared" ca="1" si="8"/>
        <v>29.474283270293313</v>
      </c>
      <c r="AF67" s="2">
        <f t="shared" ca="1" si="9"/>
        <v>28.926490639559084</v>
      </c>
      <c r="AG67" s="2">
        <f t="shared" ca="1" si="10"/>
        <v>29.474283270293313</v>
      </c>
      <c r="AH67" s="2">
        <f t="shared" ca="1" si="11"/>
        <v>28.926490639559084</v>
      </c>
    </row>
    <row r="68" spans="1:34">
      <c r="A68" t="str">
        <f t="shared" si="35"/>
        <v>Coffee</v>
      </c>
      <c r="B68" t="str">
        <f t="shared" si="36"/>
        <v>Tigray</v>
      </c>
      <c r="C68" s="2">
        <f t="shared" ca="1" si="39"/>
        <v>32.382574357817688</v>
      </c>
      <c r="D68" s="2">
        <f t="shared" ca="1" si="39"/>
        <v>33.802342708334805</v>
      </c>
      <c r="E68" s="2">
        <f t="shared" ref="E68:E90" ca="1" si="40">C68</f>
        <v>32.382574357817688</v>
      </c>
      <c r="F68" s="2">
        <f t="shared" ca="1" si="12"/>
        <v>33.802342708334805</v>
      </c>
      <c r="G68" s="2">
        <f t="shared" ca="1" si="13"/>
        <v>32.382574357817688</v>
      </c>
      <c r="H68" s="2">
        <f t="shared" ca="1" si="14"/>
        <v>33.802342708334805</v>
      </c>
      <c r="I68" s="2">
        <f t="shared" ca="1" si="15"/>
        <v>32.382574357817688</v>
      </c>
      <c r="J68" s="2">
        <f t="shared" ca="1" si="16"/>
        <v>33.802342708334805</v>
      </c>
      <c r="K68" s="2">
        <f t="shared" ca="1" si="17"/>
        <v>32.382574357817688</v>
      </c>
      <c r="L68" s="2">
        <f t="shared" ca="1" si="18"/>
        <v>33.802342708334805</v>
      </c>
      <c r="M68" s="2">
        <f t="shared" ca="1" si="19"/>
        <v>32.382574357817688</v>
      </c>
      <c r="N68" s="2">
        <f t="shared" ca="1" si="20"/>
        <v>33.802342708334805</v>
      </c>
      <c r="O68" s="2">
        <f t="shared" ca="1" si="21"/>
        <v>32.382574357817688</v>
      </c>
      <c r="P68" s="2">
        <f t="shared" ca="1" si="22"/>
        <v>33.802342708334805</v>
      </c>
      <c r="Q68" s="2">
        <f t="shared" ca="1" si="23"/>
        <v>32.382574357817688</v>
      </c>
      <c r="R68" s="2">
        <f t="shared" ca="1" si="24"/>
        <v>33.802342708334805</v>
      </c>
      <c r="S68" s="2">
        <f t="shared" ca="1" si="25"/>
        <v>32.382574357817688</v>
      </c>
      <c r="T68" s="2">
        <f t="shared" ca="1" si="26"/>
        <v>33.802342708334805</v>
      </c>
      <c r="U68" s="2">
        <f t="shared" ca="1" si="27"/>
        <v>32.382574357817688</v>
      </c>
      <c r="V68" s="2">
        <f t="shared" ca="1" si="28"/>
        <v>33.802342708334805</v>
      </c>
      <c r="W68" s="2">
        <f t="shared" ca="1" si="29"/>
        <v>32.382574357817688</v>
      </c>
      <c r="X68" s="2">
        <f t="shared" ca="1" si="30"/>
        <v>33.802342708334805</v>
      </c>
      <c r="Y68" s="2">
        <f t="shared" ca="1" si="31"/>
        <v>32.382574357817688</v>
      </c>
      <c r="Z68" s="2">
        <f t="shared" ca="1" si="32"/>
        <v>33.802342708334805</v>
      </c>
      <c r="AA68" s="2">
        <f t="shared" ca="1" si="33"/>
        <v>32.382574357817688</v>
      </c>
      <c r="AB68" s="2">
        <f t="shared" ca="1" si="34"/>
        <v>33.802342708334805</v>
      </c>
      <c r="AC68" s="2">
        <f t="shared" ca="1" si="6"/>
        <v>32.382574357817688</v>
      </c>
      <c r="AD68" s="2">
        <f t="shared" ca="1" si="7"/>
        <v>33.802342708334805</v>
      </c>
      <c r="AE68" s="2">
        <f t="shared" ca="1" si="8"/>
        <v>32.382574357817688</v>
      </c>
      <c r="AF68" s="2">
        <f t="shared" ca="1" si="9"/>
        <v>33.802342708334805</v>
      </c>
      <c r="AG68" s="2">
        <f t="shared" ca="1" si="10"/>
        <v>32.382574357817688</v>
      </c>
      <c r="AH68" s="2">
        <f t="shared" ca="1" si="11"/>
        <v>33.802342708334805</v>
      </c>
    </row>
    <row r="69" spans="1:34">
      <c r="A69" t="str">
        <f t="shared" si="35"/>
        <v>Beef</v>
      </c>
      <c r="B69" t="str">
        <f t="shared" si="36"/>
        <v>AddisAbaba</v>
      </c>
      <c r="C69" s="2">
        <f t="shared" ref="C69:D85" ca="1" si="41">(RAND()*1+2.5)*10</f>
        <v>34.363124321879027</v>
      </c>
      <c r="D69" s="2">
        <f t="shared" ca="1" si="41"/>
        <v>28.302348956420929</v>
      </c>
      <c r="E69" s="2">
        <f t="shared" ca="1" si="40"/>
        <v>34.363124321879027</v>
      </c>
      <c r="F69" s="2">
        <f t="shared" ca="1" si="12"/>
        <v>28.302348956420929</v>
      </c>
      <c r="G69" s="2">
        <f t="shared" ca="1" si="13"/>
        <v>34.363124321879027</v>
      </c>
      <c r="H69" s="2">
        <f t="shared" ca="1" si="14"/>
        <v>28.302348956420929</v>
      </c>
      <c r="I69" s="2">
        <f t="shared" ca="1" si="15"/>
        <v>34.363124321879027</v>
      </c>
      <c r="J69" s="2">
        <f t="shared" ca="1" si="16"/>
        <v>28.302348956420929</v>
      </c>
      <c r="K69" s="2">
        <f t="shared" ca="1" si="17"/>
        <v>34.363124321879027</v>
      </c>
      <c r="L69" s="2">
        <f t="shared" ca="1" si="18"/>
        <v>28.302348956420929</v>
      </c>
      <c r="M69" s="2">
        <f t="shared" ca="1" si="19"/>
        <v>34.363124321879027</v>
      </c>
      <c r="N69" s="2">
        <f t="shared" ca="1" si="20"/>
        <v>28.302348956420929</v>
      </c>
      <c r="O69" s="2">
        <f t="shared" ca="1" si="21"/>
        <v>34.363124321879027</v>
      </c>
      <c r="P69" s="2">
        <f t="shared" ca="1" si="22"/>
        <v>28.302348956420929</v>
      </c>
      <c r="Q69" s="2">
        <f t="shared" ca="1" si="23"/>
        <v>34.363124321879027</v>
      </c>
      <c r="R69" s="2">
        <f t="shared" ca="1" si="24"/>
        <v>28.302348956420929</v>
      </c>
      <c r="S69" s="2">
        <f t="shared" ca="1" si="25"/>
        <v>34.363124321879027</v>
      </c>
      <c r="T69" s="2">
        <f t="shared" ca="1" si="26"/>
        <v>28.302348956420929</v>
      </c>
      <c r="U69" s="2">
        <f t="shared" ca="1" si="27"/>
        <v>34.363124321879027</v>
      </c>
      <c r="V69" s="2">
        <f t="shared" ca="1" si="28"/>
        <v>28.302348956420929</v>
      </c>
      <c r="W69" s="2">
        <f t="shared" ca="1" si="29"/>
        <v>34.363124321879027</v>
      </c>
      <c r="X69" s="2">
        <f t="shared" ca="1" si="30"/>
        <v>28.302348956420929</v>
      </c>
      <c r="Y69" s="2">
        <f t="shared" ca="1" si="31"/>
        <v>34.363124321879027</v>
      </c>
      <c r="Z69" s="2">
        <f t="shared" ca="1" si="32"/>
        <v>28.302348956420929</v>
      </c>
      <c r="AA69" s="2">
        <f t="shared" ca="1" si="33"/>
        <v>34.363124321879027</v>
      </c>
      <c r="AB69" s="2">
        <f t="shared" ca="1" si="34"/>
        <v>28.302348956420929</v>
      </c>
      <c r="AC69" s="2">
        <f t="shared" ca="1" si="6"/>
        <v>34.363124321879027</v>
      </c>
      <c r="AD69" s="2">
        <f t="shared" ca="1" si="7"/>
        <v>28.302348956420929</v>
      </c>
      <c r="AE69" s="2">
        <f t="shared" ca="1" si="8"/>
        <v>34.363124321879027</v>
      </c>
      <c r="AF69" s="2">
        <f t="shared" ca="1" si="9"/>
        <v>28.302348956420929</v>
      </c>
      <c r="AG69" s="2">
        <f t="shared" ca="1" si="10"/>
        <v>34.363124321879027</v>
      </c>
      <c r="AH69" s="2">
        <f t="shared" ca="1" si="11"/>
        <v>28.302348956420929</v>
      </c>
    </row>
    <row r="70" spans="1:34">
      <c r="A70" t="str">
        <f t="shared" si="35"/>
        <v>Beef</v>
      </c>
      <c r="B70" t="str">
        <f t="shared" si="36"/>
        <v>Afar</v>
      </c>
      <c r="C70" s="2">
        <f t="shared" ca="1" si="41"/>
        <v>31.685242491136769</v>
      </c>
      <c r="D70" s="2">
        <f t="shared" ca="1" si="41"/>
        <v>31.532515636361019</v>
      </c>
      <c r="E70" s="2">
        <f t="shared" ca="1" si="40"/>
        <v>31.685242491136769</v>
      </c>
      <c r="F70" s="2">
        <f t="shared" ca="1" si="12"/>
        <v>31.532515636361019</v>
      </c>
      <c r="G70" s="2">
        <f t="shared" ca="1" si="13"/>
        <v>31.685242491136769</v>
      </c>
      <c r="H70" s="2">
        <f t="shared" ca="1" si="14"/>
        <v>31.532515636361019</v>
      </c>
      <c r="I70" s="2">
        <f t="shared" ca="1" si="15"/>
        <v>31.685242491136769</v>
      </c>
      <c r="J70" s="2">
        <f t="shared" ca="1" si="16"/>
        <v>31.532515636361019</v>
      </c>
      <c r="K70" s="2">
        <f t="shared" ca="1" si="17"/>
        <v>31.685242491136769</v>
      </c>
      <c r="L70" s="2">
        <f t="shared" ca="1" si="18"/>
        <v>31.532515636361019</v>
      </c>
      <c r="M70" s="2">
        <f t="shared" ca="1" si="19"/>
        <v>31.685242491136769</v>
      </c>
      <c r="N70" s="2">
        <f t="shared" ca="1" si="20"/>
        <v>31.532515636361019</v>
      </c>
      <c r="O70" s="2">
        <f t="shared" ca="1" si="21"/>
        <v>31.685242491136769</v>
      </c>
      <c r="P70" s="2">
        <f t="shared" ca="1" si="22"/>
        <v>31.532515636361019</v>
      </c>
      <c r="Q70" s="2">
        <f t="shared" ca="1" si="23"/>
        <v>31.685242491136769</v>
      </c>
      <c r="R70" s="2">
        <f t="shared" ca="1" si="24"/>
        <v>31.532515636361019</v>
      </c>
      <c r="S70" s="2">
        <f t="shared" ca="1" si="25"/>
        <v>31.685242491136769</v>
      </c>
      <c r="T70" s="2">
        <f t="shared" ca="1" si="26"/>
        <v>31.532515636361019</v>
      </c>
      <c r="U70" s="2">
        <f t="shared" ca="1" si="27"/>
        <v>31.685242491136769</v>
      </c>
      <c r="V70" s="2">
        <f t="shared" ca="1" si="28"/>
        <v>31.532515636361019</v>
      </c>
      <c r="W70" s="2">
        <f t="shared" ca="1" si="29"/>
        <v>31.685242491136769</v>
      </c>
      <c r="X70" s="2">
        <f t="shared" ca="1" si="30"/>
        <v>31.532515636361019</v>
      </c>
      <c r="Y70" s="2">
        <f t="shared" ca="1" si="31"/>
        <v>31.685242491136769</v>
      </c>
      <c r="Z70" s="2">
        <f t="shared" ca="1" si="32"/>
        <v>31.532515636361019</v>
      </c>
      <c r="AA70" s="2">
        <f t="shared" ca="1" si="33"/>
        <v>31.685242491136769</v>
      </c>
      <c r="AB70" s="2">
        <f t="shared" ca="1" si="34"/>
        <v>31.532515636361019</v>
      </c>
      <c r="AC70" s="2">
        <f t="shared" ca="1" si="6"/>
        <v>31.685242491136769</v>
      </c>
      <c r="AD70" s="2">
        <f t="shared" ca="1" si="7"/>
        <v>31.532515636361019</v>
      </c>
      <c r="AE70" s="2">
        <f t="shared" ca="1" si="8"/>
        <v>31.685242491136769</v>
      </c>
      <c r="AF70" s="2">
        <f t="shared" ca="1" si="9"/>
        <v>31.532515636361019</v>
      </c>
      <c r="AG70" s="2">
        <f t="shared" ca="1" si="10"/>
        <v>31.685242491136769</v>
      </c>
      <c r="AH70" s="2">
        <f t="shared" ca="1" si="11"/>
        <v>31.532515636361019</v>
      </c>
    </row>
    <row r="71" spans="1:34">
      <c r="A71" t="str">
        <f t="shared" si="35"/>
        <v>Beef</v>
      </c>
      <c r="B71" t="str">
        <f t="shared" si="36"/>
        <v>Amhara</v>
      </c>
      <c r="C71" s="2">
        <f t="shared" ca="1" si="41"/>
        <v>28.952827454037507</v>
      </c>
      <c r="D71" s="2">
        <f t="shared" ca="1" si="41"/>
        <v>26.220651915553887</v>
      </c>
      <c r="E71" s="2">
        <f t="shared" ca="1" si="40"/>
        <v>28.952827454037507</v>
      </c>
      <c r="F71" s="2">
        <f t="shared" ca="1" si="12"/>
        <v>26.220651915553887</v>
      </c>
      <c r="G71" s="2">
        <f t="shared" ca="1" si="13"/>
        <v>28.952827454037507</v>
      </c>
      <c r="H71" s="2">
        <f t="shared" ca="1" si="14"/>
        <v>26.220651915553887</v>
      </c>
      <c r="I71" s="2">
        <f t="shared" ca="1" si="15"/>
        <v>28.952827454037507</v>
      </c>
      <c r="J71" s="2">
        <f t="shared" ca="1" si="16"/>
        <v>26.220651915553887</v>
      </c>
      <c r="K71" s="2">
        <f t="shared" ca="1" si="17"/>
        <v>28.952827454037507</v>
      </c>
      <c r="L71" s="2">
        <f t="shared" ca="1" si="18"/>
        <v>26.220651915553887</v>
      </c>
      <c r="M71" s="2">
        <f t="shared" ca="1" si="19"/>
        <v>28.952827454037507</v>
      </c>
      <c r="N71" s="2">
        <f t="shared" ca="1" si="20"/>
        <v>26.220651915553887</v>
      </c>
      <c r="O71" s="2">
        <f t="shared" ca="1" si="21"/>
        <v>28.952827454037507</v>
      </c>
      <c r="P71" s="2">
        <f t="shared" ca="1" si="22"/>
        <v>26.220651915553887</v>
      </c>
      <c r="Q71" s="2">
        <f t="shared" ca="1" si="23"/>
        <v>28.952827454037507</v>
      </c>
      <c r="R71" s="2">
        <f t="shared" ca="1" si="24"/>
        <v>26.220651915553887</v>
      </c>
      <c r="S71" s="2">
        <f t="shared" ca="1" si="25"/>
        <v>28.952827454037507</v>
      </c>
      <c r="T71" s="2">
        <f t="shared" ca="1" si="26"/>
        <v>26.220651915553887</v>
      </c>
      <c r="U71" s="2">
        <f t="shared" ca="1" si="27"/>
        <v>28.952827454037507</v>
      </c>
      <c r="V71" s="2">
        <f t="shared" ca="1" si="28"/>
        <v>26.220651915553887</v>
      </c>
      <c r="W71" s="2">
        <f t="shared" ca="1" si="29"/>
        <v>28.952827454037507</v>
      </c>
      <c r="X71" s="2">
        <f t="shared" ca="1" si="30"/>
        <v>26.220651915553887</v>
      </c>
      <c r="Y71" s="2">
        <f t="shared" ca="1" si="31"/>
        <v>28.952827454037507</v>
      </c>
      <c r="Z71" s="2">
        <f t="shared" ca="1" si="32"/>
        <v>26.220651915553887</v>
      </c>
      <c r="AA71" s="2">
        <f t="shared" ca="1" si="33"/>
        <v>28.952827454037507</v>
      </c>
      <c r="AB71" s="2">
        <f t="shared" ca="1" si="34"/>
        <v>26.220651915553887</v>
      </c>
      <c r="AC71" s="2">
        <f t="shared" ca="1" si="6"/>
        <v>28.952827454037507</v>
      </c>
      <c r="AD71" s="2">
        <f t="shared" ca="1" si="7"/>
        <v>26.220651915553887</v>
      </c>
      <c r="AE71" s="2">
        <f t="shared" ca="1" si="8"/>
        <v>28.952827454037507</v>
      </c>
      <c r="AF71" s="2">
        <f t="shared" ca="1" si="9"/>
        <v>26.220651915553887</v>
      </c>
      <c r="AG71" s="2">
        <f t="shared" ca="1" si="10"/>
        <v>28.952827454037507</v>
      </c>
      <c r="AH71" s="2">
        <f t="shared" ca="1" si="11"/>
        <v>26.220651915553887</v>
      </c>
    </row>
    <row r="72" spans="1:34">
      <c r="A72" t="str">
        <f t="shared" si="35"/>
        <v>Beef</v>
      </c>
      <c r="B72" t="str">
        <f t="shared" si="36"/>
        <v>Gumuz</v>
      </c>
      <c r="C72" s="2">
        <f t="shared" ca="1" si="41"/>
        <v>32.314530015273775</v>
      </c>
      <c r="D72" s="2">
        <f t="shared" ca="1" si="41"/>
        <v>33.282584910742926</v>
      </c>
      <c r="E72" s="2">
        <f t="shared" ca="1" si="40"/>
        <v>32.314530015273775</v>
      </c>
      <c r="F72" s="2">
        <f t="shared" ca="1" si="12"/>
        <v>33.282584910742926</v>
      </c>
      <c r="G72" s="2">
        <f t="shared" ca="1" si="13"/>
        <v>32.314530015273775</v>
      </c>
      <c r="H72" s="2">
        <f t="shared" ca="1" si="14"/>
        <v>33.282584910742926</v>
      </c>
      <c r="I72" s="2">
        <f t="shared" ca="1" si="15"/>
        <v>32.314530015273775</v>
      </c>
      <c r="J72" s="2">
        <f t="shared" ca="1" si="16"/>
        <v>33.282584910742926</v>
      </c>
      <c r="K72" s="2">
        <f t="shared" ca="1" si="17"/>
        <v>32.314530015273775</v>
      </c>
      <c r="L72" s="2">
        <f t="shared" ca="1" si="18"/>
        <v>33.282584910742926</v>
      </c>
      <c r="M72" s="2">
        <f t="shared" ca="1" si="19"/>
        <v>32.314530015273775</v>
      </c>
      <c r="N72" s="2">
        <f t="shared" ca="1" si="20"/>
        <v>33.282584910742926</v>
      </c>
      <c r="O72" s="2">
        <f t="shared" ca="1" si="21"/>
        <v>32.314530015273775</v>
      </c>
      <c r="P72" s="2">
        <f t="shared" ca="1" si="22"/>
        <v>33.282584910742926</v>
      </c>
      <c r="Q72" s="2">
        <f t="shared" ca="1" si="23"/>
        <v>32.314530015273775</v>
      </c>
      <c r="R72" s="2">
        <f t="shared" ca="1" si="24"/>
        <v>33.282584910742926</v>
      </c>
      <c r="S72" s="2">
        <f t="shared" ca="1" si="25"/>
        <v>32.314530015273775</v>
      </c>
      <c r="T72" s="2">
        <f t="shared" ca="1" si="26"/>
        <v>33.282584910742926</v>
      </c>
      <c r="U72" s="2">
        <f t="shared" ca="1" si="27"/>
        <v>32.314530015273775</v>
      </c>
      <c r="V72" s="2">
        <f t="shared" ca="1" si="28"/>
        <v>33.282584910742926</v>
      </c>
      <c r="W72" s="2">
        <f t="shared" ca="1" si="29"/>
        <v>32.314530015273775</v>
      </c>
      <c r="X72" s="2">
        <f t="shared" ca="1" si="30"/>
        <v>33.282584910742926</v>
      </c>
      <c r="Y72" s="2">
        <f t="shared" ca="1" si="31"/>
        <v>32.314530015273775</v>
      </c>
      <c r="Z72" s="2">
        <f t="shared" ca="1" si="32"/>
        <v>33.282584910742926</v>
      </c>
      <c r="AA72" s="2">
        <f t="shared" ca="1" si="33"/>
        <v>32.314530015273775</v>
      </c>
      <c r="AB72" s="2">
        <f t="shared" ca="1" si="34"/>
        <v>33.282584910742926</v>
      </c>
      <c r="AC72" s="2">
        <f t="shared" ca="1" si="6"/>
        <v>32.314530015273775</v>
      </c>
      <c r="AD72" s="2">
        <f t="shared" ca="1" si="7"/>
        <v>33.282584910742926</v>
      </c>
      <c r="AE72" s="2">
        <f t="shared" ca="1" si="8"/>
        <v>32.314530015273775</v>
      </c>
      <c r="AF72" s="2">
        <f t="shared" ca="1" si="9"/>
        <v>33.282584910742926</v>
      </c>
      <c r="AG72" s="2">
        <f t="shared" ca="1" si="10"/>
        <v>32.314530015273775</v>
      </c>
      <c r="AH72" s="2">
        <f t="shared" ca="1" si="11"/>
        <v>33.282584910742926</v>
      </c>
    </row>
    <row r="73" spans="1:34">
      <c r="A73" t="str">
        <f t="shared" si="35"/>
        <v>Beef</v>
      </c>
      <c r="B73" t="str">
        <f t="shared" si="36"/>
        <v>DireDawa</v>
      </c>
      <c r="C73" s="2">
        <f t="shared" ca="1" si="41"/>
        <v>27.718801887185016</v>
      </c>
      <c r="D73" s="2">
        <f t="shared" ca="1" si="41"/>
        <v>33.954191798448008</v>
      </c>
      <c r="E73" s="2">
        <f t="shared" ca="1" si="40"/>
        <v>27.718801887185016</v>
      </c>
      <c r="F73" s="2">
        <f t="shared" ca="1" si="12"/>
        <v>33.954191798448008</v>
      </c>
      <c r="G73" s="2">
        <f t="shared" ca="1" si="13"/>
        <v>27.718801887185016</v>
      </c>
      <c r="H73" s="2">
        <f t="shared" ca="1" si="14"/>
        <v>33.954191798448008</v>
      </c>
      <c r="I73" s="2">
        <f t="shared" ca="1" si="15"/>
        <v>27.718801887185016</v>
      </c>
      <c r="J73" s="2">
        <f t="shared" ca="1" si="16"/>
        <v>33.954191798448008</v>
      </c>
      <c r="K73" s="2">
        <f t="shared" ca="1" si="17"/>
        <v>27.718801887185016</v>
      </c>
      <c r="L73" s="2">
        <f t="shared" ca="1" si="18"/>
        <v>33.954191798448008</v>
      </c>
      <c r="M73" s="2">
        <f t="shared" ca="1" si="19"/>
        <v>27.718801887185016</v>
      </c>
      <c r="N73" s="2">
        <f t="shared" ca="1" si="20"/>
        <v>33.954191798448008</v>
      </c>
      <c r="O73" s="2">
        <f t="shared" ca="1" si="21"/>
        <v>27.718801887185016</v>
      </c>
      <c r="P73" s="2">
        <f t="shared" ca="1" si="22"/>
        <v>33.954191798448008</v>
      </c>
      <c r="Q73" s="2">
        <f t="shared" ca="1" si="23"/>
        <v>27.718801887185016</v>
      </c>
      <c r="R73" s="2">
        <f t="shared" ca="1" si="24"/>
        <v>33.954191798448008</v>
      </c>
      <c r="S73" s="2">
        <f t="shared" ca="1" si="25"/>
        <v>27.718801887185016</v>
      </c>
      <c r="T73" s="2">
        <f t="shared" ca="1" si="26"/>
        <v>33.954191798448008</v>
      </c>
      <c r="U73" s="2">
        <f t="shared" ca="1" si="27"/>
        <v>27.718801887185016</v>
      </c>
      <c r="V73" s="2">
        <f t="shared" ca="1" si="28"/>
        <v>33.954191798448008</v>
      </c>
      <c r="W73" s="2">
        <f t="shared" ca="1" si="29"/>
        <v>27.718801887185016</v>
      </c>
      <c r="X73" s="2">
        <f t="shared" ca="1" si="30"/>
        <v>33.954191798448008</v>
      </c>
      <c r="Y73" s="2">
        <f t="shared" ca="1" si="31"/>
        <v>27.718801887185016</v>
      </c>
      <c r="Z73" s="2">
        <f t="shared" ca="1" si="32"/>
        <v>33.954191798448008</v>
      </c>
      <c r="AA73" s="2">
        <f t="shared" ca="1" si="33"/>
        <v>27.718801887185016</v>
      </c>
      <c r="AB73" s="2">
        <f t="shared" ca="1" si="34"/>
        <v>33.954191798448008</v>
      </c>
      <c r="AC73" s="2">
        <f t="shared" ca="1" si="6"/>
        <v>27.718801887185016</v>
      </c>
      <c r="AD73" s="2">
        <f t="shared" ca="1" si="7"/>
        <v>33.954191798448008</v>
      </c>
      <c r="AE73" s="2">
        <f t="shared" ca="1" si="8"/>
        <v>27.718801887185016</v>
      </c>
      <c r="AF73" s="2">
        <f t="shared" ca="1" si="9"/>
        <v>33.954191798448008</v>
      </c>
      <c r="AG73" s="2">
        <f t="shared" ca="1" si="10"/>
        <v>27.718801887185016</v>
      </c>
      <c r="AH73" s="2">
        <f t="shared" ca="1" si="11"/>
        <v>33.954191798448008</v>
      </c>
    </row>
    <row r="74" spans="1:34">
      <c r="A74" t="str">
        <f t="shared" si="35"/>
        <v>Beef</v>
      </c>
      <c r="B74" t="str">
        <f t="shared" si="36"/>
        <v>Gambela</v>
      </c>
      <c r="C74" s="2">
        <f t="shared" ca="1" si="41"/>
        <v>31.640279614485713</v>
      </c>
      <c r="D74" s="2">
        <f t="shared" ca="1" si="41"/>
        <v>34.310998215512498</v>
      </c>
      <c r="E74" s="2">
        <f t="shared" ca="1" si="40"/>
        <v>31.640279614485713</v>
      </c>
      <c r="F74" s="2">
        <f t="shared" ca="1" si="12"/>
        <v>34.310998215512498</v>
      </c>
      <c r="G74" s="2">
        <f t="shared" ca="1" si="13"/>
        <v>31.640279614485713</v>
      </c>
      <c r="H74" s="2">
        <f t="shared" ca="1" si="14"/>
        <v>34.310998215512498</v>
      </c>
      <c r="I74" s="2">
        <f t="shared" ca="1" si="15"/>
        <v>31.640279614485713</v>
      </c>
      <c r="J74" s="2">
        <f t="shared" ca="1" si="16"/>
        <v>34.310998215512498</v>
      </c>
      <c r="K74" s="2">
        <f t="shared" ca="1" si="17"/>
        <v>31.640279614485713</v>
      </c>
      <c r="L74" s="2">
        <f t="shared" ca="1" si="18"/>
        <v>34.310998215512498</v>
      </c>
      <c r="M74" s="2">
        <f t="shared" ca="1" si="19"/>
        <v>31.640279614485713</v>
      </c>
      <c r="N74" s="2">
        <f t="shared" ca="1" si="20"/>
        <v>34.310998215512498</v>
      </c>
      <c r="O74" s="2">
        <f t="shared" ca="1" si="21"/>
        <v>31.640279614485713</v>
      </c>
      <c r="P74" s="2">
        <f t="shared" ca="1" si="22"/>
        <v>34.310998215512498</v>
      </c>
      <c r="Q74" s="2">
        <f t="shared" ca="1" si="23"/>
        <v>31.640279614485713</v>
      </c>
      <c r="R74" s="2">
        <f t="shared" ca="1" si="24"/>
        <v>34.310998215512498</v>
      </c>
      <c r="S74" s="2">
        <f t="shared" ca="1" si="25"/>
        <v>31.640279614485713</v>
      </c>
      <c r="T74" s="2">
        <f t="shared" ca="1" si="26"/>
        <v>34.310998215512498</v>
      </c>
      <c r="U74" s="2">
        <f t="shared" ca="1" si="27"/>
        <v>31.640279614485713</v>
      </c>
      <c r="V74" s="2">
        <f t="shared" ca="1" si="28"/>
        <v>34.310998215512498</v>
      </c>
      <c r="W74" s="2">
        <f t="shared" ca="1" si="29"/>
        <v>31.640279614485713</v>
      </c>
      <c r="X74" s="2">
        <f t="shared" ca="1" si="30"/>
        <v>34.310998215512498</v>
      </c>
      <c r="Y74" s="2">
        <f t="shared" ca="1" si="31"/>
        <v>31.640279614485713</v>
      </c>
      <c r="Z74" s="2">
        <f t="shared" ca="1" si="32"/>
        <v>34.310998215512498</v>
      </c>
      <c r="AA74" s="2">
        <f t="shared" ca="1" si="33"/>
        <v>31.640279614485713</v>
      </c>
      <c r="AB74" s="2">
        <f t="shared" ca="1" si="34"/>
        <v>34.310998215512498</v>
      </c>
      <c r="AC74" s="2">
        <f t="shared" ca="1" si="6"/>
        <v>31.640279614485713</v>
      </c>
      <c r="AD74" s="2">
        <f t="shared" ca="1" si="7"/>
        <v>34.310998215512498</v>
      </c>
      <c r="AE74" s="2">
        <f t="shared" ca="1" si="8"/>
        <v>31.640279614485713</v>
      </c>
      <c r="AF74" s="2">
        <f t="shared" ca="1" si="9"/>
        <v>34.310998215512498</v>
      </c>
      <c r="AG74" s="2">
        <f t="shared" ca="1" si="10"/>
        <v>31.640279614485713</v>
      </c>
      <c r="AH74" s="2">
        <f t="shared" ca="1" si="11"/>
        <v>34.310998215512498</v>
      </c>
    </row>
    <row r="75" spans="1:34">
      <c r="A75" t="str">
        <f t="shared" si="35"/>
        <v>Beef</v>
      </c>
      <c r="B75" t="str">
        <f t="shared" si="36"/>
        <v>Harari</v>
      </c>
      <c r="C75" s="2">
        <f t="shared" ca="1" si="41"/>
        <v>34.179317930854452</v>
      </c>
      <c r="D75" s="2">
        <f t="shared" ca="1" si="41"/>
        <v>25.037620196666648</v>
      </c>
      <c r="E75" s="2">
        <f t="shared" ca="1" si="40"/>
        <v>34.179317930854452</v>
      </c>
      <c r="F75" s="2">
        <f t="shared" ca="1" si="12"/>
        <v>25.037620196666648</v>
      </c>
      <c r="G75" s="2">
        <f t="shared" ca="1" si="13"/>
        <v>34.179317930854452</v>
      </c>
      <c r="H75" s="2">
        <f t="shared" ca="1" si="14"/>
        <v>25.037620196666648</v>
      </c>
      <c r="I75" s="2">
        <f t="shared" ca="1" si="15"/>
        <v>34.179317930854452</v>
      </c>
      <c r="J75" s="2">
        <f t="shared" ca="1" si="16"/>
        <v>25.037620196666648</v>
      </c>
      <c r="K75" s="2">
        <f t="shared" ca="1" si="17"/>
        <v>34.179317930854452</v>
      </c>
      <c r="L75" s="2">
        <f t="shared" ca="1" si="18"/>
        <v>25.037620196666648</v>
      </c>
      <c r="M75" s="2">
        <f t="shared" ca="1" si="19"/>
        <v>34.179317930854452</v>
      </c>
      <c r="N75" s="2">
        <f t="shared" ca="1" si="20"/>
        <v>25.037620196666648</v>
      </c>
      <c r="O75" s="2">
        <f t="shared" ca="1" si="21"/>
        <v>34.179317930854452</v>
      </c>
      <c r="P75" s="2">
        <f t="shared" ca="1" si="22"/>
        <v>25.037620196666648</v>
      </c>
      <c r="Q75" s="2">
        <f t="shared" ca="1" si="23"/>
        <v>34.179317930854452</v>
      </c>
      <c r="R75" s="2">
        <f t="shared" ca="1" si="24"/>
        <v>25.037620196666648</v>
      </c>
      <c r="S75" s="2">
        <f t="shared" ca="1" si="25"/>
        <v>34.179317930854452</v>
      </c>
      <c r="T75" s="2">
        <f t="shared" ca="1" si="26"/>
        <v>25.037620196666648</v>
      </c>
      <c r="U75" s="2">
        <f t="shared" ca="1" si="27"/>
        <v>34.179317930854452</v>
      </c>
      <c r="V75" s="2">
        <f t="shared" ca="1" si="28"/>
        <v>25.037620196666648</v>
      </c>
      <c r="W75" s="2">
        <f t="shared" ca="1" si="29"/>
        <v>34.179317930854452</v>
      </c>
      <c r="X75" s="2">
        <f t="shared" ca="1" si="30"/>
        <v>25.037620196666648</v>
      </c>
      <c r="Y75" s="2">
        <f t="shared" ca="1" si="31"/>
        <v>34.179317930854452</v>
      </c>
      <c r="Z75" s="2">
        <f t="shared" ca="1" si="32"/>
        <v>25.037620196666648</v>
      </c>
      <c r="AA75" s="2">
        <f t="shared" ca="1" si="33"/>
        <v>34.179317930854452</v>
      </c>
      <c r="AB75" s="2">
        <f t="shared" ca="1" si="34"/>
        <v>25.037620196666648</v>
      </c>
      <c r="AC75" s="2">
        <f t="shared" ref="AC75:AC90" ca="1" si="42">AA75</f>
        <v>34.179317930854452</v>
      </c>
      <c r="AD75" s="2">
        <f t="shared" ref="AD75:AD90" ca="1" si="43">AB75</f>
        <v>25.037620196666648</v>
      </c>
      <c r="AE75" s="2">
        <f t="shared" ref="AE75:AE90" ca="1" si="44">AC75</f>
        <v>34.179317930854452</v>
      </c>
      <c r="AF75" s="2">
        <f t="shared" ref="AF75:AF90" ca="1" si="45">AD75</f>
        <v>25.037620196666648</v>
      </c>
      <c r="AG75" s="2">
        <f t="shared" ref="AG75:AG90" ca="1" si="46">AE75</f>
        <v>34.179317930854452</v>
      </c>
      <c r="AH75" s="2">
        <f t="shared" ref="AH75:AH90" ca="1" si="47">AF75</f>
        <v>25.037620196666648</v>
      </c>
    </row>
    <row r="76" spans="1:34">
      <c r="A76" t="str">
        <f t="shared" si="35"/>
        <v>Beef</v>
      </c>
      <c r="B76" t="str">
        <f t="shared" si="36"/>
        <v>Oromia</v>
      </c>
      <c r="C76" s="2">
        <f t="shared" ca="1" si="41"/>
        <v>26.853505142535212</v>
      </c>
      <c r="D76" s="2">
        <f t="shared" ca="1" si="41"/>
        <v>29.846211950393595</v>
      </c>
      <c r="E76" s="2">
        <f t="shared" ca="1" si="40"/>
        <v>26.853505142535212</v>
      </c>
      <c r="F76" s="2">
        <f t="shared" ref="F76:F90" ca="1" si="48">D76</f>
        <v>29.846211950393595</v>
      </c>
      <c r="G76" s="2">
        <f t="shared" ref="G76:G90" ca="1" si="49">E76</f>
        <v>26.853505142535212</v>
      </c>
      <c r="H76" s="2">
        <f t="shared" ref="H76:H90" ca="1" si="50">F76</f>
        <v>29.846211950393595</v>
      </c>
      <c r="I76" s="2">
        <f t="shared" ref="I76:I90" ca="1" si="51">G76</f>
        <v>26.853505142535212</v>
      </c>
      <c r="J76" s="2">
        <f t="shared" ref="J76:J90" ca="1" si="52">H76</f>
        <v>29.846211950393595</v>
      </c>
      <c r="K76" s="2">
        <f t="shared" ref="K76:K90" ca="1" si="53">I76</f>
        <v>26.853505142535212</v>
      </c>
      <c r="L76" s="2">
        <f t="shared" ref="L76:L90" ca="1" si="54">J76</f>
        <v>29.846211950393595</v>
      </c>
      <c r="M76" s="2">
        <f t="shared" ref="M76:M90" ca="1" si="55">K76</f>
        <v>26.853505142535212</v>
      </c>
      <c r="N76" s="2">
        <f t="shared" ref="N76:N90" ca="1" si="56">L76</f>
        <v>29.846211950393595</v>
      </c>
      <c r="O76" s="2">
        <f t="shared" ref="O76:O90" ca="1" si="57">M76</f>
        <v>26.853505142535212</v>
      </c>
      <c r="P76" s="2">
        <f t="shared" ref="P76:P90" ca="1" si="58">N76</f>
        <v>29.846211950393595</v>
      </c>
      <c r="Q76" s="2">
        <f t="shared" ref="Q76:Q90" ca="1" si="59">O76</f>
        <v>26.853505142535212</v>
      </c>
      <c r="R76" s="2">
        <f t="shared" ref="R76:R90" ca="1" si="60">P76</f>
        <v>29.846211950393595</v>
      </c>
      <c r="S76" s="2">
        <f t="shared" ref="S76:S90" ca="1" si="61">Q76</f>
        <v>26.853505142535212</v>
      </c>
      <c r="T76" s="2">
        <f t="shared" ref="T76:T90" ca="1" si="62">R76</f>
        <v>29.846211950393595</v>
      </c>
      <c r="U76" s="2">
        <f t="shared" ref="U76:U90" ca="1" si="63">S76</f>
        <v>26.853505142535212</v>
      </c>
      <c r="V76" s="2">
        <f t="shared" ref="V76:V90" ca="1" si="64">T76</f>
        <v>29.846211950393595</v>
      </c>
      <c r="W76" s="2">
        <f t="shared" ref="W76:W90" ca="1" si="65">U76</f>
        <v>26.853505142535212</v>
      </c>
      <c r="X76" s="2">
        <f t="shared" ref="X76:X90" ca="1" si="66">V76</f>
        <v>29.846211950393595</v>
      </c>
      <c r="Y76" s="2">
        <f t="shared" ref="Y76:Y90" ca="1" si="67">W76</f>
        <v>26.853505142535212</v>
      </c>
      <c r="Z76" s="2">
        <f t="shared" ref="Z76:Z90" ca="1" si="68">X76</f>
        <v>29.846211950393595</v>
      </c>
      <c r="AA76" s="2">
        <f t="shared" ref="AA76:AA90" ca="1" si="69">Y76</f>
        <v>26.853505142535212</v>
      </c>
      <c r="AB76" s="2">
        <f t="shared" ref="AB76:AB90" ca="1" si="70">Z76</f>
        <v>29.846211950393595</v>
      </c>
      <c r="AC76" s="2">
        <f t="shared" ca="1" si="42"/>
        <v>26.853505142535212</v>
      </c>
      <c r="AD76" s="2">
        <f t="shared" ca="1" si="43"/>
        <v>29.846211950393595</v>
      </c>
      <c r="AE76" s="2">
        <f t="shared" ca="1" si="44"/>
        <v>26.853505142535212</v>
      </c>
      <c r="AF76" s="2">
        <f t="shared" ca="1" si="45"/>
        <v>29.846211950393595</v>
      </c>
      <c r="AG76" s="2">
        <f t="shared" ca="1" si="46"/>
        <v>26.853505142535212</v>
      </c>
      <c r="AH76" s="2">
        <f t="shared" ca="1" si="47"/>
        <v>29.846211950393595</v>
      </c>
    </row>
    <row r="77" spans="1:34">
      <c r="A77" t="str">
        <f t="shared" si="35"/>
        <v>Beef</v>
      </c>
      <c r="B77" t="str">
        <f t="shared" si="36"/>
        <v>Somali</v>
      </c>
      <c r="C77" s="2">
        <f t="shared" ca="1" si="41"/>
        <v>33.858083244663021</v>
      </c>
      <c r="D77" s="2">
        <f t="shared" ca="1" si="41"/>
        <v>27.934984071048419</v>
      </c>
      <c r="E77" s="2">
        <f t="shared" ca="1" si="40"/>
        <v>33.858083244663021</v>
      </c>
      <c r="F77" s="2">
        <f t="shared" ca="1" si="48"/>
        <v>27.934984071048419</v>
      </c>
      <c r="G77" s="2">
        <f t="shared" ca="1" si="49"/>
        <v>33.858083244663021</v>
      </c>
      <c r="H77" s="2">
        <f t="shared" ca="1" si="50"/>
        <v>27.934984071048419</v>
      </c>
      <c r="I77" s="2">
        <f t="shared" ca="1" si="51"/>
        <v>33.858083244663021</v>
      </c>
      <c r="J77" s="2">
        <f t="shared" ca="1" si="52"/>
        <v>27.934984071048419</v>
      </c>
      <c r="K77" s="2">
        <f t="shared" ca="1" si="53"/>
        <v>33.858083244663021</v>
      </c>
      <c r="L77" s="2">
        <f t="shared" ca="1" si="54"/>
        <v>27.934984071048419</v>
      </c>
      <c r="M77" s="2">
        <f t="shared" ca="1" si="55"/>
        <v>33.858083244663021</v>
      </c>
      <c r="N77" s="2">
        <f t="shared" ca="1" si="56"/>
        <v>27.934984071048419</v>
      </c>
      <c r="O77" s="2">
        <f t="shared" ca="1" si="57"/>
        <v>33.858083244663021</v>
      </c>
      <c r="P77" s="2">
        <f t="shared" ca="1" si="58"/>
        <v>27.934984071048419</v>
      </c>
      <c r="Q77" s="2">
        <f t="shared" ca="1" si="59"/>
        <v>33.858083244663021</v>
      </c>
      <c r="R77" s="2">
        <f t="shared" ca="1" si="60"/>
        <v>27.934984071048419</v>
      </c>
      <c r="S77" s="2">
        <f t="shared" ca="1" si="61"/>
        <v>33.858083244663021</v>
      </c>
      <c r="T77" s="2">
        <f t="shared" ca="1" si="62"/>
        <v>27.934984071048419</v>
      </c>
      <c r="U77" s="2">
        <f t="shared" ca="1" si="63"/>
        <v>33.858083244663021</v>
      </c>
      <c r="V77" s="2">
        <f t="shared" ca="1" si="64"/>
        <v>27.934984071048419</v>
      </c>
      <c r="W77" s="2">
        <f t="shared" ca="1" si="65"/>
        <v>33.858083244663021</v>
      </c>
      <c r="X77" s="2">
        <f t="shared" ca="1" si="66"/>
        <v>27.934984071048419</v>
      </c>
      <c r="Y77" s="2">
        <f t="shared" ca="1" si="67"/>
        <v>33.858083244663021</v>
      </c>
      <c r="Z77" s="2">
        <f t="shared" ca="1" si="68"/>
        <v>27.934984071048419</v>
      </c>
      <c r="AA77" s="2">
        <f t="shared" ca="1" si="69"/>
        <v>33.858083244663021</v>
      </c>
      <c r="AB77" s="2">
        <f t="shared" ca="1" si="70"/>
        <v>27.934984071048419</v>
      </c>
      <c r="AC77" s="2">
        <f t="shared" ca="1" si="42"/>
        <v>33.858083244663021</v>
      </c>
      <c r="AD77" s="2">
        <f t="shared" ca="1" si="43"/>
        <v>27.934984071048419</v>
      </c>
      <c r="AE77" s="2">
        <f t="shared" ca="1" si="44"/>
        <v>33.858083244663021</v>
      </c>
      <c r="AF77" s="2">
        <f t="shared" ca="1" si="45"/>
        <v>27.934984071048419</v>
      </c>
      <c r="AG77" s="2">
        <f t="shared" ca="1" si="46"/>
        <v>33.858083244663021</v>
      </c>
      <c r="AH77" s="2">
        <f t="shared" ca="1" si="47"/>
        <v>27.934984071048419</v>
      </c>
    </row>
    <row r="78" spans="1:34">
      <c r="A78" t="str">
        <f t="shared" ref="A78:A90" si="71">INDEX(Food,MATCH(A67,Food,0)+1)</f>
        <v>Beef</v>
      </c>
      <c r="B78" t="str">
        <f t="shared" si="36"/>
        <v>SNNPR</v>
      </c>
      <c r="C78" s="2">
        <f t="shared" ca="1" si="41"/>
        <v>26.261842700779585</v>
      </c>
      <c r="D78" s="2">
        <f t="shared" ca="1" si="41"/>
        <v>28.543850977204933</v>
      </c>
      <c r="E78" s="2">
        <f t="shared" ca="1" si="40"/>
        <v>26.261842700779585</v>
      </c>
      <c r="F78" s="2">
        <f t="shared" ca="1" si="48"/>
        <v>28.543850977204933</v>
      </c>
      <c r="G78" s="2">
        <f t="shared" ca="1" si="49"/>
        <v>26.261842700779585</v>
      </c>
      <c r="H78" s="2">
        <f t="shared" ca="1" si="50"/>
        <v>28.543850977204933</v>
      </c>
      <c r="I78" s="2">
        <f t="shared" ca="1" si="51"/>
        <v>26.261842700779585</v>
      </c>
      <c r="J78" s="2">
        <f t="shared" ca="1" si="52"/>
        <v>28.543850977204933</v>
      </c>
      <c r="K78" s="2">
        <f t="shared" ca="1" si="53"/>
        <v>26.261842700779585</v>
      </c>
      <c r="L78" s="2">
        <f t="shared" ca="1" si="54"/>
        <v>28.543850977204933</v>
      </c>
      <c r="M78" s="2">
        <f t="shared" ca="1" si="55"/>
        <v>26.261842700779585</v>
      </c>
      <c r="N78" s="2">
        <f t="shared" ca="1" si="56"/>
        <v>28.543850977204933</v>
      </c>
      <c r="O78" s="2">
        <f t="shared" ca="1" si="57"/>
        <v>26.261842700779585</v>
      </c>
      <c r="P78" s="2">
        <f t="shared" ca="1" si="58"/>
        <v>28.543850977204933</v>
      </c>
      <c r="Q78" s="2">
        <f t="shared" ca="1" si="59"/>
        <v>26.261842700779585</v>
      </c>
      <c r="R78" s="2">
        <f t="shared" ca="1" si="60"/>
        <v>28.543850977204933</v>
      </c>
      <c r="S78" s="2">
        <f t="shared" ca="1" si="61"/>
        <v>26.261842700779585</v>
      </c>
      <c r="T78" s="2">
        <f t="shared" ca="1" si="62"/>
        <v>28.543850977204933</v>
      </c>
      <c r="U78" s="2">
        <f t="shared" ca="1" si="63"/>
        <v>26.261842700779585</v>
      </c>
      <c r="V78" s="2">
        <f t="shared" ca="1" si="64"/>
        <v>28.543850977204933</v>
      </c>
      <c r="W78" s="2">
        <f t="shared" ca="1" si="65"/>
        <v>26.261842700779585</v>
      </c>
      <c r="X78" s="2">
        <f t="shared" ca="1" si="66"/>
        <v>28.543850977204933</v>
      </c>
      <c r="Y78" s="2">
        <f t="shared" ca="1" si="67"/>
        <v>26.261842700779585</v>
      </c>
      <c r="Z78" s="2">
        <f t="shared" ca="1" si="68"/>
        <v>28.543850977204933</v>
      </c>
      <c r="AA78" s="2">
        <f t="shared" ca="1" si="69"/>
        <v>26.261842700779585</v>
      </c>
      <c r="AB78" s="2">
        <f t="shared" ca="1" si="70"/>
        <v>28.543850977204933</v>
      </c>
      <c r="AC78" s="2">
        <f t="shared" ca="1" si="42"/>
        <v>26.261842700779585</v>
      </c>
      <c r="AD78" s="2">
        <f t="shared" ca="1" si="43"/>
        <v>28.543850977204933</v>
      </c>
      <c r="AE78" s="2">
        <f t="shared" ca="1" si="44"/>
        <v>26.261842700779585</v>
      </c>
      <c r="AF78" s="2">
        <f t="shared" ca="1" si="45"/>
        <v>28.543850977204933</v>
      </c>
      <c r="AG78" s="2">
        <f t="shared" ca="1" si="46"/>
        <v>26.261842700779585</v>
      </c>
      <c r="AH78" s="2">
        <f t="shared" ca="1" si="47"/>
        <v>28.543850977204933</v>
      </c>
    </row>
    <row r="79" spans="1:34">
      <c r="A79" t="str">
        <f t="shared" si="71"/>
        <v>Beef</v>
      </c>
      <c r="B79" t="str">
        <f t="shared" ref="B79:B90" si="72">B68</f>
        <v>Tigray</v>
      </c>
      <c r="C79" s="2">
        <f t="shared" ca="1" si="41"/>
        <v>28.307623988084512</v>
      </c>
      <c r="D79" s="2">
        <f t="shared" ca="1" si="41"/>
        <v>31.167954609723978</v>
      </c>
      <c r="E79" s="2">
        <f t="shared" ca="1" si="40"/>
        <v>28.307623988084512</v>
      </c>
      <c r="F79" s="2">
        <f t="shared" ca="1" si="48"/>
        <v>31.167954609723978</v>
      </c>
      <c r="G79" s="2">
        <f t="shared" ca="1" si="49"/>
        <v>28.307623988084512</v>
      </c>
      <c r="H79" s="2">
        <f t="shared" ca="1" si="50"/>
        <v>31.167954609723978</v>
      </c>
      <c r="I79" s="2">
        <f t="shared" ca="1" si="51"/>
        <v>28.307623988084512</v>
      </c>
      <c r="J79" s="2">
        <f t="shared" ca="1" si="52"/>
        <v>31.167954609723978</v>
      </c>
      <c r="K79" s="2">
        <f t="shared" ca="1" si="53"/>
        <v>28.307623988084512</v>
      </c>
      <c r="L79" s="2">
        <f t="shared" ca="1" si="54"/>
        <v>31.167954609723978</v>
      </c>
      <c r="M79" s="2">
        <f t="shared" ca="1" si="55"/>
        <v>28.307623988084512</v>
      </c>
      <c r="N79" s="2">
        <f t="shared" ca="1" si="56"/>
        <v>31.167954609723978</v>
      </c>
      <c r="O79" s="2">
        <f t="shared" ca="1" si="57"/>
        <v>28.307623988084512</v>
      </c>
      <c r="P79" s="2">
        <f t="shared" ca="1" si="58"/>
        <v>31.167954609723978</v>
      </c>
      <c r="Q79" s="2">
        <f t="shared" ca="1" si="59"/>
        <v>28.307623988084512</v>
      </c>
      <c r="R79" s="2">
        <f t="shared" ca="1" si="60"/>
        <v>31.167954609723978</v>
      </c>
      <c r="S79" s="2">
        <f t="shared" ca="1" si="61"/>
        <v>28.307623988084512</v>
      </c>
      <c r="T79" s="2">
        <f t="shared" ca="1" si="62"/>
        <v>31.167954609723978</v>
      </c>
      <c r="U79" s="2">
        <f t="shared" ca="1" si="63"/>
        <v>28.307623988084512</v>
      </c>
      <c r="V79" s="2">
        <f t="shared" ca="1" si="64"/>
        <v>31.167954609723978</v>
      </c>
      <c r="W79" s="2">
        <f t="shared" ca="1" si="65"/>
        <v>28.307623988084512</v>
      </c>
      <c r="X79" s="2">
        <f t="shared" ca="1" si="66"/>
        <v>31.167954609723978</v>
      </c>
      <c r="Y79" s="2">
        <f t="shared" ca="1" si="67"/>
        <v>28.307623988084512</v>
      </c>
      <c r="Z79" s="2">
        <f t="shared" ca="1" si="68"/>
        <v>31.167954609723978</v>
      </c>
      <c r="AA79" s="2">
        <f t="shared" ca="1" si="69"/>
        <v>28.307623988084512</v>
      </c>
      <c r="AB79" s="2">
        <f t="shared" ca="1" si="70"/>
        <v>31.167954609723978</v>
      </c>
      <c r="AC79" s="2">
        <f t="shared" ca="1" si="42"/>
        <v>28.307623988084512</v>
      </c>
      <c r="AD79" s="2">
        <f t="shared" ca="1" si="43"/>
        <v>31.167954609723978</v>
      </c>
      <c r="AE79" s="2">
        <f t="shared" ca="1" si="44"/>
        <v>28.307623988084512</v>
      </c>
      <c r="AF79" s="2">
        <f t="shared" ca="1" si="45"/>
        <v>31.167954609723978</v>
      </c>
      <c r="AG79" s="2">
        <f t="shared" ca="1" si="46"/>
        <v>28.307623988084512</v>
      </c>
      <c r="AH79" s="2">
        <f t="shared" ca="1" si="47"/>
        <v>31.167954609723978</v>
      </c>
    </row>
    <row r="80" spans="1:34">
      <c r="A80" t="str">
        <f t="shared" si="71"/>
        <v>Milk</v>
      </c>
      <c r="B80" t="str">
        <f t="shared" si="72"/>
        <v>AddisAbaba</v>
      </c>
      <c r="C80" s="2">
        <f t="shared" ca="1" si="41"/>
        <v>27.161750815914125</v>
      </c>
      <c r="D80" s="2">
        <f t="shared" ca="1" si="41"/>
        <v>33.595998387919323</v>
      </c>
      <c r="E80" s="2">
        <f t="shared" ca="1" si="40"/>
        <v>27.161750815914125</v>
      </c>
      <c r="F80" s="2">
        <f t="shared" ca="1" si="48"/>
        <v>33.595998387919323</v>
      </c>
      <c r="G80" s="2">
        <f t="shared" ca="1" si="49"/>
        <v>27.161750815914125</v>
      </c>
      <c r="H80" s="2">
        <f t="shared" ca="1" si="50"/>
        <v>33.595998387919323</v>
      </c>
      <c r="I80" s="2">
        <f t="shared" ca="1" si="51"/>
        <v>27.161750815914125</v>
      </c>
      <c r="J80" s="2">
        <f t="shared" ca="1" si="52"/>
        <v>33.595998387919323</v>
      </c>
      <c r="K80" s="2">
        <f t="shared" ca="1" si="53"/>
        <v>27.161750815914125</v>
      </c>
      <c r="L80" s="2">
        <f t="shared" ca="1" si="54"/>
        <v>33.595998387919323</v>
      </c>
      <c r="M80" s="2">
        <f t="shared" ca="1" si="55"/>
        <v>27.161750815914125</v>
      </c>
      <c r="N80" s="2">
        <f t="shared" ca="1" si="56"/>
        <v>33.595998387919323</v>
      </c>
      <c r="O80" s="2">
        <f t="shared" ca="1" si="57"/>
        <v>27.161750815914125</v>
      </c>
      <c r="P80" s="2">
        <f t="shared" ca="1" si="58"/>
        <v>33.595998387919323</v>
      </c>
      <c r="Q80" s="2">
        <f t="shared" ca="1" si="59"/>
        <v>27.161750815914125</v>
      </c>
      <c r="R80" s="2">
        <f t="shared" ca="1" si="60"/>
        <v>33.595998387919323</v>
      </c>
      <c r="S80" s="2">
        <f t="shared" ca="1" si="61"/>
        <v>27.161750815914125</v>
      </c>
      <c r="T80" s="2">
        <f t="shared" ca="1" si="62"/>
        <v>33.595998387919323</v>
      </c>
      <c r="U80" s="2">
        <f t="shared" ca="1" si="63"/>
        <v>27.161750815914125</v>
      </c>
      <c r="V80" s="2">
        <f t="shared" ca="1" si="64"/>
        <v>33.595998387919323</v>
      </c>
      <c r="W80" s="2">
        <f t="shared" ca="1" si="65"/>
        <v>27.161750815914125</v>
      </c>
      <c r="X80" s="2">
        <f t="shared" ca="1" si="66"/>
        <v>33.595998387919323</v>
      </c>
      <c r="Y80" s="2">
        <f t="shared" ca="1" si="67"/>
        <v>27.161750815914125</v>
      </c>
      <c r="Z80" s="2">
        <f t="shared" ca="1" si="68"/>
        <v>33.595998387919323</v>
      </c>
      <c r="AA80" s="2">
        <f t="shared" ca="1" si="69"/>
        <v>27.161750815914125</v>
      </c>
      <c r="AB80" s="2">
        <f t="shared" ca="1" si="70"/>
        <v>33.595998387919323</v>
      </c>
      <c r="AC80" s="2">
        <f t="shared" ca="1" si="42"/>
        <v>27.161750815914125</v>
      </c>
      <c r="AD80" s="2">
        <f t="shared" ca="1" si="43"/>
        <v>33.595998387919323</v>
      </c>
      <c r="AE80" s="2">
        <f t="shared" ca="1" si="44"/>
        <v>27.161750815914125</v>
      </c>
      <c r="AF80" s="2">
        <f t="shared" ca="1" si="45"/>
        <v>33.595998387919323</v>
      </c>
      <c r="AG80" s="2">
        <f t="shared" ca="1" si="46"/>
        <v>27.161750815914125</v>
      </c>
      <c r="AH80" s="2">
        <f t="shared" ca="1" si="47"/>
        <v>33.595998387919323</v>
      </c>
    </row>
    <row r="81" spans="1:34">
      <c r="A81" t="str">
        <f t="shared" si="71"/>
        <v>Milk</v>
      </c>
      <c r="B81" t="str">
        <f t="shared" si="72"/>
        <v>Afar</v>
      </c>
      <c r="C81" s="2">
        <f t="shared" ca="1" si="41"/>
        <v>25.702131930589399</v>
      </c>
      <c r="D81" s="2">
        <f t="shared" ca="1" si="41"/>
        <v>25.023211940473097</v>
      </c>
      <c r="E81" s="2">
        <f t="shared" ca="1" si="40"/>
        <v>25.702131930589399</v>
      </c>
      <c r="F81" s="2">
        <f t="shared" ca="1" si="48"/>
        <v>25.023211940473097</v>
      </c>
      <c r="G81" s="2">
        <f t="shared" ca="1" si="49"/>
        <v>25.702131930589399</v>
      </c>
      <c r="H81" s="2">
        <f t="shared" ca="1" si="50"/>
        <v>25.023211940473097</v>
      </c>
      <c r="I81" s="2">
        <f t="shared" ca="1" si="51"/>
        <v>25.702131930589399</v>
      </c>
      <c r="J81" s="2">
        <f t="shared" ca="1" si="52"/>
        <v>25.023211940473097</v>
      </c>
      <c r="K81" s="2">
        <f t="shared" ca="1" si="53"/>
        <v>25.702131930589399</v>
      </c>
      <c r="L81" s="2">
        <f t="shared" ca="1" si="54"/>
        <v>25.023211940473097</v>
      </c>
      <c r="M81" s="2">
        <f t="shared" ca="1" si="55"/>
        <v>25.702131930589399</v>
      </c>
      <c r="N81" s="2">
        <f t="shared" ca="1" si="56"/>
        <v>25.023211940473097</v>
      </c>
      <c r="O81" s="2">
        <f t="shared" ca="1" si="57"/>
        <v>25.702131930589399</v>
      </c>
      <c r="P81" s="2">
        <f t="shared" ca="1" si="58"/>
        <v>25.023211940473097</v>
      </c>
      <c r="Q81" s="2">
        <f t="shared" ca="1" si="59"/>
        <v>25.702131930589399</v>
      </c>
      <c r="R81" s="2">
        <f t="shared" ca="1" si="60"/>
        <v>25.023211940473097</v>
      </c>
      <c r="S81" s="2">
        <f t="shared" ca="1" si="61"/>
        <v>25.702131930589399</v>
      </c>
      <c r="T81" s="2">
        <f t="shared" ca="1" si="62"/>
        <v>25.023211940473097</v>
      </c>
      <c r="U81" s="2">
        <f t="shared" ca="1" si="63"/>
        <v>25.702131930589399</v>
      </c>
      <c r="V81" s="2">
        <f t="shared" ca="1" si="64"/>
        <v>25.023211940473097</v>
      </c>
      <c r="W81" s="2">
        <f t="shared" ca="1" si="65"/>
        <v>25.702131930589399</v>
      </c>
      <c r="X81" s="2">
        <f t="shared" ca="1" si="66"/>
        <v>25.023211940473097</v>
      </c>
      <c r="Y81" s="2">
        <f t="shared" ca="1" si="67"/>
        <v>25.702131930589399</v>
      </c>
      <c r="Z81" s="2">
        <f t="shared" ca="1" si="68"/>
        <v>25.023211940473097</v>
      </c>
      <c r="AA81" s="2">
        <f t="shared" ca="1" si="69"/>
        <v>25.702131930589399</v>
      </c>
      <c r="AB81" s="2">
        <f t="shared" ca="1" si="70"/>
        <v>25.023211940473097</v>
      </c>
      <c r="AC81" s="2">
        <f t="shared" ca="1" si="42"/>
        <v>25.702131930589399</v>
      </c>
      <c r="AD81" s="2">
        <f t="shared" ca="1" si="43"/>
        <v>25.023211940473097</v>
      </c>
      <c r="AE81" s="2">
        <f t="shared" ca="1" si="44"/>
        <v>25.702131930589399</v>
      </c>
      <c r="AF81" s="2">
        <f t="shared" ca="1" si="45"/>
        <v>25.023211940473097</v>
      </c>
      <c r="AG81" s="2">
        <f t="shared" ca="1" si="46"/>
        <v>25.702131930589399</v>
      </c>
      <c r="AH81" s="2">
        <f t="shared" ca="1" si="47"/>
        <v>25.023211940473097</v>
      </c>
    </row>
    <row r="82" spans="1:34">
      <c r="A82" t="str">
        <f t="shared" si="71"/>
        <v>Milk</v>
      </c>
      <c r="B82" t="str">
        <f t="shared" si="72"/>
        <v>Amhara</v>
      </c>
      <c r="C82" s="2">
        <f t="shared" ca="1" si="41"/>
        <v>27.668783302120413</v>
      </c>
      <c r="D82" s="2">
        <f t="shared" ca="1" si="41"/>
        <v>25.1642127060239</v>
      </c>
      <c r="E82" s="2">
        <f t="shared" ca="1" si="40"/>
        <v>27.668783302120413</v>
      </c>
      <c r="F82" s="2">
        <f t="shared" ca="1" si="48"/>
        <v>25.1642127060239</v>
      </c>
      <c r="G82" s="2">
        <f t="shared" ca="1" si="49"/>
        <v>27.668783302120413</v>
      </c>
      <c r="H82" s="2">
        <f t="shared" ca="1" si="50"/>
        <v>25.1642127060239</v>
      </c>
      <c r="I82" s="2">
        <f t="shared" ca="1" si="51"/>
        <v>27.668783302120413</v>
      </c>
      <c r="J82" s="2">
        <f t="shared" ca="1" si="52"/>
        <v>25.1642127060239</v>
      </c>
      <c r="K82" s="2">
        <f t="shared" ca="1" si="53"/>
        <v>27.668783302120413</v>
      </c>
      <c r="L82" s="2">
        <f t="shared" ca="1" si="54"/>
        <v>25.1642127060239</v>
      </c>
      <c r="M82" s="2">
        <f t="shared" ca="1" si="55"/>
        <v>27.668783302120413</v>
      </c>
      <c r="N82" s="2">
        <f t="shared" ca="1" si="56"/>
        <v>25.1642127060239</v>
      </c>
      <c r="O82" s="2">
        <f t="shared" ca="1" si="57"/>
        <v>27.668783302120413</v>
      </c>
      <c r="P82" s="2">
        <f t="shared" ca="1" si="58"/>
        <v>25.1642127060239</v>
      </c>
      <c r="Q82" s="2">
        <f t="shared" ca="1" si="59"/>
        <v>27.668783302120413</v>
      </c>
      <c r="R82" s="2">
        <f t="shared" ca="1" si="60"/>
        <v>25.1642127060239</v>
      </c>
      <c r="S82" s="2">
        <f t="shared" ca="1" si="61"/>
        <v>27.668783302120413</v>
      </c>
      <c r="T82" s="2">
        <f t="shared" ca="1" si="62"/>
        <v>25.1642127060239</v>
      </c>
      <c r="U82" s="2">
        <f t="shared" ca="1" si="63"/>
        <v>27.668783302120413</v>
      </c>
      <c r="V82" s="2">
        <f t="shared" ca="1" si="64"/>
        <v>25.1642127060239</v>
      </c>
      <c r="W82" s="2">
        <f t="shared" ca="1" si="65"/>
        <v>27.668783302120413</v>
      </c>
      <c r="X82" s="2">
        <f t="shared" ca="1" si="66"/>
        <v>25.1642127060239</v>
      </c>
      <c r="Y82" s="2">
        <f t="shared" ca="1" si="67"/>
        <v>27.668783302120413</v>
      </c>
      <c r="Z82" s="2">
        <f t="shared" ca="1" si="68"/>
        <v>25.1642127060239</v>
      </c>
      <c r="AA82" s="2">
        <f t="shared" ca="1" si="69"/>
        <v>27.668783302120413</v>
      </c>
      <c r="AB82" s="2">
        <f t="shared" ca="1" si="70"/>
        <v>25.1642127060239</v>
      </c>
      <c r="AC82" s="2">
        <f t="shared" ca="1" si="42"/>
        <v>27.668783302120413</v>
      </c>
      <c r="AD82" s="2">
        <f t="shared" ca="1" si="43"/>
        <v>25.1642127060239</v>
      </c>
      <c r="AE82" s="2">
        <f t="shared" ca="1" si="44"/>
        <v>27.668783302120413</v>
      </c>
      <c r="AF82" s="2">
        <f t="shared" ca="1" si="45"/>
        <v>25.1642127060239</v>
      </c>
      <c r="AG82" s="2">
        <f t="shared" ca="1" si="46"/>
        <v>27.668783302120413</v>
      </c>
      <c r="AH82" s="2">
        <f t="shared" ca="1" si="47"/>
        <v>25.1642127060239</v>
      </c>
    </row>
    <row r="83" spans="1:34">
      <c r="A83" t="str">
        <f t="shared" si="71"/>
        <v>Milk</v>
      </c>
      <c r="B83" t="str">
        <f t="shared" si="72"/>
        <v>Gumuz</v>
      </c>
      <c r="C83" s="2">
        <f t="shared" ca="1" si="41"/>
        <v>29.058978158770174</v>
      </c>
      <c r="D83" s="2">
        <f t="shared" ca="1" si="41"/>
        <v>29.819249917743864</v>
      </c>
      <c r="E83" s="2">
        <f t="shared" ca="1" si="40"/>
        <v>29.058978158770174</v>
      </c>
      <c r="F83" s="2">
        <f t="shared" ca="1" si="48"/>
        <v>29.819249917743864</v>
      </c>
      <c r="G83" s="2">
        <f t="shared" ca="1" si="49"/>
        <v>29.058978158770174</v>
      </c>
      <c r="H83" s="2">
        <f t="shared" ca="1" si="50"/>
        <v>29.819249917743864</v>
      </c>
      <c r="I83" s="2">
        <f t="shared" ca="1" si="51"/>
        <v>29.058978158770174</v>
      </c>
      <c r="J83" s="2">
        <f t="shared" ca="1" si="52"/>
        <v>29.819249917743864</v>
      </c>
      <c r="K83" s="2">
        <f t="shared" ca="1" si="53"/>
        <v>29.058978158770174</v>
      </c>
      <c r="L83" s="2">
        <f t="shared" ca="1" si="54"/>
        <v>29.819249917743864</v>
      </c>
      <c r="M83" s="2">
        <f t="shared" ca="1" si="55"/>
        <v>29.058978158770174</v>
      </c>
      <c r="N83" s="2">
        <f t="shared" ca="1" si="56"/>
        <v>29.819249917743864</v>
      </c>
      <c r="O83" s="2">
        <f t="shared" ca="1" si="57"/>
        <v>29.058978158770174</v>
      </c>
      <c r="P83" s="2">
        <f t="shared" ca="1" si="58"/>
        <v>29.819249917743864</v>
      </c>
      <c r="Q83" s="2">
        <f t="shared" ca="1" si="59"/>
        <v>29.058978158770174</v>
      </c>
      <c r="R83" s="2">
        <f t="shared" ca="1" si="60"/>
        <v>29.819249917743864</v>
      </c>
      <c r="S83" s="2">
        <f t="shared" ca="1" si="61"/>
        <v>29.058978158770174</v>
      </c>
      <c r="T83" s="2">
        <f t="shared" ca="1" si="62"/>
        <v>29.819249917743864</v>
      </c>
      <c r="U83" s="2">
        <f t="shared" ca="1" si="63"/>
        <v>29.058978158770174</v>
      </c>
      <c r="V83" s="2">
        <f t="shared" ca="1" si="64"/>
        <v>29.819249917743864</v>
      </c>
      <c r="W83" s="2">
        <f t="shared" ca="1" si="65"/>
        <v>29.058978158770174</v>
      </c>
      <c r="X83" s="2">
        <f t="shared" ca="1" si="66"/>
        <v>29.819249917743864</v>
      </c>
      <c r="Y83" s="2">
        <f t="shared" ca="1" si="67"/>
        <v>29.058978158770174</v>
      </c>
      <c r="Z83" s="2">
        <f t="shared" ca="1" si="68"/>
        <v>29.819249917743864</v>
      </c>
      <c r="AA83" s="2">
        <f t="shared" ca="1" si="69"/>
        <v>29.058978158770174</v>
      </c>
      <c r="AB83" s="2">
        <f t="shared" ca="1" si="70"/>
        <v>29.819249917743864</v>
      </c>
      <c r="AC83" s="2">
        <f t="shared" ca="1" si="42"/>
        <v>29.058978158770174</v>
      </c>
      <c r="AD83" s="2">
        <f t="shared" ca="1" si="43"/>
        <v>29.819249917743864</v>
      </c>
      <c r="AE83" s="2">
        <f t="shared" ca="1" si="44"/>
        <v>29.058978158770174</v>
      </c>
      <c r="AF83" s="2">
        <f t="shared" ca="1" si="45"/>
        <v>29.819249917743864</v>
      </c>
      <c r="AG83" s="2">
        <f t="shared" ca="1" si="46"/>
        <v>29.058978158770174</v>
      </c>
      <c r="AH83" s="2">
        <f t="shared" ca="1" si="47"/>
        <v>29.819249917743864</v>
      </c>
    </row>
    <row r="84" spans="1:34">
      <c r="A84" t="str">
        <f t="shared" si="71"/>
        <v>Milk</v>
      </c>
      <c r="B84" t="str">
        <f t="shared" si="72"/>
        <v>DireDawa</v>
      </c>
      <c r="C84" s="2">
        <f t="shared" ca="1" si="41"/>
        <v>26.458320143572042</v>
      </c>
      <c r="D84" s="2">
        <f t="shared" ca="1" si="41"/>
        <v>30.789128398174345</v>
      </c>
      <c r="E84" s="2">
        <f t="shared" ca="1" si="40"/>
        <v>26.458320143572042</v>
      </c>
      <c r="F84" s="2">
        <f t="shared" ca="1" si="48"/>
        <v>30.789128398174345</v>
      </c>
      <c r="G84" s="2">
        <f t="shared" ca="1" si="49"/>
        <v>26.458320143572042</v>
      </c>
      <c r="H84" s="2">
        <f t="shared" ca="1" si="50"/>
        <v>30.789128398174345</v>
      </c>
      <c r="I84" s="2">
        <f t="shared" ca="1" si="51"/>
        <v>26.458320143572042</v>
      </c>
      <c r="J84" s="2">
        <f t="shared" ca="1" si="52"/>
        <v>30.789128398174345</v>
      </c>
      <c r="K84" s="2">
        <f t="shared" ca="1" si="53"/>
        <v>26.458320143572042</v>
      </c>
      <c r="L84" s="2">
        <f t="shared" ca="1" si="54"/>
        <v>30.789128398174345</v>
      </c>
      <c r="M84" s="2">
        <f t="shared" ca="1" si="55"/>
        <v>26.458320143572042</v>
      </c>
      <c r="N84" s="2">
        <f t="shared" ca="1" si="56"/>
        <v>30.789128398174345</v>
      </c>
      <c r="O84" s="2">
        <f t="shared" ca="1" si="57"/>
        <v>26.458320143572042</v>
      </c>
      <c r="P84" s="2">
        <f t="shared" ca="1" si="58"/>
        <v>30.789128398174345</v>
      </c>
      <c r="Q84" s="2">
        <f t="shared" ca="1" si="59"/>
        <v>26.458320143572042</v>
      </c>
      <c r="R84" s="2">
        <f t="shared" ca="1" si="60"/>
        <v>30.789128398174345</v>
      </c>
      <c r="S84" s="2">
        <f t="shared" ca="1" si="61"/>
        <v>26.458320143572042</v>
      </c>
      <c r="T84" s="2">
        <f t="shared" ca="1" si="62"/>
        <v>30.789128398174345</v>
      </c>
      <c r="U84" s="2">
        <f t="shared" ca="1" si="63"/>
        <v>26.458320143572042</v>
      </c>
      <c r="V84" s="2">
        <f t="shared" ca="1" si="64"/>
        <v>30.789128398174345</v>
      </c>
      <c r="W84" s="2">
        <f t="shared" ca="1" si="65"/>
        <v>26.458320143572042</v>
      </c>
      <c r="X84" s="2">
        <f t="shared" ca="1" si="66"/>
        <v>30.789128398174345</v>
      </c>
      <c r="Y84" s="2">
        <f t="shared" ca="1" si="67"/>
        <v>26.458320143572042</v>
      </c>
      <c r="Z84" s="2">
        <f t="shared" ca="1" si="68"/>
        <v>30.789128398174345</v>
      </c>
      <c r="AA84" s="2">
        <f t="shared" ca="1" si="69"/>
        <v>26.458320143572042</v>
      </c>
      <c r="AB84" s="2">
        <f t="shared" ca="1" si="70"/>
        <v>30.789128398174345</v>
      </c>
      <c r="AC84" s="2">
        <f t="shared" ca="1" si="42"/>
        <v>26.458320143572042</v>
      </c>
      <c r="AD84" s="2">
        <f t="shared" ca="1" si="43"/>
        <v>30.789128398174345</v>
      </c>
      <c r="AE84" s="2">
        <f t="shared" ca="1" si="44"/>
        <v>26.458320143572042</v>
      </c>
      <c r="AF84" s="2">
        <f t="shared" ca="1" si="45"/>
        <v>30.789128398174345</v>
      </c>
      <c r="AG84" s="2">
        <f t="shared" ca="1" si="46"/>
        <v>26.458320143572042</v>
      </c>
      <c r="AH84" s="2">
        <f t="shared" ca="1" si="47"/>
        <v>30.789128398174345</v>
      </c>
    </row>
    <row r="85" spans="1:34">
      <c r="A85" t="str">
        <f t="shared" si="71"/>
        <v>Milk</v>
      </c>
      <c r="B85" t="str">
        <f t="shared" si="72"/>
        <v>Gambela</v>
      </c>
      <c r="C85" s="2">
        <f t="shared" ca="1" si="41"/>
        <v>32.46457769228406</v>
      </c>
      <c r="D85" s="2">
        <f t="shared" ca="1" si="41"/>
        <v>29.447064291450786</v>
      </c>
      <c r="E85" s="2">
        <f t="shared" ca="1" si="40"/>
        <v>32.46457769228406</v>
      </c>
      <c r="F85" s="2">
        <f t="shared" ca="1" si="48"/>
        <v>29.447064291450786</v>
      </c>
      <c r="G85" s="2">
        <f t="shared" ca="1" si="49"/>
        <v>32.46457769228406</v>
      </c>
      <c r="H85" s="2">
        <f t="shared" ca="1" si="50"/>
        <v>29.447064291450786</v>
      </c>
      <c r="I85" s="2">
        <f t="shared" ca="1" si="51"/>
        <v>32.46457769228406</v>
      </c>
      <c r="J85" s="2">
        <f t="shared" ca="1" si="52"/>
        <v>29.447064291450786</v>
      </c>
      <c r="K85" s="2">
        <f t="shared" ca="1" si="53"/>
        <v>32.46457769228406</v>
      </c>
      <c r="L85" s="2">
        <f t="shared" ca="1" si="54"/>
        <v>29.447064291450786</v>
      </c>
      <c r="M85" s="2">
        <f t="shared" ca="1" si="55"/>
        <v>32.46457769228406</v>
      </c>
      <c r="N85" s="2">
        <f t="shared" ca="1" si="56"/>
        <v>29.447064291450786</v>
      </c>
      <c r="O85" s="2">
        <f t="shared" ca="1" si="57"/>
        <v>32.46457769228406</v>
      </c>
      <c r="P85" s="2">
        <f t="shared" ca="1" si="58"/>
        <v>29.447064291450786</v>
      </c>
      <c r="Q85" s="2">
        <f t="shared" ca="1" si="59"/>
        <v>32.46457769228406</v>
      </c>
      <c r="R85" s="2">
        <f t="shared" ca="1" si="60"/>
        <v>29.447064291450786</v>
      </c>
      <c r="S85" s="2">
        <f t="shared" ca="1" si="61"/>
        <v>32.46457769228406</v>
      </c>
      <c r="T85" s="2">
        <f t="shared" ca="1" si="62"/>
        <v>29.447064291450786</v>
      </c>
      <c r="U85" s="2">
        <f t="shared" ca="1" si="63"/>
        <v>32.46457769228406</v>
      </c>
      <c r="V85" s="2">
        <f t="shared" ca="1" si="64"/>
        <v>29.447064291450786</v>
      </c>
      <c r="W85" s="2">
        <f t="shared" ca="1" si="65"/>
        <v>32.46457769228406</v>
      </c>
      <c r="X85" s="2">
        <f t="shared" ca="1" si="66"/>
        <v>29.447064291450786</v>
      </c>
      <c r="Y85" s="2">
        <f t="shared" ca="1" si="67"/>
        <v>32.46457769228406</v>
      </c>
      <c r="Z85" s="2">
        <f t="shared" ca="1" si="68"/>
        <v>29.447064291450786</v>
      </c>
      <c r="AA85" s="2">
        <f t="shared" ca="1" si="69"/>
        <v>32.46457769228406</v>
      </c>
      <c r="AB85" s="2">
        <f t="shared" ca="1" si="70"/>
        <v>29.447064291450786</v>
      </c>
      <c r="AC85" s="2">
        <f t="shared" ca="1" si="42"/>
        <v>32.46457769228406</v>
      </c>
      <c r="AD85" s="2">
        <f t="shared" ca="1" si="43"/>
        <v>29.447064291450786</v>
      </c>
      <c r="AE85" s="2">
        <f t="shared" ca="1" si="44"/>
        <v>32.46457769228406</v>
      </c>
      <c r="AF85" s="2">
        <f t="shared" ca="1" si="45"/>
        <v>29.447064291450786</v>
      </c>
      <c r="AG85" s="2">
        <f t="shared" ca="1" si="46"/>
        <v>32.46457769228406</v>
      </c>
      <c r="AH85" s="2">
        <f t="shared" ca="1" si="47"/>
        <v>29.447064291450786</v>
      </c>
    </row>
    <row r="86" spans="1:34">
      <c r="A86" t="str">
        <f t="shared" si="71"/>
        <v>Milk</v>
      </c>
      <c r="B86" t="str">
        <f t="shared" si="72"/>
        <v>Harari</v>
      </c>
      <c r="C86" s="2">
        <f t="shared" ref="C86:D90" ca="1" si="73">(RAND()*1+2.5)*10</f>
        <v>28.145214927435145</v>
      </c>
      <c r="D86" s="2">
        <f t="shared" ca="1" si="73"/>
        <v>28.301067511657216</v>
      </c>
      <c r="E86" s="2">
        <f t="shared" ca="1" si="40"/>
        <v>28.145214927435145</v>
      </c>
      <c r="F86" s="2">
        <f t="shared" ca="1" si="48"/>
        <v>28.301067511657216</v>
      </c>
      <c r="G86" s="2">
        <f t="shared" ca="1" si="49"/>
        <v>28.145214927435145</v>
      </c>
      <c r="H86" s="2">
        <f t="shared" ca="1" si="50"/>
        <v>28.301067511657216</v>
      </c>
      <c r="I86" s="2">
        <f t="shared" ca="1" si="51"/>
        <v>28.145214927435145</v>
      </c>
      <c r="J86" s="2">
        <f t="shared" ca="1" si="52"/>
        <v>28.301067511657216</v>
      </c>
      <c r="K86" s="2">
        <f t="shared" ca="1" si="53"/>
        <v>28.145214927435145</v>
      </c>
      <c r="L86" s="2">
        <f t="shared" ca="1" si="54"/>
        <v>28.301067511657216</v>
      </c>
      <c r="M86" s="2">
        <f t="shared" ca="1" si="55"/>
        <v>28.145214927435145</v>
      </c>
      <c r="N86" s="2">
        <f t="shared" ca="1" si="56"/>
        <v>28.301067511657216</v>
      </c>
      <c r="O86" s="2">
        <f t="shared" ca="1" si="57"/>
        <v>28.145214927435145</v>
      </c>
      <c r="P86" s="2">
        <f t="shared" ca="1" si="58"/>
        <v>28.301067511657216</v>
      </c>
      <c r="Q86" s="2">
        <f t="shared" ca="1" si="59"/>
        <v>28.145214927435145</v>
      </c>
      <c r="R86" s="2">
        <f t="shared" ca="1" si="60"/>
        <v>28.301067511657216</v>
      </c>
      <c r="S86" s="2">
        <f t="shared" ca="1" si="61"/>
        <v>28.145214927435145</v>
      </c>
      <c r="T86" s="2">
        <f t="shared" ca="1" si="62"/>
        <v>28.301067511657216</v>
      </c>
      <c r="U86" s="2">
        <f t="shared" ca="1" si="63"/>
        <v>28.145214927435145</v>
      </c>
      <c r="V86" s="2">
        <f t="shared" ca="1" si="64"/>
        <v>28.301067511657216</v>
      </c>
      <c r="W86" s="2">
        <f t="shared" ca="1" si="65"/>
        <v>28.145214927435145</v>
      </c>
      <c r="X86" s="2">
        <f t="shared" ca="1" si="66"/>
        <v>28.301067511657216</v>
      </c>
      <c r="Y86" s="2">
        <f t="shared" ca="1" si="67"/>
        <v>28.145214927435145</v>
      </c>
      <c r="Z86" s="2">
        <f t="shared" ca="1" si="68"/>
        <v>28.301067511657216</v>
      </c>
      <c r="AA86" s="2">
        <f t="shared" ca="1" si="69"/>
        <v>28.145214927435145</v>
      </c>
      <c r="AB86" s="2">
        <f t="shared" ca="1" si="70"/>
        <v>28.301067511657216</v>
      </c>
      <c r="AC86" s="2">
        <f t="shared" ca="1" si="42"/>
        <v>28.145214927435145</v>
      </c>
      <c r="AD86" s="2">
        <f t="shared" ca="1" si="43"/>
        <v>28.301067511657216</v>
      </c>
      <c r="AE86" s="2">
        <f t="shared" ca="1" si="44"/>
        <v>28.145214927435145</v>
      </c>
      <c r="AF86" s="2">
        <f t="shared" ca="1" si="45"/>
        <v>28.301067511657216</v>
      </c>
      <c r="AG86" s="2">
        <f t="shared" ca="1" si="46"/>
        <v>28.145214927435145</v>
      </c>
      <c r="AH86" s="2">
        <f t="shared" ca="1" si="47"/>
        <v>28.301067511657216</v>
      </c>
    </row>
    <row r="87" spans="1:34">
      <c r="A87" t="str">
        <f t="shared" si="71"/>
        <v>Milk</v>
      </c>
      <c r="B87" t="str">
        <f t="shared" si="72"/>
        <v>Oromia</v>
      </c>
      <c r="C87" s="2">
        <f t="shared" ca="1" si="73"/>
        <v>26.738519338282988</v>
      </c>
      <c r="D87" s="2">
        <f t="shared" ca="1" si="73"/>
        <v>29.543615015691643</v>
      </c>
      <c r="E87" s="2">
        <f t="shared" ca="1" si="40"/>
        <v>26.738519338282988</v>
      </c>
      <c r="F87" s="2">
        <f t="shared" ca="1" si="48"/>
        <v>29.543615015691643</v>
      </c>
      <c r="G87" s="2">
        <f t="shared" ca="1" si="49"/>
        <v>26.738519338282988</v>
      </c>
      <c r="H87" s="2">
        <f t="shared" ca="1" si="50"/>
        <v>29.543615015691643</v>
      </c>
      <c r="I87" s="2">
        <f t="shared" ca="1" si="51"/>
        <v>26.738519338282988</v>
      </c>
      <c r="J87" s="2">
        <f t="shared" ca="1" si="52"/>
        <v>29.543615015691643</v>
      </c>
      <c r="K87" s="2">
        <f t="shared" ca="1" si="53"/>
        <v>26.738519338282988</v>
      </c>
      <c r="L87" s="2">
        <f t="shared" ca="1" si="54"/>
        <v>29.543615015691643</v>
      </c>
      <c r="M87" s="2">
        <f t="shared" ca="1" si="55"/>
        <v>26.738519338282988</v>
      </c>
      <c r="N87" s="2">
        <f t="shared" ca="1" si="56"/>
        <v>29.543615015691643</v>
      </c>
      <c r="O87" s="2">
        <f t="shared" ca="1" si="57"/>
        <v>26.738519338282988</v>
      </c>
      <c r="P87" s="2">
        <f t="shared" ca="1" si="58"/>
        <v>29.543615015691643</v>
      </c>
      <c r="Q87" s="2">
        <f t="shared" ca="1" si="59"/>
        <v>26.738519338282988</v>
      </c>
      <c r="R87" s="2">
        <f t="shared" ca="1" si="60"/>
        <v>29.543615015691643</v>
      </c>
      <c r="S87" s="2">
        <f t="shared" ca="1" si="61"/>
        <v>26.738519338282988</v>
      </c>
      <c r="T87" s="2">
        <f t="shared" ca="1" si="62"/>
        <v>29.543615015691643</v>
      </c>
      <c r="U87" s="2">
        <f t="shared" ca="1" si="63"/>
        <v>26.738519338282988</v>
      </c>
      <c r="V87" s="2">
        <f t="shared" ca="1" si="64"/>
        <v>29.543615015691643</v>
      </c>
      <c r="W87" s="2">
        <f t="shared" ca="1" si="65"/>
        <v>26.738519338282988</v>
      </c>
      <c r="X87" s="2">
        <f t="shared" ca="1" si="66"/>
        <v>29.543615015691643</v>
      </c>
      <c r="Y87" s="2">
        <f t="shared" ca="1" si="67"/>
        <v>26.738519338282988</v>
      </c>
      <c r="Z87" s="2">
        <f t="shared" ca="1" si="68"/>
        <v>29.543615015691643</v>
      </c>
      <c r="AA87" s="2">
        <f t="shared" ca="1" si="69"/>
        <v>26.738519338282988</v>
      </c>
      <c r="AB87" s="2">
        <f t="shared" ca="1" si="70"/>
        <v>29.543615015691643</v>
      </c>
      <c r="AC87" s="2">
        <f t="shared" ca="1" si="42"/>
        <v>26.738519338282988</v>
      </c>
      <c r="AD87" s="2">
        <f t="shared" ca="1" si="43"/>
        <v>29.543615015691643</v>
      </c>
      <c r="AE87" s="2">
        <f t="shared" ca="1" si="44"/>
        <v>26.738519338282988</v>
      </c>
      <c r="AF87" s="2">
        <f t="shared" ca="1" si="45"/>
        <v>29.543615015691643</v>
      </c>
      <c r="AG87" s="2">
        <f t="shared" ca="1" si="46"/>
        <v>26.738519338282988</v>
      </c>
      <c r="AH87" s="2">
        <f t="shared" ca="1" si="47"/>
        <v>29.543615015691643</v>
      </c>
    </row>
    <row r="88" spans="1:34">
      <c r="A88" t="str">
        <f t="shared" si="71"/>
        <v>Milk</v>
      </c>
      <c r="B88" t="str">
        <f t="shared" si="72"/>
        <v>Somali</v>
      </c>
      <c r="C88" s="2">
        <f t="shared" ca="1" si="73"/>
        <v>25.658664168270757</v>
      </c>
      <c r="D88" s="2">
        <f t="shared" ca="1" si="73"/>
        <v>25.300876043864406</v>
      </c>
      <c r="E88" s="2">
        <f t="shared" ca="1" si="40"/>
        <v>25.658664168270757</v>
      </c>
      <c r="F88" s="2">
        <f t="shared" ca="1" si="48"/>
        <v>25.300876043864406</v>
      </c>
      <c r="G88" s="2">
        <f t="shared" ca="1" si="49"/>
        <v>25.658664168270757</v>
      </c>
      <c r="H88" s="2">
        <f t="shared" ca="1" si="50"/>
        <v>25.300876043864406</v>
      </c>
      <c r="I88" s="2">
        <f t="shared" ca="1" si="51"/>
        <v>25.658664168270757</v>
      </c>
      <c r="J88" s="2">
        <f t="shared" ca="1" si="52"/>
        <v>25.300876043864406</v>
      </c>
      <c r="K88" s="2">
        <f t="shared" ca="1" si="53"/>
        <v>25.658664168270757</v>
      </c>
      <c r="L88" s="2">
        <f t="shared" ca="1" si="54"/>
        <v>25.300876043864406</v>
      </c>
      <c r="M88" s="2">
        <f t="shared" ca="1" si="55"/>
        <v>25.658664168270757</v>
      </c>
      <c r="N88" s="2">
        <f t="shared" ca="1" si="56"/>
        <v>25.300876043864406</v>
      </c>
      <c r="O88" s="2">
        <f t="shared" ca="1" si="57"/>
        <v>25.658664168270757</v>
      </c>
      <c r="P88" s="2">
        <f t="shared" ca="1" si="58"/>
        <v>25.300876043864406</v>
      </c>
      <c r="Q88" s="2">
        <f t="shared" ca="1" si="59"/>
        <v>25.658664168270757</v>
      </c>
      <c r="R88" s="2">
        <f t="shared" ca="1" si="60"/>
        <v>25.300876043864406</v>
      </c>
      <c r="S88" s="2">
        <f t="shared" ca="1" si="61"/>
        <v>25.658664168270757</v>
      </c>
      <c r="T88" s="2">
        <f t="shared" ca="1" si="62"/>
        <v>25.300876043864406</v>
      </c>
      <c r="U88" s="2">
        <f t="shared" ca="1" si="63"/>
        <v>25.658664168270757</v>
      </c>
      <c r="V88" s="2">
        <f t="shared" ca="1" si="64"/>
        <v>25.300876043864406</v>
      </c>
      <c r="W88" s="2">
        <f t="shared" ca="1" si="65"/>
        <v>25.658664168270757</v>
      </c>
      <c r="X88" s="2">
        <f t="shared" ca="1" si="66"/>
        <v>25.300876043864406</v>
      </c>
      <c r="Y88" s="2">
        <f t="shared" ca="1" si="67"/>
        <v>25.658664168270757</v>
      </c>
      <c r="Z88" s="2">
        <f t="shared" ca="1" si="68"/>
        <v>25.300876043864406</v>
      </c>
      <c r="AA88" s="2">
        <f t="shared" ca="1" si="69"/>
        <v>25.658664168270757</v>
      </c>
      <c r="AB88" s="2">
        <f t="shared" ca="1" si="70"/>
        <v>25.300876043864406</v>
      </c>
      <c r="AC88" s="2">
        <f t="shared" ca="1" si="42"/>
        <v>25.658664168270757</v>
      </c>
      <c r="AD88" s="2">
        <f t="shared" ca="1" si="43"/>
        <v>25.300876043864406</v>
      </c>
      <c r="AE88" s="2">
        <f t="shared" ca="1" si="44"/>
        <v>25.658664168270757</v>
      </c>
      <c r="AF88" s="2">
        <f t="shared" ca="1" si="45"/>
        <v>25.300876043864406</v>
      </c>
      <c r="AG88" s="2">
        <f t="shared" ca="1" si="46"/>
        <v>25.658664168270757</v>
      </c>
      <c r="AH88" s="2">
        <f t="shared" ca="1" si="47"/>
        <v>25.300876043864406</v>
      </c>
    </row>
    <row r="89" spans="1:34">
      <c r="A89" t="str">
        <f t="shared" si="71"/>
        <v>Milk</v>
      </c>
      <c r="B89" t="str">
        <f t="shared" si="72"/>
        <v>SNNPR</v>
      </c>
      <c r="C89" s="2">
        <f t="shared" ca="1" si="73"/>
        <v>30.048466997714765</v>
      </c>
      <c r="D89" s="2">
        <f t="shared" ca="1" si="73"/>
        <v>29.606183480761622</v>
      </c>
      <c r="E89" s="2">
        <f t="shared" ca="1" si="40"/>
        <v>30.048466997714765</v>
      </c>
      <c r="F89" s="2">
        <f t="shared" ca="1" si="48"/>
        <v>29.606183480761622</v>
      </c>
      <c r="G89" s="2">
        <f t="shared" ca="1" si="49"/>
        <v>30.048466997714765</v>
      </c>
      <c r="H89" s="2">
        <f t="shared" ca="1" si="50"/>
        <v>29.606183480761622</v>
      </c>
      <c r="I89" s="2">
        <f t="shared" ca="1" si="51"/>
        <v>30.048466997714765</v>
      </c>
      <c r="J89" s="2">
        <f t="shared" ca="1" si="52"/>
        <v>29.606183480761622</v>
      </c>
      <c r="K89" s="2">
        <f t="shared" ca="1" si="53"/>
        <v>30.048466997714765</v>
      </c>
      <c r="L89" s="2">
        <f t="shared" ca="1" si="54"/>
        <v>29.606183480761622</v>
      </c>
      <c r="M89" s="2">
        <f t="shared" ca="1" si="55"/>
        <v>30.048466997714765</v>
      </c>
      <c r="N89" s="2">
        <f t="shared" ca="1" si="56"/>
        <v>29.606183480761622</v>
      </c>
      <c r="O89" s="2">
        <f t="shared" ca="1" si="57"/>
        <v>30.048466997714765</v>
      </c>
      <c r="P89" s="2">
        <f t="shared" ca="1" si="58"/>
        <v>29.606183480761622</v>
      </c>
      <c r="Q89" s="2">
        <f t="shared" ca="1" si="59"/>
        <v>30.048466997714765</v>
      </c>
      <c r="R89" s="2">
        <f t="shared" ca="1" si="60"/>
        <v>29.606183480761622</v>
      </c>
      <c r="S89" s="2">
        <f t="shared" ca="1" si="61"/>
        <v>30.048466997714765</v>
      </c>
      <c r="T89" s="2">
        <f t="shared" ca="1" si="62"/>
        <v>29.606183480761622</v>
      </c>
      <c r="U89" s="2">
        <f t="shared" ca="1" si="63"/>
        <v>30.048466997714765</v>
      </c>
      <c r="V89" s="2">
        <f t="shared" ca="1" si="64"/>
        <v>29.606183480761622</v>
      </c>
      <c r="W89" s="2">
        <f t="shared" ca="1" si="65"/>
        <v>30.048466997714765</v>
      </c>
      <c r="X89" s="2">
        <f t="shared" ca="1" si="66"/>
        <v>29.606183480761622</v>
      </c>
      <c r="Y89" s="2">
        <f t="shared" ca="1" si="67"/>
        <v>30.048466997714765</v>
      </c>
      <c r="Z89" s="2">
        <f t="shared" ca="1" si="68"/>
        <v>29.606183480761622</v>
      </c>
      <c r="AA89" s="2">
        <f t="shared" ca="1" si="69"/>
        <v>30.048466997714765</v>
      </c>
      <c r="AB89" s="2">
        <f t="shared" ca="1" si="70"/>
        <v>29.606183480761622</v>
      </c>
      <c r="AC89" s="2">
        <f t="shared" ca="1" si="42"/>
        <v>30.048466997714765</v>
      </c>
      <c r="AD89" s="2">
        <f t="shared" ca="1" si="43"/>
        <v>29.606183480761622</v>
      </c>
      <c r="AE89" s="2">
        <f t="shared" ca="1" si="44"/>
        <v>30.048466997714765</v>
      </c>
      <c r="AF89" s="2">
        <f t="shared" ca="1" si="45"/>
        <v>29.606183480761622</v>
      </c>
      <c r="AG89" s="2">
        <f t="shared" ca="1" si="46"/>
        <v>30.048466997714765</v>
      </c>
      <c r="AH89" s="2">
        <f t="shared" ca="1" si="47"/>
        <v>29.606183480761622</v>
      </c>
    </row>
    <row r="90" spans="1:34">
      <c r="A90" t="str">
        <f t="shared" si="71"/>
        <v>Milk</v>
      </c>
      <c r="B90" t="str">
        <f t="shared" si="72"/>
        <v>Tigray</v>
      </c>
      <c r="C90" s="2">
        <f t="shared" ca="1" si="73"/>
        <v>34.580523338339937</v>
      </c>
      <c r="D90" s="2">
        <f t="shared" ca="1" si="73"/>
        <v>26.225272507062765</v>
      </c>
      <c r="E90" s="2">
        <f t="shared" ca="1" si="40"/>
        <v>34.580523338339937</v>
      </c>
      <c r="F90" s="2">
        <f t="shared" ca="1" si="48"/>
        <v>26.225272507062765</v>
      </c>
      <c r="G90" s="2">
        <f t="shared" ca="1" si="49"/>
        <v>34.580523338339937</v>
      </c>
      <c r="H90" s="2">
        <f t="shared" ca="1" si="50"/>
        <v>26.225272507062765</v>
      </c>
      <c r="I90" s="2">
        <f t="shared" ca="1" si="51"/>
        <v>34.580523338339937</v>
      </c>
      <c r="J90" s="2">
        <f t="shared" ca="1" si="52"/>
        <v>26.225272507062765</v>
      </c>
      <c r="K90" s="2">
        <f t="shared" ca="1" si="53"/>
        <v>34.580523338339937</v>
      </c>
      <c r="L90" s="2">
        <f t="shared" ca="1" si="54"/>
        <v>26.225272507062765</v>
      </c>
      <c r="M90" s="2">
        <f t="shared" ca="1" si="55"/>
        <v>34.580523338339937</v>
      </c>
      <c r="N90" s="2">
        <f t="shared" ca="1" si="56"/>
        <v>26.225272507062765</v>
      </c>
      <c r="O90" s="2">
        <f t="shared" ca="1" si="57"/>
        <v>34.580523338339937</v>
      </c>
      <c r="P90" s="2">
        <f t="shared" ca="1" si="58"/>
        <v>26.225272507062765</v>
      </c>
      <c r="Q90" s="2">
        <f t="shared" ca="1" si="59"/>
        <v>34.580523338339937</v>
      </c>
      <c r="R90" s="2">
        <f t="shared" ca="1" si="60"/>
        <v>26.225272507062765</v>
      </c>
      <c r="S90" s="2">
        <f t="shared" ca="1" si="61"/>
        <v>34.580523338339937</v>
      </c>
      <c r="T90" s="2">
        <f t="shared" ca="1" si="62"/>
        <v>26.225272507062765</v>
      </c>
      <c r="U90" s="2">
        <f t="shared" ca="1" si="63"/>
        <v>34.580523338339937</v>
      </c>
      <c r="V90" s="2">
        <f t="shared" ca="1" si="64"/>
        <v>26.225272507062765</v>
      </c>
      <c r="W90" s="2">
        <f t="shared" ca="1" si="65"/>
        <v>34.580523338339937</v>
      </c>
      <c r="X90" s="2">
        <f t="shared" ca="1" si="66"/>
        <v>26.225272507062765</v>
      </c>
      <c r="Y90" s="2">
        <f t="shared" ca="1" si="67"/>
        <v>34.580523338339937</v>
      </c>
      <c r="Z90" s="2">
        <f t="shared" ca="1" si="68"/>
        <v>26.225272507062765</v>
      </c>
      <c r="AA90" s="2">
        <f t="shared" ca="1" si="69"/>
        <v>34.580523338339937</v>
      </c>
      <c r="AB90" s="2">
        <f t="shared" ca="1" si="70"/>
        <v>26.225272507062765</v>
      </c>
      <c r="AC90" s="2">
        <f t="shared" ca="1" si="42"/>
        <v>34.580523338339937</v>
      </c>
      <c r="AD90" s="2">
        <f t="shared" ca="1" si="43"/>
        <v>26.225272507062765</v>
      </c>
      <c r="AE90" s="2">
        <f t="shared" ca="1" si="44"/>
        <v>34.580523338339937</v>
      </c>
      <c r="AF90" s="2">
        <f t="shared" ca="1" si="45"/>
        <v>26.225272507062765</v>
      </c>
      <c r="AG90" s="2">
        <f t="shared" ca="1" si="46"/>
        <v>34.580523338339937</v>
      </c>
      <c r="AH90" s="2">
        <f t="shared" ca="1" si="47"/>
        <v>26.225272507062765</v>
      </c>
    </row>
  </sheetData>
  <pageMargins left="0.75" right="0.75" top="1" bottom="1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"/>
  <sheetViews>
    <sheetView zoomScale="85" zoomScaleNormal="85" workbookViewId="0">
      <selection activeCell="L29" sqref="L29"/>
    </sheetView>
  </sheetViews>
  <sheetFormatPr defaultRowHeight="15.75"/>
  <cols>
    <col min="1" max="1" width="10" bestFit="1" customWidth="1"/>
    <col min="6" max="6" width="10" bestFit="1" customWidth="1"/>
  </cols>
  <sheetData>
    <row r="1" spans="1:9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</row>
    <row r="2" spans="1:9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</row>
    <row r="3" spans="1:9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</row>
    <row r="4" spans="1:9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</row>
    <row r="5" spans="1:9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</row>
    <row r="6" spans="1:9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</row>
    <row r="9" spans="1:9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</row>
    <row r="21" spans="1:12">
      <c r="A21" t="s">
        <v>16</v>
      </c>
      <c r="B21">
        <v>-0.9</v>
      </c>
    </row>
    <row r="22" spans="1:12">
      <c r="A22" t="s">
        <v>20</v>
      </c>
      <c r="B22">
        <v>-0.75</v>
      </c>
    </row>
    <row r="23" spans="1:12">
      <c r="A23" t="s">
        <v>17</v>
      </c>
      <c r="B23">
        <v>-0.8</v>
      </c>
    </row>
    <row r="24" spans="1:12">
      <c r="A24" t="s">
        <v>24</v>
      </c>
      <c r="B24">
        <v>-0.9</v>
      </c>
    </row>
    <row r="25" spans="1:12">
      <c r="A25" t="s">
        <v>21</v>
      </c>
      <c r="B25">
        <v>-0.95</v>
      </c>
    </row>
    <row r="26" spans="1:12">
      <c r="A26" t="s">
        <v>18</v>
      </c>
      <c r="B26">
        <v>-0.95</v>
      </c>
    </row>
    <row r="27" spans="1:12">
      <c r="A27" t="s">
        <v>22</v>
      </c>
      <c r="B27">
        <v>-0.9</v>
      </c>
    </row>
    <row r="28" spans="1:12">
      <c r="A28" t="s">
        <v>23</v>
      </c>
      <c r="B28">
        <v>-0.9</v>
      </c>
    </row>
    <row r="29" spans="1:12">
      <c r="L29" t="s">
        <v>125</v>
      </c>
    </row>
    <row r="41" spans="1:9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</row>
    <row r="42" spans="1:9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</row>
    <row r="43" spans="1:9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</row>
    <row r="44" spans="1:9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</row>
    <row r="45" spans="1:9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</row>
    <row r="46" spans="1:9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</row>
    <row r="49" spans="1:9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72"/>
  <sheetViews>
    <sheetView topLeftCell="A33" zoomScale="85" zoomScaleNormal="85" workbookViewId="0">
      <selection activeCell="B41" sqref="B41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f ca="1">$S48*27/SUM($S$41:$S$51)+RAND()*5</f>
        <v>11.544099711297495</v>
      </c>
      <c r="C3" s="2">
        <f t="shared" ref="C3:AG3" ca="1" si="2">$S48*27/SUM($S$41:$S$51)+RAND()*5</f>
        <v>13.021563672740786</v>
      </c>
      <c r="D3" s="2">
        <f t="shared" ca="1" si="2"/>
        <v>11.629008144898162</v>
      </c>
      <c r="E3" s="2">
        <f t="shared" ca="1" si="2"/>
        <v>10.278115011032572</v>
      </c>
      <c r="F3" s="2">
        <f t="shared" ca="1" si="2"/>
        <v>12.258960690909973</v>
      </c>
      <c r="G3" s="2">
        <f t="shared" ca="1" si="2"/>
        <v>15.028263231405061</v>
      </c>
      <c r="H3" s="2">
        <f t="shared" ca="1" si="2"/>
        <v>11.119638343173133</v>
      </c>
      <c r="I3" s="2">
        <f t="shared" ca="1" si="2"/>
        <v>12.786892820519322</v>
      </c>
      <c r="J3" s="2">
        <f t="shared" ca="1" si="2"/>
        <v>11.51622305968306</v>
      </c>
      <c r="K3" s="2">
        <f t="shared" ca="1" si="2"/>
        <v>13.987236908483176</v>
      </c>
      <c r="L3" s="2">
        <f t="shared" ca="1" si="2"/>
        <v>13.035830876013081</v>
      </c>
      <c r="M3" s="2">
        <f t="shared" ca="1" si="2"/>
        <v>11.463613163213049</v>
      </c>
      <c r="N3" s="2">
        <f t="shared" ca="1" si="2"/>
        <v>11.334849925521262</v>
      </c>
      <c r="O3" s="2">
        <f t="shared" ca="1" si="2"/>
        <v>13.594129053440009</v>
      </c>
      <c r="P3" s="2">
        <f t="shared" ca="1" si="2"/>
        <v>13.596849585709327</v>
      </c>
      <c r="Q3" s="2">
        <f t="shared" ca="1" si="2"/>
        <v>12.258212636672535</v>
      </c>
      <c r="R3" s="2">
        <f t="shared" ca="1" si="2"/>
        <v>10.637858751308599</v>
      </c>
      <c r="S3" s="2">
        <f t="shared" ca="1" si="2"/>
        <v>10.857407705745684</v>
      </c>
      <c r="T3" s="2">
        <f t="shared" ca="1" si="2"/>
        <v>11.765262645455829</v>
      </c>
      <c r="U3" s="2">
        <f t="shared" ca="1" si="2"/>
        <v>13.870975440983608</v>
      </c>
      <c r="V3" s="2">
        <f t="shared" ca="1" si="2"/>
        <v>14.271454747410814</v>
      </c>
      <c r="W3" s="2">
        <f t="shared" ca="1" si="2"/>
        <v>12.744102902044377</v>
      </c>
      <c r="X3" s="2">
        <f t="shared" ca="1" si="2"/>
        <v>15.08808107547836</v>
      </c>
      <c r="Y3" s="2">
        <f t="shared" ca="1" si="2"/>
        <v>12.999342206126752</v>
      </c>
      <c r="Z3" s="2">
        <f t="shared" ca="1" si="2"/>
        <v>11.851474257722209</v>
      </c>
      <c r="AA3" s="2">
        <f t="shared" ca="1" si="2"/>
        <v>12.873811328597656</v>
      </c>
      <c r="AB3" s="2">
        <f t="shared" ca="1" si="2"/>
        <v>14.406619799817705</v>
      </c>
      <c r="AC3" s="2">
        <f t="shared" ca="1" si="2"/>
        <v>10.778286624879712</v>
      </c>
      <c r="AD3" s="2">
        <f t="shared" ca="1" si="2"/>
        <v>12.198101589525677</v>
      </c>
      <c r="AE3" s="2">
        <f t="shared" ca="1" si="2"/>
        <v>13.907735991586652</v>
      </c>
      <c r="AF3" s="2">
        <f t="shared" ca="1" si="2"/>
        <v>10.789679403763937</v>
      </c>
      <c r="AG3" s="2">
        <f t="shared" ca="1" si="2"/>
        <v>12.75416261870625</v>
      </c>
    </row>
    <row r="4" spans="1:33">
      <c r="A4" t="str">
        <v>Afar</v>
      </c>
      <c r="B4" s="2">
        <f t="shared" ref="B4:B13" ca="1" si="3">$S42*27/SUM($S$41:$S$51)+RAND()*5</f>
        <v>2.2446524160389285</v>
      </c>
      <c r="C4" s="2">
        <f t="shared" ref="C4:AG4" ca="1" si="4">$S42*27/SUM($S$41:$S$51)+RAND()*5</f>
        <v>5.434212331802299</v>
      </c>
      <c r="D4" s="2">
        <f t="shared" ca="1" si="4"/>
        <v>3.3995686341994369</v>
      </c>
      <c r="E4" s="2">
        <f t="shared" ca="1" si="4"/>
        <v>4.5199220774239128</v>
      </c>
      <c r="F4" s="2">
        <f t="shared" ca="1" si="4"/>
        <v>1.2248938364050606</v>
      </c>
      <c r="G4" s="2">
        <f t="shared" ca="1" si="4"/>
        <v>3.2139140742254964</v>
      </c>
      <c r="H4" s="2">
        <f t="shared" ca="1" si="4"/>
        <v>3.2873737792405828</v>
      </c>
      <c r="I4" s="2">
        <f t="shared" ca="1" si="4"/>
        <v>2.9268182254405701</v>
      </c>
      <c r="J4" s="2">
        <f t="shared" ca="1" si="4"/>
        <v>3.3798213507755586</v>
      </c>
      <c r="K4" s="2">
        <f t="shared" ca="1" si="4"/>
        <v>1.5970974647067311</v>
      </c>
      <c r="L4" s="2">
        <f t="shared" ca="1" si="4"/>
        <v>2.6459479765981246</v>
      </c>
      <c r="M4" s="2">
        <f t="shared" ca="1" si="4"/>
        <v>3.5034313093460696</v>
      </c>
      <c r="N4" s="2">
        <f t="shared" ca="1" si="4"/>
        <v>3.6726361998674175</v>
      </c>
      <c r="O4" s="2">
        <f t="shared" ca="1" si="4"/>
        <v>5.1871141841249369</v>
      </c>
      <c r="P4" s="2">
        <f t="shared" ca="1" si="4"/>
        <v>1.8901135816326353</v>
      </c>
      <c r="Q4" s="2">
        <f t="shared" ca="1" si="4"/>
        <v>3.1508136835600409</v>
      </c>
      <c r="R4" s="2">
        <f t="shared" ca="1" si="4"/>
        <v>3.026694996646631</v>
      </c>
      <c r="S4" s="2">
        <f t="shared" ca="1" si="4"/>
        <v>1.8462888374739235</v>
      </c>
      <c r="T4" s="2">
        <f t="shared" ca="1" si="4"/>
        <v>0.75102017732833926</v>
      </c>
      <c r="U4" s="2">
        <f t="shared" ca="1" si="4"/>
        <v>4.198798259198119</v>
      </c>
      <c r="V4" s="2">
        <f t="shared" ca="1" si="4"/>
        <v>2.4375021410072173</v>
      </c>
      <c r="W4" s="2">
        <f t="shared" ca="1" si="4"/>
        <v>1.7117276088969091</v>
      </c>
      <c r="X4" s="2">
        <f t="shared" ca="1" si="4"/>
        <v>5.4514884365909992</v>
      </c>
      <c r="Y4" s="2">
        <f t="shared" ca="1" si="4"/>
        <v>4.3334385806441658</v>
      </c>
      <c r="Z4" s="2">
        <f t="shared" ca="1" si="4"/>
        <v>3.8652776090584622</v>
      </c>
      <c r="AA4" s="2">
        <f t="shared" ca="1" si="4"/>
        <v>1.3181652893018581</v>
      </c>
      <c r="AB4" s="2">
        <f t="shared" ca="1" si="4"/>
        <v>2.012691798646733</v>
      </c>
      <c r="AC4" s="2">
        <f t="shared" ca="1" si="4"/>
        <v>0.84789106295325045</v>
      </c>
      <c r="AD4" s="2">
        <f t="shared" ca="1" si="4"/>
        <v>2.0008027113782414</v>
      </c>
      <c r="AE4" s="2">
        <f t="shared" ca="1" si="4"/>
        <v>4.5368070627467088</v>
      </c>
      <c r="AF4" s="2">
        <f t="shared" ca="1" si="4"/>
        <v>4.7916135139102716</v>
      </c>
      <c r="AG4" s="2">
        <f t="shared" ca="1" si="4"/>
        <v>1.2779239362465455</v>
      </c>
    </row>
    <row r="5" spans="1:33">
      <c r="A5" t="str">
        <v>Amhara</v>
      </c>
      <c r="B5" s="2">
        <f ca="1">$S41*27/SUM($S$41:$S$51)+RAND()*5</f>
        <v>3.9312702484824857</v>
      </c>
      <c r="C5" s="2">
        <f t="shared" ref="C5:AG5" ca="1" si="5">$S41*27/SUM($S$41:$S$51)+RAND()*5</f>
        <v>4.7758009357415458</v>
      </c>
      <c r="D5" s="2">
        <f t="shared" ca="1" si="5"/>
        <v>3.8471257054354178</v>
      </c>
      <c r="E5" s="2">
        <f t="shared" ca="1" si="5"/>
        <v>3.80778272456529</v>
      </c>
      <c r="F5" s="2">
        <f t="shared" ca="1" si="5"/>
        <v>2.8979031294737858</v>
      </c>
      <c r="G5" s="2">
        <f t="shared" ca="1" si="5"/>
        <v>1.9953358620417054</v>
      </c>
      <c r="H5" s="2">
        <f t="shared" ca="1" si="5"/>
        <v>4.9057632398453546</v>
      </c>
      <c r="I5" s="2">
        <f t="shared" ca="1" si="5"/>
        <v>1.7242356393342688</v>
      </c>
      <c r="J5" s="2">
        <f t="shared" ca="1" si="5"/>
        <v>4.6225509412281092</v>
      </c>
      <c r="K5" s="2">
        <f t="shared" ca="1" si="5"/>
        <v>4.9268291073863519</v>
      </c>
      <c r="L5" s="2">
        <f t="shared" ca="1" si="5"/>
        <v>2.4303083694258785</v>
      </c>
      <c r="M5" s="2">
        <f t="shared" ca="1" si="5"/>
        <v>5.9417393456360941</v>
      </c>
      <c r="N5" s="2">
        <f t="shared" ca="1" si="5"/>
        <v>3.9793293114373771</v>
      </c>
      <c r="O5" s="2">
        <f t="shared" ca="1" si="5"/>
        <v>2.4040780447554084</v>
      </c>
      <c r="P5" s="2">
        <f t="shared" ca="1" si="5"/>
        <v>3.3086169748797962</v>
      </c>
      <c r="Q5" s="2">
        <f t="shared" ca="1" si="5"/>
        <v>2.8844545224730584</v>
      </c>
      <c r="R5" s="2">
        <f t="shared" ca="1" si="5"/>
        <v>3.5439034558661469</v>
      </c>
      <c r="S5" s="2">
        <f t="shared" ca="1" si="5"/>
        <v>4.2247980991157235</v>
      </c>
      <c r="T5" s="2">
        <f t="shared" ca="1" si="5"/>
        <v>2.4115983627767896</v>
      </c>
      <c r="U5" s="2">
        <f t="shared" ca="1" si="5"/>
        <v>3.0484448236156654</v>
      </c>
      <c r="V5" s="2">
        <f t="shared" ca="1" si="5"/>
        <v>2.4273634848802637</v>
      </c>
      <c r="W5" s="2">
        <f t="shared" ca="1" si="5"/>
        <v>3.7522943339096688</v>
      </c>
      <c r="X5" s="2">
        <f t="shared" ca="1" si="5"/>
        <v>4.9459668214381791</v>
      </c>
      <c r="Y5" s="2">
        <f t="shared" ca="1" si="5"/>
        <v>5.6952375579798886</v>
      </c>
      <c r="Z5" s="2">
        <f t="shared" ca="1" si="5"/>
        <v>5.6012153852790929</v>
      </c>
      <c r="AA5" s="2">
        <f t="shared" ca="1" si="5"/>
        <v>4.308322967462308</v>
      </c>
      <c r="AB5" s="2">
        <f t="shared" ca="1" si="5"/>
        <v>5.5281079059995264</v>
      </c>
      <c r="AC5" s="2">
        <f t="shared" ca="1" si="5"/>
        <v>4.4048663893566244</v>
      </c>
      <c r="AD5" s="2">
        <f t="shared" ca="1" si="5"/>
        <v>3.3656097689491</v>
      </c>
      <c r="AE5" s="2">
        <f t="shared" ca="1" si="5"/>
        <v>1.5245669335897247</v>
      </c>
      <c r="AF5" s="2">
        <f t="shared" ca="1" si="5"/>
        <v>1.7346603173050861</v>
      </c>
      <c r="AG5" s="2">
        <f t="shared" ca="1" si="5"/>
        <v>1.6705068274991424</v>
      </c>
    </row>
    <row r="6" spans="1:33">
      <c r="A6" t="str">
        <v>Gumuz</v>
      </c>
      <c r="B6" s="2">
        <f t="shared" ca="1" si="3"/>
        <v>2.0951912552112471</v>
      </c>
      <c r="C6" s="2">
        <f t="shared" ref="C6:AG6" ca="1" si="6">$S44*27/SUM($S$41:$S$51)+RAND()*5</f>
        <v>4.0130140895442761</v>
      </c>
      <c r="D6" s="2">
        <f t="shared" ca="1" si="6"/>
        <v>2.0997902301131348</v>
      </c>
      <c r="E6" s="2">
        <f t="shared" ca="1" si="6"/>
        <v>4.6489146579694403</v>
      </c>
      <c r="F6" s="2">
        <f t="shared" ca="1" si="6"/>
        <v>0.72845404516047529</v>
      </c>
      <c r="G6" s="2">
        <f t="shared" ca="1" si="6"/>
        <v>4.5556872830369191</v>
      </c>
      <c r="H6" s="2">
        <f t="shared" ca="1" si="6"/>
        <v>4.171563235236647</v>
      </c>
      <c r="I6" s="2">
        <f t="shared" ca="1" si="6"/>
        <v>2.8696063241974072</v>
      </c>
      <c r="J6" s="2">
        <f t="shared" ca="1" si="6"/>
        <v>3.3580437663536804</v>
      </c>
      <c r="K6" s="2">
        <f t="shared" ca="1" si="6"/>
        <v>4.7220679082077472</v>
      </c>
      <c r="L6" s="2">
        <f t="shared" ca="1" si="6"/>
        <v>3.5232971624082992</v>
      </c>
      <c r="M6" s="2">
        <f t="shared" ca="1" si="6"/>
        <v>1.7489085810986875</v>
      </c>
      <c r="N6" s="2">
        <f t="shared" ca="1" si="6"/>
        <v>1.0347402171345115</v>
      </c>
      <c r="O6" s="2">
        <f t="shared" ca="1" si="6"/>
        <v>4.0698980735727304</v>
      </c>
      <c r="P6" s="2">
        <f t="shared" ca="1" si="6"/>
        <v>3.2814104356611589</v>
      </c>
      <c r="Q6" s="2">
        <f t="shared" ca="1" si="6"/>
        <v>2.4613847067291368</v>
      </c>
      <c r="R6" s="2">
        <f t="shared" ca="1" si="6"/>
        <v>4.2809988802706309</v>
      </c>
      <c r="S6" s="2">
        <f t="shared" ca="1" si="6"/>
        <v>4.1966180875477281</v>
      </c>
      <c r="T6" s="2">
        <f t="shared" ca="1" si="6"/>
        <v>2.1555363826330791</v>
      </c>
      <c r="U6" s="2">
        <f t="shared" ca="1" si="6"/>
        <v>1.8328410394612176</v>
      </c>
      <c r="V6" s="2">
        <f t="shared" ca="1" si="6"/>
        <v>3.7304778881152871</v>
      </c>
      <c r="W6" s="2">
        <f t="shared" ca="1" si="6"/>
        <v>0.88223363838697766</v>
      </c>
      <c r="X6" s="2">
        <f t="shared" ca="1" si="6"/>
        <v>3.758902172280965</v>
      </c>
      <c r="Y6" s="2">
        <f t="shared" ca="1" si="6"/>
        <v>0.99219324110112239</v>
      </c>
      <c r="Z6" s="2">
        <f t="shared" ca="1" si="6"/>
        <v>4.2220356573337492</v>
      </c>
      <c r="AA6" s="2">
        <f t="shared" ca="1" si="6"/>
        <v>0.48634350759776168</v>
      </c>
      <c r="AB6" s="2">
        <f t="shared" ca="1" si="6"/>
        <v>2.117932906593758</v>
      </c>
      <c r="AC6" s="2">
        <f t="shared" ca="1" si="6"/>
        <v>2.2059505482624751</v>
      </c>
      <c r="AD6" s="2">
        <f t="shared" ca="1" si="6"/>
        <v>1.790036587764841</v>
      </c>
      <c r="AE6" s="2">
        <f t="shared" ca="1" si="6"/>
        <v>4.4999236042281181</v>
      </c>
      <c r="AF6" s="2">
        <f t="shared" ca="1" si="6"/>
        <v>1.805643516625917</v>
      </c>
      <c r="AG6" s="2">
        <f t="shared" ca="1" si="6"/>
        <v>1.5207450631907</v>
      </c>
    </row>
    <row r="7" spans="1:33">
      <c r="A7" t="str">
        <v>DireDawa</v>
      </c>
      <c r="B7" s="2">
        <f t="shared" ca="1" si="3"/>
        <v>3.0274309405169308</v>
      </c>
      <c r="C7" s="2">
        <f t="shared" ref="C7:AG7" ca="1" si="7">$S45*27/SUM($S$41:$S$51)+RAND()*5</f>
        <v>4.6211772847619352</v>
      </c>
      <c r="D7" s="2">
        <f t="shared" ca="1" si="7"/>
        <v>3.448523966897028</v>
      </c>
      <c r="E7" s="2">
        <f t="shared" ca="1" si="7"/>
        <v>2.7473225535880226</v>
      </c>
      <c r="F7" s="2">
        <f t="shared" ca="1" si="7"/>
        <v>2.817742843867745</v>
      </c>
      <c r="G7" s="2">
        <f t="shared" ca="1" si="7"/>
        <v>1.5560708736906843</v>
      </c>
      <c r="H7" s="2">
        <f t="shared" ca="1" si="7"/>
        <v>0.78102444845029717</v>
      </c>
      <c r="I7" s="2">
        <f t="shared" ca="1" si="7"/>
        <v>4.7851491004364357</v>
      </c>
      <c r="J7" s="2">
        <f t="shared" ca="1" si="7"/>
        <v>1.6651871778097067</v>
      </c>
      <c r="K7" s="2">
        <f t="shared" ca="1" si="7"/>
        <v>1.5409644897255377</v>
      </c>
      <c r="L7" s="2">
        <f t="shared" ca="1" si="7"/>
        <v>3.1670150534014092</v>
      </c>
      <c r="M7" s="2">
        <f t="shared" ca="1" si="7"/>
        <v>2.358601321451455</v>
      </c>
      <c r="N7" s="2">
        <f t="shared" ca="1" si="7"/>
        <v>0.46535242142760569</v>
      </c>
      <c r="O7" s="2">
        <f t="shared" ca="1" si="7"/>
        <v>4.291489070992581</v>
      </c>
      <c r="P7" s="2">
        <f t="shared" ca="1" si="7"/>
        <v>3.9020313883920088</v>
      </c>
      <c r="Q7" s="2">
        <f t="shared" ca="1" si="7"/>
        <v>4.9208661415674513</v>
      </c>
      <c r="R7" s="2">
        <f t="shared" ca="1" si="7"/>
        <v>1.2845893546070819</v>
      </c>
      <c r="S7" s="2">
        <f t="shared" ca="1" si="7"/>
        <v>2.0316150749183857</v>
      </c>
      <c r="T7" s="2">
        <f t="shared" ca="1" si="7"/>
        <v>0.35475929621609625</v>
      </c>
      <c r="U7" s="2">
        <f t="shared" ca="1" si="7"/>
        <v>1.8169344076458396</v>
      </c>
      <c r="V7" s="2">
        <f t="shared" ca="1" si="7"/>
        <v>5.0604212583863895</v>
      </c>
      <c r="W7" s="2">
        <f t="shared" ca="1" si="7"/>
        <v>2.5385357761587559</v>
      </c>
      <c r="X7" s="2">
        <f t="shared" ca="1" si="7"/>
        <v>3.6195884202907314</v>
      </c>
      <c r="Y7" s="2">
        <f t="shared" ca="1" si="7"/>
        <v>2.6141155231776532</v>
      </c>
      <c r="Z7" s="2">
        <f t="shared" ca="1" si="7"/>
        <v>0.92571929790793384</v>
      </c>
      <c r="AA7" s="2">
        <f t="shared" ca="1" si="7"/>
        <v>0.40813286638157875</v>
      </c>
      <c r="AB7" s="2">
        <f t="shared" ca="1" si="7"/>
        <v>3.4856119650966266</v>
      </c>
      <c r="AC7" s="2">
        <f t="shared" ca="1" si="7"/>
        <v>3.88108522699814</v>
      </c>
      <c r="AD7" s="2">
        <f t="shared" ca="1" si="7"/>
        <v>3.0147621843996415</v>
      </c>
      <c r="AE7" s="2">
        <f t="shared" ca="1" si="7"/>
        <v>2.8535706197625696</v>
      </c>
      <c r="AF7" s="2">
        <f t="shared" ca="1" si="7"/>
        <v>1.6595210833562879</v>
      </c>
      <c r="AG7" s="2">
        <f t="shared" ca="1" si="7"/>
        <v>0.53104729453363431</v>
      </c>
    </row>
    <row r="8" spans="1:33">
      <c r="A8" t="str">
        <v>Gambela</v>
      </c>
      <c r="B8" s="2">
        <f t="shared" ca="1" si="3"/>
        <v>4.2387377569069757</v>
      </c>
      <c r="C8" s="2">
        <f t="shared" ref="C8:AG8" ca="1" si="8">$S46*27/SUM($S$41:$S$51)+RAND()*5</f>
        <v>4.4320730218105044</v>
      </c>
      <c r="D8" s="2">
        <f t="shared" ca="1" si="8"/>
        <v>3.3482391030675469</v>
      </c>
      <c r="E8" s="2">
        <f t="shared" ca="1" si="8"/>
        <v>1.8786892182204573</v>
      </c>
      <c r="F8" s="2">
        <f t="shared" ca="1" si="8"/>
        <v>4.2398431967051122</v>
      </c>
      <c r="G8" s="2">
        <f t="shared" ca="1" si="8"/>
        <v>1.1672013651586299</v>
      </c>
      <c r="H8" s="2">
        <f t="shared" ca="1" si="8"/>
        <v>1.9790249032209539</v>
      </c>
      <c r="I8" s="2">
        <f t="shared" ca="1" si="8"/>
        <v>3.975177908322697</v>
      </c>
      <c r="J8" s="2">
        <f t="shared" ca="1" si="8"/>
        <v>0.38452592945931996</v>
      </c>
      <c r="K8" s="2">
        <f t="shared" ca="1" si="8"/>
        <v>4.7130152988466643</v>
      </c>
      <c r="L8" s="2">
        <f t="shared" ca="1" si="8"/>
        <v>4.1107087149590562</v>
      </c>
      <c r="M8" s="2">
        <f t="shared" ca="1" si="8"/>
        <v>4.4256075242452431</v>
      </c>
      <c r="N8" s="2">
        <f t="shared" ca="1" si="8"/>
        <v>3.6793969694142028</v>
      </c>
      <c r="O8" s="2">
        <f t="shared" ca="1" si="8"/>
        <v>0.37663050594262382</v>
      </c>
      <c r="P8" s="2">
        <f t="shared" ca="1" si="8"/>
        <v>4.451036395471581</v>
      </c>
      <c r="Q8" s="2">
        <f t="shared" ca="1" si="8"/>
        <v>3.0443333209227323</v>
      </c>
      <c r="R8" s="2">
        <f t="shared" ca="1" si="8"/>
        <v>3.5888492157368441</v>
      </c>
      <c r="S8" s="2">
        <f t="shared" ca="1" si="8"/>
        <v>2.1591950270072031</v>
      </c>
      <c r="T8" s="2">
        <f t="shared" ca="1" si="8"/>
        <v>2.7607187043316954</v>
      </c>
      <c r="U8" s="2">
        <f t="shared" ca="1" si="8"/>
        <v>1.2346928164270325</v>
      </c>
      <c r="V8" s="2">
        <f t="shared" ca="1" si="8"/>
        <v>3.1869658319568703</v>
      </c>
      <c r="W8" s="2">
        <f t="shared" ca="1" si="8"/>
        <v>2.3705128201337367</v>
      </c>
      <c r="X8" s="2">
        <f t="shared" ca="1" si="8"/>
        <v>2.6210474971631705</v>
      </c>
      <c r="Y8" s="2">
        <f t="shared" ca="1" si="8"/>
        <v>0.66720882167075546</v>
      </c>
      <c r="Z8" s="2">
        <f t="shared" ca="1" si="8"/>
        <v>1.9583706973041348</v>
      </c>
      <c r="AA8" s="2">
        <f t="shared" ca="1" si="8"/>
        <v>2.6180857330601244</v>
      </c>
      <c r="AB8" s="2">
        <f t="shared" ca="1" si="8"/>
        <v>4.0099986382629176</v>
      </c>
      <c r="AC8" s="2">
        <f t="shared" ca="1" si="8"/>
        <v>3.7070464684541609</v>
      </c>
      <c r="AD8" s="2">
        <f t="shared" ca="1" si="8"/>
        <v>1.3840568804335893</v>
      </c>
      <c r="AE8" s="2">
        <f t="shared" ca="1" si="8"/>
        <v>4.6619814945369038</v>
      </c>
      <c r="AF8" s="2">
        <f t="shared" ca="1" si="8"/>
        <v>3.5364691734977307</v>
      </c>
      <c r="AG8" s="2">
        <f t="shared" ca="1" si="8"/>
        <v>4.6160325989084656</v>
      </c>
    </row>
    <row r="9" spans="1:33">
      <c r="A9" t="str">
        <v>Harari</v>
      </c>
      <c r="B9" s="2">
        <f t="shared" ca="1" si="3"/>
        <v>7.3078934291844824E-2</v>
      </c>
      <c r="C9" s="2">
        <f t="shared" ref="C9:AG9" ca="1" si="9">$S47*27/SUM($S$41:$S$51)+RAND()*5</f>
        <v>1.3610936331366974</v>
      </c>
      <c r="D9" s="2">
        <f t="shared" ca="1" si="9"/>
        <v>1.7864353262351818</v>
      </c>
      <c r="E9" s="2">
        <f t="shared" ca="1" si="9"/>
        <v>1.1409439099236314</v>
      </c>
      <c r="F9" s="2">
        <f t="shared" ca="1" si="9"/>
        <v>3.2319259290720388</v>
      </c>
      <c r="G9" s="2">
        <f t="shared" ca="1" si="9"/>
        <v>3.0180290029072152</v>
      </c>
      <c r="H9" s="2">
        <f t="shared" ca="1" si="9"/>
        <v>2.3234199738635692</v>
      </c>
      <c r="I9" s="2">
        <f t="shared" ca="1" si="9"/>
        <v>2.4156836596750306</v>
      </c>
      <c r="J9" s="2">
        <f t="shared" ca="1" si="9"/>
        <v>2.9725294374890576</v>
      </c>
      <c r="K9" s="2">
        <f t="shared" ca="1" si="9"/>
        <v>4.4233533709365407</v>
      </c>
      <c r="L9" s="2">
        <f t="shared" ca="1" si="9"/>
        <v>1.8063420079578234</v>
      </c>
      <c r="M9" s="2">
        <f t="shared" ca="1" si="9"/>
        <v>0.48786552174961922</v>
      </c>
      <c r="N9" s="2">
        <f t="shared" ca="1" si="9"/>
        <v>0.89415123208383585</v>
      </c>
      <c r="O9" s="2">
        <f t="shared" ca="1" si="9"/>
        <v>1.5534491350080171</v>
      </c>
      <c r="P9" s="2">
        <f t="shared" ca="1" si="9"/>
        <v>2.082106066754799</v>
      </c>
      <c r="Q9" s="2">
        <f t="shared" ca="1" si="9"/>
        <v>3.2180463231660679</v>
      </c>
      <c r="R9" s="2">
        <f t="shared" ca="1" si="9"/>
        <v>4.036193750833009</v>
      </c>
      <c r="S9" s="2">
        <f t="shared" ca="1" si="9"/>
        <v>1.0991863580961831</v>
      </c>
      <c r="T9" s="2">
        <f t="shared" ca="1" si="9"/>
        <v>4.8587656417262037</v>
      </c>
      <c r="U9" s="2">
        <f t="shared" ca="1" si="9"/>
        <v>0.62218196524952318</v>
      </c>
      <c r="V9" s="2">
        <f t="shared" ca="1" si="9"/>
        <v>2.8672442073733242</v>
      </c>
      <c r="W9" s="2">
        <f t="shared" ca="1" si="9"/>
        <v>0.56031774541822188</v>
      </c>
      <c r="X9" s="2">
        <f t="shared" ca="1" si="9"/>
        <v>4.3923160454487693</v>
      </c>
      <c r="Y9" s="2">
        <f t="shared" ca="1" si="9"/>
        <v>2.1429233030804227</v>
      </c>
      <c r="Z9" s="2">
        <f t="shared" ca="1" si="9"/>
        <v>4.9980850156099992</v>
      </c>
      <c r="AA9" s="2">
        <f t="shared" ca="1" si="9"/>
        <v>2.9360624610933774</v>
      </c>
      <c r="AB9" s="2">
        <f t="shared" ca="1" si="9"/>
        <v>4.8631964742555116</v>
      </c>
      <c r="AC9" s="2">
        <f t="shared" ca="1" si="9"/>
        <v>2.6135199633180277</v>
      </c>
      <c r="AD9" s="2">
        <f t="shared" ca="1" si="9"/>
        <v>1.0706029663335397</v>
      </c>
      <c r="AE9" s="2">
        <f t="shared" ca="1" si="9"/>
        <v>2.2994750468515788</v>
      </c>
      <c r="AF9" s="2">
        <f t="shared" ca="1" si="9"/>
        <v>1.5141422479178501</v>
      </c>
      <c r="AG9" s="2">
        <f t="shared" ca="1" si="9"/>
        <v>0.88414005865262613</v>
      </c>
    </row>
    <row r="10" spans="1:33">
      <c r="A10" t="str">
        <v>Oromia</v>
      </c>
      <c r="B10" s="2">
        <f ca="1">$S43*27/SUM($S$41:$S$51)+RAND()*5</f>
        <v>8.2753251485224801</v>
      </c>
      <c r="C10" s="2">
        <f t="shared" ref="C10:AG10" ca="1" si="10">$S43*27/SUM($S$41:$S$51)+RAND()*5</f>
        <v>10.087818184206473</v>
      </c>
      <c r="D10" s="2">
        <f t="shared" ca="1" si="10"/>
        <v>10.578600342498277</v>
      </c>
      <c r="E10" s="2">
        <f t="shared" ca="1" si="10"/>
        <v>8.9680132667978505</v>
      </c>
      <c r="F10" s="2">
        <f t="shared" ca="1" si="10"/>
        <v>10.151446624352928</v>
      </c>
      <c r="G10" s="2">
        <f t="shared" ca="1" si="10"/>
        <v>8.7549963266711259</v>
      </c>
      <c r="H10" s="2">
        <f t="shared" ca="1" si="10"/>
        <v>10.620643020438806</v>
      </c>
      <c r="I10" s="2">
        <f t="shared" ca="1" si="10"/>
        <v>6.4746202483269153</v>
      </c>
      <c r="J10" s="2">
        <f t="shared" ca="1" si="10"/>
        <v>9.5050653339520697</v>
      </c>
      <c r="K10" s="2">
        <f t="shared" ca="1" si="10"/>
        <v>10.128562254288815</v>
      </c>
      <c r="L10" s="2">
        <f t="shared" ca="1" si="10"/>
        <v>6.4883741070270933</v>
      </c>
      <c r="M10" s="2">
        <f t="shared" ca="1" si="10"/>
        <v>9.3748830169640058</v>
      </c>
      <c r="N10" s="2">
        <f t="shared" ca="1" si="10"/>
        <v>8.3022272495222165</v>
      </c>
      <c r="O10" s="2">
        <f t="shared" ca="1" si="10"/>
        <v>9.8989525962228342</v>
      </c>
      <c r="P10" s="2">
        <f t="shared" ca="1" si="10"/>
        <v>9.9365395800365377</v>
      </c>
      <c r="Q10" s="2">
        <f t="shared" ca="1" si="10"/>
        <v>9.1652966183485738</v>
      </c>
      <c r="R10" s="2">
        <f t="shared" ca="1" si="10"/>
        <v>7.8688363517702644</v>
      </c>
      <c r="S10" s="2">
        <f t="shared" ca="1" si="10"/>
        <v>10.484251165210969</v>
      </c>
      <c r="T10" s="2">
        <f t="shared" ca="1" si="10"/>
        <v>9.6528319355991741</v>
      </c>
      <c r="U10" s="2">
        <f t="shared" ca="1" si="10"/>
        <v>9.1946192604271744</v>
      </c>
      <c r="V10" s="2">
        <f t="shared" ca="1" si="10"/>
        <v>9.4549507771699979</v>
      </c>
      <c r="W10" s="2">
        <f t="shared" ca="1" si="10"/>
        <v>8.2782802460480092</v>
      </c>
      <c r="X10" s="2">
        <f t="shared" ca="1" si="10"/>
        <v>10.006714946289772</v>
      </c>
      <c r="Y10" s="2">
        <f t="shared" ca="1" si="10"/>
        <v>8.3174870862845864</v>
      </c>
      <c r="Z10" s="2">
        <f t="shared" ca="1" si="10"/>
        <v>9.2438204355575149</v>
      </c>
      <c r="AA10" s="2">
        <f t="shared" ca="1" si="10"/>
        <v>8.5515036245089746</v>
      </c>
      <c r="AB10" s="2">
        <f t="shared" ca="1" si="10"/>
        <v>8.2292131794167993</v>
      </c>
      <c r="AC10" s="2">
        <f t="shared" ca="1" si="10"/>
        <v>8.9387269819808388</v>
      </c>
      <c r="AD10" s="2">
        <f t="shared" ca="1" si="10"/>
        <v>9.2876903814074829</v>
      </c>
      <c r="AE10" s="2">
        <f t="shared" ca="1" si="10"/>
        <v>8.1833579305697146</v>
      </c>
      <c r="AF10" s="2">
        <f t="shared" ca="1" si="10"/>
        <v>8.4338170947678677</v>
      </c>
      <c r="AG10" s="2">
        <f t="shared" ca="1" si="10"/>
        <v>10.820988956397386</v>
      </c>
    </row>
    <row r="11" spans="1:33">
      <c r="A11" t="str">
        <v>Somali</v>
      </c>
      <c r="B11" s="2">
        <f t="shared" ca="1" si="3"/>
        <v>6.3396039418233467</v>
      </c>
      <c r="C11" s="2">
        <f t="shared" ref="C11:AG11" ca="1" si="11">$S49*27/SUM($S$41:$S$51)+RAND()*5</f>
        <v>5.942370293905249</v>
      </c>
      <c r="D11" s="2">
        <f t="shared" ca="1" si="11"/>
        <v>3.9234173587470771</v>
      </c>
      <c r="E11" s="2">
        <f t="shared" ca="1" si="11"/>
        <v>3.6387881446276613</v>
      </c>
      <c r="F11" s="2">
        <f t="shared" ca="1" si="11"/>
        <v>5.0628858842457696</v>
      </c>
      <c r="G11" s="2">
        <f t="shared" ca="1" si="11"/>
        <v>5.9055199696319249</v>
      </c>
      <c r="H11" s="2">
        <f t="shared" ca="1" si="11"/>
        <v>6.5501179736636068</v>
      </c>
      <c r="I11" s="2">
        <f t="shared" ca="1" si="11"/>
        <v>4.8277285847621521</v>
      </c>
      <c r="J11" s="2">
        <f t="shared" ca="1" si="11"/>
        <v>5.6804723800553365</v>
      </c>
      <c r="K11" s="2">
        <f t="shared" ca="1" si="11"/>
        <v>6.5060240430126015</v>
      </c>
      <c r="L11" s="2">
        <f t="shared" ca="1" si="11"/>
        <v>2.6369463781437235</v>
      </c>
      <c r="M11" s="2">
        <f t="shared" ca="1" si="11"/>
        <v>6.3648653419287218</v>
      </c>
      <c r="N11" s="2">
        <f t="shared" ca="1" si="11"/>
        <v>5.7948146935628948</v>
      </c>
      <c r="O11" s="2">
        <f t="shared" ca="1" si="11"/>
        <v>5.4534731814883157</v>
      </c>
      <c r="P11" s="2">
        <f t="shared" ca="1" si="11"/>
        <v>3.21950709103263</v>
      </c>
      <c r="Q11" s="2">
        <f t="shared" ca="1" si="11"/>
        <v>4.5261398165687368</v>
      </c>
      <c r="R11" s="2">
        <f t="shared" ca="1" si="11"/>
        <v>2.5596859086211667</v>
      </c>
      <c r="S11" s="2">
        <f t="shared" ca="1" si="11"/>
        <v>1.9275248930207509</v>
      </c>
      <c r="T11" s="2">
        <f t="shared" ca="1" si="11"/>
        <v>2.9043713795423503</v>
      </c>
      <c r="U11" s="2">
        <f t="shared" ca="1" si="11"/>
        <v>2.2759716636423453</v>
      </c>
      <c r="V11" s="2">
        <f t="shared" ca="1" si="11"/>
        <v>6.0583240510333773</v>
      </c>
      <c r="W11" s="2">
        <f t="shared" ca="1" si="11"/>
        <v>6.1471250650977467</v>
      </c>
      <c r="X11" s="2">
        <f t="shared" ca="1" si="11"/>
        <v>6.1752900275480407</v>
      </c>
      <c r="Y11" s="2">
        <f t="shared" ca="1" si="11"/>
        <v>6.469435932861062</v>
      </c>
      <c r="Z11" s="2">
        <f t="shared" ca="1" si="11"/>
        <v>5.7594454261679111</v>
      </c>
      <c r="AA11" s="2">
        <f t="shared" ca="1" si="11"/>
        <v>4.0606828499681669</v>
      </c>
      <c r="AB11" s="2">
        <f t="shared" ca="1" si="11"/>
        <v>5.8967332062305235</v>
      </c>
      <c r="AC11" s="2">
        <f t="shared" ca="1" si="11"/>
        <v>5.3108148864597391</v>
      </c>
      <c r="AD11" s="2">
        <f t="shared" ca="1" si="11"/>
        <v>3.4253450868929178</v>
      </c>
      <c r="AE11" s="2">
        <f t="shared" ca="1" si="11"/>
        <v>6.060087944850693</v>
      </c>
      <c r="AF11" s="2">
        <f t="shared" ca="1" si="11"/>
        <v>2.3991839209734671</v>
      </c>
      <c r="AG11" s="2">
        <f t="shared" ca="1" si="11"/>
        <v>2.5598617499899907</v>
      </c>
    </row>
    <row r="12" spans="1:33">
      <c r="A12" t="str">
        <v>SNNPR</v>
      </c>
      <c r="B12" s="2">
        <f t="shared" ca="1" si="3"/>
        <v>8.8680872444758432</v>
      </c>
      <c r="C12" s="2">
        <f t="shared" ref="C12:AG12" ca="1" si="12">$S50*27/SUM($S$41:$S$51)+RAND()*5</f>
        <v>6.1120959831186585</v>
      </c>
      <c r="D12" s="2">
        <f t="shared" ca="1" si="12"/>
        <v>10.342804743019411</v>
      </c>
      <c r="E12" s="2">
        <f t="shared" ca="1" si="12"/>
        <v>8.7151364965922191</v>
      </c>
      <c r="F12" s="2">
        <f t="shared" ca="1" si="12"/>
        <v>7.9349391093307178</v>
      </c>
      <c r="G12" s="2">
        <f t="shared" ca="1" si="12"/>
        <v>8.9506197237107035</v>
      </c>
      <c r="H12" s="2">
        <f t="shared" ca="1" si="12"/>
        <v>7.2757811650109616</v>
      </c>
      <c r="I12" s="2">
        <f t="shared" ca="1" si="12"/>
        <v>6.7834009329206442</v>
      </c>
      <c r="J12" s="2">
        <f t="shared" ca="1" si="12"/>
        <v>5.798173617875066</v>
      </c>
      <c r="K12" s="2">
        <f t="shared" ca="1" si="12"/>
        <v>7.8739837234270036</v>
      </c>
      <c r="L12" s="2">
        <f t="shared" ca="1" si="12"/>
        <v>9.2679568525492613</v>
      </c>
      <c r="M12" s="2">
        <f t="shared" ca="1" si="12"/>
        <v>10.053134701634463</v>
      </c>
      <c r="N12" s="2">
        <f t="shared" ca="1" si="12"/>
        <v>9.8049800703675025</v>
      </c>
      <c r="O12" s="2">
        <f t="shared" ca="1" si="12"/>
        <v>6.0712369895221379</v>
      </c>
      <c r="P12" s="2">
        <f t="shared" ca="1" si="12"/>
        <v>7.4320596305276103</v>
      </c>
      <c r="Q12" s="2">
        <f t="shared" ca="1" si="12"/>
        <v>9.6009604922922129</v>
      </c>
      <c r="R12" s="2">
        <f t="shared" ca="1" si="12"/>
        <v>9.3806032181364039</v>
      </c>
      <c r="S12" s="2">
        <f t="shared" ca="1" si="12"/>
        <v>6.3677738803498061</v>
      </c>
      <c r="T12" s="2">
        <f t="shared" ca="1" si="12"/>
        <v>9.9487431130362332</v>
      </c>
      <c r="U12" s="2">
        <f t="shared" ca="1" si="12"/>
        <v>10.205988015875189</v>
      </c>
      <c r="V12" s="2">
        <f t="shared" ca="1" si="12"/>
        <v>5.5484056934647317</v>
      </c>
      <c r="W12" s="2">
        <f t="shared" ca="1" si="12"/>
        <v>6.775118706039196</v>
      </c>
      <c r="X12" s="2">
        <f t="shared" ca="1" si="12"/>
        <v>10.20879794665035</v>
      </c>
      <c r="Y12" s="2">
        <f t="shared" ca="1" si="12"/>
        <v>8.2238562166208915</v>
      </c>
      <c r="Z12" s="2">
        <f t="shared" ca="1" si="12"/>
        <v>10.38695050725401</v>
      </c>
      <c r="AA12" s="2">
        <f t="shared" ca="1" si="12"/>
        <v>10.091634197558749</v>
      </c>
      <c r="AB12" s="2">
        <f t="shared" ca="1" si="12"/>
        <v>8.8540038678927786</v>
      </c>
      <c r="AC12" s="2">
        <f t="shared" ca="1" si="12"/>
        <v>10.3939827702551</v>
      </c>
      <c r="AD12" s="2">
        <f t="shared" ca="1" si="12"/>
        <v>7.5173087943627674</v>
      </c>
      <c r="AE12" s="2">
        <f t="shared" ca="1" si="12"/>
        <v>5.5580255429923113</v>
      </c>
      <c r="AF12" s="2">
        <f t="shared" ca="1" si="12"/>
        <v>5.9307796835259499</v>
      </c>
      <c r="AG12" s="2">
        <f t="shared" ca="1" si="12"/>
        <v>7.2485701299267529</v>
      </c>
    </row>
    <row r="13" spans="1:33">
      <c r="A13" t="str">
        <v>Tigray</v>
      </c>
      <c r="B13" s="2">
        <f t="shared" ca="1" si="3"/>
        <v>4.7141934904964096</v>
      </c>
      <c r="C13" s="2">
        <f t="shared" ref="C13:AG13" ca="1" si="13">$S51*27/SUM($S$41:$S$51)+RAND()*5</f>
        <v>4.569922049083897</v>
      </c>
      <c r="D13" s="2">
        <f t="shared" ca="1" si="13"/>
        <v>4.6996936836375429</v>
      </c>
      <c r="E13" s="2">
        <f t="shared" ca="1" si="13"/>
        <v>4.2378291206362473</v>
      </c>
      <c r="F13" s="2">
        <f t="shared" ca="1" si="13"/>
        <v>6.3121331893120898</v>
      </c>
      <c r="G13" s="2">
        <f t="shared" ca="1" si="13"/>
        <v>6.3576080725842807</v>
      </c>
      <c r="H13" s="2">
        <f t="shared" ca="1" si="13"/>
        <v>4.9687167725649646</v>
      </c>
      <c r="I13" s="2">
        <f t="shared" ca="1" si="13"/>
        <v>1.9105127646036233</v>
      </c>
      <c r="J13" s="2">
        <f t="shared" ca="1" si="13"/>
        <v>2.3743357947090229</v>
      </c>
      <c r="K13" s="2">
        <f t="shared" ca="1" si="13"/>
        <v>6.1111700491080079</v>
      </c>
      <c r="L13" s="2">
        <f t="shared" ca="1" si="13"/>
        <v>5.5213905460107675</v>
      </c>
      <c r="M13" s="2">
        <f t="shared" ca="1" si="13"/>
        <v>6.2954768973392712</v>
      </c>
      <c r="N13" s="2">
        <f t="shared" ca="1" si="13"/>
        <v>4.287893018248246</v>
      </c>
      <c r="O13" s="2">
        <f t="shared" ca="1" si="13"/>
        <v>1.8959768290743546</v>
      </c>
      <c r="P13" s="2">
        <f t="shared" ca="1" si="13"/>
        <v>5.1504828875319832</v>
      </c>
      <c r="Q13" s="2">
        <f t="shared" ca="1" si="13"/>
        <v>4.3253650366166623</v>
      </c>
      <c r="R13" s="2">
        <f t="shared" ca="1" si="13"/>
        <v>3.4376144109322464</v>
      </c>
      <c r="S13" s="2">
        <f t="shared" ca="1" si="13"/>
        <v>3.0769920052306912</v>
      </c>
      <c r="T13" s="2">
        <f t="shared" ca="1" si="13"/>
        <v>2.4744955267719377</v>
      </c>
      <c r="U13" s="2">
        <f t="shared" ca="1" si="13"/>
        <v>6.4260012973440803</v>
      </c>
      <c r="V13" s="2">
        <f t="shared" ca="1" si="13"/>
        <v>2.429792083678163</v>
      </c>
      <c r="W13" s="2">
        <f t="shared" ca="1" si="13"/>
        <v>3.9296188509617487</v>
      </c>
      <c r="X13" s="2">
        <f t="shared" ca="1" si="13"/>
        <v>2.4150153648624828</v>
      </c>
      <c r="Y13" s="2">
        <f t="shared" ca="1" si="13"/>
        <v>4.3374983306026973</v>
      </c>
      <c r="Z13" s="2">
        <f t="shared" ca="1" si="13"/>
        <v>4.6476844385376408</v>
      </c>
      <c r="AA13" s="2">
        <f t="shared" ca="1" si="13"/>
        <v>2.4122365670790042</v>
      </c>
      <c r="AB13" s="2">
        <f t="shared" ca="1" si="13"/>
        <v>2.2050333997746421</v>
      </c>
      <c r="AC13" s="2">
        <f t="shared" ca="1" si="13"/>
        <v>5.1316239415182787</v>
      </c>
      <c r="AD13" s="2">
        <f t="shared" ca="1" si="13"/>
        <v>6.2305408029185863</v>
      </c>
      <c r="AE13" s="2">
        <f t="shared" ca="1" si="13"/>
        <v>1.6932182996213321</v>
      </c>
      <c r="AF13" s="2">
        <f t="shared" ca="1" si="13"/>
        <v>2.4329466313179</v>
      </c>
      <c r="AG13" s="2">
        <f t="shared" ca="1" si="13"/>
        <v>2.0097524955177049</v>
      </c>
    </row>
    <row r="40" spans="1:19">
      <c r="R40" s="1" t="s">
        <v>120</v>
      </c>
    </row>
    <row r="41" spans="1:19">
      <c r="A41" t="str">
        <f t="array" ref="A41:A51">Nodes</f>
        <v>AddisAbaba</v>
      </c>
      <c r="B41" s="2">
        <f>B62*0.75</f>
        <v>0.43274999999999997</v>
      </c>
      <c r="F41" t="str">
        <f t="array" ref="F41:F51">Nodes</f>
        <v>AddisAbaba</v>
      </c>
      <c r="G41" s="2">
        <v>0.1</v>
      </c>
      <c r="K41" t="str">
        <f t="array" ref="K41:K51">Nodes</f>
        <v>AddisAbaba</v>
      </c>
      <c r="L41" s="2">
        <v>0</v>
      </c>
      <c r="R41" t="str">
        <f t="array" ref="R41:R51">Nodes</f>
        <v>AddisAbaba</v>
      </c>
      <c r="S41" s="2">
        <v>3.2730000000000001</v>
      </c>
    </row>
    <row r="42" spans="1:19">
      <c r="A42" t="str">
        <v>Afar</v>
      </c>
      <c r="B42" s="2">
        <v>20</v>
      </c>
      <c r="F42" t="str">
        <v>Afar</v>
      </c>
      <c r="G42" s="2">
        <v>0.1</v>
      </c>
      <c r="K42" t="str">
        <v>Afar</v>
      </c>
      <c r="L42" s="2">
        <v>3</v>
      </c>
      <c r="R42" t="str">
        <v>Afar</v>
      </c>
      <c r="S42" s="2">
        <v>1.7230000000000001</v>
      </c>
    </row>
    <row r="43" spans="1:19">
      <c r="A43" t="str">
        <v>Amhara</v>
      </c>
      <c r="B43" s="2">
        <f t="shared" ref="B43:B51" si="14">B64*0.75</f>
        <v>1.9012500000000001</v>
      </c>
      <c r="F43" t="str">
        <v>Amhara</v>
      </c>
      <c r="G43" s="2">
        <v>0.1</v>
      </c>
      <c r="K43" t="str">
        <v>Amhara</v>
      </c>
      <c r="L43" s="2">
        <v>0</v>
      </c>
      <c r="R43" t="str">
        <v>Amhara</v>
      </c>
      <c r="S43" s="2">
        <v>20.401</v>
      </c>
    </row>
    <row r="44" spans="1:19">
      <c r="A44" t="str">
        <v>Gumuz</v>
      </c>
      <c r="B44" s="2">
        <f t="shared" si="14"/>
        <v>4.875</v>
      </c>
      <c r="F44" t="str">
        <v>Gumuz</v>
      </c>
      <c r="G44" s="2">
        <v>0.1</v>
      </c>
      <c r="K44" t="str">
        <v>Gumuz</v>
      </c>
      <c r="L44" s="2">
        <v>0</v>
      </c>
      <c r="R44" t="str">
        <v>Gumuz</v>
      </c>
      <c r="S44" s="2">
        <v>1.0049999999999999</v>
      </c>
    </row>
    <row r="45" spans="1:19">
      <c r="A45" t="str">
        <v>DireDawa</v>
      </c>
      <c r="B45" s="2">
        <f t="shared" si="14"/>
        <v>0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v>0.44</v>
      </c>
    </row>
    <row r="46" spans="1:19">
      <c r="A46" t="str">
        <v>Gambela</v>
      </c>
      <c r="B46" s="2">
        <f t="shared" si="14"/>
        <v>1.9470000000000001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v>0.40899999999999997</v>
      </c>
    </row>
    <row r="47" spans="1:19">
      <c r="A47" t="str">
        <v>Harari</v>
      </c>
      <c r="B47" s="2">
        <f t="shared" si="14"/>
        <v>0</v>
      </c>
      <c r="F47" t="str">
        <v>Harari</v>
      </c>
      <c r="G47" s="2">
        <v>0.1</v>
      </c>
      <c r="K47" t="str">
        <v>Harari</v>
      </c>
      <c r="L47" s="2">
        <v>0</v>
      </c>
      <c r="R47" t="str">
        <v>Harari</v>
      </c>
      <c r="S47" s="2">
        <v>0.23200000000000001</v>
      </c>
    </row>
    <row r="48" spans="1:19">
      <c r="A48" t="str">
        <v>Oromia</v>
      </c>
      <c r="B48" s="2">
        <f t="shared" si="14"/>
        <v>2.2064999999999997</v>
      </c>
      <c r="F48" t="str">
        <v>Oromia</v>
      </c>
      <c r="G48" s="2">
        <v>0.1</v>
      </c>
      <c r="K48" t="str">
        <v>Oromia</v>
      </c>
      <c r="L48" s="2">
        <v>0</v>
      </c>
      <c r="R48" t="str">
        <v>Oromia</v>
      </c>
      <c r="S48" s="2">
        <v>33.692</v>
      </c>
    </row>
    <row r="49" spans="1:19">
      <c r="A49" t="str">
        <v>Somali</v>
      </c>
      <c r="B49" s="2">
        <f t="shared" si="14"/>
        <v>0.22499999999999998</v>
      </c>
      <c r="F49" t="str">
        <v>Somali</v>
      </c>
      <c r="G49" s="2">
        <v>0.1</v>
      </c>
      <c r="K49" t="str">
        <v>Somali</v>
      </c>
      <c r="L49" s="2">
        <v>0</v>
      </c>
      <c r="R49" t="str">
        <v>Somali</v>
      </c>
      <c r="S49" s="2">
        <v>5.4530000000000003</v>
      </c>
    </row>
    <row r="50" spans="1:19">
      <c r="A50" t="str">
        <v>SNNPR</v>
      </c>
      <c r="B50" s="2">
        <f t="shared" si="14"/>
        <v>4.3499999999999996</v>
      </c>
      <c r="F50" t="str">
        <v>SNNPR</v>
      </c>
      <c r="G50" s="2">
        <v>0.1</v>
      </c>
      <c r="K50" t="str">
        <v>SNNPR</v>
      </c>
      <c r="L50" s="2">
        <v>0</v>
      </c>
      <c r="R50" t="str">
        <v>SNNPR</v>
      </c>
      <c r="S50" s="2">
        <v>18.276</v>
      </c>
    </row>
    <row r="51" spans="1:19">
      <c r="A51" t="str">
        <v>Tigray</v>
      </c>
      <c r="B51" s="2">
        <f t="shared" si="14"/>
        <v>0.315</v>
      </c>
      <c r="F51" t="str">
        <v>Tigray</v>
      </c>
      <c r="G51" s="2">
        <v>0.1</v>
      </c>
      <c r="K51" t="str">
        <v>Tigray</v>
      </c>
      <c r="L51" s="2">
        <v>0</v>
      </c>
      <c r="R51" t="str">
        <v>Tigray</v>
      </c>
      <c r="S51" s="2">
        <v>5.056</v>
      </c>
    </row>
    <row r="62" spans="1:19">
      <c r="B62">
        <v>0.57699999999999996</v>
      </c>
    </row>
    <row r="63" spans="1:19">
      <c r="B63">
        <v>20</v>
      </c>
    </row>
    <row r="64" spans="1:19">
      <c r="B64">
        <v>2.5350000000000001</v>
      </c>
    </row>
    <row r="65" spans="2:2">
      <c r="B65">
        <v>6.5</v>
      </c>
    </row>
    <row r="66" spans="2:2">
      <c r="B66">
        <v>0</v>
      </c>
    </row>
    <row r="67" spans="2:2">
      <c r="B67">
        <v>2.5960000000000001</v>
      </c>
    </row>
    <row r="68" spans="2:2">
      <c r="B68">
        <v>0</v>
      </c>
    </row>
    <row r="69" spans="2:2">
      <c r="B69">
        <v>2.9419999999999997</v>
      </c>
    </row>
    <row r="70" spans="2:2">
      <c r="B70">
        <v>0.3</v>
      </c>
    </row>
    <row r="71" spans="2:2">
      <c r="B71">
        <v>5.7999999999999989</v>
      </c>
    </row>
    <row r="72" spans="2:2">
      <c r="B72">
        <v>0.42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index</vt:lpstr>
      <vt:lpstr>Explained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DemElas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2017-08-08T14:12:40Z</dcterms:modified>
</cp:coreProperties>
</file>